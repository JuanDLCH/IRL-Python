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IRL-Python\"/>
    </mc:Choice>
  </mc:AlternateContent>
  <xr:revisionPtr revIDLastSave="0" documentId="13_ncr:1_{0603DCE0-06D3-42E8-96AA-0CEE2E987148}" xr6:coauthVersionLast="47" xr6:coauthVersionMax="47" xr10:uidLastSave="{00000000-0000-0000-0000-000000000000}"/>
  <bookViews>
    <workbookView xWindow="-108" yWindow="-108" windowWidth="23256" windowHeight="12576" tabRatio="813" firstSheet="15" activeTab="15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14" l="1"/>
  <c r="H35" i="14"/>
  <c r="H33" i="14"/>
  <c r="C10" i="16" l="1"/>
  <c r="H7" i="14"/>
  <c r="I7" i="14" s="1"/>
  <c r="D12" i="14"/>
  <c r="D37" i="13"/>
  <c r="I6" i="64"/>
  <c r="G35" i="15"/>
  <c r="D35" i="15"/>
  <c r="C35" i="15"/>
  <c r="I24" i="15"/>
  <c r="I25" i="15"/>
  <c r="I26" i="15"/>
  <c r="I27" i="15"/>
  <c r="I28" i="15"/>
  <c r="I29" i="15"/>
  <c r="I30" i="15"/>
  <c r="I31" i="15"/>
  <c r="I32" i="15"/>
  <c r="I33" i="15"/>
  <c r="I34" i="15"/>
  <c r="H24" i="15"/>
  <c r="H25" i="15"/>
  <c r="H26" i="15"/>
  <c r="H27" i="15"/>
  <c r="H28" i="15"/>
  <c r="H29" i="15"/>
  <c r="H30" i="15"/>
  <c r="H31" i="15"/>
  <c r="H32" i="15"/>
  <c r="H33" i="15"/>
  <c r="H34" i="15"/>
  <c r="I26" i="13"/>
  <c r="I27" i="13"/>
  <c r="I28" i="13"/>
  <c r="I29" i="13"/>
  <c r="I30" i="13"/>
  <c r="I31" i="13"/>
  <c r="I32" i="13"/>
  <c r="I33" i="13"/>
  <c r="I34" i="13"/>
  <c r="I35" i="13"/>
  <c r="I36" i="13"/>
  <c r="H26" i="13"/>
  <c r="H27" i="13"/>
  <c r="H28" i="13"/>
  <c r="H29" i="13"/>
  <c r="H30" i="13"/>
  <c r="H31" i="13"/>
  <c r="H32" i="13"/>
  <c r="H33" i="13"/>
  <c r="H34" i="13"/>
  <c r="H35" i="13"/>
  <c r="H36" i="13"/>
  <c r="G26" i="13"/>
  <c r="G27" i="13"/>
  <c r="G28" i="13"/>
  <c r="G29" i="13"/>
  <c r="G30" i="13"/>
  <c r="G31" i="13"/>
  <c r="G32" i="13"/>
  <c r="G33" i="13"/>
  <c r="G34" i="13"/>
  <c r="G35" i="13"/>
  <c r="G36" i="13"/>
  <c r="F5" i="27"/>
  <c r="G7" i="32"/>
  <c r="F7" i="32"/>
  <c r="E7" i="32"/>
  <c r="D7" i="32"/>
  <c r="E35" i="15" l="1"/>
  <c r="F35" i="15" s="1"/>
  <c r="I35" i="15" s="1"/>
  <c r="B8" i="32"/>
  <c r="E22" i="64"/>
  <c r="E23" i="64"/>
  <c r="I6" i="37"/>
  <c r="E22" i="37"/>
  <c r="E23" i="37"/>
  <c r="D5" i="23"/>
  <c r="B6" i="23"/>
  <c r="G5" i="24"/>
  <c r="F5" i="24"/>
  <c r="D5" i="24"/>
  <c r="B6" i="24"/>
  <c r="H35" i="15" l="1"/>
  <c r="D6" i="23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6" i="62"/>
  <c r="N6" i="62"/>
  <c r="O6" i="62"/>
  <c r="L6" i="62"/>
  <c r="M6" i="61"/>
  <c r="N6" i="61"/>
  <c r="O6" i="61"/>
  <c r="L6" i="61"/>
  <c r="M6" i="63"/>
  <c r="N6" i="63"/>
  <c r="O6" i="63"/>
  <c r="L6" i="63"/>
  <c r="M6" i="60"/>
  <c r="N6" i="60"/>
  <c r="O6" i="60"/>
  <c r="L6" i="60"/>
  <c r="M6" i="59"/>
  <c r="N6" i="59"/>
  <c r="O6" i="59"/>
  <c r="L6" i="59"/>
  <c r="O6" i="54"/>
  <c r="N6" i="54"/>
  <c r="M6" i="54"/>
  <c r="L6" i="54"/>
  <c r="I5" i="17"/>
  <c r="H5" i="17"/>
  <c r="G5" i="17"/>
  <c r="F5" i="17"/>
  <c r="H6" i="15"/>
  <c r="I6" i="15" s="1"/>
  <c r="H7" i="15"/>
  <c r="I7" i="15" s="1"/>
  <c r="F7" i="15"/>
  <c r="G7" i="15" s="1"/>
  <c r="F6" i="15"/>
  <c r="G6" i="15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E21" i="64"/>
  <c r="E21" i="37"/>
  <c r="C37" i="13" l="1"/>
  <c r="C26" i="13"/>
  <c r="E8" i="26" l="1"/>
  <c r="I9" i="22"/>
  <c r="B5" i="31" l="1"/>
  <c r="B5" i="28"/>
  <c r="B5" i="26"/>
  <c r="D22" i="28" l="1"/>
  <c r="F8" i="26"/>
  <c r="F4" i="26" s="1"/>
  <c r="F5" i="26" s="1"/>
  <c r="N9" i="63"/>
  <c r="G8" i="26" l="1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J9" i="22"/>
  <c r="N9" i="22" s="1"/>
  <c r="H10" i="17"/>
  <c r="D33" i="14" l="1"/>
  <c r="D35" i="14"/>
  <c r="D30" i="14"/>
  <c r="D31" i="14"/>
  <c r="E31" i="14" s="1"/>
  <c r="D28" i="14"/>
  <c r="E28" i="14" s="1"/>
  <c r="D27" i="14"/>
  <c r="E27" i="14" s="1"/>
  <c r="D22" i="14"/>
  <c r="D23" i="14"/>
  <c r="D24" i="14"/>
  <c r="D13" i="14"/>
  <c r="D18" i="14"/>
  <c r="D21" i="14"/>
  <c r="D14" i="14"/>
  <c r="D15" i="14"/>
  <c r="D20" i="14"/>
  <c r="D16" i="14"/>
  <c r="D17" i="14"/>
  <c r="D19" i="14"/>
  <c r="D26" i="14"/>
  <c r="E26" i="14" s="1"/>
  <c r="D32" i="14"/>
  <c r="E32" i="14" s="1"/>
  <c r="E30" i="14"/>
  <c r="D29" i="14"/>
  <c r="E29" i="14" s="1"/>
  <c r="D25" i="14"/>
  <c r="E25" i="14" s="1"/>
  <c r="D34" i="14"/>
  <c r="E34" i="14" s="1"/>
  <c r="E35" i="14"/>
  <c r="E33" i="14"/>
  <c r="K9" i="22"/>
  <c r="L9" i="22" s="1"/>
  <c r="M9" i="22"/>
  <c r="A16" i="43"/>
  <c r="G4" i="26"/>
  <c r="G5" i="26"/>
  <c r="F8" i="32"/>
  <c r="D8" i="32"/>
  <c r="I10" i="17"/>
  <c r="C9" i="27" l="1"/>
  <c r="C8" i="27"/>
  <c r="F8" i="27" l="1"/>
  <c r="F10" i="27"/>
  <c r="J9" i="59"/>
  <c r="G6" i="17" l="1"/>
  <c r="I6" i="17"/>
  <c r="H6" i="17"/>
  <c r="F9" i="27" a="1"/>
  <c r="F9" i="27" s="1"/>
  <c r="B6" i="28"/>
  <c r="G8" i="32"/>
  <c r="A18" i="43"/>
  <c r="A17" i="2"/>
  <c r="A7" i="43"/>
  <c r="H10" i="20"/>
  <c r="E11" i="64"/>
  <c r="E9" i="64"/>
  <c r="E10" i="64"/>
  <c r="E12" i="64"/>
  <c r="E13" i="64"/>
  <c r="E14" i="64"/>
  <c r="E15" i="64"/>
  <c r="E16" i="64"/>
  <c r="E17" i="64"/>
  <c r="E18" i="64"/>
  <c r="E19" i="64"/>
  <c r="E20" i="64"/>
  <c r="E9" i="37"/>
  <c r="E20" i="37"/>
  <c r="F21" i="64" l="1"/>
  <c r="F23" i="64"/>
  <c r="F22" i="64"/>
  <c r="F11" i="27"/>
  <c r="F12" i="27" s="1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E5" i="28" l="1"/>
  <c r="E6" i="28" s="1"/>
  <c r="F31" i="14"/>
  <c r="F30" i="14"/>
  <c r="E5" i="31"/>
  <c r="E6" i="31" s="1"/>
  <c r="G7" i="31"/>
  <c r="F5" i="31"/>
  <c r="F6" i="31" s="1"/>
  <c r="E7" i="31"/>
  <c r="G5" i="31"/>
  <c r="G6" i="31" s="1"/>
  <c r="H5" i="31"/>
  <c r="H6" i="31" s="1"/>
  <c r="H7" i="31"/>
  <c r="E7" i="28"/>
  <c r="H7" i="28"/>
  <c r="G5" i="28"/>
  <c r="G6" i="28" s="1"/>
  <c r="G7" i="28"/>
  <c r="H5" i="28"/>
  <c r="H6" i="28" s="1"/>
  <c r="F5" i="28"/>
  <c r="F6" i="28" s="1"/>
  <c r="F25" i="14"/>
  <c r="F35" i="14"/>
  <c r="F34" i="14"/>
  <c r="G25" i="14" l="1"/>
  <c r="F27" i="14"/>
  <c r="F28" i="14"/>
  <c r="F26" i="14"/>
  <c r="F32" i="14"/>
  <c r="A58" i="1"/>
  <c r="F33" i="14"/>
  <c r="F29" i="14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E11" i="37"/>
  <c r="E12" i="37"/>
  <c r="E13" i="37"/>
  <c r="E14" i="37"/>
  <c r="E15" i="37"/>
  <c r="E16" i="37"/>
  <c r="E17" i="37"/>
  <c r="E18" i="37"/>
  <c r="E19" i="37"/>
  <c r="G26" i="14" l="1"/>
  <c r="H26" i="14" s="1"/>
  <c r="G32" i="14"/>
  <c r="I32" i="14" s="1"/>
  <c r="G35" i="14"/>
  <c r="G33" i="14"/>
  <c r="G30" i="14"/>
  <c r="H25" i="14"/>
  <c r="I25" i="14"/>
  <c r="G34" i="14"/>
  <c r="G31" i="14"/>
  <c r="G29" i="14"/>
  <c r="G27" i="14"/>
  <c r="G28" i="14"/>
  <c r="F23" i="37"/>
  <c r="F21" i="37"/>
  <c r="F22" i="37"/>
  <c r="D26" i="13"/>
  <c r="E26" i="13" s="1"/>
  <c r="F26" i="13" s="1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I26" i="14" l="1"/>
  <c r="H32" i="14"/>
  <c r="I31" i="14"/>
  <c r="H31" i="14"/>
  <c r="H30" i="14"/>
  <c r="I30" i="14"/>
  <c r="I33" i="14"/>
  <c r="H28" i="14"/>
  <c r="I28" i="14"/>
  <c r="I35" i="14"/>
  <c r="I34" i="14"/>
  <c r="H27" i="14"/>
  <c r="I27" i="14"/>
  <c r="H29" i="14"/>
  <c r="I29" i="14"/>
  <c r="M5" i="61"/>
  <c r="M5" i="59"/>
  <c r="N5" i="61"/>
  <c r="N5" i="59"/>
  <c r="M5" i="54"/>
  <c r="A19" i="1" s="1"/>
  <c r="M5" i="60"/>
  <c r="A29" i="1" s="1"/>
  <c r="M5" i="63"/>
  <c r="A34" i="1" s="1"/>
  <c r="N5" i="63"/>
  <c r="A35" i="1" s="1"/>
  <c r="O5" i="61"/>
  <c r="A41" i="1" s="1"/>
  <c r="O5" i="59"/>
  <c r="A26" i="1" s="1"/>
  <c r="L5" i="62"/>
  <c r="A43" i="1" s="1"/>
  <c r="L5" i="63"/>
  <c r="A33" i="1" s="1"/>
  <c r="L5" i="54"/>
  <c r="O5" i="60"/>
  <c r="O5" i="63"/>
  <c r="L5" i="60"/>
  <c r="M5" i="62"/>
  <c r="O5" i="54"/>
  <c r="A21" i="1" s="1"/>
  <c r="N5" i="62"/>
  <c r="A45" i="1" s="1"/>
  <c r="N5" i="60"/>
  <c r="A30" i="1" s="1"/>
  <c r="O5" i="62"/>
  <c r="A46" i="1" s="1"/>
  <c r="L5" i="61"/>
  <c r="A38" i="1" s="1"/>
  <c r="L5" i="59"/>
  <c r="A23" i="1" s="1"/>
  <c r="N5" i="54"/>
  <c r="A20" i="1" s="1"/>
  <c r="E37" i="13"/>
  <c r="F37" i="13" s="1"/>
  <c r="G37" i="13" s="1"/>
  <c r="A28" i="1"/>
  <c r="A24" i="1"/>
  <c r="A44" i="1"/>
  <c r="A39" i="1"/>
  <c r="A18" i="1"/>
  <c r="A25" i="1"/>
  <c r="A36" i="1"/>
  <c r="A31" i="1"/>
  <c r="A40" i="1"/>
  <c r="D10" i="16"/>
  <c r="J14" i="5"/>
  <c r="G10" i="5" s="1"/>
  <c r="A7" i="1" s="1"/>
  <c r="H37" i="13" l="1"/>
  <c r="I37" i="13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11" i="24"/>
  <c r="E11" i="24" s="1"/>
  <c r="F6" i="24" l="1"/>
  <c r="D6" i="24"/>
  <c r="E6" i="24" s="1"/>
  <c r="G6" i="24"/>
  <c r="A22" i="43"/>
  <c r="E6" i="25"/>
  <c r="A27" i="2"/>
  <c r="E5" i="24" l="1"/>
  <c r="G6" i="25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A29" i="2"/>
  <c r="G11" i="27" l="1"/>
  <c r="G12" i="27" s="1"/>
  <c r="A45" i="43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<sst xmlns="http://schemas.openxmlformats.org/spreadsheetml/2006/main" count="1139" uniqueCount="196">
  <si>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</si>
  <si>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</si>
  <si>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</si>
  <si>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</si>
  <si>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</si>
  <si>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</si>
  <si>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</si>
  <si>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</si>
  <si>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</si>
  <si>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</si>
  <si>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</si>
  <si>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</si>
  <si>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</si>
  <si>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</si>
  <si>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</si>
  <si>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</si>
  <si>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</si>
  <si>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</si>
  <si>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</si>
  <si>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</si>
  <si>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</si>
  <si>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</si>
  <si>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</si>
  <si>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</si>
  <si>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</si>
  <si>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</si>
  <si>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</si>
  <si>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</si>
  <si>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</si>
  <si>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</si>
  <si>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</si>
  <si>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</si>
  <si>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</si>
  <si>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</si>
  <si>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</si>
  <si>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</si>
  <si>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</si>
  <si>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</si>
  <si>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</si>
  <si>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</si>
  <si>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</si>
  <si>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</si>
  <si>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</si>
  <si>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</si>
  <si>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</si>
  <si>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</si>
  <si>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</si>
  <si>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</si>
  <si>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</si>
  <si>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</si>
  <si>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</si>
  <si>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</si>
  <si>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</si>
  <si>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</si>
  <si>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</si>
  <si>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</si>
  <si>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</si>
  <si>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</si>
  <si>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</si>
  <si>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</si>
  <si>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</si>
  <si>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</si>
  <si>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</si>
  <si>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</si>
  <si>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</si>
  <si>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</si>
  <si>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</si>
  <si>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</si>
  <si>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</si>
  <si>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</si>
  <si>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</si>
  <si>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</si>
  <si>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</si>
  <si>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</si>
  <si>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</si>
  <si>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</si>
  <si>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</si>
  <si>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</si>
  <si>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</si>
  <si>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</si>
  <si>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</si>
  <si>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</si>
  <si>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</si>
  <si>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</si>
  <si>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</si>
  <si>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</si>
  <si>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</si>
  <si>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</si>
  <si>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</si>
  <si>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</si>
  <si>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</si>
  <si>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</si>
  <si>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</si>
  <si>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</si>
  <si>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</si>
  <si>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</si>
  <si>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</si>
  <si>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</si>
  <si>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</si>
  <si>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</si>
  <si>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</si>
  <si>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</si>
  <si>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</si>
  <si>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</si>
  <si>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</si>
  <si>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</si>
  <si>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</si>
  <si>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</si>
  <si>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</si>
  <si>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</si>
  <si>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</si>
  <si>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</si>
  <si>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</si>
  <si>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</si>
  <si>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</si>
  <si>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</si>
  <si>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</si>
  <si>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</si>
  <si>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</si>
  <si>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</si>
  <si>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</si>
  <si>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</si>
  <si>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</si>
  <si>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</si>
  <si>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</si>
  <si>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</si>
  <si>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</si>
  <si>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</si>
  <si>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</si>
  <si>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</si>
  <si>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</si>
  <si>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</si>
  <si>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</si>
  <si>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</si>
  <si>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</si>
  <si>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</si>
  <si>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</si>
  <si>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</si>
  <si>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</si>
  <si>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</si>
  <si>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</si>
  <si>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</si>
  <si>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</si>
  <si>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</si>
  <si>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</si>
  <si>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</si>
  <si>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</si>
  <si>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</si>
  <si>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</si>
  <si>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</si>
  <si>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</si>
  <si>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</si>
  <si>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</si>
  <si>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</si>
  <si>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</si>
  <si>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</si>
  <si>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</si>
  <si>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</si>
  <si>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</si>
  <si>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</si>
  <si>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</si>
  <si>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</si>
  <si>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</si>
  <si>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</si>
  <si>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</si>
  <si>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</si>
  <si>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</si>
  <si>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</si>
  <si>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</si>
  <si>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</si>
  <si>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</si>
  <si>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</si>
  <si>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</si>
  <si>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</si>
  <si>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</si>
  <si>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</si>
  <si>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</si>
  <si>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</si>
  <si>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</si>
  <si>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</si>
  <si>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</si>
  <si>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</si>
  <si>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</si>
  <si>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</si>
  <si>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</si>
  <si>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</si>
  <si>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</si>
  <si>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</si>
  <si>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</si>
  <si>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</si>
  <si>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</si>
  <si>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</si>
  <si>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</si>
  <si>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</si>
  <si>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</si>
  <si>
    <t>Fecha: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</si>
</sst>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(&quot;$&quot;\ * #,##0.00_);_(&quot;$&quot;\ * \(#,##0.00\);_(&quot;$&quot;\ * &quot;-&quot;??_);_(@_)"/>
    <numFmt numFmtId="167" formatCode="_(* #,##0.00_);_(* \(#,##0.00\);_(* &quot;-&quot;??_);_(@_)"/>
    <numFmt numFmtId="168" formatCode="0.000%"/>
    <numFmt numFmtId="169" formatCode="_(&quot;$&quot;\ * #,##0_);_(&quot;$&quot;\ * \(#,##0\);_(&quot;$&quot;\ * &quot;-&quot;??_);_(@_)"/>
    <numFmt numFmtId="170" formatCode="0.00000000"/>
    <numFmt numFmtId="171" formatCode="_-&quot;$&quot;\ * #,##0.0000_-;\-&quot;$&quot;\ * #,##0.0000_-;_-&quot;$&quot;\ * &quot;-&quot;??_-;_-@_-"/>
    <numFmt numFmtId="172" formatCode="_-&quot;$&quot;\ * #,##0.00_-;\-&quot;$&quot;\ * #,##0.00_-;_-&quot;$&quot;\ * &quot;-&quot;_-;_-@_-"/>
    <numFmt numFmtId="173" formatCode="0.0%"/>
    <numFmt numFmtId="174" formatCode="_(* #,##0_);_(* \(#,##0\);_(* &quot;-&quot;??_);_(@_)"/>
    <numFmt numFmtId="175" formatCode="0.000000"/>
    <numFmt numFmtId="176" formatCode="_-&quot;$&quot;* #,##0_-;\-&quot;$&quot;* #,##0_-;_-&quot;$&quot;* &quot;-&quot;??_-;_-@_-"/>
    <numFmt numFmtId="177" formatCode="_-&quot;$&quot;\ * #,##0.0000_-;\-&quot;$&quot;\ * #,##0.0000_-;_-&quot;$&quot;\ * &quot;-&quot;_-;_-@_-"/>
    <numFmt numFmtId="178" formatCode="dd/mm/yyyy;@"/>
    <numFmt numFmtId="179" formatCode="_-&quot;$&quot;\ * #,##0.0000_-;\-&quot;$&quot;\ * #,##0.0000_-;_-&quot;$&quot;\ * &quot;-&quot;????_-;_-@_-"/>
    <numFmt numFmtId="180" formatCode="_-&quot;$&quot;\ * #,##0.00_-;\-&quot;$&quot;\ * #,##0.00_-;_-&quot;$&quot;\ * &quot;-&quot;????_-;_-@_-"/>
    <numFmt numFmtId="181" formatCode="d/mm/yyyy;@"/>
    <numFmt numFmtId="182" formatCode="0.0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  <font>
      <sz val="1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2" fontId="25" fillId="0" borderId="0" applyFont="0" applyFill="0" applyBorder="0" applyAlignment="0" applyProtection="0"/>
  </cellStyleXfs>
  <cellXfs count="359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6" fontId="5" fillId="0" borderId="0" xfId="4" applyFont="1" applyAlignment="1">
      <alignment vertical="center"/>
    </xf>
    <xf numFmtId="166" fontId="5" fillId="0" borderId="4" xfId="4" applyFont="1" applyBorder="1" applyAlignment="1">
      <alignment vertical="center"/>
    </xf>
    <xf numFmtId="166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68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69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69" fontId="7" fillId="0" borderId="4" xfId="4" applyNumberFormat="1" applyFont="1" applyBorder="1" applyAlignment="1">
      <alignment vertical="center"/>
    </xf>
    <xf numFmtId="169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69" fontId="5" fillId="0" borderId="0" xfId="4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69" fontId="9" fillId="2" borderId="4" xfId="4" applyNumberFormat="1" applyFont="1" applyFill="1" applyBorder="1" applyAlignment="1">
      <alignment horizontal="center" vertical="center" wrapText="1"/>
    </xf>
    <xf numFmtId="169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69" fontId="5" fillId="0" borderId="4" xfId="4" applyNumberFormat="1" applyFont="1" applyBorder="1" applyAlignment="1">
      <alignment horizontal="center" vertical="center"/>
    </xf>
    <xf numFmtId="169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69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1" fontId="5" fillId="0" borderId="4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 vertical="center"/>
    </xf>
    <xf numFmtId="166" fontId="5" fillId="0" borderId="0" xfId="0" applyNumberFormat="1" applyFont="1" applyAlignment="1">
      <alignment vertical="center"/>
    </xf>
    <xf numFmtId="173" fontId="5" fillId="0" borderId="4" xfId="2" applyNumberFormat="1" applyFont="1" applyBorder="1" applyAlignment="1">
      <alignment horizontal="center" vertical="center"/>
    </xf>
    <xf numFmtId="169" fontId="5" fillId="0" borderId="4" xfId="4" applyNumberFormat="1" applyFont="1" applyBorder="1" applyAlignment="1">
      <alignment vertical="center"/>
    </xf>
    <xf numFmtId="166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69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2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68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6" fontId="5" fillId="0" borderId="0" xfId="4" applyFont="1"/>
    <xf numFmtId="165" fontId="5" fillId="0" borderId="0" xfId="0" applyNumberFormat="1" applyFont="1"/>
    <xf numFmtId="174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5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6" fontId="5" fillId="0" borderId="0" xfId="4" applyFont="1" applyBorder="1"/>
    <xf numFmtId="14" fontId="5" fillId="0" borderId="0" xfId="0" applyNumberFormat="1" applyFont="1" applyAlignment="1">
      <alignment horizontal="left"/>
    </xf>
    <xf numFmtId="166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44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6" fontId="5" fillId="0" borderId="4" xfId="0" applyNumberFormat="1" applyFont="1" applyBorder="1" applyAlignment="1">
      <alignment horizontal="center" vertical="center"/>
    </xf>
    <xf numFmtId="166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7" fontId="5" fillId="0" borderId="4" xfId="0" applyNumberFormat="1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77" fontId="5" fillId="0" borderId="4" xfId="1" applyNumberFormat="1" applyFont="1" applyBorder="1" applyAlignment="1">
      <alignment horizontal="center" vertical="center"/>
    </xf>
    <xf numFmtId="172" fontId="5" fillId="0" borderId="4" xfId="0" applyNumberFormat="1" applyFont="1" applyBorder="1" applyAlignment="1">
      <alignment horizontal="center" vertical="center"/>
    </xf>
    <xf numFmtId="0" fontId="0" fillId="0" borderId="0" xfId="0"/>
    <xf numFmtId="169" fontId="5" fillId="0" borderId="0" xfId="4" applyNumberFormat="1" applyFont="1" applyBorder="1"/>
    <xf numFmtId="179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0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1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1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1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69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69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44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6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1" fontId="5" fillId="0" borderId="0" xfId="0" applyNumberFormat="1" applyFont="1" applyBorder="1" applyAlignment="1">
      <alignment horizontal="center" vertical="center"/>
    </xf>
    <xf numFmtId="169" fontId="5" fillId="4" borderId="0" xfId="4" applyNumberFormat="1" applyFont="1" applyFill="1" applyBorder="1" applyAlignment="1">
      <alignment vertical="center"/>
    </xf>
    <xf numFmtId="10" fontId="5" fillId="0" borderId="25" xfId="2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3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69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1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1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69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2" fontId="2" fillId="0" borderId="0" xfId="1" applyNumberFormat="1" applyFont="1" applyBorder="1"/>
    <xf numFmtId="166" fontId="5" fillId="0" borderId="0" xfId="0" applyNumberFormat="1" applyFont="1" applyBorder="1" applyAlignment="1">
      <alignment horizontal="center" vertical="center"/>
    </xf>
    <xf numFmtId="173" fontId="5" fillId="0" borderId="0" xfId="2" applyNumberFormat="1" applyFont="1" applyBorder="1" applyAlignment="1">
      <alignment horizontal="center" vertical="center"/>
    </xf>
    <xf numFmtId="181" fontId="19" fillId="0" borderId="0" xfId="0" applyNumberFormat="1" applyFont="1" applyBorder="1" applyAlignment="1">
      <alignment horizontal="center" vertical="center"/>
    </xf>
    <xf numFmtId="166" fontId="2" fillId="0" borderId="0" xfId="4" applyFont="1" applyBorder="1" applyAlignment="1">
      <alignment vertical="center"/>
    </xf>
    <xf numFmtId="0" fontId="5" fillId="0" borderId="25" xfId="0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2" fontId="5" fillId="0" borderId="16" xfId="1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69" fontId="9" fillId="2" borderId="18" xfId="4" applyNumberFormat="1" applyFont="1" applyFill="1" applyBorder="1" applyAlignment="1">
      <alignment horizontal="center" vertical="center" wrapText="1"/>
    </xf>
    <xf numFmtId="169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69" fontId="5" fillId="0" borderId="5" xfId="4" applyNumberFormat="1" applyFont="1" applyBorder="1" applyAlignment="1">
      <alignment horizontal="center" vertical="center"/>
    </xf>
    <xf numFmtId="169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9" fontId="7" fillId="0" borderId="4" xfId="4" applyNumberFormat="1" applyFont="1" applyBorder="1" applyAlignment="1">
      <alignment horizontal="center" vertical="center"/>
    </xf>
    <xf numFmtId="169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2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6" fontId="5" fillId="0" borderId="8" xfId="4" applyFont="1" applyBorder="1" applyAlignment="1">
      <alignment horizontal="center" vertical="center"/>
    </xf>
    <xf numFmtId="166" fontId="5" fillId="0" borderId="5" xfId="4" applyFont="1" applyBorder="1" applyAlignment="1">
      <alignment horizontal="center" vertical="center"/>
    </xf>
    <xf numFmtId="169" fontId="5" fillId="0" borderId="4" xfId="4" applyNumberFormat="1" applyFont="1" applyFill="1" applyBorder="1" applyAlignment="1">
      <alignment horizontal="center" vertical="center"/>
    </xf>
    <xf numFmtId="169" fontId="5" fillId="0" borderId="8" xfId="4" applyNumberFormat="1" applyFont="1" applyBorder="1" applyAlignment="1">
      <alignment horizontal="center" vertical="center"/>
    </xf>
    <xf numFmtId="169" fontId="5" fillId="4" borderId="4" xfId="4" applyNumberFormat="1" applyFont="1" applyFill="1" applyBorder="1" applyAlignment="1">
      <alignment horizontal="center" vertical="center"/>
    </xf>
    <xf numFmtId="169" fontId="18" fillId="4" borderId="4" xfId="5" applyNumberFormat="1" applyFont="1" applyFill="1" applyBorder="1" applyAlignment="1">
      <alignment horizontal="center" vertical="center"/>
    </xf>
    <xf numFmtId="169" fontId="5" fillId="4" borderId="5" xfId="4" applyNumberFormat="1" applyFont="1" applyFill="1" applyBorder="1" applyAlignment="1">
      <alignment horizontal="center" vertical="center"/>
    </xf>
    <xf numFmtId="169" fontId="5" fillId="0" borderId="5" xfId="4" applyNumberFormat="1" applyFont="1" applyFill="1" applyBorder="1" applyAlignment="1">
      <alignment horizontal="center" vertical="center"/>
    </xf>
    <xf numFmtId="169" fontId="16" fillId="3" borderId="1" xfId="4" applyNumberFormat="1" applyFont="1" applyFill="1" applyBorder="1" applyAlignment="1">
      <alignment horizontal="center" vertical="center"/>
    </xf>
    <xf numFmtId="169" fontId="16" fillId="3" borderId="10" xfId="4" applyNumberFormat="1" applyFont="1" applyFill="1" applyBorder="1" applyAlignment="1">
      <alignment horizontal="center" vertical="center"/>
    </xf>
    <xf numFmtId="169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69" fontId="7" fillId="0" borderId="7" xfId="4" applyNumberFormat="1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6" fontId="5" fillId="0" borderId="0" xfId="4" applyFont="1" applyAlignment="1">
      <alignment horizontal="center" vertical="center"/>
    </xf>
    <xf numFmtId="166" fontId="7" fillId="0" borderId="4" xfId="4" applyFont="1" applyBorder="1" applyAlignment="1">
      <alignment horizontal="center" vertical="center"/>
    </xf>
    <xf numFmtId="166" fontId="7" fillId="0" borderId="0" xfId="4" applyFont="1" applyBorder="1" applyAlignment="1">
      <alignment horizontal="center" vertical="center"/>
    </xf>
    <xf numFmtId="167" fontId="5" fillId="0" borderId="4" xfId="5" applyFont="1" applyBorder="1" applyAlignment="1">
      <alignment horizontal="center" vertical="center"/>
    </xf>
    <xf numFmtId="174" fontId="5" fillId="0" borderId="4" xfId="4" applyNumberFormat="1" applyFont="1" applyBorder="1" applyAlignment="1">
      <alignment horizontal="center" vertical="center"/>
    </xf>
    <xf numFmtId="167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69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9" fontId="7" fillId="0" borderId="25" xfId="4" applyNumberFormat="1" applyFont="1" applyBorder="1" applyAlignment="1">
      <alignment horizontal="center" vertical="center"/>
    </xf>
    <xf numFmtId="176" fontId="5" fillId="0" borderId="24" xfId="4" applyNumberFormat="1" applyFont="1" applyBorder="1" applyAlignment="1">
      <alignment horizontal="center" vertical="center"/>
    </xf>
    <xf numFmtId="169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1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69" fontId="2" fillId="0" borderId="5" xfId="4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/>
    </xf>
    <xf numFmtId="178" fontId="5" fillId="0" borderId="17" xfId="0" applyNumberFormat="1" applyFont="1" applyBorder="1" applyAlignment="1">
      <alignment horizontal="center" vertical="center"/>
    </xf>
    <xf numFmtId="14" fontId="9" fillId="2" borderId="19" xfId="0" applyNumberFormat="1" applyFont="1" applyFill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  <xf numFmtId="49" fontId="36" fillId="0" borderId="24" xfId="0" applyNumberFormat="1" applyFont="1" applyBorder="1" applyAlignment="1">
      <alignment horizontal="center" vertical="center"/>
    </xf>
    <xf numFmtId="10" fontId="36" fillId="0" borderId="20" xfId="5" applyNumberFormat="1" applyFont="1" applyBorder="1" applyAlignment="1">
      <alignment horizontal="center" vertical="center"/>
    </xf>
    <xf numFmtId="10" fontId="36" fillId="0" borderId="20" xfId="2" applyNumberFormat="1" applyFont="1" applyBorder="1" applyAlignment="1">
      <alignment horizontal="center" vertical="center"/>
    </xf>
    <xf numFmtId="49" fontId="36" fillId="0" borderId="17" xfId="0" applyNumberFormat="1" applyFont="1" applyBorder="1" applyAlignment="1">
      <alignment horizontal="center" vertical="center"/>
    </xf>
    <xf numFmtId="10" fontId="36" fillId="0" borderId="16" xfId="2" applyNumberFormat="1" applyFont="1" applyBorder="1" applyAlignment="1">
      <alignment horizontal="center" vertical="center"/>
    </xf>
    <xf numFmtId="10" fontId="36" fillId="0" borderId="0" xfId="2" applyNumberFormat="1" applyFont="1" applyBorder="1" applyAlignment="1">
      <alignment horizontal="center" vertical="center"/>
    </xf>
    <xf numFmtId="165" fontId="36" fillId="0" borderId="0" xfId="2" applyNumberFormat="1" applyFont="1" applyBorder="1" applyAlignment="1">
      <alignment horizontal="center" vertical="center"/>
    </xf>
    <xf numFmtId="14" fontId="36" fillId="0" borderId="0" xfId="0" applyNumberFormat="1" applyFont="1" applyAlignment="1">
      <alignment horizontal="left"/>
    </xf>
    <xf numFmtId="165" fontId="36" fillId="0" borderId="0" xfId="4" applyNumberFormat="1" applyFont="1" applyBorder="1" applyAlignment="1">
      <alignment horizontal="center" vertical="center"/>
    </xf>
    <xf numFmtId="165" fontId="36" fillId="4" borderId="0" xfId="0" applyNumberFormat="1" applyFont="1" applyFill="1" applyAlignment="1">
      <alignment horizontal="center" vertical="center"/>
    </xf>
    <xf numFmtId="10" fontId="36" fillId="4" borderId="0" xfId="0" applyNumberFormat="1" applyFont="1" applyFill="1" applyAlignment="1">
      <alignment horizontal="center" vertical="center"/>
    </xf>
    <xf numFmtId="165" fontId="33" fillId="0" borderId="25" xfId="14" applyNumberFormat="1" applyFont="1" applyBorder="1" applyAlignment="1">
      <alignment horizontal="center" vertical="center"/>
    </xf>
    <xf numFmtId="165" fontId="33" fillId="0" borderId="5" xfId="14" applyNumberFormat="1" applyFont="1" applyBorder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165" fontId="33" fillId="0" borderId="0" xfId="14" applyNumberFormat="1" applyFont="1" applyBorder="1" applyAlignment="1">
      <alignment horizontal="center" vertical="center"/>
    </xf>
    <xf numFmtId="165" fontId="36" fillId="0" borderId="0" xfId="0" applyNumberFormat="1" applyFont="1" applyAlignment="1">
      <alignment horizontal="center" vertical="center"/>
    </xf>
    <xf numFmtId="10" fontId="36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0" fillId="0" borderId="0" xfId="0"/>
    <xf numFmtId="0" fontId="7" fillId="6" borderId="25" xfId="0" applyFont="1" applyFill="1" applyBorder="1" applyAlignment="1">
      <alignment horizontal="center" vertical="center"/>
    </xf>
    <xf numFmtId="181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/>
    </xf>
    <xf numFmtId="164" fontId="5" fillId="0" borderId="16" xfId="1" applyNumberFormat="1" applyFont="1" applyBorder="1" applyAlignment="1">
      <alignment horizontal="center" vertical="center"/>
    </xf>
    <xf numFmtId="166" fontId="5" fillId="0" borderId="16" xfId="4" applyNumberFormat="1" applyFont="1" applyBorder="1" applyAlignment="1">
      <alignment horizontal="center" vertical="center"/>
    </xf>
    <xf numFmtId="171" fontId="5" fillId="0" borderId="16" xfId="0" applyNumberFormat="1" applyFont="1" applyBorder="1" applyAlignment="1">
      <alignment horizontal="center" vertical="center"/>
    </xf>
    <xf numFmtId="166" fontId="5" fillId="0" borderId="16" xfId="0" applyNumberFormat="1" applyFont="1" applyBorder="1" applyAlignment="1">
      <alignment horizontal="center" vertical="center"/>
    </xf>
    <xf numFmtId="173" fontId="5" fillId="0" borderId="16" xfId="2" applyNumberFormat="1" applyFont="1" applyBorder="1" applyAlignment="1">
      <alignment horizontal="center" vertical="center"/>
    </xf>
    <xf numFmtId="181" fontId="5" fillId="0" borderId="14" xfId="0" applyNumberFormat="1" applyFont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0" fontId="9" fillId="5" borderId="23" xfId="0" applyFont="1" applyFill="1" applyBorder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164" fontId="0" fillId="0" borderId="4" xfId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25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8" formatCode="d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2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2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88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87">
      <xmlColumnPr mapId="1" xpath="/measures/income/measure/@group" xmlDataType="string"/>
    </tableColumn>
    <tableColumn id="3" xr3:uid="{00000000-0010-0000-0000-000003000000}" uniqueName="name" name="name" dataDxfId="286">
      <xmlColumnPr mapId="1" xpath="/measures/income/measure/@name" xmlDataType="string"/>
    </tableColumn>
    <tableColumn id="4" xr3:uid="{00000000-0010-0000-0000-000004000000}" uniqueName="qualifier" name="qualifier" dataDxfId="285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84">
      <xmlColumnPr mapId="1" xpath="/measures/leave/measure/@group" xmlDataType="string"/>
    </tableColumn>
    <tableColumn id="3" xr3:uid="{00000000-0010-0000-0100-000003000000}" uniqueName="name" name="name" dataDxfId="283">
      <xmlColumnPr mapId="1" xpath="/measures/leave/measure/@name" xmlDataType="string"/>
    </tableColumn>
    <tableColumn id="4" xr3:uid="{00000000-0010-0000-0100-000004000000}" uniqueName="qualifier" name="qualifier" dataDxfId="282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81">
      <xmlColumnPr mapId="4" xpath="/measures/income/measure/@group" xmlDataType="string"/>
    </tableColumn>
    <tableColumn id="3" xr3:uid="{00000000-0010-0000-0200-000003000000}" uniqueName="name" name="name" dataDxfId="280">
      <xmlColumnPr mapId="4" xpath="/measures/income/measure/@name" xmlDataType="string"/>
    </tableColumn>
    <tableColumn id="4" xr3:uid="{00000000-0010-0000-0200-000004000000}" uniqueName="qualifier" name="qualifier" dataDxfId="279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78">
      <xmlColumnPr mapId="4" xpath="/measures/leave/measure/@group" xmlDataType="string"/>
    </tableColumn>
    <tableColumn id="3" xr3:uid="{00000000-0010-0000-0300-000003000000}" uniqueName="name" name="name" dataDxfId="277">
      <xmlColumnPr mapId="4" xpath="/measures/leave/measure/@name" xmlDataType="string"/>
    </tableColumn>
    <tableColumn id="4" xr3:uid="{00000000-0010-0000-0300-000004000000}" uniqueName="qualifier" name="qualifier" dataDxfId="276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3" totalsRowShown="0" headerRowDxfId="266" dataDxfId="265" tableBorderDxfId="264">
  <autoFilter ref="B8:F23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63"/>
    <tableColumn id="2" xr3:uid="{E7B28573-5807-4AB4-AE7C-4362E77D3FE4}" name="SaldoCapital mora mayor a 30 días" dataDxfId="262" dataCellStyle="Moneda 2"/>
    <tableColumn id="3" xr3:uid="{7D624FDC-47D3-4937-B5EC-5AAD775C1E92}" name="Saldo Total" dataDxfId="261" dataCellStyle="Moneda 2"/>
    <tableColumn id="4" xr3:uid="{138021A2-0FD8-441E-855F-CF2DC3C3CE82}" name="Índice Mensual de morosidad " dataDxfId="260" dataCellStyle="Porcentaje">
      <calculatedColumnFormula>IFERROR(C9/D9,"")</calculatedColumnFormula>
    </tableColumn>
    <tableColumn id="5" xr3:uid="{F3591B3B-7E7C-400A-A7F6-C5D0A131E649}" name="Índice Promedio de morosidad " dataDxfId="259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3" totalsRowShown="0" headerRowDxfId="252" dataDxfId="251" tableBorderDxfId="250">
  <autoFilter ref="B8:F23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49"/>
    <tableColumn id="2" xr3:uid="{EB7F1F33-7F43-401B-89C3-52C9AFE69797}" name="SaldoCapital mora mayor a 1 mes" dataDxfId="248" dataCellStyle="Moneda 2"/>
    <tableColumn id="3" xr3:uid="{C6F1A955-E0D0-42E7-9D99-FA6001EB6D4A}" name="Saldo Total" dataDxfId="247" dataCellStyle="Moneda 2"/>
    <tableColumn id="4" xr3:uid="{E33E2C0D-B99A-4884-AAD1-84A4ED15DC34}" name="Índice Mensual de morosidad " dataDxfId="246" dataCellStyle="Porcentaje">
      <calculatedColumnFormula>IFERROR(C9/D9,"")</calculatedColumnFormula>
    </tableColumn>
    <tableColumn id="5" xr3:uid="{8FDCA60D-C0B5-45EA-8C7B-489A3F608947}" name="Índice Promedio de morosidad " dataDxfId="245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44" dataDxfId="242" headerRowBorderDxfId="243" tableBorderDxfId="241" totalsRowBorderDxfId="240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39"/>
    <tableColumn id="2" xr3:uid="{AC680C69-A94E-4695-A0BD-10241675EC50}" name="ValorPrestamo" dataDxfId="238"/>
    <tableColumn id="3" xr3:uid="{D81F81BC-DAC6-49BE-99DC-E93AAFD0C6C9}" name="SaldoCapital" dataDxfId="237"/>
    <tableColumn id="4" xr3:uid="{BF963023-2B14-4957-BAD6-3377458D1684}" name="FechaDesembolsoInicial" dataDxfId="236"/>
    <tableColumn id="5" xr3:uid="{EC425FE5-DC2F-45A3-BC0D-69B014F36B67}" name="FechaVencimiento" dataDxfId="235"/>
    <tableColumn id="6" xr3:uid="{4CE07289-331F-4B1F-A24A-9410380D8014}" name="TasaInteresEfectiva" dataDxfId="234"/>
    <tableColumn id="7" xr3:uid="{31668757-3BE0-4779-B959-15737DEB30F0}" name="AlturaCuota" dataDxfId="233"/>
    <tableColumn id="8" xr3:uid="{CE63D3D9-3B8C-4152-A0F7-53D3759BC4C1}" name="ValorCuotaFija" dataDxfId="232"/>
    <tableColumn id="9" xr3:uid="{BC8019E2-4AF9-450E-8F48-383DE78049B6}" name="Amortizacion" dataDxfId="231"/>
    <tableColumn id="10" xr3:uid="{5611A3CD-DBB4-4994-98A9-69D9636A6FD1}" name="TasaInteresDiaria" dataDxfId="230">
      <calculatedColumnFormula>(1+F9/100)^(I9/360)-1</calculatedColumnFormula>
    </tableColumn>
    <tableColumn id="11" xr3:uid="{7F30EDBB-253D-49CF-A77F-F5171201B35B}" name="Plazo" dataDxfId="229">
      <calculatedColumnFormula>IFERROR(ROUND(NPER(J9,-H9,B9,,),0),0)</calculatedColumnFormula>
    </tableColumn>
    <tableColumn id="12" xr3:uid="{E4A582BD-A9FB-4844-83F6-19C451A30D76}" name="1ra Banda" dataDxfId="228" dataCellStyle="Moneda 2">
      <calculatedColumnFormula>IF(I9&gt;30,0,IF(I9=30,H9/2,H9))</calculatedColumnFormula>
    </tableColumn>
    <tableColumn id="13" xr3:uid="{E414F8CA-0304-45BB-A274-F563E5F96C2F}" name="2da Banda " dataDxfId="227" dataCellStyle="Moneda 2">
      <calculatedColumnFormula>+IF(I9&gt;30,0,IF(I9=30,H9/2,H9))</calculatedColumnFormula>
    </tableColumn>
    <tableColumn id="14" xr3:uid="{97A28881-8474-4413-8EB0-D1F2A109A724}" name="3ra Banda" dataDxfId="226" dataCellStyle="Moneda 2">
      <calculatedColumnFormula>+IF(I9&gt;60,0,IF(AND(I9&gt;=30,I9&lt;60),H9,IF(I9=15,2*H9)))</calculatedColumnFormula>
    </tableColumn>
    <tableColumn id="15" xr3:uid="{725A90EB-A9B1-42F1-9A80-50ADCE581172}" name="4ta Banda" dataDxfId="22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24" dataDxfId="222" headerRowBorderDxfId="223" tableBorderDxfId="221" totalsRowBorderDxfId="220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219"/>
    <tableColumn id="2" xr3:uid="{EE7087B0-5794-4D2C-925C-97834B24CBF5}" name="ValorPrestamo" dataDxfId="218"/>
    <tableColumn id="3" xr3:uid="{33871F69-988C-4434-B31C-77644139F72B}" name="SaldoCapital" dataDxfId="217"/>
    <tableColumn id="4" xr3:uid="{A978F44A-C447-4182-9EF0-7ECF28A9930C}" name="FechaDesembolsoInicial" dataDxfId="216"/>
    <tableColumn id="5" xr3:uid="{80ACABFA-AE32-4D8B-B526-034ED6874D84}" name="FechaVencimiento" dataDxfId="215"/>
    <tableColumn id="6" xr3:uid="{E76B0E75-9732-4944-9D70-E24F8B2AFA3C}" name="TasaInteresEfectiva" dataDxfId="214"/>
    <tableColumn id="7" xr3:uid="{B45B4F5B-9C76-4AD9-BDB3-7AFC5B185C96}" name="AlturaCuota" dataDxfId="213"/>
    <tableColumn id="8" xr3:uid="{DD79215A-4034-4441-B322-46538F45CA35}" name="ValorCuotaFija" dataDxfId="212"/>
    <tableColumn id="9" xr3:uid="{9618BB17-1431-4D9C-949D-9E5B2F5F1ADA}" name="Amortizacion" dataDxfId="211"/>
    <tableColumn id="10" xr3:uid="{5F9AD1F0-4853-44EF-A4A6-CBAC3BDD5C08}" name="TasaInteresDiaria" dataDxfId="210">
      <calculatedColumnFormula>(1+F9/100)^(I9/360)-1</calculatedColumnFormula>
    </tableColumn>
    <tableColumn id="11" xr3:uid="{AA2C1BE6-3458-4575-A83E-B460D2EB5BAA}" name="Plazo" dataDxfId="209">
      <calculatedColumnFormula>IFERROR(ROUND(NPER(J9,-H9,B9,,),0),0)</calculatedColumnFormula>
    </tableColumn>
    <tableColumn id="12" xr3:uid="{A10B7B8B-0251-4071-94C2-404A4536C0E8}" name="1ra Banda" dataDxfId="208" dataCellStyle="Moneda 2">
      <calculatedColumnFormula>IF(I9&gt;30,0,IF(I9=30,H9/2,H9))</calculatedColumnFormula>
    </tableColumn>
    <tableColumn id="13" xr3:uid="{577780C0-8ABC-4157-AADC-BFEC830D5166}" name="2da Banda " dataDxfId="207" dataCellStyle="Moneda 2">
      <calculatedColumnFormula>+IF(I9&gt;30,0,IF(I9=30,H9/2,H9))</calculatedColumnFormula>
    </tableColumn>
    <tableColumn id="14" xr3:uid="{0020F32E-C223-4691-B380-5090EE468613}" name="3ra Banda" dataDxfId="206" dataCellStyle="Moneda 2">
      <calculatedColumnFormula>+IF(I9&gt;60,0,IF(AND(I9&gt;=30,I9&lt;60),H9,IF(I9=15,2*H9)))</calculatedColumnFormula>
    </tableColumn>
    <tableColumn id="15" xr3:uid="{40610B4C-5666-45E8-B6C3-10A55B956DCF}" name="4ta Banda" dataDxfId="20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204" dataDxfId="202" headerRowBorderDxfId="203" tableBorderDxfId="201" totalsRowBorderDxfId="200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99"/>
    <tableColumn id="2" xr3:uid="{E6E23B25-66EA-4361-94B7-13AE5F4D1933}" name="ValorPrestamo" dataDxfId="198"/>
    <tableColumn id="3" xr3:uid="{4D90C782-A602-4521-92EB-598B105DB2DF}" name="SaldoCapital" dataDxfId="197"/>
    <tableColumn id="4" xr3:uid="{6A45D4BB-0763-4650-96C2-CA8CF532D8D6}" name="FechaDesembolsoInicial" dataDxfId="196"/>
    <tableColumn id="5" xr3:uid="{6F284DEA-0C4D-451E-81AF-0ACC3115FEE7}" name="FechaVencimiento" dataDxfId="195"/>
    <tableColumn id="6" xr3:uid="{16B77C69-8A36-4B4D-BF4A-8997DE1AADFB}" name="TasaInteresEfectiva" dataDxfId="194"/>
    <tableColumn id="7" xr3:uid="{0ACA840A-7F3A-474E-B55A-0BE4FBC8B4A8}" name="AlturaCuota" dataDxfId="193"/>
    <tableColumn id="8" xr3:uid="{87E68E68-D74D-401E-B3E6-AB2CFE15D3C1}" name="ValorCuotaFija" dataDxfId="192"/>
    <tableColumn id="9" xr3:uid="{06FF18C7-7F08-4B85-A7DB-0124BE13D4B8}" name="Amortizacion" dataDxfId="191"/>
    <tableColumn id="10" xr3:uid="{E792D390-B1DC-4600-AB44-E1C08A42100B}" name="TasaInteresDiaria" dataDxfId="190">
      <calculatedColumnFormula>(1+F9/100)^(I9/360)-1</calculatedColumnFormula>
    </tableColumn>
    <tableColumn id="11" xr3:uid="{F85D0654-A26A-4194-9C6C-24AE5C5D1769}" name="Plazo" dataDxfId="189">
      <calculatedColumnFormula>IFERROR(ROUND(NPER(J9,-H9,B9,,),0),0)</calculatedColumnFormula>
    </tableColumn>
    <tableColumn id="12" xr3:uid="{9FE7536A-02DA-4CFE-BC02-0619C5CA35A1}" name="1ra Banda" dataDxfId="188" dataCellStyle="Moneda 2">
      <calculatedColumnFormula>IF(I9&gt;30,0,IF(I9=30,H9/2,H9))</calculatedColumnFormula>
    </tableColumn>
    <tableColumn id="13" xr3:uid="{EC2CD6B3-19CB-43EA-A838-572660C32583}" name="2da Banda " dataDxfId="187" dataCellStyle="Moneda 2">
      <calculatedColumnFormula>+IF(I9&gt;30,0,IF(I9=30,H9/2,H9))</calculatedColumnFormula>
    </tableColumn>
    <tableColumn id="14" xr3:uid="{B0D771EC-7F74-4058-8661-8C9BEF54CB05}" name="3ra Banda" dataDxfId="186" dataCellStyle="Moneda 2">
      <calculatedColumnFormula>+IF(I9&gt;60,0,IF(AND(I9&gt;=30,I9&lt;60),H9,IF(I9=15,2*H9)))</calculatedColumnFormula>
    </tableColumn>
    <tableColumn id="15" xr3:uid="{AA98C891-34A2-4464-92E9-4DEEB574D081}" name="4ta Banda" dataDxfId="18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84" dataDxfId="182" headerRowBorderDxfId="183" tableBorderDxfId="181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80"/>
    <tableColumn id="2" xr3:uid="{C95A9D5F-F252-44D3-BDE5-6A38FADB62C8}" name="ValorPrestamo" dataDxfId="179"/>
    <tableColumn id="3" xr3:uid="{DAC56048-FDBC-4613-B315-9369BC57EB8B}" name="SaldoCapital" dataDxfId="178"/>
    <tableColumn id="4" xr3:uid="{7DD53D14-0F27-475D-9F26-E4229F680DE7}" name="FechaDesembolsoInicial" dataDxfId="177"/>
    <tableColumn id="5" xr3:uid="{23CAFB1B-D0C6-4C5F-AC41-89FEECFFC640}" name="FechaVencimiento" dataDxfId="176"/>
    <tableColumn id="6" xr3:uid="{9FF9F7BE-05B1-45FD-8383-D1CA6EA519F1}" name="TasaInteresEfectiva" dataDxfId="175"/>
    <tableColumn id="7" xr3:uid="{4D7C7B10-8FB5-4C04-9352-02520CEF2A35}" name="AlturaCuota" dataDxfId="174"/>
    <tableColumn id="8" xr3:uid="{3FBACB07-ED1B-4F93-A4C1-24BC482AADE1}" name="ValorCuotaFija" dataDxfId="173"/>
    <tableColumn id="9" xr3:uid="{73D95E2A-F8B6-4E0F-A49F-D6AD1464F5A6}" name="Amortizacion" dataDxfId="172"/>
    <tableColumn id="10" xr3:uid="{CFDE667C-03DB-41E4-9910-8640F7CB835E}" name="TasaInteresDiaria" dataDxfId="171">
      <calculatedColumnFormula>(1+F9/100)^(I9/360)-1</calculatedColumnFormula>
    </tableColumn>
    <tableColumn id="11" xr3:uid="{AC693AE4-7C15-4858-A032-203205824AD5}" name="Plazo" dataDxfId="170">
      <calculatedColumnFormula>IFERROR(ROUND(NPER(J9,-H9,B9,,),0),0)</calculatedColumnFormula>
    </tableColumn>
    <tableColumn id="12" xr3:uid="{D292C811-34D9-4045-9D78-9DB47B201A23}" name="1ra Banda" dataDxfId="169" dataCellStyle="Moneda 2">
      <calculatedColumnFormula>IF(I9&gt;30,0,IF(I9=30,H9/2,H9))</calculatedColumnFormula>
    </tableColumn>
    <tableColumn id="13" xr3:uid="{E046C551-D41F-47EE-8D7F-67524EEC09AE}" name="2da Banda " dataDxfId="168" dataCellStyle="Moneda 2">
      <calculatedColumnFormula>+IF(I9&gt;30,0,IF(I9=30,H9/2,H9))</calculatedColumnFormula>
    </tableColumn>
    <tableColumn id="14" xr3:uid="{1296C768-F3B7-4ABF-8BC0-BF2B0D9E244F}" name="3ra Banda" dataDxfId="167" dataCellStyle="Moneda 2">
      <calculatedColumnFormula>+IF(I9&gt;60,0,IF(AND(I9&gt;=30,I9&lt;60),H9,IF(I9=15,2*H9)))</calculatedColumnFormula>
    </tableColumn>
    <tableColumn id="15" xr3:uid="{811CA289-360A-42A3-AE6B-964C3675C0F1}" name="4ta Banda" dataDxfId="166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65" dataDxfId="163" headerRowBorderDxfId="164" tableBorderDxfId="162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61"/>
    <tableColumn id="2" xr3:uid="{D21F24CD-B27D-4D17-9B29-E7F03F345A85}" name="ValorPrestamo" dataDxfId="160"/>
    <tableColumn id="3" xr3:uid="{F0C093F1-AA27-4DAE-ACC6-7792782D2B3B}" name="SaldoCapital" dataDxfId="159"/>
    <tableColumn id="4" xr3:uid="{59734990-1172-4C92-B08A-43083363B692}" name="FechaDesembolsoInicial" dataDxfId="158"/>
    <tableColumn id="5" xr3:uid="{8424B24F-6720-4BB8-BE68-44F3BD2CE396}" name="FechaVencimiento" dataDxfId="157"/>
    <tableColumn id="6" xr3:uid="{B6B97722-D9C7-4AFE-98A7-70EA528C5524}" name="TasaInteresEfectiva" dataDxfId="156"/>
    <tableColumn id="7" xr3:uid="{4103E728-AEE6-4577-9182-A29363BDFEED}" name="AlturaCuota" dataDxfId="155"/>
    <tableColumn id="8" xr3:uid="{0F302B1E-DDFA-40FA-B283-BEBA0A234A6D}" name="ValorCuotaFija" dataDxfId="154"/>
    <tableColumn id="9" xr3:uid="{36081465-A8B7-4C78-B36F-5909658668D0}" name="Amortizacion" dataDxfId="153"/>
    <tableColumn id="10" xr3:uid="{6D17ABFD-6BCA-405E-A0E8-C20C7F2AB063}" name="TasaInteresDiaria" dataDxfId="152">
      <calculatedColumnFormula>(1+F9/100)^(I9/360)-1</calculatedColumnFormula>
    </tableColumn>
    <tableColumn id="11" xr3:uid="{19B17596-F73B-423B-9CD2-645E250B821C}" name="Plazo" dataDxfId="151">
      <calculatedColumnFormula>IFERROR(ROUND(NPER(J9,-H9,B9,,),0),0)</calculatedColumnFormula>
    </tableColumn>
    <tableColumn id="12" xr3:uid="{85629A8D-CE59-4CAD-A378-E927ADA4BB95}" name="1ra Banda" dataDxfId="150" dataCellStyle="Moneda 2">
      <calculatedColumnFormula>IF(I9&gt;30,0,IF(I9=30,H9/2,H9))</calculatedColumnFormula>
    </tableColumn>
    <tableColumn id="13" xr3:uid="{169C239B-450B-4521-B2E2-C727D0E75355}" name="2da Banda " dataDxfId="149" dataCellStyle="Moneda 2">
      <calculatedColumnFormula>+IF(I9&gt;30,0,IF(I9=30,H9/2,H9))</calculatedColumnFormula>
    </tableColumn>
    <tableColumn id="14" xr3:uid="{1D2C0634-76FB-43B7-AF43-54902FD47A7E}" name="3ra Banda" dataDxfId="148" dataCellStyle="Moneda 2">
      <calculatedColumnFormula>+IF(I9&gt;60,0,IF(AND(I9&gt;=30,I9&lt;60),H9,IF(I9=15,2*H9)))</calculatedColumnFormula>
    </tableColumn>
    <tableColumn id="15" xr3:uid="{D52112E7-C43D-41E0-B185-49E7CD5BB1FE}" name="4ta Banda" dataDxfId="14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46" dataDxfId="144" headerRowBorderDxfId="145" tableBorderDxfId="143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42"/>
    <tableColumn id="2" xr3:uid="{891912CE-1214-4B2F-A2F7-2EF8DC559E4A}" name="ValorPrestamo" dataDxfId="141"/>
    <tableColumn id="3" xr3:uid="{5A8B8F83-5E28-4A95-960B-618732B1AFA5}" name="SaldoCapital" dataDxfId="140"/>
    <tableColumn id="4" xr3:uid="{692FE014-157B-4586-ADF4-BE69ABDE965C}" name="FechaDesembolsoInicial" dataDxfId="139"/>
    <tableColumn id="5" xr3:uid="{972021D6-FC8F-4DEF-9C01-74FE1D072D2D}" name="FechaVencimiento" dataDxfId="138"/>
    <tableColumn id="6" xr3:uid="{07AB3F97-81F3-4E2B-813B-4ECDDBF1ABB8}" name="TasaInteresEfectiva" dataDxfId="137"/>
    <tableColumn id="7" xr3:uid="{179542D0-E5A4-40EF-853A-F0B1A8B7768E}" name="AlturaCuota" dataDxfId="136"/>
    <tableColumn id="8" xr3:uid="{9C81D189-7332-4369-812B-E9D004DC7020}" name="ValorCuotaFija" dataDxfId="135"/>
    <tableColumn id="9" xr3:uid="{2FCEDF47-0B3B-4B96-BD70-F4A327F2E882}" name="Amortizacion" dataDxfId="134"/>
    <tableColumn id="10" xr3:uid="{042459BD-A8CD-40F9-94E3-C44DD8702CEB}" name="TasaInteresDiaria" dataDxfId="133">
      <calculatedColumnFormula>(1+F9/100)^(I9/360)-1</calculatedColumnFormula>
    </tableColumn>
    <tableColumn id="11" xr3:uid="{FCD165A2-BDB4-4CFD-8CA4-7521EB674598}" name="Plazo" dataDxfId="132">
      <calculatedColumnFormula>IFERROR(ROUND(NPER(J9,-H9,B9,,),0),0)</calculatedColumnFormula>
    </tableColumn>
    <tableColumn id="12" xr3:uid="{9539A58B-6FB2-4780-AC4B-11EA340E56C0}" name="1ra Banda" dataDxfId="131" dataCellStyle="Moneda 2">
      <calculatedColumnFormula>IF(I9&gt;30,0,IF(I9=30,H9/2,H9))</calculatedColumnFormula>
    </tableColumn>
    <tableColumn id="13" xr3:uid="{0669CC6B-DC89-4339-A98E-4A92A3A8BD37}" name="2da Banda " dataDxfId="130" dataCellStyle="Moneda 2">
      <calculatedColumnFormula>+IF(I9&gt;30,0,IF(I9=30,H9/2,H9))</calculatedColumnFormula>
    </tableColumn>
    <tableColumn id="14" xr3:uid="{46363C02-1642-4918-945A-C8CC000A516C}" name="3ra Banda" dataDxfId="129" dataCellStyle="Moneda 2">
      <calculatedColumnFormula>+IF(I9&gt;60,0,IF(AND(I9&gt;=30,I9&lt;60),H9,IF(I9=15,2*H9)))</calculatedColumnFormula>
    </tableColumn>
    <tableColumn id="15" xr3:uid="{D8FD7DCE-D5DF-4493-B63B-FCD56E7C96AD}" name="4ta Banda" dataDxfId="128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27" dataDxfId="126" tableBorderDxfId="125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124"/>
    <tableColumn id="2" xr3:uid="{236293E1-2639-4839-8023-E005C8630B5C}" name="Total Saldo a la fecha" dataDxfId="123" dataCellStyle="Moneda 2"/>
    <tableColumn id="3" xr3:uid="{B006C142-56ED-412D-9B50-A3F1E23B806D}" name="Indice de Crecimiento" dataDxfId="122" dataCellStyle="Porcentaje">
      <calculatedColumnFormula>IFERROR((B13-B12)/B12,"")</calculatedColumnFormula>
    </tableColumn>
    <tableColumn id="4" xr3:uid="{2272C6C0-2622-4C19-AA7C-5372E8D64B11}" name="Promedio índice de Crecimiento" dataDxfId="121" dataCellStyle="Porcentaje">
      <calculatedColumnFormula>IFERROR(AVERAGE(C1:C12),"")</calculatedColumnFormula>
    </tableColumn>
    <tableColumn id="5" xr3:uid="{26DD385B-47E3-4E86-ACF2-1C2803E52F90}" name="Valor de aportes ajustado por índice de Crecimiento" dataDxfId="120" dataCellStyle="Moneda 2">
      <calculatedColumnFormula>IFERROR(B12*(1+D13),"")</calculatedColumnFormula>
    </tableColumn>
    <tableColumn id="6" xr3:uid="{251C0F84-FC0F-47C4-A106-AD6029037C5C}" name="Backtesting" dataDxfId="119">
      <calculatedColumnFormula>+IF(B13&gt;=E13,1,0)</calculatedColumnFormula>
    </tableColumn>
    <tableColumn id="7" xr3:uid="{5F74A7BB-7E88-4212-852C-567E246A34A9}" name="Prome Backtesting" dataDxfId="118" dataCellStyle="Porcentaje">
      <calculatedColumnFormula>AVERAGE(F2:F13)</calculatedColumnFormula>
    </tableColumn>
    <tableColumn id="8" xr3:uid="{BF33A101-66AC-4967-9FD1-A43E23770713}" name="Valor de aportes Variación periódica durante el último año." dataDxfId="117" dataCellStyle="Moneda [0]">
      <calculatedColumnFormula>+IFERROR(B13*(D13)*G13,"")</calculatedColumnFormula>
    </tableColumn>
    <tableColumn id="9" xr3:uid="{6E4392A8-69E8-447D-9371-35FFE11BC8B6}" name="Escenario estrés" dataDxfId="116" dataCellStyle="Moneda [0]">
      <calculatedColumnFormula>+IFERROR(MIN(B2:B13)*(D13)*G13,"")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9CA3254-7335-4FF6-8DC0-4E2EDE6C948A}" name="Tabla25" displayName="Tabla25" ref="A11:I35" totalsRowShown="0" headerRowDxfId="115" tableBorderDxfId="114">
  <autoFilter ref="A11:I35" xr:uid="{19CA3254-7335-4FF6-8DC0-4E2EDE6C94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1FEF3C6-5E2C-4ED7-93FE-B55444ECE194}" name="Fecha" dataDxfId="113" totalsRowDxfId="112"/>
    <tableColumn id="2" xr3:uid="{096D8513-5677-4B26-AD78-2014CA325D28}" name="Total Saldo a la fecha" dataDxfId="111" totalsRowDxfId="110" dataCellStyle="Moneda 2" totalsRowCellStyle="Moneda 2"/>
    <tableColumn id="3" xr3:uid="{03418B69-9D36-4649-9354-C275E0DF8392}" name="Indice de Crecimiento" dataDxfId="109" totalsRowDxfId="108" dataCellStyle="Porcentaje" totalsRowCellStyle="Porcentaje">
      <calculatedColumnFormula>IFERROR((B12-B11)/B11,"")</calculatedColumnFormula>
    </tableColumn>
    <tableColumn id="4" xr3:uid="{39723941-A71A-4813-ACEA-BB2CB5C689C5}" name="Promedio índice de Crecimiento" dataDxfId="107" totalsRowDxfId="106" dataCellStyle="Porcentaje" totalsRowCellStyle="Porcentaje">
      <calculatedColumnFormula>IFERROR(AVERAGE(C1:C12),"")</calculatedColumnFormula>
    </tableColumn>
    <tableColumn id="5" xr3:uid="{615853A1-52E1-4D9E-B3E5-ADFC2AD7466D}" name="Valor de Ahorro ajustado por índice de Crecimiento" dataDxfId="105" totalsRowDxfId="104">
      <calculatedColumnFormula>IFERROR(B11*(1+D12),"")</calculatedColumnFormula>
    </tableColumn>
    <tableColumn id="6" xr3:uid="{3962606D-D223-418C-9BFE-A01B30119841}" name="Backtesting" dataDxfId="103" totalsRowDxfId="102">
      <calculatedColumnFormula>+IF(B12&gt;=E12,1,0)</calculatedColumnFormula>
    </tableColumn>
    <tableColumn id="7" xr3:uid="{329DF545-B997-4888-8928-DB134430F764}" name="Prome Backtesting" dataDxfId="101" totalsRowDxfId="100" dataCellStyle="Porcentaje" totalsRowCellStyle="Porcentaje">
      <calculatedColumnFormula>AVERAGE(F1:F12)</calculatedColumnFormula>
    </tableColumn>
    <tableColumn id="8" xr3:uid="{BF68CBB7-04D5-4A45-B279-B3CF45244E7A}" name="Valor de Ahorro contractualVariación periódica durante el último año" dataDxfId="99" totalsRowDxfId="98" dataCellStyle="Moneda [0]" totalsRowCellStyle="Moneda [0]"/>
    <tableColumn id="9" xr3:uid="{045B3D83-A7F9-4D2D-989E-1F6A201DA2DB}" name="Escenario estrés" dataDxfId="97" totalsRowDxfId="96" dataCellStyle="Moneda [0]" totalsRow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95" dataDxfId="94" tableBorderDxfId="93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92"/>
    <tableColumn id="2" xr3:uid="{E1E561AF-0144-4EC3-9A60-BFFA53015C26}" name="Total Saldo a la fecha" dataDxfId="91" dataCellStyle="Moneda 2"/>
    <tableColumn id="3" xr3:uid="{44A3C0D3-E48D-4477-8939-5EBC2B2A919D}" name="Indice de Crecimiento" dataDxfId="90" dataCellStyle="Porcentaje">
      <calculatedColumnFormula>IFERROR((B11-B10)/B10,"")</calculatedColumnFormula>
    </tableColumn>
    <tableColumn id="4" xr3:uid="{BF79F498-545D-43B3-AB96-DF44C7A22D3C}" name="Promedio índice de Crecimiento" dataDxfId="89" dataCellStyle="Porcentaje"/>
    <tableColumn id="5" xr3:uid="{B01DAAC1-E43F-486E-BD5B-CF59CCA3D68E}" name="Valor de Ahorro Permanente ajustado por índice de Crecimiento" dataDxfId="88">
      <calculatedColumnFormula>IFERROR(B10*(1+D11),"")</calculatedColumnFormula>
    </tableColumn>
    <tableColumn id="6" xr3:uid="{057899C5-2505-4CD2-A57D-DF2EA58469AA}" name="Backtesting" dataDxfId="87">
      <calculatedColumnFormula>+IF(B11&gt;=E11,1,0)</calculatedColumnFormula>
    </tableColumn>
    <tableColumn id="7" xr3:uid="{FA0C6937-A775-4415-8315-D10CC870F5FB}" name="Prome Backtesting" dataDxfId="86" dataCellStyle="Porcentaje"/>
    <tableColumn id="8" xr3:uid="{6AF9D81A-3DF5-4976-8654-CEE9569ABEEA}" name="Valor de Ahorro Permanente Variación periódica durante el último año" dataDxfId="85" dataCellStyle="Moneda [0]">
      <calculatedColumnFormula>+IFERROR(B11*(D11)*G11,"")</calculatedColumnFormula>
    </tableColumn>
    <tableColumn id="9" xr3:uid="{7E8332D2-D316-402B-B976-19A30943E570}" name="Escenario estrés" dataDxfId="84" dataCellStyle="Moneda [0]">
      <calculatedColumnFormula>+IFERROR(MIN(B2:B11)*(D11)*G11,"")</calculatedColumnFormula>
    </tableColumn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83" dataDxfId="81" headerRowBorderDxfId="82" tableBorderDxfId="80" totalsRowBorderDxfId="79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78"/>
    <tableColumn id="2" xr3:uid="{51094B51-EA71-48A5-AAC3-520BB43DCA65}" name="Saldo Total: Número Meses de Incumplimiento =0" dataDxfId="77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76" dataDxfId="74" headerRowBorderDxfId="75" tableBorderDxfId="73" totalsRowBorderDxfId="72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71"/>
    <tableColumn id="2" xr3:uid="{0E72244C-0D86-4B99-B4FD-579CFA34A73D}" name="Saldo " dataDxfId="70" dataCellStyle="Millares [0]"/>
    <tableColumn id="3" xr3:uid="{19FD615B-7B79-45F6-810B-4FE454953B92}" name="InteresesCausados" dataDxfId="69" dataCellStyle="Millares [0]"/>
    <tableColumn id="4" xr3:uid="{B3D5957B-D187-4BAA-BDEB-57F354C906E9}" name="FechaVencimiento" dataDxfId="68"/>
    <tableColumn id="5" xr3:uid="{F700267E-5600-4BB4-AF00-B869E4627ED6}" name="FechaApertura" dataDxfId="67"/>
    <tableColumn id="6" xr3:uid="{CC12475E-31EC-464F-9B57-4A004DD64503}" name="Plazo" dataDxfId="66"/>
    <tableColumn id="7" xr3:uid="{BF31BD56-DDE4-47DC-B410-5FA411E12489}" name="TasaInteresEfectiva" dataDxfId="65"/>
    <tableColumn id="8" xr3:uid="{DE4259F9-43B5-41FE-B128-81DAFC17F182}" name="Días al vencimiento" dataDxfId="64" dataCellStyle="Moneda [0]">
      <calculatedColumnFormula>IF(D10="","",DAYS360($B$5,D10))</calculatedColumnFormula>
    </tableColumn>
    <tableColumn id="9" xr3:uid="{BF442328-C670-4D70-A37E-2DDFC339F40C}" name="1ra Banda" dataDxfId="63" dataCellStyle="Moneda 2">
      <calculatedColumnFormula>+IF(H10&lt;=15,B10+C10,0)</calculatedColumnFormula>
    </tableColumn>
    <tableColumn id="10" xr3:uid="{7516CBCA-615C-4444-A714-F994A87F77AF}" name="2da Banda " dataDxfId="62" dataCellStyle="Moneda 2">
      <calculatedColumnFormula>+IF(AND(H10&gt;=16,H10&lt;=30),B10+C10,0)</calculatedColumnFormula>
    </tableColumn>
    <tableColumn id="11" xr3:uid="{EB7330D7-6B38-4683-BD0E-D101382EA3CA}" name="3ra Banda" dataDxfId="61" dataCellStyle="Moneda 2">
      <calculatedColumnFormula>+IF(AND(H10&gt;=31,H10&lt;=60),B10+C10,0)</calculatedColumnFormula>
    </tableColumn>
    <tableColumn id="12" xr3:uid="{734156BA-4836-4352-AEA8-04FA281370A9}" name="4ta Banda" dataDxfId="60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59" dataDxfId="57" headerRowBorderDxfId="58" tableBorderDxfId="56" totalsRowBorderDxfId="55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54"/>
    <tableColumn id="2" xr3:uid="{889C1A66-6D48-412F-96D7-D5BD530DD411}" name="Saldo " dataDxfId="53"/>
    <tableColumn id="3" xr3:uid="{4424414D-F72F-406F-9D66-0F7483CE6B10}" name="InteresesCausados" dataDxfId="52" dataCellStyle="Millares [0]"/>
    <tableColumn id="4" xr3:uid="{79B41383-F138-448B-936C-D55615BD946C}" name="FechaVencimiento" dataDxfId="51"/>
    <tableColumn id="5" xr3:uid="{720A6472-9C5C-4C14-BD82-4951C02FB140}" name="FechaApertura" dataDxfId="50"/>
    <tableColumn id="6" xr3:uid="{780EA652-2AAE-47E8-9B7E-6E441B58C6E3}" name="Plazo" dataDxfId="49"/>
    <tableColumn id="7" xr3:uid="{A28188F8-FC03-40D0-A0CC-BFA7D8D7E3EF}" name="TasaInteresEfectiva" dataDxfId="48"/>
    <tableColumn id="8" xr3:uid="{E9FD59DD-25D5-4E45-8B58-0AE91C95A5CF}" name="Días al vencimiento" dataDxfId="47" dataCellStyle="Moneda [0]">
      <calculatedColumnFormula>IF(D10="","",DAYS360($B$5,D10))</calculatedColumnFormula>
    </tableColumn>
    <tableColumn id="9" xr3:uid="{B8B3755D-D2C5-49CA-AD5E-579BA93A1AFE}" name="1ra Banda" dataDxfId="46" dataCellStyle="Moneda 2">
      <calculatedColumnFormula>+IF(H10&lt;=15,B10+C10,0)</calculatedColumnFormula>
    </tableColumn>
    <tableColumn id="10" xr3:uid="{A8D4C733-8674-4B76-BB52-9DFEE377F51F}" name="2da Banda " dataDxfId="45" dataCellStyle="Moneda 2">
      <calculatedColumnFormula>+IF(AND(H10&gt;=16,H10&lt;=30),B10+C10,0)</calculatedColumnFormula>
    </tableColumn>
    <tableColumn id="11" xr3:uid="{62E647BB-3E09-4E0B-80A4-8B408CEF385C}" name="3ra Banda" dataDxfId="44" dataCellStyle="Moneda 2">
      <calculatedColumnFormula>+IF(AND(H10&gt;=31,H10&lt;=60),B10+C10,0)</calculatedColumnFormula>
    </tableColumn>
    <tableColumn id="12" xr3:uid="{B1C2A9A0-2DDC-4595-82DA-450D4B3789D6}" name="4ta Banda" dataDxfId="43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42" dataDxfId="40" headerRowBorderDxfId="41" tableBorderDxfId="39" totalsRowBorderDxfId="38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37"/>
    <tableColumn id="2" xr3:uid="{21183851-E69C-4C8B-9881-320675877AA4}" name="FechaDesIni" dataDxfId="36"/>
    <tableColumn id="3" xr3:uid="{7BE50407-076B-48AB-AE19-12F9C9AA95DE}" name="FechaVencimiento" dataDxfId="35"/>
    <tableColumn id="4" xr3:uid="{7B687C1F-99DD-4D1B-A4E4-AE95B1912B1C}" name="ValorCredito" dataDxfId="34" dataCellStyle="Moneda [0]"/>
    <tableColumn id="5" xr3:uid="{FAAE1E62-5C14-41F3-8197-5BAAB3834353}" name="Plazo" dataDxfId="33"/>
    <tableColumn id="6" xr3:uid="{2E89646C-0AC3-424B-A9DF-9C74C98B8D9E}" name="Amortizacion" dataDxfId="32"/>
    <tableColumn id="7" xr3:uid="{D1E319AA-C192-41BB-9E86-0CDE314E7733}" name="TasaInteresEfectiva" dataDxfId="31"/>
    <tableColumn id="8" xr3:uid="{F2A895A6-B5CC-4DE7-9A1F-7BB7FD65DA37}" name="SaldoCapital" dataDxfId="30" dataCellStyle="Moneda [0]"/>
    <tableColumn id="9" xr3:uid="{2FE74AA5-9E13-463E-8C2F-38EFF0E04933}" name="Cuota" dataDxfId="29" dataCellStyle="Moneda [0]">
      <calculatedColumnFormula>-1*PMT(G9/100,E9,D9)</calculatedColumnFormula>
    </tableColumn>
    <tableColumn id="10" xr3:uid="{7868B804-2BDD-46F7-94C4-15F5B5F14409}" name="Días al vencimiento" dataDxfId="28" dataCellStyle="Moneda [0]">
      <calculatedColumnFormula>IF(C9="",0,DAYS360($B$4,C9))</calculatedColumnFormula>
    </tableColumn>
    <tableColumn id="11" xr3:uid="{7C7F4244-9AFE-4164-86A5-717CE05299A5}" name="1ra Banda" dataDxfId="27" dataCellStyle="Moneda 2 2">
      <calculatedColumnFormula>IF(AND(F9=30,J9&gt;=15),I9/2,0)</calculatedColumnFormula>
    </tableColumn>
    <tableColumn id="12" xr3:uid="{DE34872A-9652-4BF4-8C63-DC32148F3084}" name="2da Banda " dataDxfId="26" dataCellStyle="Moneda 2 2">
      <calculatedColumnFormula>IF(AND(F9=30,K9&gt;=15),I9/2,0)</calculatedColumnFormula>
    </tableColumn>
    <tableColumn id="13" xr3:uid="{4E60ACF4-CDE7-48DB-B07D-BF7A1132547E}" name="3ra Banda" dataDxfId="25" dataCellStyle="Moneda 2 2">
      <calculatedColumnFormula>IF(AND(F9=30,J9&gt;=30),I9,0)</calculatedColumnFormula>
    </tableColumn>
    <tableColumn id="14" xr3:uid="{497452A0-B935-40F1-8481-D630F1FE3E49}" name="4ta Banda" dataDxfId="24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23" headerRowBorderDxfId="22" tableBorderDxfId="21" totalsRowBorderDxfId="20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19"/>
    <tableColumn id="2" xr3:uid="{603FCD8F-8C01-4052-9E0A-C7764D652796}" name="Saldo" dataDxfId="18"/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0:E11" totalsRowShown="0" tableBorderDxfId="17">
  <autoFilter ref="A10:E11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7B1023B-13FF-4894-A7C8-B1B3F164F9BB}" name="Fecha" dataDxfId="16"/>
    <tableColumn id="2" xr3:uid="{AA070BC2-E7B8-4A56-9626-1CCF94658AAC}" name="Gastos por beneficios a empleados" dataDxfId="15" dataCellStyle="Moneda 2"/>
    <tableColumn id="3" xr3:uid="{A379CAFF-8F8C-431E-BE7E-2F3326B54699}" name="Gastos generales" dataDxfId="14" dataCellStyle="Moneda 2"/>
    <tableColumn id="4" xr3:uid="{61C19A6B-88E1-438B-9E66-7949469D88D5}" name="Total Gastos administrativos" dataDxfId="13" dataCellStyle="Moneda 2">
      <calculatedColumnFormula>+B11+C11</calculatedColumnFormula>
    </tableColumn>
    <tableColumn id="5" xr3:uid="{F749E3C6-876F-4D47-8AD9-C3131FFF510B}" name="Total Gastos administrativos mensuales" dataDxfId="12" dataCellStyle="Moneda [0]">
      <calculatedColumnFormula>+D11/6</calculatedColumnFormula>
    </tableColumn>
  </tableColumns>
  <tableStyleInfo name="Estilo de tab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F3FFB8-3830-414E-9FCE-C27A208CFB10}" name="Tabla23" displayName="Tabla23" ref="A6:C9" totalsRowShown="0" dataDxfId="10" headerRowBorderDxfId="11" tableBorderDxfId="9" totalsRowBorderDxfId="8">
  <autoFilter ref="A6:C9" xr:uid="{3CF3FFB8-3830-414E-9FCE-C27A208CFB10}">
    <filterColumn colId="0" hiddenButton="1"/>
    <filterColumn colId="1" hiddenButton="1"/>
    <filterColumn colId="2" hiddenButton="1"/>
  </autoFilter>
  <tableColumns count="3">
    <tableColumn id="1" xr3:uid="{9578516F-C925-4D0E-A46F-A1BE712C2105}" name="Fecha" dataDxfId="7"/>
    <tableColumn id="2" xr3:uid="{095EEFD2-0850-4A48-A50F-94CD63DFD841}" name="Saldo Final " dataDxfId="6" dataCellStyle="Moneda [0] 2"/>
    <tableColumn id="3" xr3:uid="{E85AB80A-1428-41C0-94A9-8790C39145B8}" name="Tasa de variación diaria" dataDxfId="5">
      <calculatedColumnFormula>IFERROR((B7/B6),"")</calculatedColumnFormula>
    </tableColumn>
  </tableColumns>
  <tableStyleInfo name="Estilo de tabla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1DDC339-A689-4E29-82C4-825B8D6D7AD7}" name="Tabla22" displayName="Tabla22" ref="A12:B13" totalsRowShown="0" headerRowBorderDxfId="4" tableBorderDxfId="3" totalsRowBorderDxfId="2">
  <autoFilter ref="A12:B13" xr:uid="{71DDC339-A689-4E29-82C4-825B8D6D7AD7}">
    <filterColumn colId="0" hiddenButton="1"/>
    <filterColumn colId="1" hiddenButton="1"/>
  </autoFilter>
  <tableColumns count="2">
    <tableColumn id="1" xr3:uid="{2DE2AD78-183A-404E-93FA-2BADBDCEC814}" name="Mes" dataDxfId="1"/>
    <tableColumn id="2" xr3:uid="{87CE5EB8-844A-4C2B-9C1A-4E5F39E04BEC}" name="SALDO" dataDxfId="0" dataCellStyle="Moneda 2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4.4" x14ac:dyDescent="0.3"/>
  <cols>
    <col min="1" max="1" width="22.33203125" customWidth="1"/>
    <col min="2" max="2" width="29.5546875" bestFit="1" customWidth="1"/>
    <col min="3" max="3" width="46.33203125" customWidth="1"/>
    <col min="4" max="4" width="10.6640625" bestFit="1" customWidth="1"/>
    <col min="6" max="6" width="16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3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3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3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3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3">
      <c r="A7" s="132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3">
      <c r="A8" s="132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3">
      <c r="A9" s="132">
        <v>0</v>
      </c>
      <c r="B9" s="102" t="s">
        <v>104</v>
      </c>
      <c r="C9" s="102" t="s">
        <v>14</v>
      </c>
      <c r="D9" s="102" t="s">
        <v>126</v>
      </c>
    </row>
    <row r="10" spans="1:6" x14ac:dyDescent="0.3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3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3">
      <c r="A12" s="132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3">
      <c r="A13" s="132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3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3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3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3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3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3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3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3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3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3">
      <c r="A23" s="84">
        <f>+'R. cartera consumo Libranza'!L5</f>
        <v>0</v>
      </c>
      <c r="B23" s="102" t="s">
        <v>106</v>
      </c>
      <c r="C23" s="123" t="s">
        <v>51</v>
      </c>
      <c r="D23" s="102" t="s">
        <v>125</v>
      </c>
    </row>
    <row r="24" spans="1:4" x14ac:dyDescent="0.3">
      <c r="A24" s="84">
        <f>+'R. cartera consumo Libranza'!M5</f>
        <v>0</v>
      </c>
      <c r="B24" s="102" t="s">
        <v>106</v>
      </c>
      <c r="C24" s="123" t="s">
        <v>51</v>
      </c>
      <c r="D24" s="102" t="s">
        <v>126</v>
      </c>
    </row>
    <row r="25" spans="1:4" x14ac:dyDescent="0.3">
      <c r="A25" s="84">
        <f>+'R. cartera consumo Libranza'!N5</f>
        <v>0</v>
      </c>
      <c r="B25" s="102" t="s">
        <v>106</v>
      </c>
      <c r="C25" s="123" t="s">
        <v>51</v>
      </c>
      <c r="D25" s="102" t="s">
        <v>127</v>
      </c>
    </row>
    <row r="26" spans="1:4" x14ac:dyDescent="0.3">
      <c r="A26" s="84">
        <f>+'R. cartera consumo Libranza'!O5</f>
        <v>0</v>
      </c>
      <c r="B26" s="102" t="s">
        <v>106</v>
      </c>
      <c r="C26" s="123" t="s">
        <v>51</v>
      </c>
      <c r="D26" s="102" t="s">
        <v>128</v>
      </c>
    </row>
    <row r="27" spans="1:4" s="17" customFormat="1" x14ac:dyDescent="0.3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3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3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3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3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3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3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3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3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3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3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3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3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3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3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3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3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3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3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3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3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3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3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3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3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3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3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3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3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3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3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3">
      <c r="A58" s="133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3">
      <c r="A59" s="133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3">
      <c r="A60" s="133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3">
      <c r="A61" s="133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3">
      <c r="A62" s="132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3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3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3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3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4.4" x14ac:dyDescent="0.3"/>
  <cols>
    <col min="1" max="1" width="22" customWidth="1"/>
    <col min="2" max="2" width="19.44140625" bestFit="1" customWidth="1"/>
    <col min="3" max="3" width="39.33203125" bestFit="1" customWidth="1"/>
    <col min="4" max="4" width="10.66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3">
      <c r="A18" s="84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3">
      <c r="A23" s="132" t="str">
        <f>+'Gastos Administrativos'!D5</f>
        <v>0</v>
      </c>
      <c r="B23" s="1" t="s">
        <v>110</v>
      </c>
      <c r="C23" s="124" t="s">
        <v>115</v>
      </c>
      <c r="D23" s="1" t="s">
        <v>125</v>
      </c>
    </row>
    <row r="24" spans="1:4" x14ac:dyDescent="0.3">
      <c r="A24" s="132" t="str">
        <f>+'Gastos Administrativos'!E5</f>
        <v>0</v>
      </c>
      <c r="B24" s="1" t="s">
        <v>110</v>
      </c>
      <c r="C24" s="124" t="s">
        <v>115</v>
      </c>
      <c r="D24" s="1" t="s">
        <v>126</v>
      </c>
    </row>
    <row r="25" spans="1:4" x14ac:dyDescent="0.3">
      <c r="A25" s="132" t="str">
        <f>+'Gastos Administrativos'!F5</f>
        <v>0</v>
      </c>
      <c r="B25" s="1" t="s">
        <v>110</v>
      </c>
      <c r="C25" s="124" t="s">
        <v>115</v>
      </c>
      <c r="D25" s="1" t="s">
        <v>127</v>
      </c>
    </row>
    <row r="26" spans="1:4" x14ac:dyDescent="0.3">
      <c r="A26" s="132" t="str">
        <f>+'Gastos Administrativos'!G5</f>
        <v>0</v>
      </c>
      <c r="B26" s="1" t="s">
        <v>110</v>
      </c>
      <c r="C26" s="124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+CxP!F4</f>
        <v>0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84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32">
        <f>+'Salida de Aportes'!E6</f>
        <v>0</v>
      </c>
      <c r="B43" s="1" t="s">
        <v>117</v>
      </c>
      <c r="C43" s="124" t="s">
        <v>12</v>
      </c>
      <c r="D43" s="1" t="s">
        <v>125</v>
      </c>
    </row>
    <row r="44" spans="1:4" x14ac:dyDescent="0.3">
      <c r="A44" s="132">
        <f>+'Salida de Aportes'!F6</f>
        <v>0</v>
      </c>
      <c r="B44" s="1" t="s">
        <v>117</v>
      </c>
      <c r="C44" s="124" t="s">
        <v>12</v>
      </c>
      <c r="D44" s="1" t="s">
        <v>126</v>
      </c>
    </row>
    <row r="45" spans="1:4" x14ac:dyDescent="0.3">
      <c r="A45" s="132">
        <f>+'Salida de Aportes'!G6</f>
        <v>0</v>
      </c>
      <c r="B45" s="1" t="s">
        <v>117</v>
      </c>
      <c r="C45" s="124" t="s">
        <v>12</v>
      </c>
      <c r="D45" s="1" t="s">
        <v>127</v>
      </c>
    </row>
    <row r="46" spans="1:4" x14ac:dyDescent="0.3">
      <c r="A46" s="132">
        <f>+'Salida de Aportes'!H6</f>
        <v>0</v>
      </c>
      <c r="B46" s="1" t="s">
        <v>117</v>
      </c>
      <c r="C46" s="124" t="s">
        <v>12</v>
      </c>
      <c r="D46" s="1" t="s">
        <v>128</v>
      </c>
    </row>
    <row r="47" spans="1:4" s="41" customFormat="1" x14ac:dyDescent="0.3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3">
      <c r="A48" s="133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3">
      <c r="A49" s="133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3">
      <c r="A50" s="133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33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3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3">
      <c r="A53" s="132" t="e">
        <f>+'Salidas fondos sociales pasivos'!D7</f>
        <v>#N/A</v>
      </c>
      <c r="B53" s="1" t="s">
        <v>117</v>
      </c>
      <c r="C53" s="124" t="s">
        <v>119</v>
      </c>
      <c r="D53" s="1" t="s">
        <v>125</v>
      </c>
    </row>
    <row r="54" spans="1:4" x14ac:dyDescent="0.3">
      <c r="A54" s="132" t="e">
        <f>+'Salidas fondos sociales pasivos'!E7</f>
        <v>#N/A</v>
      </c>
      <c r="B54" s="1" t="s">
        <v>117</v>
      </c>
      <c r="C54" s="124" t="s">
        <v>119</v>
      </c>
      <c r="D54" s="1" t="s">
        <v>126</v>
      </c>
    </row>
    <row r="55" spans="1:4" x14ac:dyDescent="0.3">
      <c r="A55" s="132" t="e">
        <f>+'Salidas fondos sociales pasivos'!F7</f>
        <v>#N/A</v>
      </c>
      <c r="B55" s="1" t="s">
        <v>117</v>
      </c>
      <c r="C55" s="124" t="s">
        <v>119</v>
      </c>
      <c r="D55" s="1" t="s">
        <v>127</v>
      </c>
    </row>
    <row r="56" spans="1:4" x14ac:dyDescent="0.3">
      <c r="A56" s="132" t="e">
        <f>+'Salidas fondos sociales pasivos'!G7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4.4" x14ac:dyDescent="0.3"/>
  <cols>
    <col min="1" max="1" width="17.44140625" bestFit="1" customWidth="1"/>
    <col min="2" max="2" width="28.6640625" bestFit="1" customWidth="1"/>
    <col min="3" max="3" width="36.5546875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3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3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3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3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3">
      <c r="A7" s="132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3">
      <c r="A8" s="132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3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3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3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3">
      <c r="A12" s="132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3">
      <c r="A13" s="132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3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3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3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3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3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3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3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3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3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3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3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3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3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3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3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3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3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3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3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3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3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3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3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3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3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3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3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3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3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3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3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3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3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3">
      <c r="A47" s="132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3">
      <c r="A48" s="84" t="str">
        <f>+'Recaudo de Aportes'!E9</f>
        <v>0</v>
      </c>
      <c r="B48" s="1" t="s">
        <v>106</v>
      </c>
      <c r="C48" s="124" t="s">
        <v>107</v>
      </c>
      <c r="D48" s="1" t="s">
        <v>125</v>
      </c>
    </row>
    <row r="49" spans="1:4" x14ac:dyDescent="0.3">
      <c r="A49" s="84" t="str">
        <f>+'Recaudo de Aportes'!F9</f>
        <v>0</v>
      </c>
      <c r="B49" s="1" t="s">
        <v>106</v>
      </c>
      <c r="C49" s="124" t="s">
        <v>107</v>
      </c>
      <c r="D49" s="1" t="s">
        <v>126</v>
      </c>
    </row>
    <row r="50" spans="1:4" x14ac:dyDescent="0.3">
      <c r="A50" s="84" t="str">
        <f>+'Recaudo de Aportes'!G9</f>
        <v>0</v>
      </c>
      <c r="B50" s="1" t="s">
        <v>106</v>
      </c>
      <c r="C50" s="124" t="s">
        <v>107</v>
      </c>
      <c r="D50" s="1" t="s">
        <v>127</v>
      </c>
    </row>
    <row r="51" spans="1:4" x14ac:dyDescent="0.3">
      <c r="A51" s="84" t="str">
        <f>+'Recaudo de Aportes'!H9</f>
        <v>0</v>
      </c>
      <c r="B51" s="1" t="s">
        <v>106</v>
      </c>
      <c r="C51" s="124" t="s">
        <v>107</v>
      </c>
      <c r="D51" s="1" t="s">
        <v>128</v>
      </c>
    </row>
    <row r="52" spans="1:4" x14ac:dyDescent="0.3">
      <c r="A52" s="132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3">
      <c r="A53" s="132" t="str">
        <f>+'Recaudo de Ahorro Contractual'!F8</f>
        <v>0</v>
      </c>
      <c r="B53" s="1" t="s">
        <v>106</v>
      </c>
      <c r="C53" s="124" t="s">
        <v>108</v>
      </c>
      <c r="D53" s="1" t="s">
        <v>125</v>
      </c>
    </row>
    <row r="54" spans="1:4" x14ac:dyDescent="0.3">
      <c r="A54" s="132" t="str">
        <f>+'Recaudo de Ahorro Contractual'!G8</f>
        <v>0</v>
      </c>
      <c r="B54" s="1" t="s">
        <v>106</v>
      </c>
      <c r="C54" s="124" t="s">
        <v>108</v>
      </c>
      <c r="D54" s="1" t="s">
        <v>126</v>
      </c>
    </row>
    <row r="55" spans="1:4" x14ac:dyDescent="0.3">
      <c r="A55" s="132" t="str">
        <f>+'Recaudo de Ahorro Contractual'!H8</f>
        <v>0</v>
      </c>
      <c r="B55" s="1" t="s">
        <v>106</v>
      </c>
      <c r="C55" s="124" t="s">
        <v>108</v>
      </c>
      <c r="D55" s="1" t="s">
        <v>127</v>
      </c>
    </row>
    <row r="56" spans="1:4" x14ac:dyDescent="0.3">
      <c r="A56" s="132" t="str">
        <f>+'Recaudo de Ahorro Contractual'!I8</f>
        <v>0</v>
      </c>
      <c r="B56" s="1" t="s">
        <v>106</v>
      </c>
      <c r="C56" s="124" t="s">
        <v>108</v>
      </c>
      <c r="D56" s="1" t="s">
        <v>128</v>
      </c>
    </row>
    <row r="57" spans="1:4" x14ac:dyDescent="0.3">
      <c r="A57" s="132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3">
      <c r="A58" s="133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3">
      <c r="A59" s="133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3">
      <c r="A60" s="133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3">
      <c r="A61" s="133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3">
      <c r="A62" s="132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3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3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3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3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4.4" x14ac:dyDescent="0.3"/>
  <cols>
    <col min="1" max="1" width="16" bestFit="1" customWidth="1"/>
    <col min="2" max="2" width="18.6640625" bestFit="1" customWidth="1"/>
    <col min="3" max="3" width="38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32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132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132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132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132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132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3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3">
      <c r="A23" s="132" t="str">
        <f>+'Gastos Administrativos'!D6</f>
        <v>0</v>
      </c>
      <c r="B23" s="1" t="s">
        <v>110</v>
      </c>
      <c r="C23" s="124" t="s">
        <v>115</v>
      </c>
      <c r="D23" s="1" t="s">
        <v>125</v>
      </c>
    </row>
    <row r="24" spans="1:4" x14ac:dyDescent="0.3">
      <c r="A24" s="132" t="str">
        <f>+'Gastos Administrativos'!E6</f>
        <v>0</v>
      </c>
      <c r="B24" s="1" t="s">
        <v>110</v>
      </c>
      <c r="C24" s="124" t="s">
        <v>115</v>
      </c>
      <c r="D24" s="1" t="s">
        <v>126</v>
      </c>
    </row>
    <row r="25" spans="1:4" x14ac:dyDescent="0.3">
      <c r="A25" s="132" t="str">
        <f>+'Gastos Administrativos'!F6</f>
        <v>0</v>
      </c>
      <c r="B25" s="1" t="s">
        <v>110</v>
      </c>
      <c r="C25" s="124" t="s">
        <v>115</v>
      </c>
      <c r="D25" s="1" t="s">
        <v>127</v>
      </c>
    </row>
    <row r="26" spans="1:4" x14ac:dyDescent="0.3">
      <c r="A26" s="132" t="str">
        <f>+'Gastos Administrativos'!G6</f>
        <v>0</v>
      </c>
      <c r="B26" s="1" t="s">
        <v>110</v>
      </c>
      <c r="C26" s="124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+CxP!F5</f>
        <v>0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132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32" t="str">
        <f>+'Salida de Aportes'!E7</f>
        <v>0</v>
      </c>
      <c r="B43" s="1" t="s">
        <v>117</v>
      </c>
      <c r="C43" s="124" t="s">
        <v>12</v>
      </c>
      <c r="D43" s="1" t="s">
        <v>125</v>
      </c>
    </row>
    <row r="44" spans="1:4" x14ac:dyDescent="0.3">
      <c r="A44" s="132" t="str">
        <f>+'Salida de Aportes'!F7</f>
        <v>0</v>
      </c>
      <c r="B44" s="1" t="s">
        <v>117</v>
      </c>
      <c r="C44" s="124" t="s">
        <v>12</v>
      </c>
      <c r="D44" s="1" t="s">
        <v>126</v>
      </c>
    </row>
    <row r="45" spans="1:4" x14ac:dyDescent="0.3">
      <c r="A45" s="132" t="str">
        <f>+'Salida de Aportes'!G7</f>
        <v>0</v>
      </c>
      <c r="B45" s="1" t="s">
        <v>117</v>
      </c>
      <c r="C45" s="124" t="s">
        <v>12</v>
      </c>
      <c r="D45" s="1" t="s">
        <v>127</v>
      </c>
    </row>
    <row r="46" spans="1:4" x14ac:dyDescent="0.3">
      <c r="A46" s="132" t="str">
        <f>+'Salida de Aportes'!H7</f>
        <v>0</v>
      </c>
      <c r="B46" s="1" t="s">
        <v>117</v>
      </c>
      <c r="C46" s="124" t="s">
        <v>12</v>
      </c>
      <c r="D46" s="1" t="s">
        <v>128</v>
      </c>
    </row>
    <row r="47" spans="1:4" x14ac:dyDescent="0.3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3">
      <c r="A48" s="133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3">
      <c r="A49" s="133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3">
      <c r="A50" s="133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33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3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3">
      <c r="A53" s="132" t="e">
        <f>+'Salidas fondos sociales pasivos'!D8</f>
        <v>#N/A</v>
      </c>
      <c r="B53" s="1" t="s">
        <v>117</v>
      </c>
      <c r="C53" s="124" t="s">
        <v>119</v>
      </c>
      <c r="D53" s="1" t="s">
        <v>125</v>
      </c>
    </row>
    <row r="54" spans="1:4" x14ac:dyDescent="0.3">
      <c r="A54" s="132" t="e">
        <f>+'Salidas fondos sociales pasivos'!E8</f>
        <v>#N/A</v>
      </c>
      <c r="B54" s="1" t="s">
        <v>117</v>
      </c>
      <c r="C54" s="124" t="s">
        <v>119</v>
      </c>
      <c r="D54" s="1" t="s">
        <v>126</v>
      </c>
    </row>
    <row r="55" spans="1:4" x14ac:dyDescent="0.3">
      <c r="A55" s="132" t="e">
        <f>+'Salidas fondos sociales pasivos'!F8</f>
        <v>#N/A</v>
      </c>
      <c r="B55" s="1" t="s">
        <v>117</v>
      </c>
      <c r="C55" s="124" t="s">
        <v>119</v>
      </c>
      <c r="D55" s="1" t="s">
        <v>127</v>
      </c>
    </row>
    <row r="56" spans="1:4" x14ac:dyDescent="0.3">
      <c r="A56" s="132" t="e">
        <f>+'Salidas fondos sociales pasivos'!G8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5"/>
  <sheetViews>
    <sheetView showGridLines="0" zoomScale="90" zoomScaleNormal="110" workbookViewId="0">
      <selection activeCell="B7" sqref="B7"/>
    </sheetView>
  </sheetViews>
  <sheetFormatPr baseColWidth="10" defaultColWidth="11.44140625" defaultRowHeight="14.4" x14ac:dyDescent="0.3"/>
  <cols>
    <col min="1" max="1" width="24.44140625" style="72" customWidth="1"/>
    <col min="2" max="2" width="16.5546875" style="72" customWidth="1"/>
    <col min="3" max="3" width="38.33203125" style="72" customWidth="1"/>
    <col min="4" max="4" width="23.5546875" style="72" customWidth="1"/>
    <col min="5" max="5" width="33.44140625" style="72" customWidth="1"/>
    <col min="6" max="6" width="34.6640625" style="72" customWidth="1"/>
    <col min="7" max="9" width="11.44140625" style="72"/>
    <col min="10" max="10" width="16.6640625" style="72" customWidth="1"/>
    <col min="11" max="16384" width="11.44140625" style="72"/>
  </cols>
  <sheetData>
    <row r="1" spans="2:10" ht="31.5" customHeight="1" x14ac:dyDescent="0.3"/>
    <row r="2" spans="2:10" ht="20.25" customHeight="1" x14ac:dyDescent="0.3">
      <c r="B2" s="324" t="s">
        <v>129</v>
      </c>
      <c r="C2" s="325"/>
      <c r="D2" s="325"/>
      <c r="E2" s="326"/>
      <c r="F2" s="59"/>
      <c r="G2" s="59"/>
      <c r="H2" s="59"/>
      <c r="I2" s="59"/>
      <c r="J2" s="270"/>
    </row>
    <row r="3" spans="2:10" ht="15" customHeight="1" x14ac:dyDescent="0.3">
      <c r="B3" s="327"/>
      <c r="C3" s="328"/>
      <c r="D3" s="328"/>
      <c r="E3" s="329"/>
      <c r="F3" s="59"/>
      <c r="G3" s="59"/>
      <c r="H3" s="59"/>
      <c r="I3" s="59"/>
      <c r="J3" s="270"/>
    </row>
    <row r="4" spans="2:10" ht="15" customHeight="1" x14ac:dyDescent="0.3">
      <c r="B4" s="59"/>
      <c r="C4" s="59"/>
      <c r="D4" s="59"/>
      <c r="E4" s="59"/>
      <c r="F4" s="59"/>
      <c r="G4" s="59"/>
      <c r="H4" s="59"/>
      <c r="I4" s="59"/>
      <c r="J4" s="270"/>
    </row>
    <row r="5" spans="2:10" x14ac:dyDescent="0.3">
      <c r="B5" s="59"/>
      <c r="C5" s="59"/>
      <c r="D5" s="59"/>
      <c r="E5" s="59"/>
      <c r="F5" s="59"/>
      <c r="G5" s="59"/>
      <c r="H5" s="59"/>
      <c r="I5" s="59"/>
      <c r="J5" s="270"/>
    </row>
    <row r="6" spans="2:10" ht="39.75" customHeight="1" x14ac:dyDescent="0.3">
      <c r="B6" s="286" t="s">
        <v>195</v>
      </c>
      <c r="C6" s="287"/>
      <c r="D6" s="59"/>
      <c r="E6" s="59"/>
      <c r="F6" s="59"/>
      <c r="G6" s="330" t="s">
        <v>120</v>
      </c>
      <c r="H6" s="331"/>
      <c r="I6" s="46">
        <f>IFERROR(VLOOKUP(C6, Tabla7[], 5, FALSE),0)</f>
        <v>0</v>
      </c>
      <c r="J6" s="270"/>
    </row>
    <row r="7" spans="2:10" ht="51.75" customHeight="1" x14ac:dyDescent="0.3">
      <c r="B7" s="269" t="s">
        <v>165</v>
      </c>
      <c r="C7" s="285" t="s">
        <v>136</v>
      </c>
      <c r="D7" s="268" t="s">
        <v>136</v>
      </c>
      <c r="E7" s="59"/>
      <c r="F7" s="59"/>
      <c r="G7" s="330" t="s">
        <v>137</v>
      </c>
      <c r="H7" s="331"/>
      <c r="I7" s="46"/>
      <c r="J7" s="271" t="s">
        <v>138</v>
      </c>
    </row>
    <row r="8" spans="2:10" ht="25.2" x14ac:dyDescent="0.3">
      <c r="B8" s="188" t="s">
        <v>16</v>
      </c>
      <c r="C8" s="189" t="s">
        <v>152</v>
      </c>
      <c r="D8" s="189" t="s">
        <v>168</v>
      </c>
      <c r="E8" s="190" t="s">
        <v>155</v>
      </c>
      <c r="F8" s="191" t="s">
        <v>156</v>
      </c>
      <c r="G8" s="59"/>
      <c r="H8" s="59"/>
      <c r="I8" s="59"/>
      <c r="J8" s="270"/>
    </row>
    <row r="9" spans="2:10" x14ac:dyDescent="0.3">
      <c r="B9" s="186"/>
      <c r="C9" s="246"/>
      <c r="D9" s="246"/>
      <c r="E9" s="46" t="str">
        <f>IFERROR(C9/D9,"")</f>
        <v/>
      </c>
      <c r="F9" s="187"/>
      <c r="G9" s="59"/>
      <c r="H9" s="59"/>
      <c r="I9" s="59"/>
      <c r="J9" s="270"/>
    </row>
    <row r="10" spans="2:10" x14ac:dyDescent="0.3">
      <c r="B10" s="186"/>
      <c r="C10" s="246"/>
      <c r="D10" s="246"/>
      <c r="E10" s="46" t="str">
        <f t="shared" ref="E10:E19" si="0">IFERROR(C10/D10,"")</f>
        <v/>
      </c>
      <c r="F10" s="187"/>
      <c r="G10" s="59"/>
      <c r="H10" s="59"/>
      <c r="I10" s="59"/>
      <c r="J10" s="270"/>
    </row>
    <row r="11" spans="2:10" x14ac:dyDescent="0.3">
      <c r="B11" s="186"/>
      <c r="C11" s="246"/>
      <c r="D11" s="246"/>
      <c r="E11" s="46" t="str">
        <f t="shared" si="0"/>
        <v/>
      </c>
      <c r="F11" s="187"/>
      <c r="G11" s="59"/>
      <c r="H11" s="59"/>
      <c r="I11" s="59"/>
      <c r="J11" s="270"/>
    </row>
    <row r="12" spans="2:10" x14ac:dyDescent="0.3">
      <c r="B12" s="186"/>
      <c r="C12" s="246"/>
      <c r="D12" s="246"/>
      <c r="E12" s="46" t="str">
        <f t="shared" si="0"/>
        <v/>
      </c>
      <c r="F12" s="187"/>
      <c r="G12" s="59"/>
      <c r="H12" s="59"/>
      <c r="I12" s="59"/>
      <c r="J12" s="270"/>
    </row>
    <row r="13" spans="2:10" x14ac:dyDescent="0.3">
      <c r="B13" s="186"/>
      <c r="C13" s="246"/>
      <c r="D13" s="246"/>
      <c r="E13" s="46" t="str">
        <f t="shared" si="0"/>
        <v/>
      </c>
      <c r="F13" s="187"/>
      <c r="G13" s="59"/>
      <c r="H13" s="59"/>
      <c r="I13" s="59"/>
      <c r="J13" s="270"/>
    </row>
    <row r="14" spans="2:10" x14ac:dyDescent="0.3">
      <c r="B14" s="186"/>
      <c r="C14" s="246"/>
      <c r="D14" s="246"/>
      <c r="E14" s="46" t="str">
        <f t="shared" si="0"/>
        <v/>
      </c>
      <c r="F14" s="187"/>
      <c r="G14" s="59"/>
      <c r="H14" s="59"/>
      <c r="I14" s="59"/>
      <c r="J14" s="270"/>
    </row>
    <row r="15" spans="2:10" x14ac:dyDescent="0.3">
      <c r="B15" s="186"/>
      <c r="C15" s="246"/>
      <c r="D15" s="246"/>
      <c r="E15" s="46" t="str">
        <f t="shared" si="0"/>
        <v/>
      </c>
      <c r="F15" s="187"/>
      <c r="G15" s="59"/>
      <c r="H15" s="59"/>
      <c r="I15" s="59"/>
      <c r="J15" s="270"/>
    </row>
    <row r="16" spans="2:10" x14ac:dyDescent="0.3">
      <c r="B16" s="186"/>
      <c r="C16" s="246"/>
      <c r="D16" s="246"/>
      <c r="E16" s="46" t="str">
        <f t="shared" si="0"/>
        <v/>
      </c>
      <c r="F16" s="187"/>
      <c r="G16" s="59"/>
      <c r="H16" s="59"/>
      <c r="I16" s="59"/>
      <c r="J16" s="270"/>
    </row>
    <row r="17" spans="2:10" x14ac:dyDescent="0.3">
      <c r="B17" s="186"/>
      <c r="C17" s="246"/>
      <c r="D17" s="246"/>
      <c r="E17" s="46" t="str">
        <f t="shared" si="0"/>
        <v/>
      </c>
      <c r="F17" s="187"/>
      <c r="G17" s="59"/>
      <c r="H17" s="59"/>
      <c r="I17" s="59"/>
      <c r="J17" s="270"/>
    </row>
    <row r="18" spans="2:10" x14ac:dyDescent="0.3">
      <c r="B18" s="186"/>
      <c r="C18" s="246"/>
      <c r="D18" s="246"/>
      <c r="E18" s="46" t="str">
        <f t="shared" si="0"/>
        <v/>
      </c>
      <c r="F18" s="187"/>
      <c r="G18" s="59"/>
      <c r="H18" s="59"/>
      <c r="I18" s="59"/>
      <c r="J18" s="270"/>
    </row>
    <row r="19" spans="2:10" x14ac:dyDescent="0.3">
      <c r="B19" s="186"/>
      <c r="C19" s="246"/>
      <c r="D19" s="246"/>
      <c r="E19" s="46" t="str">
        <f t="shared" si="0"/>
        <v/>
      </c>
      <c r="F19" s="187"/>
      <c r="G19" s="59"/>
      <c r="H19" s="59"/>
      <c r="I19" s="59"/>
      <c r="J19" s="270"/>
    </row>
    <row r="20" spans="2:10" x14ac:dyDescent="0.3">
      <c r="B20" s="186"/>
      <c r="C20" s="266"/>
      <c r="D20" s="266"/>
      <c r="E20" s="178" t="str">
        <f>IFERROR(C20/D20,"")</f>
        <v/>
      </c>
      <c r="F20" s="187"/>
      <c r="G20" s="59"/>
      <c r="H20" s="59"/>
      <c r="I20" s="59"/>
      <c r="J20" s="270"/>
    </row>
    <row r="21" spans="2:10" x14ac:dyDescent="0.3">
      <c r="B21" s="192"/>
      <c r="C21" s="248"/>
      <c r="D21" s="248"/>
      <c r="E21" s="175" t="str">
        <f>IFERROR(C21/D21,"")</f>
        <v/>
      </c>
      <c r="F21" s="193">
        <f>IFERROR(AVERAGE(E9:E20),0)</f>
        <v>0</v>
      </c>
      <c r="G21" s="59"/>
      <c r="H21" s="59"/>
      <c r="I21" s="59"/>
      <c r="J21" s="270"/>
    </row>
    <row r="22" spans="2:10" x14ac:dyDescent="0.3">
      <c r="B22" s="192"/>
      <c r="C22" s="248"/>
      <c r="D22" s="248"/>
      <c r="E22" s="175" t="str">
        <f t="shared" ref="E22:E23" si="1">IFERROR(C22/D22,"")</f>
        <v/>
      </c>
      <c r="F22" s="193">
        <f t="shared" ref="F22:F23" si="2">IFERROR(AVERAGE(E10:E21),0)</f>
        <v>0</v>
      </c>
    </row>
    <row r="23" spans="2:10" x14ac:dyDescent="0.3">
      <c r="B23" s="192"/>
      <c r="C23" s="248"/>
      <c r="D23" s="248"/>
      <c r="E23" s="175" t="str">
        <f t="shared" si="1"/>
        <v/>
      </c>
      <c r="F23" s="193">
        <f t="shared" si="2"/>
        <v>0</v>
      </c>
    </row>
    <row r="24" spans="2:10" x14ac:dyDescent="0.3">
      <c r="B24" s="176"/>
      <c r="C24" s="177"/>
      <c r="D24" s="177"/>
      <c r="E24" s="80"/>
      <c r="F24" s="80"/>
    </row>
    <row r="25" spans="2:10" x14ac:dyDescent="0.3">
      <c r="B25" s="176"/>
      <c r="C25" s="177"/>
      <c r="D25" s="177"/>
      <c r="E25" s="80"/>
      <c r="F25" s="80"/>
    </row>
    <row r="26" spans="2:10" x14ac:dyDescent="0.3">
      <c r="B26" s="176"/>
      <c r="C26" s="177"/>
      <c r="D26" s="177"/>
      <c r="E26" s="80"/>
      <c r="F26" s="80"/>
    </row>
    <row r="27" spans="2:10" x14ac:dyDescent="0.3">
      <c r="B27" s="176"/>
      <c r="C27" s="177"/>
      <c r="D27" s="177"/>
      <c r="E27" s="80"/>
      <c r="F27" s="80"/>
    </row>
    <row r="28" spans="2:10" x14ac:dyDescent="0.3">
      <c r="B28" s="176"/>
      <c r="C28" s="177"/>
      <c r="D28" s="177"/>
      <c r="E28" s="80"/>
      <c r="F28" s="80"/>
    </row>
    <row r="29" spans="2:10" x14ac:dyDescent="0.3">
      <c r="B29" s="176"/>
      <c r="C29" s="177"/>
      <c r="D29" s="177"/>
      <c r="E29" s="80"/>
      <c r="F29" s="80"/>
    </row>
    <row r="30" spans="2:10" x14ac:dyDescent="0.3">
      <c r="B30" s="176"/>
      <c r="C30" s="177"/>
      <c r="D30" s="177"/>
      <c r="E30" s="80"/>
      <c r="F30" s="80"/>
    </row>
    <row r="31" spans="2:10" x14ac:dyDescent="0.3">
      <c r="B31" s="176"/>
      <c r="C31" s="177"/>
      <c r="D31" s="177"/>
      <c r="E31" s="80"/>
      <c r="F31" s="80"/>
    </row>
    <row r="32" spans="2:10" x14ac:dyDescent="0.3">
      <c r="B32" s="176"/>
      <c r="C32" s="177"/>
      <c r="D32" s="177"/>
      <c r="E32" s="80"/>
      <c r="F32" s="80"/>
    </row>
    <row r="33" spans="2:6" x14ac:dyDescent="0.3">
      <c r="B33" s="176"/>
      <c r="C33" s="177"/>
      <c r="D33" s="177"/>
      <c r="E33" s="80"/>
      <c r="F33" s="80"/>
    </row>
    <row r="34" spans="2:6" x14ac:dyDescent="0.3">
      <c r="B34" s="176"/>
      <c r="C34" s="177"/>
      <c r="D34" s="177"/>
      <c r="E34" s="80"/>
      <c r="F34" s="80"/>
    </row>
    <row r="35" spans="2:6" x14ac:dyDescent="0.3">
      <c r="B35" s="176"/>
      <c r="C35" s="177"/>
      <c r="D35" s="177"/>
      <c r="E35" s="80"/>
      <c r="F35" s="80"/>
    </row>
    <row r="36" spans="2:6" x14ac:dyDescent="0.3">
      <c r="B36" s="176"/>
      <c r="C36" s="177"/>
      <c r="D36" s="177"/>
      <c r="E36" s="80"/>
      <c r="F36" s="80"/>
    </row>
    <row r="37" spans="2:6" x14ac:dyDescent="0.3">
      <c r="B37" s="176"/>
      <c r="C37" s="177"/>
      <c r="D37" s="177"/>
      <c r="E37" s="80"/>
      <c r="F37" s="80"/>
    </row>
    <row r="38" spans="2:6" x14ac:dyDescent="0.3">
      <c r="B38" s="176"/>
      <c r="C38" s="177"/>
      <c r="D38" s="177"/>
      <c r="E38" s="80"/>
      <c r="F38" s="80"/>
    </row>
    <row r="39" spans="2:6" x14ac:dyDescent="0.3">
      <c r="B39" s="176"/>
      <c r="C39" s="177"/>
      <c r="D39" s="177"/>
      <c r="E39" s="80"/>
      <c r="F39" s="80"/>
    </row>
    <row r="40" spans="2:6" x14ac:dyDescent="0.3">
      <c r="B40" s="176"/>
      <c r="C40" s="177"/>
      <c r="D40" s="177"/>
      <c r="E40" s="80"/>
      <c r="F40" s="80"/>
    </row>
    <row r="41" spans="2:6" x14ac:dyDescent="0.3">
      <c r="B41" s="176"/>
      <c r="C41" s="177"/>
      <c r="D41" s="177"/>
      <c r="E41" s="80"/>
      <c r="F41" s="80"/>
    </row>
    <row r="42" spans="2:6" x14ac:dyDescent="0.3">
      <c r="B42" s="176"/>
      <c r="C42" s="177"/>
      <c r="D42" s="177"/>
      <c r="E42" s="80"/>
      <c r="F42" s="80"/>
    </row>
    <row r="43" spans="2:6" x14ac:dyDescent="0.3">
      <c r="B43" s="176"/>
      <c r="C43" s="177"/>
      <c r="D43" s="177"/>
      <c r="E43" s="80"/>
      <c r="F43" s="80"/>
    </row>
    <row r="44" spans="2:6" x14ac:dyDescent="0.3">
      <c r="B44" s="176"/>
      <c r="C44" s="177"/>
      <c r="D44" s="177"/>
      <c r="E44" s="80"/>
      <c r="F44" s="80"/>
    </row>
    <row r="45" spans="2:6" x14ac:dyDescent="0.3">
      <c r="B45" s="176"/>
      <c r="C45" s="177"/>
      <c r="D45" s="177"/>
      <c r="E45" s="80"/>
      <c r="F45" s="80"/>
    </row>
    <row r="46" spans="2:6" x14ac:dyDescent="0.3">
      <c r="B46" s="176"/>
      <c r="C46" s="177"/>
      <c r="D46" s="177"/>
      <c r="E46" s="80"/>
      <c r="F46" s="80"/>
    </row>
    <row r="47" spans="2:6" x14ac:dyDescent="0.3">
      <c r="B47" s="176"/>
      <c r="C47" s="177"/>
      <c r="D47" s="177"/>
      <c r="E47" s="80"/>
      <c r="F47" s="80"/>
    </row>
    <row r="48" spans="2:6" x14ac:dyDescent="0.3">
      <c r="B48" s="176"/>
      <c r="C48" s="177"/>
      <c r="D48" s="177"/>
      <c r="E48" s="80"/>
      <c r="F48" s="80"/>
    </row>
    <row r="49" spans="2:6" x14ac:dyDescent="0.3">
      <c r="B49" s="176"/>
      <c r="C49" s="177"/>
      <c r="D49" s="177"/>
      <c r="E49" s="80"/>
      <c r="F49" s="80"/>
    </row>
    <row r="50" spans="2:6" x14ac:dyDescent="0.3">
      <c r="B50" s="176"/>
      <c r="C50" s="177"/>
      <c r="D50" s="177"/>
      <c r="E50" s="80"/>
      <c r="F50" s="80"/>
    </row>
    <row r="51" spans="2:6" x14ac:dyDescent="0.3">
      <c r="B51" s="176"/>
      <c r="C51" s="177"/>
      <c r="D51" s="177"/>
      <c r="E51" s="80"/>
      <c r="F51" s="80"/>
    </row>
    <row r="52" spans="2:6" x14ac:dyDescent="0.3">
      <c r="B52" s="176"/>
      <c r="C52" s="177"/>
      <c r="D52" s="177"/>
      <c r="E52" s="80"/>
      <c r="F52" s="80"/>
    </row>
    <row r="53" spans="2:6" x14ac:dyDescent="0.3">
      <c r="B53" s="176"/>
      <c r="C53" s="177"/>
      <c r="D53" s="177"/>
      <c r="E53" s="80"/>
      <c r="F53" s="80"/>
    </row>
    <row r="54" spans="2:6" x14ac:dyDescent="0.3">
      <c r="B54" s="176"/>
      <c r="C54" s="177"/>
      <c r="D54" s="177"/>
      <c r="E54" s="80"/>
      <c r="F54" s="80"/>
    </row>
    <row r="55" spans="2:6" x14ac:dyDescent="0.3">
      <c r="B55" s="176"/>
      <c r="C55" s="177"/>
      <c r="D55" s="177"/>
      <c r="E55" s="80"/>
      <c r="F55" s="80"/>
    </row>
    <row r="56" spans="2:6" x14ac:dyDescent="0.3">
      <c r="B56" s="176"/>
      <c r="C56" s="177"/>
      <c r="D56" s="177"/>
      <c r="E56" s="80"/>
      <c r="F56" s="80"/>
    </row>
    <row r="57" spans="2:6" x14ac:dyDescent="0.3">
      <c r="B57" s="176"/>
      <c r="C57" s="177"/>
      <c r="D57" s="177"/>
      <c r="E57" s="80"/>
      <c r="F57" s="80"/>
    </row>
    <row r="58" spans="2:6" x14ac:dyDescent="0.3">
      <c r="B58" s="176"/>
      <c r="C58" s="177"/>
      <c r="D58" s="177"/>
      <c r="E58" s="80"/>
      <c r="F58" s="80"/>
    </row>
    <row r="59" spans="2:6" x14ac:dyDescent="0.3">
      <c r="B59" s="176"/>
      <c r="C59" s="177"/>
      <c r="D59" s="177"/>
      <c r="E59" s="80"/>
      <c r="F59" s="80"/>
    </row>
    <row r="60" spans="2:6" x14ac:dyDescent="0.3">
      <c r="B60" s="176"/>
      <c r="C60" s="177"/>
      <c r="D60" s="177"/>
      <c r="E60" s="80"/>
      <c r="F60" s="80"/>
    </row>
    <row r="61" spans="2:6" x14ac:dyDescent="0.3">
      <c r="B61" s="176"/>
      <c r="C61" s="177"/>
      <c r="D61" s="177"/>
      <c r="E61" s="80"/>
      <c r="F61" s="80"/>
    </row>
    <row r="62" spans="2:6" x14ac:dyDescent="0.3">
      <c r="B62" s="176"/>
      <c r="C62" s="177"/>
      <c r="D62" s="177"/>
      <c r="E62" s="80"/>
      <c r="F62" s="80"/>
    </row>
    <row r="63" spans="2:6" x14ac:dyDescent="0.3">
      <c r="B63" s="176"/>
      <c r="C63" s="177"/>
      <c r="D63" s="177"/>
      <c r="E63" s="80"/>
      <c r="F63" s="80"/>
    </row>
    <row r="64" spans="2:6" x14ac:dyDescent="0.3">
      <c r="B64" s="176"/>
      <c r="C64" s="177"/>
      <c r="D64" s="177"/>
      <c r="E64" s="80"/>
      <c r="F64" s="80"/>
    </row>
    <row r="65" spans="2:6" x14ac:dyDescent="0.3">
      <c r="B65" s="176"/>
      <c r="C65" s="177"/>
      <c r="D65" s="177"/>
      <c r="E65" s="80"/>
      <c r="F65" s="80"/>
    </row>
    <row r="66" spans="2:6" x14ac:dyDescent="0.3">
      <c r="B66" s="176"/>
      <c r="C66" s="177"/>
      <c r="D66" s="177"/>
      <c r="E66" s="80"/>
      <c r="F66" s="80"/>
    </row>
    <row r="67" spans="2:6" x14ac:dyDescent="0.3">
      <c r="B67" s="176"/>
      <c r="C67" s="177"/>
      <c r="D67" s="177"/>
      <c r="E67" s="80"/>
      <c r="F67" s="80"/>
    </row>
    <row r="68" spans="2:6" x14ac:dyDescent="0.3">
      <c r="B68" s="176"/>
      <c r="C68" s="177"/>
      <c r="D68" s="177"/>
      <c r="E68" s="80"/>
      <c r="F68" s="80"/>
    </row>
    <row r="69" spans="2:6" x14ac:dyDescent="0.3">
      <c r="B69" s="176"/>
      <c r="C69" s="177"/>
      <c r="D69" s="177"/>
      <c r="E69" s="80"/>
      <c r="F69" s="80"/>
    </row>
    <row r="70" spans="2:6" x14ac:dyDescent="0.3">
      <c r="B70" s="176"/>
      <c r="C70" s="177"/>
      <c r="D70" s="177"/>
      <c r="E70" s="80"/>
      <c r="F70" s="80"/>
    </row>
    <row r="71" spans="2:6" x14ac:dyDescent="0.3">
      <c r="B71" s="176"/>
      <c r="C71" s="177"/>
      <c r="D71" s="177"/>
      <c r="E71" s="80"/>
      <c r="F71" s="80"/>
    </row>
    <row r="72" spans="2:6" x14ac:dyDescent="0.3">
      <c r="B72" s="176"/>
      <c r="C72" s="177"/>
      <c r="D72" s="177"/>
      <c r="E72" s="80"/>
      <c r="F72" s="80"/>
    </row>
    <row r="73" spans="2:6" x14ac:dyDescent="0.3">
      <c r="B73" s="176"/>
      <c r="C73" s="177"/>
      <c r="D73" s="177"/>
      <c r="E73" s="80"/>
      <c r="F73" s="80"/>
    </row>
    <row r="74" spans="2:6" x14ac:dyDescent="0.3">
      <c r="B74" s="176"/>
      <c r="C74" s="177"/>
      <c r="D74" s="177"/>
      <c r="E74" s="80"/>
      <c r="F74" s="80"/>
    </row>
    <row r="75" spans="2:6" x14ac:dyDescent="0.3">
      <c r="B75" s="176"/>
      <c r="C75" s="177"/>
      <c r="D75" s="177"/>
      <c r="E75" s="80"/>
      <c r="F75" s="80"/>
    </row>
    <row r="76" spans="2:6" x14ac:dyDescent="0.3">
      <c r="B76" s="176"/>
      <c r="C76" s="177"/>
      <c r="D76" s="177"/>
      <c r="E76" s="80"/>
      <c r="F76" s="80"/>
    </row>
    <row r="77" spans="2:6" x14ac:dyDescent="0.3">
      <c r="B77" s="176"/>
      <c r="C77" s="177"/>
      <c r="D77" s="177"/>
      <c r="E77" s="80"/>
      <c r="F77" s="80"/>
    </row>
    <row r="78" spans="2:6" x14ac:dyDescent="0.3">
      <c r="B78" s="176"/>
      <c r="C78" s="177"/>
      <c r="D78" s="177"/>
      <c r="E78" s="80"/>
      <c r="F78" s="80"/>
    </row>
    <row r="79" spans="2:6" x14ac:dyDescent="0.3">
      <c r="B79" s="176"/>
      <c r="C79" s="177"/>
      <c r="D79" s="177"/>
      <c r="E79" s="80"/>
      <c r="F79" s="80"/>
    </row>
    <row r="80" spans="2:6" x14ac:dyDescent="0.3">
      <c r="B80" s="176"/>
      <c r="C80" s="177"/>
      <c r="D80" s="177"/>
      <c r="E80" s="80"/>
      <c r="F80" s="80"/>
    </row>
    <row r="81" spans="2:6" x14ac:dyDescent="0.3">
      <c r="B81" s="176"/>
      <c r="C81" s="177"/>
      <c r="D81" s="177"/>
      <c r="E81" s="80"/>
      <c r="F81" s="80"/>
    </row>
    <row r="82" spans="2:6" x14ac:dyDescent="0.3">
      <c r="B82" s="176"/>
      <c r="C82" s="177"/>
      <c r="D82" s="177"/>
      <c r="E82" s="80"/>
      <c r="F82" s="80"/>
    </row>
    <row r="83" spans="2:6" x14ac:dyDescent="0.3">
      <c r="B83" s="176"/>
      <c r="C83" s="177"/>
      <c r="D83" s="177"/>
      <c r="E83" s="80"/>
      <c r="F83" s="80"/>
    </row>
    <row r="84" spans="2:6" x14ac:dyDescent="0.3">
      <c r="B84" s="176"/>
      <c r="C84" s="177"/>
      <c r="D84" s="177"/>
      <c r="E84" s="80"/>
      <c r="F84" s="80"/>
    </row>
    <row r="85" spans="2:6" x14ac:dyDescent="0.3">
      <c r="B85" s="176"/>
      <c r="C85" s="177"/>
      <c r="D85" s="177"/>
      <c r="E85" s="80"/>
      <c r="F85" s="80"/>
    </row>
    <row r="86" spans="2:6" x14ac:dyDescent="0.3">
      <c r="B86" s="176"/>
      <c r="C86" s="177"/>
      <c r="D86" s="177"/>
      <c r="E86" s="80"/>
      <c r="F86" s="80"/>
    </row>
    <row r="87" spans="2:6" x14ac:dyDescent="0.3">
      <c r="B87" s="176"/>
      <c r="C87" s="177"/>
      <c r="D87" s="177"/>
      <c r="E87" s="80"/>
      <c r="F87" s="80"/>
    </row>
    <row r="88" spans="2:6" x14ac:dyDescent="0.3">
      <c r="B88" s="176"/>
      <c r="C88" s="177"/>
      <c r="D88" s="177"/>
      <c r="E88" s="80"/>
      <c r="F88" s="80"/>
    </row>
    <row r="89" spans="2:6" x14ac:dyDescent="0.3">
      <c r="B89" s="176"/>
      <c r="C89" s="177"/>
      <c r="D89" s="177"/>
      <c r="E89" s="80"/>
      <c r="F89" s="80"/>
    </row>
    <row r="90" spans="2:6" x14ac:dyDescent="0.3">
      <c r="B90" s="176"/>
      <c r="C90" s="177"/>
      <c r="D90" s="177"/>
      <c r="E90" s="80"/>
      <c r="F90" s="80"/>
    </row>
    <row r="91" spans="2:6" x14ac:dyDescent="0.3">
      <c r="B91" s="176"/>
      <c r="C91" s="177"/>
      <c r="D91" s="177"/>
      <c r="E91" s="80"/>
      <c r="F91" s="80"/>
    </row>
    <row r="92" spans="2:6" x14ac:dyDescent="0.3">
      <c r="B92" s="176"/>
      <c r="C92" s="177"/>
      <c r="D92" s="177"/>
      <c r="E92" s="80"/>
      <c r="F92" s="80"/>
    </row>
    <row r="93" spans="2:6" x14ac:dyDescent="0.3">
      <c r="B93" s="176"/>
      <c r="C93" s="177"/>
      <c r="D93" s="177"/>
      <c r="E93" s="80"/>
      <c r="F93" s="80"/>
    </row>
    <row r="94" spans="2:6" x14ac:dyDescent="0.3">
      <c r="B94" s="176"/>
      <c r="C94" s="177"/>
      <c r="D94" s="177"/>
      <c r="E94" s="80"/>
      <c r="F94" s="80"/>
    </row>
    <row r="95" spans="2:6" x14ac:dyDescent="0.3">
      <c r="B95" s="176"/>
      <c r="C95" s="177"/>
      <c r="D95" s="177"/>
      <c r="E95" s="80"/>
      <c r="F95" s="80"/>
    </row>
    <row r="96" spans="2:6" x14ac:dyDescent="0.3">
      <c r="B96" s="176"/>
      <c r="C96" s="177"/>
      <c r="D96" s="177"/>
      <c r="E96" s="80"/>
      <c r="F96" s="80"/>
    </row>
    <row r="97" spans="2:6" x14ac:dyDescent="0.3">
      <c r="B97" s="176"/>
      <c r="C97" s="177"/>
      <c r="D97" s="177"/>
      <c r="E97" s="80"/>
      <c r="F97" s="80"/>
    </row>
    <row r="98" spans="2:6" x14ac:dyDescent="0.3">
      <c r="B98" s="176"/>
      <c r="C98" s="177"/>
      <c r="D98" s="177"/>
      <c r="E98" s="80"/>
      <c r="F98" s="80"/>
    </row>
    <row r="99" spans="2:6" x14ac:dyDescent="0.3">
      <c r="B99" s="176"/>
      <c r="C99" s="177"/>
      <c r="D99" s="177"/>
      <c r="E99" s="80"/>
      <c r="F99" s="80"/>
    </row>
    <row r="100" spans="2:6" x14ac:dyDescent="0.3">
      <c r="B100" s="176"/>
      <c r="C100" s="177"/>
      <c r="D100" s="177"/>
      <c r="E100" s="80"/>
      <c r="F100" s="80"/>
    </row>
    <row r="101" spans="2:6" x14ac:dyDescent="0.3">
      <c r="B101" s="176"/>
      <c r="C101" s="177"/>
      <c r="D101" s="177"/>
      <c r="E101" s="80"/>
      <c r="F101" s="80"/>
    </row>
    <row r="102" spans="2:6" x14ac:dyDescent="0.3">
      <c r="B102" s="176"/>
      <c r="C102" s="177"/>
      <c r="D102" s="177"/>
      <c r="E102" s="80"/>
      <c r="F102" s="80"/>
    </row>
    <row r="103" spans="2:6" x14ac:dyDescent="0.3">
      <c r="B103" s="176"/>
      <c r="C103" s="177"/>
      <c r="D103" s="177"/>
      <c r="E103" s="80"/>
      <c r="F103" s="80"/>
    </row>
    <row r="104" spans="2:6" x14ac:dyDescent="0.3">
      <c r="B104" s="176"/>
      <c r="C104" s="177"/>
      <c r="D104" s="177"/>
      <c r="E104" s="80"/>
      <c r="F104" s="80"/>
    </row>
    <row r="105" spans="2:6" x14ac:dyDescent="0.3">
      <c r="B105" s="176"/>
      <c r="C105" s="177"/>
      <c r="D105" s="177"/>
      <c r="E105" s="80"/>
      <c r="F105" s="80"/>
    </row>
    <row r="106" spans="2:6" x14ac:dyDescent="0.3">
      <c r="B106" s="176"/>
      <c r="C106" s="177"/>
      <c r="D106" s="177"/>
      <c r="E106" s="80"/>
      <c r="F106" s="80"/>
    </row>
    <row r="107" spans="2:6" x14ac:dyDescent="0.3">
      <c r="B107" s="176"/>
      <c r="C107" s="177"/>
      <c r="D107" s="177"/>
      <c r="E107" s="80"/>
      <c r="F107" s="80"/>
    </row>
    <row r="108" spans="2:6" x14ac:dyDescent="0.3">
      <c r="B108" s="176"/>
      <c r="C108" s="177"/>
      <c r="D108" s="177"/>
      <c r="E108" s="80"/>
      <c r="F108" s="80"/>
    </row>
    <row r="109" spans="2:6" x14ac:dyDescent="0.3">
      <c r="B109" s="176"/>
      <c r="C109" s="177"/>
      <c r="D109" s="177"/>
      <c r="E109" s="80"/>
      <c r="F109" s="80"/>
    </row>
    <row r="110" spans="2:6" x14ac:dyDescent="0.3">
      <c r="B110" s="176"/>
      <c r="C110" s="177"/>
      <c r="D110" s="177"/>
      <c r="E110" s="80"/>
      <c r="F110" s="80"/>
    </row>
    <row r="111" spans="2:6" x14ac:dyDescent="0.3">
      <c r="B111" s="176"/>
      <c r="C111" s="177"/>
      <c r="D111" s="177"/>
      <c r="E111" s="80"/>
      <c r="F111" s="80"/>
    </row>
    <row r="112" spans="2:6" x14ac:dyDescent="0.3">
      <c r="B112" s="176"/>
      <c r="C112" s="177"/>
      <c r="D112" s="177"/>
      <c r="E112" s="80"/>
      <c r="F112" s="80"/>
    </row>
    <row r="113" spans="2:6" x14ac:dyDescent="0.3">
      <c r="B113" s="176"/>
      <c r="C113" s="177"/>
      <c r="D113" s="177"/>
      <c r="E113" s="80"/>
      <c r="F113" s="80"/>
    </row>
    <row r="114" spans="2:6" x14ac:dyDescent="0.3">
      <c r="B114" s="176"/>
      <c r="C114" s="177"/>
      <c r="D114" s="177"/>
      <c r="E114" s="80"/>
      <c r="F114" s="80"/>
    </row>
    <row r="115" spans="2:6" x14ac:dyDescent="0.3">
      <c r="B115" s="176"/>
      <c r="C115" s="177"/>
      <c r="D115" s="177"/>
      <c r="E115" s="80"/>
      <c r="F115" s="80"/>
    </row>
    <row r="116" spans="2:6" x14ac:dyDescent="0.3">
      <c r="B116" s="176"/>
      <c r="C116" s="177"/>
      <c r="D116" s="177"/>
      <c r="E116" s="80"/>
      <c r="F116" s="80"/>
    </row>
    <row r="117" spans="2:6" x14ac:dyDescent="0.3">
      <c r="B117" s="176"/>
      <c r="C117" s="177"/>
      <c r="D117" s="177"/>
      <c r="E117" s="80"/>
      <c r="F117" s="80"/>
    </row>
    <row r="118" spans="2:6" x14ac:dyDescent="0.3">
      <c r="B118" s="176"/>
      <c r="C118" s="177"/>
      <c r="D118" s="177"/>
      <c r="E118" s="80"/>
      <c r="F118" s="80"/>
    </row>
    <row r="119" spans="2:6" x14ac:dyDescent="0.3">
      <c r="B119" s="176"/>
      <c r="C119" s="177"/>
      <c r="D119" s="177"/>
      <c r="E119" s="80"/>
      <c r="F119" s="80"/>
    </row>
    <row r="120" spans="2:6" x14ac:dyDescent="0.3">
      <c r="B120" s="176"/>
      <c r="C120" s="177"/>
      <c r="D120" s="177"/>
      <c r="E120" s="80"/>
      <c r="F120" s="80"/>
    </row>
    <row r="121" spans="2:6" x14ac:dyDescent="0.3">
      <c r="B121" s="176"/>
      <c r="C121" s="177"/>
      <c r="D121" s="177"/>
      <c r="E121" s="80"/>
      <c r="F121" s="80"/>
    </row>
    <row r="122" spans="2:6" x14ac:dyDescent="0.3">
      <c r="B122" s="176"/>
      <c r="C122" s="177"/>
      <c r="D122" s="177"/>
      <c r="E122" s="80"/>
      <c r="F122" s="80"/>
    </row>
    <row r="123" spans="2:6" x14ac:dyDescent="0.3">
      <c r="B123" s="176"/>
      <c r="C123" s="177"/>
      <c r="D123" s="177"/>
      <c r="E123" s="80"/>
      <c r="F123" s="80"/>
    </row>
    <row r="124" spans="2:6" x14ac:dyDescent="0.3">
      <c r="B124" s="176"/>
      <c r="C124" s="177"/>
      <c r="D124" s="177"/>
      <c r="E124" s="80"/>
      <c r="F124" s="80"/>
    </row>
    <row r="125" spans="2:6" x14ac:dyDescent="0.3">
      <c r="B125" s="176"/>
      <c r="C125" s="177"/>
      <c r="D125" s="177"/>
      <c r="E125" s="80"/>
      <c r="F125" s="80"/>
    </row>
    <row r="126" spans="2:6" x14ac:dyDescent="0.3">
      <c r="B126" s="176"/>
      <c r="C126" s="177"/>
      <c r="D126" s="177"/>
      <c r="E126" s="80"/>
      <c r="F126" s="80"/>
    </row>
    <row r="127" spans="2:6" x14ac:dyDescent="0.3">
      <c r="B127" s="176"/>
      <c r="C127" s="177"/>
      <c r="D127" s="177"/>
      <c r="E127" s="80"/>
      <c r="F127" s="80"/>
    </row>
    <row r="128" spans="2:6" x14ac:dyDescent="0.3">
      <c r="B128" s="176"/>
      <c r="C128" s="177"/>
      <c r="D128" s="177"/>
      <c r="E128" s="80"/>
      <c r="F128" s="80"/>
    </row>
    <row r="129" spans="2:6" x14ac:dyDescent="0.3">
      <c r="B129" s="176"/>
      <c r="C129" s="177"/>
      <c r="D129" s="177"/>
      <c r="E129" s="80"/>
      <c r="F129" s="80"/>
    </row>
    <row r="130" spans="2:6" x14ac:dyDescent="0.3">
      <c r="B130" s="176"/>
      <c r="C130" s="177"/>
      <c r="D130" s="177"/>
      <c r="E130" s="80"/>
      <c r="F130" s="80"/>
    </row>
    <row r="131" spans="2:6" x14ac:dyDescent="0.3">
      <c r="B131" s="176"/>
      <c r="C131" s="177"/>
      <c r="D131" s="177"/>
      <c r="E131" s="80"/>
      <c r="F131" s="80"/>
    </row>
    <row r="132" spans="2:6" x14ac:dyDescent="0.3">
      <c r="B132" s="176"/>
      <c r="C132" s="177"/>
      <c r="D132" s="177"/>
      <c r="E132" s="80"/>
      <c r="F132" s="80"/>
    </row>
    <row r="133" spans="2:6" x14ac:dyDescent="0.3">
      <c r="B133" s="176"/>
      <c r="C133" s="177"/>
      <c r="D133" s="177"/>
      <c r="E133" s="80"/>
      <c r="F133" s="80"/>
    </row>
    <row r="134" spans="2:6" x14ac:dyDescent="0.3">
      <c r="B134" s="176"/>
      <c r="C134" s="177"/>
      <c r="D134" s="177"/>
      <c r="E134" s="80"/>
      <c r="F134" s="80"/>
    </row>
    <row r="135" spans="2:6" x14ac:dyDescent="0.3">
      <c r="B135" s="176"/>
      <c r="C135" s="177"/>
      <c r="D135" s="177"/>
      <c r="E135" s="80"/>
      <c r="F135" s="80"/>
    </row>
    <row r="136" spans="2:6" x14ac:dyDescent="0.3">
      <c r="B136" s="176"/>
      <c r="C136" s="177"/>
      <c r="D136" s="177"/>
      <c r="E136" s="80"/>
      <c r="F136" s="80"/>
    </row>
    <row r="137" spans="2:6" x14ac:dyDescent="0.3">
      <c r="B137" s="176"/>
      <c r="C137" s="177"/>
      <c r="D137" s="177"/>
      <c r="E137" s="80"/>
      <c r="F137" s="80"/>
    </row>
    <row r="138" spans="2:6" x14ac:dyDescent="0.3">
      <c r="B138" s="176"/>
      <c r="C138" s="177"/>
      <c r="D138" s="177"/>
      <c r="E138" s="80"/>
      <c r="F138" s="80"/>
    </row>
    <row r="139" spans="2:6" x14ac:dyDescent="0.3">
      <c r="B139" s="176"/>
      <c r="C139" s="177"/>
      <c r="D139" s="177"/>
      <c r="E139" s="80"/>
      <c r="F139" s="80"/>
    </row>
    <row r="140" spans="2:6" x14ac:dyDescent="0.3">
      <c r="B140" s="176"/>
      <c r="C140" s="177"/>
      <c r="D140" s="177"/>
      <c r="E140" s="80"/>
      <c r="F140" s="80"/>
    </row>
    <row r="141" spans="2:6" x14ac:dyDescent="0.3">
      <c r="B141" s="176"/>
      <c r="C141" s="177"/>
      <c r="D141" s="177"/>
      <c r="E141" s="80"/>
      <c r="F141" s="80"/>
    </row>
    <row r="142" spans="2:6" x14ac:dyDescent="0.3">
      <c r="B142" s="176"/>
      <c r="C142" s="177"/>
      <c r="D142" s="177"/>
      <c r="E142" s="80"/>
      <c r="F142" s="80"/>
    </row>
    <row r="143" spans="2:6" x14ac:dyDescent="0.3">
      <c r="B143" s="176"/>
      <c r="C143" s="177"/>
      <c r="D143" s="177"/>
      <c r="E143" s="80"/>
      <c r="F143" s="80"/>
    </row>
    <row r="144" spans="2:6" x14ac:dyDescent="0.3">
      <c r="B144" s="176"/>
      <c r="C144" s="177"/>
      <c r="D144" s="177"/>
      <c r="E144" s="80"/>
      <c r="F144" s="80"/>
    </row>
    <row r="145" spans="2:6" x14ac:dyDescent="0.3">
      <c r="B145" s="176"/>
      <c r="C145" s="177"/>
      <c r="D145" s="177"/>
      <c r="E145" s="80"/>
      <c r="F145" s="80"/>
    </row>
    <row r="146" spans="2:6" x14ac:dyDescent="0.3">
      <c r="B146" s="176"/>
      <c r="C146" s="177"/>
      <c r="D146" s="177"/>
      <c r="E146" s="80"/>
      <c r="F146" s="80"/>
    </row>
    <row r="147" spans="2:6" x14ac:dyDescent="0.3">
      <c r="B147" s="176"/>
      <c r="C147" s="177"/>
      <c r="D147" s="177"/>
      <c r="E147" s="80"/>
      <c r="F147" s="80"/>
    </row>
    <row r="148" spans="2:6" x14ac:dyDescent="0.3">
      <c r="B148" s="176"/>
      <c r="C148" s="177"/>
      <c r="D148" s="177"/>
      <c r="E148" s="80"/>
      <c r="F148" s="80"/>
    </row>
    <row r="149" spans="2:6" x14ac:dyDescent="0.3">
      <c r="B149" s="176"/>
      <c r="C149" s="177"/>
      <c r="D149" s="177"/>
      <c r="E149" s="80"/>
      <c r="F149" s="80"/>
    </row>
    <row r="150" spans="2:6" x14ac:dyDescent="0.3">
      <c r="B150" s="176"/>
      <c r="C150" s="177"/>
      <c r="D150" s="177"/>
      <c r="E150" s="80"/>
      <c r="F150" s="80"/>
    </row>
    <row r="151" spans="2:6" x14ac:dyDescent="0.3">
      <c r="B151" s="176"/>
      <c r="C151" s="177"/>
      <c r="D151" s="177"/>
      <c r="E151" s="80"/>
      <c r="F151" s="80"/>
    </row>
    <row r="152" spans="2:6" x14ac:dyDescent="0.3">
      <c r="B152" s="176"/>
      <c r="C152" s="177"/>
      <c r="D152" s="177"/>
      <c r="E152" s="80"/>
      <c r="F152" s="80"/>
    </row>
    <row r="153" spans="2:6" x14ac:dyDescent="0.3">
      <c r="B153" s="176"/>
      <c r="C153" s="177"/>
      <c r="D153" s="177"/>
      <c r="E153" s="80"/>
      <c r="F153" s="80"/>
    </row>
    <row r="154" spans="2:6" x14ac:dyDescent="0.3">
      <c r="B154" s="176"/>
      <c r="C154" s="177"/>
      <c r="D154" s="177"/>
      <c r="E154" s="80"/>
      <c r="F154" s="80"/>
    </row>
    <row r="155" spans="2:6" x14ac:dyDescent="0.3">
      <c r="B155" s="176"/>
      <c r="C155" s="177"/>
      <c r="D155" s="177"/>
      <c r="E155" s="80"/>
      <c r="F155" s="80"/>
    </row>
    <row r="156" spans="2:6" x14ac:dyDescent="0.3">
      <c r="B156" s="176"/>
      <c r="C156" s="177"/>
      <c r="D156" s="177"/>
      <c r="E156" s="80"/>
      <c r="F156" s="80"/>
    </row>
    <row r="157" spans="2:6" x14ac:dyDescent="0.3">
      <c r="B157" s="176"/>
      <c r="C157" s="177"/>
      <c r="D157" s="177"/>
      <c r="E157" s="80"/>
      <c r="F157" s="80"/>
    </row>
    <row r="158" spans="2:6" x14ac:dyDescent="0.3">
      <c r="B158" s="176"/>
      <c r="C158" s="177"/>
      <c r="D158" s="177"/>
      <c r="E158" s="80"/>
      <c r="F158" s="80"/>
    </row>
    <row r="159" spans="2:6" x14ac:dyDescent="0.3">
      <c r="B159" s="176"/>
      <c r="C159" s="177"/>
      <c r="D159" s="177"/>
      <c r="E159" s="80"/>
      <c r="F159" s="80"/>
    </row>
    <row r="160" spans="2:6" x14ac:dyDescent="0.3">
      <c r="B160" s="176"/>
      <c r="C160" s="177"/>
      <c r="D160" s="177"/>
      <c r="E160" s="80"/>
      <c r="F160" s="80"/>
    </row>
    <row r="161" spans="2:6" x14ac:dyDescent="0.3">
      <c r="B161" s="176"/>
      <c r="C161" s="177"/>
      <c r="D161" s="177"/>
      <c r="E161" s="80"/>
      <c r="F161" s="80"/>
    </row>
    <row r="162" spans="2:6" x14ac:dyDescent="0.3">
      <c r="B162" s="176"/>
      <c r="C162" s="177"/>
      <c r="D162" s="177"/>
      <c r="E162" s="80"/>
      <c r="F162" s="80"/>
    </row>
    <row r="163" spans="2:6" x14ac:dyDescent="0.3">
      <c r="B163" s="176"/>
      <c r="C163" s="177"/>
      <c r="D163" s="177"/>
      <c r="E163" s="80"/>
      <c r="F163" s="80"/>
    </row>
    <row r="164" spans="2:6" x14ac:dyDescent="0.3">
      <c r="B164" s="176"/>
      <c r="C164" s="177"/>
      <c r="D164" s="177"/>
      <c r="E164" s="80"/>
      <c r="F164" s="80"/>
    </row>
    <row r="165" spans="2:6" x14ac:dyDescent="0.3">
      <c r="B165" s="176"/>
      <c r="C165" s="177"/>
      <c r="D165" s="177"/>
      <c r="E165" s="80"/>
      <c r="F165" s="80"/>
    </row>
    <row r="166" spans="2:6" x14ac:dyDescent="0.3">
      <c r="B166" s="176"/>
      <c r="C166" s="177"/>
      <c r="D166" s="177"/>
      <c r="E166" s="80"/>
      <c r="F166" s="80"/>
    </row>
    <row r="167" spans="2:6" x14ac:dyDescent="0.3">
      <c r="B167" s="176"/>
      <c r="C167" s="177"/>
      <c r="D167" s="177"/>
      <c r="E167" s="80"/>
      <c r="F167" s="80"/>
    </row>
    <row r="168" spans="2:6" x14ac:dyDescent="0.3">
      <c r="B168" s="176"/>
      <c r="C168" s="177"/>
      <c r="D168" s="177"/>
      <c r="E168" s="80"/>
      <c r="F168" s="80"/>
    </row>
    <row r="169" spans="2:6" x14ac:dyDescent="0.3">
      <c r="B169" s="176"/>
      <c r="C169" s="177"/>
      <c r="D169" s="177"/>
      <c r="E169" s="80"/>
      <c r="F169" s="80"/>
    </row>
    <row r="170" spans="2:6" x14ac:dyDescent="0.3">
      <c r="B170" s="176"/>
      <c r="C170" s="177"/>
      <c r="D170" s="177"/>
      <c r="E170" s="80"/>
      <c r="F170" s="80"/>
    </row>
    <row r="171" spans="2:6" x14ac:dyDescent="0.3">
      <c r="B171" s="176"/>
      <c r="C171" s="177"/>
      <c r="D171" s="177"/>
      <c r="E171" s="80"/>
      <c r="F171" s="80"/>
    </row>
    <row r="172" spans="2:6" x14ac:dyDescent="0.3">
      <c r="B172" s="176"/>
      <c r="C172" s="177"/>
      <c r="D172" s="177"/>
      <c r="E172" s="80"/>
      <c r="F172" s="80"/>
    </row>
    <row r="173" spans="2:6" x14ac:dyDescent="0.3">
      <c r="B173" s="176"/>
      <c r="C173" s="177"/>
      <c r="D173" s="177"/>
      <c r="E173" s="80"/>
      <c r="F173" s="80"/>
    </row>
    <row r="174" spans="2:6" x14ac:dyDescent="0.3">
      <c r="B174" s="176"/>
      <c r="C174" s="177"/>
      <c r="D174" s="177"/>
      <c r="E174" s="80"/>
      <c r="F174" s="80"/>
    </row>
    <row r="175" spans="2:6" x14ac:dyDescent="0.3">
      <c r="B175" s="176"/>
      <c r="C175" s="177"/>
      <c r="D175" s="177"/>
      <c r="E175" s="80"/>
      <c r="F175" s="80"/>
    </row>
    <row r="176" spans="2:6" x14ac:dyDescent="0.3">
      <c r="B176" s="176"/>
      <c r="C176" s="177"/>
      <c r="D176" s="177"/>
      <c r="E176" s="80"/>
      <c r="F176" s="80"/>
    </row>
    <row r="177" spans="2:6" x14ac:dyDescent="0.3">
      <c r="B177" s="176"/>
      <c r="C177" s="177"/>
      <c r="D177" s="177"/>
      <c r="E177" s="80"/>
      <c r="F177" s="80"/>
    </row>
    <row r="178" spans="2:6" x14ac:dyDescent="0.3">
      <c r="B178" s="176"/>
      <c r="C178" s="177"/>
      <c r="D178" s="177"/>
      <c r="E178" s="80"/>
      <c r="F178" s="80"/>
    </row>
    <row r="179" spans="2:6" x14ac:dyDescent="0.3">
      <c r="B179" s="176"/>
      <c r="C179" s="177"/>
      <c r="D179" s="177"/>
      <c r="E179" s="80"/>
      <c r="F179" s="80"/>
    </row>
    <row r="180" spans="2:6" x14ac:dyDescent="0.3">
      <c r="B180" s="176"/>
      <c r="C180" s="177"/>
      <c r="D180" s="177"/>
      <c r="E180" s="80"/>
      <c r="F180" s="80"/>
    </row>
    <row r="181" spans="2:6" x14ac:dyDescent="0.3">
      <c r="B181" s="176"/>
      <c r="C181" s="177"/>
      <c r="D181" s="177"/>
      <c r="E181" s="80"/>
      <c r="F181" s="80"/>
    </row>
    <row r="182" spans="2:6" x14ac:dyDescent="0.3">
      <c r="B182" s="176"/>
      <c r="C182" s="177"/>
      <c r="D182" s="177"/>
      <c r="E182" s="80"/>
      <c r="F182" s="80"/>
    </row>
    <row r="183" spans="2:6" x14ac:dyDescent="0.3">
      <c r="B183" s="176"/>
      <c r="C183" s="177"/>
      <c r="D183" s="177"/>
      <c r="E183" s="80"/>
      <c r="F183" s="80"/>
    </row>
    <row r="184" spans="2:6" x14ac:dyDescent="0.3">
      <c r="B184" s="176"/>
      <c r="C184" s="177"/>
      <c r="D184" s="177"/>
      <c r="E184" s="80"/>
      <c r="F184" s="80"/>
    </row>
    <row r="185" spans="2:6" x14ac:dyDescent="0.3">
      <c r="B185" s="176"/>
      <c r="C185" s="177"/>
      <c r="D185" s="177"/>
      <c r="E185" s="80"/>
      <c r="F185" s="80"/>
    </row>
    <row r="186" spans="2:6" x14ac:dyDescent="0.3">
      <c r="B186" s="176"/>
      <c r="C186" s="177"/>
      <c r="D186" s="177"/>
      <c r="E186" s="80"/>
      <c r="F186" s="80"/>
    </row>
    <row r="187" spans="2:6" x14ac:dyDescent="0.3">
      <c r="B187" s="176"/>
      <c r="C187" s="177"/>
      <c r="D187" s="177"/>
      <c r="E187" s="80"/>
      <c r="F187" s="80"/>
    </row>
    <row r="188" spans="2:6" x14ac:dyDescent="0.3">
      <c r="B188" s="176"/>
      <c r="C188" s="177"/>
      <c r="D188" s="177"/>
      <c r="E188" s="80"/>
      <c r="F188" s="80"/>
    </row>
    <row r="189" spans="2:6" x14ac:dyDescent="0.3">
      <c r="B189" s="176"/>
      <c r="C189" s="177"/>
      <c r="D189" s="177"/>
      <c r="E189" s="80"/>
      <c r="F189" s="80"/>
    </row>
    <row r="190" spans="2:6" x14ac:dyDescent="0.3">
      <c r="B190" s="176"/>
      <c r="C190" s="177"/>
      <c r="D190" s="177"/>
      <c r="E190" s="80"/>
      <c r="F190" s="80"/>
    </row>
    <row r="191" spans="2:6" x14ac:dyDescent="0.3">
      <c r="B191" s="176"/>
      <c r="C191" s="177"/>
      <c r="D191" s="177"/>
      <c r="E191" s="80"/>
      <c r="F191" s="80"/>
    </row>
    <row r="192" spans="2:6" x14ac:dyDescent="0.3">
      <c r="B192" s="176"/>
      <c r="C192" s="177"/>
      <c r="D192" s="177"/>
      <c r="E192" s="80"/>
      <c r="F192" s="80"/>
    </row>
    <row r="193" spans="2:6" x14ac:dyDescent="0.3">
      <c r="B193" s="176"/>
      <c r="C193" s="177"/>
      <c r="D193" s="177"/>
      <c r="E193" s="80"/>
      <c r="F193" s="80"/>
    </row>
    <row r="194" spans="2:6" x14ac:dyDescent="0.3">
      <c r="B194" s="176"/>
      <c r="C194" s="177"/>
      <c r="D194" s="177"/>
      <c r="E194" s="80"/>
      <c r="F194" s="80"/>
    </row>
    <row r="195" spans="2:6" x14ac:dyDescent="0.3">
      <c r="B195" s="176"/>
      <c r="C195" s="177"/>
      <c r="D195" s="177"/>
      <c r="E195" s="80"/>
      <c r="F195" s="80"/>
    </row>
    <row r="196" spans="2:6" x14ac:dyDescent="0.3">
      <c r="B196" s="176"/>
      <c r="C196" s="177"/>
      <c r="D196" s="177"/>
      <c r="E196" s="80"/>
      <c r="F196" s="80"/>
    </row>
    <row r="197" spans="2:6" x14ac:dyDescent="0.3">
      <c r="B197" s="176"/>
      <c r="C197" s="177"/>
      <c r="D197" s="177"/>
      <c r="E197" s="80"/>
      <c r="F197" s="80"/>
    </row>
    <row r="198" spans="2:6" x14ac:dyDescent="0.3">
      <c r="B198" s="176"/>
      <c r="C198" s="177"/>
      <c r="D198" s="177"/>
      <c r="E198" s="80"/>
      <c r="F198" s="80"/>
    </row>
    <row r="199" spans="2:6" x14ac:dyDescent="0.3">
      <c r="B199" s="176"/>
      <c r="C199" s="177"/>
      <c r="D199" s="177"/>
      <c r="E199" s="80"/>
      <c r="F199" s="80"/>
    </row>
    <row r="200" spans="2:6" x14ac:dyDescent="0.3">
      <c r="B200" s="176"/>
      <c r="C200" s="177"/>
      <c r="D200" s="177"/>
      <c r="E200" s="80"/>
      <c r="F200" s="80"/>
    </row>
    <row r="201" spans="2:6" x14ac:dyDescent="0.3">
      <c r="B201" s="176"/>
      <c r="C201" s="177"/>
      <c r="D201" s="177"/>
      <c r="E201" s="80"/>
      <c r="F201" s="80"/>
    </row>
    <row r="202" spans="2:6" x14ac:dyDescent="0.3">
      <c r="B202" s="176"/>
      <c r="C202" s="177"/>
      <c r="D202" s="177"/>
      <c r="E202" s="80"/>
      <c r="F202" s="80"/>
    </row>
    <row r="203" spans="2:6" x14ac:dyDescent="0.3">
      <c r="B203" s="176"/>
      <c r="C203" s="177"/>
      <c r="D203" s="177"/>
      <c r="E203" s="80"/>
      <c r="F203" s="80"/>
    </row>
    <row r="204" spans="2:6" x14ac:dyDescent="0.3">
      <c r="B204" s="176"/>
      <c r="C204" s="177"/>
      <c r="D204" s="177"/>
      <c r="E204" s="80"/>
      <c r="F204" s="80"/>
    </row>
    <row r="205" spans="2:6" x14ac:dyDescent="0.3">
      <c r="B205" s="176"/>
      <c r="C205" s="177"/>
      <c r="D205" s="177"/>
      <c r="E205" s="80"/>
      <c r="F205" s="80"/>
    </row>
    <row r="206" spans="2:6" x14ac:dyDescent="0.3">
      <c r="B206" s="176"/>
      <c r="C206" s="177"/>
      <c r="D206" s="177"/>
      <c r="E206" s="80"/>
      <c r="F206" s="80"/>
    </row>
    <row r="207" spans="2:6" x14ac:dyDescent="0.3">
      <c r="B207" s="176"/>
      <c r="C207" s="177"/>
      <c r="D207" s="177"/>
      <c r="E207" s="80"/>
      <c r="F207" s="80"/>
    </row>
    <row r="208" spans="2:6" x14ac:dyDescent="0.3">
      <c r="B208" s="176"/>
      <c r="C208" s="177"/>
      <c r="D208" s="177"/>
      <c r="E208" s="80"/>
      <c r="F208" s="80"/>
    </row>
    <row r="209" spans="2:6" x14ac:dyDescent="0.3">
      <c r="B209" s="176"/>
      <c r="C209" s="177"/>
      <c r="D209" s="177"/>
      <c r="E209" s="80"/>
      <c r="F209" s="80"/>
    </row>
    <row r="210" spans="2:6" x14ac:dyDescent="0.3">
      <c r="B210" s="176"/>
      <c r="C210" s="177"/>
      <c r="D210" s="177"/>
      <c r="E210" s="80"/>
      <c r="F210" s="80"/>
    </row>
    <row r="211" spans="2:6" x14ac:dyDescent="0.3">
      <c r="B211" s="176"/>
      <c r="C211" s="177"/>
      <c r="D211" s="177"/>
      <c r="E211" s="80"/>
      <c r="F211" s="80"/>
    </row>
    <row r="212" spans="2:6" x14ac:dyDescent="0.3">
      <c r="B212" s="176"/>
      <c r="C212" s="177"/>
      <c r="D212" s="177"/>
      <c r="E212" s="80"/>
      <c r="F212" s="80"/>
    </row>
    <row r="213" spans="2:6" x14ac:dyDescent="0.3">
      <c r="B213" s="176"/>
      <c r="C213" s="177"/>
      <c r="D213" s="177"/>
      <c r="E213" s="80"/>
      <c r="F213" s="80"/>
    </row>
    <row r="214" spans="2:6" x14ac:dyDescent="0.3">
      <c r="B214" s="176"/>
      <c r="C214" s="177"/>
      <c r="D214" s="177"/>
      <c r="E214" s="80"/>
      <c r="F214" s="80"/>
    </row>
    <row r="215" spans="2:6" x14ac:dyDescent="0.3">
      <c r="B215" s="176"/>
      <c r="C215" s="177"/>
      <c r="D215" s="177"/>
      <c r="E215" s="80"/>
      <c r="F215" s="80"/>
    </row>
    <row r="216" spans="2:6" x14ac:dyDescent="0.3">
      <c r="B216" s="176"/>
      <c r="C216" s="177"/>
      <c r="D216" s="177"/>
      <c r="E216" s="80"/>
      <c r="F216" s="80"/>
    </row>
    <row r="217" spans="2:6" x14ac:dyDescent="0.3">
      <c r="B217" s="176"/>
      <c r="C217" s="177"/>
      <c r="D217" s="177"/>
      <c r="E217" s="80"/>
      <c r="F217" s="80"/>
    </row>
    <row r="218" spans="2:6" x14ac:dyDescent="0.3">
      <c r="B218" s="176"/>
      <c r="C218" s="177"/>
      <c r="D218" s="177"/>
      <c r="E218" s="80"/>
      <c r="F218" s="80"/>
    </row>
    <row r="219" spans="2:6" x14ac:dyDescent="0.3">
      <c r="B219" s="176"/>
      <c r="C219" s="177"/>
      <c r="D219" s="177"/>
      <c r="E219" s="80"/>
      <c r="F219" s="80"/>
    </row>
    <row r="220" spans="2:6" x14ac:dyDescent="0.3">
      <c r="B220" s="176"/>
      <c r="C220" s="177"/>
      <c r="D220" s="177"/>
      <c r="E220" s="80"/>
      <c r="F220" s="80"/>
    </row>
    <row r="221" spans="2:6" x14ac:dyDescent="0.3">
      <c r="B221" s="176"/>
      <c r="C221" s="177"/>
      <c r="D221" s="177"/>
      <c r="E221" s="80"/>
      <c r="F221" s="80"/>
    </row>
    <row r="222" spans="2:6" x14ac:dyDescent="0.3">
      <c r="B222" s="176"/>
      <c r="C222" s="177"/>
      <c r="D222" s="177"/>
      <c r="E222" s="80"/>
      <c r="F222" s="80"/>
    </row>
    <row r="223" spans="2:6" x14ac:dyDescent="0.3">
      <c r="B223" s="176"/>
      <c r="C223" s="177"/>
      <c r="D223" s="177"/>
      <c r="E223" s="80"/>
      <c r="F223" s="80"/>
    </row>
    <row r="224" spans="2:6" x14ac:dyDescent="0.3">
      <c r="B224" s="176"/>
      <c r="C224" s="177"/>
      <c r="D224" s="177"/>
      <c r="E224" s="80"/>
      <c r="F224" s="80"/>
    </row>
    <row r="225" spans="2:6" x14ac:dyDescent="0.3">
      <c r="B225" s="176"/>
      <c r="C225" s="177"/>
      <c r="D225" s="177"/>
      <c r="E225" s="80"/>
      <c r="F225" s="80"/>
    </row>
    <row r="226" spans="2:6" x14ac:dyDescent="0.3">
      <c r="B226" s="176"/>
      <c r="C226" s="177"/>
      <c r="D226" s="177"/>
      <c r="E226" s="80"/>
      <c r="F226" s="80"/>
    </row>
    <row r="227" spans="2:6" x14ac:dyDescent="0.3">
      <c r="B227" s="176"/>
      <c r="C227" s="177"/>
      <c r="D227" s="177"/>
      <c r="E227" s="80"/>
      <c r="F227" s="80"/>
    </row>
    <row r="228" spans="2:6" x14ac:dyDescent="0.3">
      <c r="B228" s="176"/>
      <c r="C228" s="177"/>
      <c r="D228" s="177"/>
      <c r="E228" s="80"/>
      <c r="F228" s="80"/>
    </row>
    <row r="229" spans="2:6" x14ac:dyDescent="0.3">
      <c r="B229" s="176"/>
      <c r="C229" s="177"/>
      <c r="D229" s="177"/>
      <c r="E229" s="80"/>
      <c r="F229" s="80"/>
    </row>
    <row r="230" spans="2:6" x14ac:dyDescent="0.3">
      <c r="B230" s="176"/>
      <c r="C230" s="177"/>
      <c r="D230" s="177"/>
      <c r="E230" s="80"/>
      <c r="F230" s="80"/>
    </row>
    <row r="231" spans="2:6" x14ac:dyDescent="0.3">
      <c r="B231" s="176"/>
      <c r="C231" s="177"/>
      <c r="D231" s="177"/>
      <c r="E231" s="80"/>
      <c r="F231" s="80"/>
    </row>
    <row r="232" spans="2:6" x14ac:dyDescent="0.3">
      <c r="B232" s="176"/>
      <c r="C232" s="177"/>
      <c r="D232" s="177"/>
      <c r="E232" s="80"/>
      <c r="F232" s="80"/>
    </row>
    <row r="233" spans="2:6" x14ac:dyDescent="0.3">
      <c r="B233" s="176"/>
      <c r="C233" s="177"/>
      <c r="D233" s="177"/>
      <c r="E233" s="80"/>
      <c r="F233" s="80"/>
    </row>
    <row r="234" spans="2:6" x14ac:dyDescent="0.3">
      <c r="B234" s="176"/>
      <c r="C234" s="177"/>
      <c r="D234" s="177"/>
      <c r="E234" s="80"/>
      <c r="F234" s="80"/>
    </row>
    <row r="235" spans="2:6" x14ac:dyDescent="0.3">
      <c r="B235" s="176"/>
      <c r="C235" s="177"/>
      <c r="D235" s="177"/>
      <c r="E235" s="80"/>
      <c r="F235" s="80"/>
    </row>
    <row r="236" spans="2:6" x14ac:dyDescent="0.3">
      <c r="B236" s="176"/>
      <c r="C236" s="177"/>
      <c r="D236" s="177"/>
      <c r="E236" s="80"/>
      <c r="F236" s="80"/>
    </row>
    <row r="237" spans="2:6" x14ac:dyDescent="0.3">
      <c r="B237" s="176"/>
      <c r="C237" s="177"/>
      <c r="D237" s="177"/>
      <c r="E237" s="80"/>
      <c r="F237" s="80"/>
    </row>
    <row r="238" spans="2:6" x14ac:dyDescent="0.3">
      <c r="B238" s="176"/>
      <c r="C238" s="177"/>
      <c r="D238" s="177"/>
      <c r="E238" s="80"/>
      <c r="F238" s="80"/>
    </row>
    <row r="239" spans="2:6" x14ac:dyDescent="0.3">
      <c r="B239" s="176"/>
      <c r="C239" s="177"/>
      <c r="D239" s="177"/>
      <c r="E239" s="80"/>
      <c r="F239" s="80"/>
    </row>
    <row r="240" spans="2:6" x14ac:dyDescent="0.3">
      <c r="B240" s="176"/>
      <c r="C240" s="177"/>
      <c r="D240" s="177"/>
      <c r="E240" s="80"/>
      <c r="F240" s="80"/>
    </row>
    <row r="241" spans="2:6" x14ac:dyDescent="0.3">
      <c r="B241" s="176"/>
      <c r="C241" s="177"/>
      <c r="D241" s="177"/>
      <c r="E241" s="80"/>
      <c r="F241" s="80"/>
    </row>
    <row r="242" spans="2:6" x14ac:dyDescent="0.3">
      <c r="B242" s="176"/>
      <c r="C242" s="177"/>
      <c r="D242" s="177"/>
      <c r="E242" s="80"/>
      <c r="F242" s="80"/>
    </row>
    <row r="243" spans="2:6" x14ac:dyDescent="0.3">
      <c r="B243" s="176"/>
      <c r="C243" s="177"/>
      <c r="D243" s="177"/>
      <c r="E243" s="80"/>
      <c r="F243" s="80"/>
    </row>
    <row r="244" spans="2:6" x14ac:dyDescent="0.3">
      <c r="B244" s="176"/>
      <c r="C244" s="177"/>
      <c r="D244" s="177"/>
      <c r="E244" s="80"/>
      <c r="F244" s="80"/>
    </row>
    <row r="245" spans="2:6" x14ac:dyDescent="0.3">
      <c r="B245" s="176"/>
      <c r="C245" s="177"/>
      <c r="D245" s="177"/>
      <c r="E245" s="80"/>
      <c r="F245" s="80"/>
    </row>
    <row r="246" spans="2:6" x14ac:dyDescent="0.3">
      <c r="B246" s="176"/>
      <c r="C246" s="177"/>
      <c r="D246" s="177"/>
      <c r="E246" s="80"/>
      <c r="F246" s="80"/>
    </row>
    <row r="247" spans="2:6" x14ac:dyDescent="0.3">
      <c r="B247" s="176"/>
      <c r="C247" s="177"/>
      <c r="D247" s="177"/>
      <c r="E247" s="80"/>
      <c r="F247" s="80"/>
    </row>
    <row r="248" spans="2:6" x14ac:dyDescent="0.3">
      <c r="B248" s="176"/>
      <c r="C248" s="177"/>
      <c r="D248" s="177"/>
      <c r="E248" s="80"/>
      <c r="F248" s="80"/>
    </row>
    <row r="249" spans="2:6" x14ac:dyDescent="0.3">
      <c r="B249" s="176"/>
      <c r="C249" s="177"/>
      <c r="D249" s="177"/>
      <c r="E249" s="80"/>
      <c r="F249" s="80"/>
    </row>
    <row r="250" spans="2:6" x14ac:dyDescent="0.3">
      <c r="B250" s="176"/>
      <c r="C250" s="177"/>
      <c r="D250" s="177"/>
      <c r="E250" s="80"/>
      <c r="F250" s="80"/>
    </row>
    <row r="251" spans="2:6" x14ac:dyDescent="0.3">
      <c r="B251" s="176"/>
      <c r="C251" s="177"/>
      <c r="D251" s="177"/>
      <c r="E251" s="80"/>
      <c r="F251" s="80"/>
    </row>
    <row r="252" spans="2:6" x14ac:dyDescent="0.3">
      <c r="B252" s="176"/>
      <c r="C252" s="177"/>
      <c r="D252" s="177"/>
      <c r="E252" s="80"/>
      <c r="F252" s="80"/>
    </row>
    <row r="253" spans="2:6" x14ac:dyDescent="0.3">
      <c r="B253" s="176"/>
      <c r="C253" s="177"/>
      <c r="D253" s="177"/>
      <c r="E253" s="80"/>
      <c r="F253" s="80"/>
    </row>
    <row r="254" spans="2:6" x14ac:dyDescent="0.3">
      <c r="B254" s="176"/>
      <c r="C254" s="177"/>
      <c r="D254" s="177"/>
      <c r="E254" s="80"/>
      <c r="F254" s="80"/>
    </row>
    <row r="255" spans="2:6" x14ac:dyDescent="0.3">
      <c r="B255" s="176"/>
      <c r="C255" s="177"/>
      <c r="D255" s="177"/>
      <c r="E255" s="80"/>
      <c r="F255" s="80"/>
    </row>
    <row r="256" spans="2:6" x14ac:dyDescent="0.3">
      <c r="B256" s="176"/>
      <c r="C256" s="177"/>
      <c r="D256" s="177"/>
      <c r="E256" s="80"/>
      <c r="F256" s="80"/>
    </row>
    <row r="257" spans="2:6" x14ac:dyDescent="0.3">
      <c r="B257" s="176"/>
      <c r="C257" s="177"/>
      <c r="D257" s="177"/>
      <c r="E257" s="80"/>
      <c r="F257" s="80"/>
    </row>
    <row r="258" spans="2:6" x14ac:dyDescent="0.3">
      <c r="B258" s="176"/>
      <c r="C258" s="177"/>
      <c r="D258" s="177"/>
      <c r="E258" s="80"/>
      <c r="F258" s="80"/>
    </row>
    <row r="259" spans="2:6" x14ac:dyDescent="0.3">
      <c r="B259" s="176"/>
      <c r="C259" s="177"/>
      <c r="D259" s="177"/>
      <c r="E259" s="80"/>
      <c r="F259" s="80"/>
    </row>
    <row r="260" spans="2:6" x14ac:dyDescent="0.3">
      <c r="B260" s="176"/>
      <c r="C260" s="177"/>
      <c r="D260" s="177"/>
      <c r="E260" s="80"/>
      <c r="F260" s="80"/>
    </row>
    <row r="261" spans="2:6" x14ac:dyDescent="0.3">
      <c r="B261" s="176"/>
      <c r="C261" s="177"/>
      <c r="D261" s="177"/>
      <c r="E261" s="80"/>
      <c r="F261" s="80"/>
    </row>
    <row r="262" spans="2:6" x14ac:dyDescent="0.3">
      <c r="B262" s="176"/>
      <c r="C262" s="177"/>
      <c r="D262" s="177"/>
      <c r="E262" s="80"/>
      <c r="F262" s="80"/>
    </row>
    <row r="263" spans="2:6" x14ac:dyDescent="0.3">
      <c r="B263" s="176"/>
      <c r="C263" s="177"/>
      <c r="D263" s="177"/>
      <c r="E263" s="80"/>
      <c r="F263" s="80"/>
    </row>
    <row r="264" spans="2:6" x14ac:dyDescent="0.3">
      <c r="B264" s="176"/>
      <c r="C264" s="177"/>
      <c r="D264" s="177"/>
      <c r="E264" s="80"/>
      <c r="F264" s="80"/>
    </row>
    <row r="265" spans="2:6" x14ac:dyDescent="0.3">
      <c r="B265" s="176"/>
      <c r="C265" s="177"/>
      <c r="D265" s="177"/>
      <c r="E265" s="80"/>
      <c r="F265" s="80"/>
    </row>
    <row r="266" spans="2:6" x14ac:dyDescent="0.3">
      <c r="B266" s="176"/>
      <c r="C266" s="177"/>
      <c r="D266" s="177"/>
      <c r="E266" s="80"/>
      <c r="F266" s="80"/>
    </row>
    <row r="267" spans="2:6" x14ac:dyDescent="0.3">
      <c r="B267" s="176"/>
      <c r="C267" s="177"/>
      <c r="D267" s="177"/>
      <c r="E267" s="80"/>
      <c r="F267" s="80"/>
    </row>
    <row r="268" spans="2:6" x14ac:dyDescent="0.3">
      <c r="B268" s="176"/>
      <c r="C268" s="177"/>
      <c r="D268" s="177"/>
      <c r="E268" s="80"/>
      <c r="F268" s="80"/>
    </row>
    <row r="269" spans="2:6" x14ac:dyDescent="0.3">
      <c r="B269" s="176"/>
      <c r="C269" s="177"/>
      <c r="D269" s="177"/>
      <c r="E269" s="80"/>
      <c r="F269" s="80"/>
    </row>
    <row r="270" spans="2:6" x14ac:dyDescent="0.3">
      <c r="B270" s="176"/>
      <c r="C270" s="177"/>
      <c r="D270" s="177"/>
      <c r="E270" s="80"/>
      <c r="F270" s="80"/>
    </row>
    <row r="271" spans="2:6" x14ac:dyDescent="0.3">
      <c r="B271" s="176"/>
      <c r="C271" s="177"/>
      <c r="D271" s="177"/>
      <c r="E271" s="80"/>
      <c r="F271" s="80"/>
    </row>
    <row r="272" spans="2:6" x14ac:dyDescent="0.3">
      <c r="B272" s="176"/>
      <c r="C272" s="177"/>
      <c r="D272" s="177"/>
      <c r="E272" s="80"/>
      <c r="F272" s="80"/>
    </row>
    <row r="273" spans="2:6" x14ac:dyDescent="0.3">
      <c r="B273" s="176"/>
      <c r="C273" s="177"/>
      <c r="D273" s="177"/>
      <c r="E273" s="80"/>
      <c r="F273" s="80"/>
    </row>
    <row r="274" spans="2:6" x14ac:dyDescent="0.3">
      <c r="B274" s="176"/>
      <c r="C274" s="177"/>
      <c r="D274" s="177"/>
      <c r="E274" s="80"/>
      <c r="F274" s="80"/>
    </row>
    <row r="275" spans="2:6" x14ac:dyDescent="0.3">
      <c r="B275" s="176"/>
      <c r="C275" s="177"/>
      <c r="D275" s="177"/>
      <c r="E275" s="80"/>
      <c r="F275" s="80"/>
    </row>
    <row r="276" spans="2:6" x14ac:dyDescent="0.3">
      <c r="B276" s="176"/>
      <c r="C276" s="177"/>
      <c r="D276" s="177"/>
      <c r="E276" s="80"/>
      <c r="F276" s="80"/>
    </row>
    <row r="277" spans="2:6" x14ac:dyDescent="0.3">
      <c r="B277" s="176"/>
      <c r="C277" s="177"/>
      <c r="D277" s="177"/>
      <c r="E277" s="80"/>
      <c r="F277" s="80"/>
    </row>
    <row r="278" spans="2:6" x14ac:dyDescent="0.3">
      <c r="B278" s="176"/>
      <c r="C278" s="177"/>
      <c r="D278" s="177"/>
      <c r="E278" s="80"/>
      <c r="F278" s="80"/>
    </row>
    <row r="279" spans="2:6" x14ac:dyDescent="0.3">
      <c r="B279" s="176"/>
      <c r="C279" s="177"/>
      <c r="D279" s="177"/>
      <c r="E279" s="80"/>
      <c r="F279" s="80"/>
    </row>
    <row r="280" spans="2:6" x14ac:dyDescent="0.3">
      <c r="B280" s="176"/>
      <c r="C280" s="177"/>
      <c r="D280" s="177"/>
      <c r="E280" s="80"/>
      <c r="F280" s="80"/>
    </row>
    <row r="281" spans="2:6" x14ac:dyDescent="0.3">
      <c r="B281" s="176"/>
      <c r="C281" s="177"/>
      <c r="D281" s="177"/>
      <c r="E281" s="80"/>
      <c r="F281" s="80"/>
    </row>
    <row r="282" spans="2:6" x14ac:dyDescent="0.3">
      <c r="B282" s="176"/>
      <c r="C282" s="177"/>
      <c r="D282" s="177"/>
      <c r="E282" s="80"/>
      <c r="F282" s="80"/>
    </row>
    <row r="283" spans="2:6" x14ac:dyDescent="0.3">
      <c r="B283" s="176"/>
      <c r="C283" s="177"/>
      <c r="D283" s="177"/>
      <c r="E283" s="80"/>
      <c r="F283" s="80"/>
    </row>
    <row r="284" spans="2:6" x14ac:dyDescent="0.3">
      <c r="B284" s="176"/>
      <c r="C284" s="177"/>
      <c r="D284" s="177"/>
      <c r="E284" s="80"/>
      <c r="F284" s="80"/>
    </row>
    <row r="285" spans="2:6" x14ac:dyDescent="0.3">
      <c r="B285" s="176"/>
      <c r="C285" s="177"/>
      <c r="D285" s="177"/>
      <c r="E285" s="80"/>
      <c r="F285" s="80"/>
    </row>
    <row r="286" spans="2:6" x14ac:dyDescent="0.3">
      <c r="B286" s="176"/>
      <c r="C286" s="177"/>
      <c r="D286" s="177"/>
      <c r="E286" s="80"/>
      <c r="F286" s="80"/>
    </row>
    <row r="287" spans="2:6" x14ac:dyDescent="0.3">
      <c r="B287" s="176"/>
      <c r="C287" s="177"/>
      <c r="D287" s="177"/>
      <c r="E287" s="80"/>
      <c r="F287" s="80"/>
    </row>
    <row r="288" spans="2:6" x14ac:dyDescent="0.3">
      <c r="B288" s="176"/>
      <c r="C288" s="177"/>
      <c r="D288" s="177"/>
      <c r="E288" s="80"/>
      <c r="F288" s="80"/>
    </row>
    <row r="289" spans="2:6" x14ac:dyDescent="0.3">
      <c r="B289" s="176"/>
      <c r="C289" s="177"/>
      <c r="D289" s="177"/>
      <c r="E289" s="80"/>
      <c r="F289" s="80"/>
    </row>
    <row r="290" spans="2:6" x14ac:dyDescent="0.3">
      <c r="B290" s="176"/>
      <c r="C290" s="177"/>
      <c r="D290" s="177"/>
      <c r="E290" s="80"/>
      <c r="F290" s="80"/>
    </row>
    <row r="291" spans="2:6" x14ac:dyDescent="0.3">
      <c r="B291" s="176"/>
      <c r="C291" s="177"/>
      <c r="D291" s="177"/>
      <c r="E291" s="80"/>
      <c r="F291" s="80"/>
    </row>
    <row r="292" spans="2:6" x14ac:dyDescent="0.3">
      <c r="B292" s="176"/>
      <c r="C292" s="177"/>
      <c r="D292" s="177"/>
      <c r="E292" s="80"/>
      <c r="F292" s="80"/>
    </row>
    <row r="293" spans="2:6" x14ac:dyDescent="0.3">
      <c r="B293" s="176"/>
      <c r="C293" s="177"/>
      <c r="D293" s="177"/>
      <c r="E293" s="80"/>
      <c r="F293" s="80"/>
    </row>
    <row r="294" spans="2:6" x14ac:dyDescent="0.3">
      <c r="B294" s="176"/>
      <c r="C294" s="177"/>
      <c r="D294" s="177"/>
      <c r="E294" s="80"/>
      <c r="F294" s="80"/>
    </row>
    <row r="295" spans="2:6" x14ac:dyDescent="0.3">
      <c r="B295" s="176"/>
      <c r="C295" s="177"/>
      <c r="D295" s="177"/>
      <c r="E295" s="80"/>
      <c r="F295" s="80"/>
    </row>
    <row r="296" spans="2:6" x14ac:dyDescent="0.3">
      <c r="B296" s="176"/>
      <c r="C296" s="177"/>
      <c r="D296" s="177"/>
      <c r="E296" s="80"/>
      <c r="F296" s="80"/>
    </row>
    <row r="297" spans="2:6" x14ac:dyDescent="0.3">
      <c r="B297" s="176"/>
      <c r="C297" s="177"/>
      <c r="D297" s="177"/>
      <c r="E297" s="80"/>
      <c r="F297" s="80"/>
    </row>
    <row r="298" spans="2:6" x14ac:dyDescent="0.3">
      <c r="B298" s="176"/>
      <c r="C298" s="177"/>
      <c r="D298" s="177"/>
      <c r="E298" s="80"/>
      <c r="F298" s="80"/>
    </row>
    <row r="299" spans="2:6" x14ac:dyDescent="0.3">
      <c r="B299" s="176"/>
      <c r="C299" s="177"/>
      <c r="D299" s="177"/>
      <c r="E299" s="80"/>
      <c r="F299" s="80"/>
    </row>
    <row r="300" spans="2:6" x14ac:dyDescent="0.3">
      <c r="B300" s="176"/>
      <c r="C300" s="177"/>
      <c r="D300" s="177"/>
      <c r="E300" s="80"/>
      <c r="F300" s="80"/>
    </row>
    <row r="301" spans="2:6" x14ac:dyDescent="0.3">
      <c r="B301" s="176"/>
      <c r="C301" s="177"/>
      <c r="D301" s="177"/>
      <c r="E301" s="80"/>
      <c r="F301" s="80"/>
    </row>
    <row r="302" spans="2:6" x14ac:dyDescent="0.3">
      <c r="B302" s="176"/>
      <c r="C302" s="177"/>
      <c r="D302" s="177"/>
      <c r="E302" s="80"/>
      <c r="F302" s="80"/>
    </row>
    <row r="303" spans="2:6" x14ac:dyDescent="0.3">
      <c r="B303" s="176"/>
      <c r="C303" s="177"/>
      <c r="D303" s="177"/>
      <c r="E303" s="80"/>
      <c r="F303" s="80"/>
    </row>
    <row r="304" spans="2:6" x14ac:dyDescent="0.3">
      <c r="B304" s="176"/>
      <c r="C304" s="177"/>
      <c r="D304" s="177"/>
      <c r="E304" s="80"/>
      <c r="F304" s="80"/>
    </row>
    <row r="305" spans="2:6" x14ac:dyDescent="0.3">
      <c r="B305" s="176"/>
      <c r="C305" s="177"/>
      <c r="D305" s="177"/>
      <c r="E305" s="80"/>
      <c r="F305" s="80"/>
    </row>
    <row r="306" spans="2:6" x14ac:dyDescent="0.3">
      <c r="B306" s="176"/>
      <c r="C306" s="177"/>
      <c r="D306" s="177"/>
      <c r="E306" s="80"/>
      <c r="F306" s="80"/>
    </row>
    <row r="307" spans="2:6" x14ac:dyDescent="0.3">
      <c r="B307" s="176"/>
      <c r="C307" s="177"/>
      <c r="D307" s="177"/>
      <c r="E307" s="80"/>
      <c r="F307" s="80"/>
    </row>
    <row r="308" spans="2:6" x14ac:dyDescent="0.3">
      <c r="B308" s="176"/>
      <c r="C308" s="177"/>
      <c r="D308" s="177"/>
      <c r="E308" s="80"/>
      <c r="F308" s="80"/>
    </row>
    <row r="309" spans="2:6" x14ac:dyDescent="0.3">
      <c r="B309" s="176"/>
      <c r="C309" s="177"/>
      <c r="D309" s="177"/>
      <c r="E309" s="80"/>
      <c r="F309" s="80"/>
    </row>
    <row r="310" spans="2:6" x14ac:dyDescent="0.3">
      <c r="B310" s="176"/>
      <c r="C310" s="177"/>
      <c r="D310" s="177"/>
      <c r="E310" s="80"/>
      <c r="F310" s="80"/>
    </row>
    <row r="311" spans="2:6" x14ac:dyDescent="0.3">
      <c r="B311" s="176"/>
      <c r="C311" s="177"/>
      <c r="D311" s="177"/>
      <c r="E311" s="80"/>
      <c r="F311" s="80"/>
    </row>
    <row r="312" spans="2:6" x14ac:dyDescent="0.3">
      <c r="B312" s="176"/>
      <c r="C312" s="177"/>
      <c r="D312" s="177"/>
      <c r="E312" s="80"/>
      <c r="F312" s="80"/>
    </row>
    <row r="313" spans="2:6" x14ac:dyDescent="0.3">
      <c r="B313" s="176"/>
      <c r="C313" s="177"/>
      <c r="D313" s="177"/>
      <c r="E313" s="80"/>
      <c r="F313" s="80"/>
    </row>
    <row r="314" spans="2:6" x14ac:dyDescent="0.3">
      <c r="B314" s="176"/>
      <c r="C314" s="177"/>
      <c r="D314" s="177"/>
      <c r="E314" s="80"/>
      <c r="F314" s="80"/>
    </row>
    <row r="315" spans="2:6" x14ac:dyDescent="0.3">
      <c r="B315" s="176"/>
      <c r="C315" s="177"/>
      <c r="D315" s="177"/>
      <c r="E315" s="80"/>
      <c r="F315" s="80"/>
    </row>
    <row r="316" spans="2:6" x14ac:dyDescent="0.3">
      <c r="B316" s="176"/>
      <c r="C316" s="177"/>
      <c r="D316" s="177"/>
      <c r="E316" s="80"/>
      <c r="F316" s="80"/>
    </row>
    <row r="317" spans="2:6" x14ac:dyDescent="0.3">
      <c r="B317" s="176"/>
      <c r="C317" s="177"/>
      <c r="D317" s="177"/>
      <c r="E317" s="80"/>
      <c r="F317" s="80"/>
    </row>
    <row r="318" spans="2:6" x14ac:dyDescent="0.3">
      <c r="B318" s="176"/>
      <c r="C318" s="177"/>
      <c r="D318" s="177"/>
      <c r="E318" s="80"/>
      <c r="F318" s="80"/>
    </row>
    <row r="319" spans="2:6" x14ac:dyDescent="0.3">
      <c r="B319" s="176"/>
      <c r="C319" s="177"/>
      <c r="D319" s="177"/>
      <c r="E319" s="80"/>
      <c r="F319" s="80"/>
    </row>
    <row r="320" spans="2:6" x14ac:dyDescent="0.3">
      <c r="B320" s="176"/>
      <c r="C320" s="177"/>
      <c r="D320" s="177"/>
      <c r="E320" s="80"/>
      <c r="F320" s="80"/>
    </row>
    <row r="321" spans="2:6" x14ac:dyDescent="0.3">
      <c r="B321" s="176"/>
      <c r="C321" s="177"/>
      <c r="D321" s="177"/>
      <c r="E321" s="80"/>
      <c r="F321" s="80"/>
    </row>
    <row r="322" spans="2:6" x14ac:dyDescent="0.3">
      <c r="B322" s="176"/>
      <c r="C322" s="177"/>
      <c r="D322" s="177"/>
      <c r="E322" s="80"/>
      <c r="F322" s="80"/>
    </row>
    <row r="323" spans="2:6" x14ac:dyDescent="0.3">
      <c r="B323" s="176"/>
      <c r="C323" s="177"/>
      <c r="D323" s="177"/>
      <c r="E323" s="80"/>
      <c r="F323" s="80"/>
    </row>
    <row r="324" spans="2:6" x14ac:dyDescent="0.3">
      <c r="B324" s="176"/>
      <c r="C324" s="177"/>
      <c r="D324" s="177"/>
      <c r="E324" s="80"/>
      <c r="F324" s="80"/>
    </row>
    <row r="325" spans="2:6" x14ac:dyDescent="0.3">
      <c r="B325" s="176"/>
      <c r="C325" s="177"/>
      <c r="D325" s="177"/>
      <c r="E325" s="80"/>
      <c r="F325" s="80"/>
    </row>
    <row r="326" spans="2:6" x14ac:dyDescent="0.3">
      <c r="B326" s="176"/>
      <c r="C326" s="177"/>
      <c r="D326" s="177"/>
      <c r="E326" s="80"/>
      <c r="F326" s="80"/>
    </row>
    <row r="327" spans="2:6" x14ac:dyDescent="0.3">
      <c r="B327" s="176"/>
      <c r="C327" s="177"/>
      <c r="D327" s="177"/>
      <c r="E327" s="80"/>
      <c r="F327" s="80"/>
    </row>
    <row r="328" spans="2:6" x14ac:dyDescent="0.3">
      <c r="B328" s="176"/>
      <c r="C328" s="177"/>
      <c r="D328" s="177"/>
      <c r="E328" s="80"/>
      <c r="F328" s="80"/>
    </row>
    <row r="329" spans="2:6" x14ac:dyDescent="0.3">
      <c r="B329" s="176"/>
      <c r="C329" s="177"/>
      <c r="D329" s="177"/>
      <c r="E329" s="80"/>
      <c r="F329" s="80"/>
    </row>
    <row r="330" spans="2:6" x14ac:dyDescent="0.3">
      <c r="B330" s="176"/>
      <c r="C330" s="177"/>
      <c r="D330" s="177"/>
      <c r="E330" s="80"/>
      <c r="F330" s="80"/>
    </row>
    <row r="331" spans="2:6" x14ac:dyDescent="0.3">
      <c r="B331" s="176"/>
      <c r="C331" s="177"/>
      <c r="D331" s="177"/>
      <c r="E331" s="80"/>
      <c r="F331" s="80"/>
    </row>
    <row r="332" spans="2:6" x14ac:dyDescent="0.3">
      <c r="B332" s="176"/>
      <c r="C332" s="177"/>
      <c r="D332" s="177"/>
      <c r="E332" s="80"/>
      <c r="F332" s="80"/>
    </row>
    <row r="333" spans="2:6" x14ac:dyDescent="0.3">
      <c r="B333" s="176"/>
      <c r="C333" s="177"/>
      <c r="D333" s="177"/>
      <c r="E333" s="80"/>
      <c r="F333" s="80"/>
    </row>
    <row r="334" spans="2:6" x14ac:dyDescent="0.3">
      <c r="B334" s="176"/>
      <c r="C334" s="177"/>
      <c r="D334" s="177"/>
      <c r="E334" s="80"/>
      <c r="F334" s="80"/>
    </row>
    <row r="335" spans="2:6" x14ac:dyDescent="0.3">
      <c r="B335" s="176"/>
      <c r="C335" s="177"/>
      <c r="D335" s="177"/>
      <c r="E335" s="80"/>
      <c r="F335" s="80"/>
    </row>
    <row r="336" spans="2:6" x14ac:dyDescent="0.3">
      <c r="B336" s="176"/>
      <c r="C336" s="177"/>
      <c r="D336" s="177"/>
      <c r="E336" s="80"/>
      <c r="F336" s="80"/>
    </row>
    <row r="337" spans="2:6" x14ac:dyDescent="0.3">
      <c r="B337" s="176"/>
      <c r="C337" s="177"/>
      <c r="D337" s="177"/>
      <c r="E337" s="80"/>
      <c r="F337" s="80"/>
    </row>
    <row r="338" spans="2:6" x14ac:dyDescent="0.3">
      <c r="B338" s="176"/>
      <c r="C338" s="177"/>
      <c r="D338" s="177"/>
      <c r="E338" s="80"/>
      <c r="F338" s="80"/>
    </row>
    <row r="339" spans="2:6" x14ac:dyDescent="0.3">
      <c r="B339" s="176"/>
      <c r="C339" s="177"/>
      <c r="D339" s="177"/>
      <c r="E339" s="80"/>
      <c r="F339" s="80"/>
    </row>
    <row r="340" spans="2:6" x14ac:dyDescent="0.3">
      <c r="B340" s="176"/>
      <c r="C340" s="177"/>
      <c r="D340" s="177"/>
      <c r="E340" s="80"/>
      <c r="F340" s="80"/>
    </row>
    <row r="341" spans="2:6" x14ac:dyDescent="0.3">
      <c r="B341" s="176"/>
      <c r="C341" s="177"/>
      <c r="D341" s="177"/>
      <c r="E341" s="80"/>
      <c r="F341" s="80"/>
    </row>
    <row r="342" spans="2:6" x14ac:dyDescent="0.3">
      <c r="B342" s="176"/>
      <c r="C342" s="177"/>
      <c r="D342" s="177"/>
      <c r="E342" s="80"/>
      <c r="F342" s="80"/>
    </row>
    <row r="343" spans="2:6" x14ac:dyDescent="0.3">
      <c r="B343" s="176"/>
      <c r="C343" s="177"/>
      <c r="D343" s="177"/>
      <c r="E343" s="80"/>
      <c r="F343" s="80"/>
    </row>
    <row r="344" spans="2:6" x14ac:dyDescent="0.3">
      <c r="B344" s="176"/>
      <c r="C344" s="177"/>
      <c r="D344" s="177"/>
      <c r="E344" s="80"/>
      <c r="F344" s="80"/>
    </row>
    <row r="345" spans="2:6" x14ac:dyDescent="0.3">
      <c r="B345" s="176"/>
      <c r="C345" s="177"/>
      <c r="D345" s="177"/>
      <c r="E345" s="80"/>
      <c r="F345" s="80"/>
    </row>
    <row r="346" spans="2:6" x14ac:dyDescent="0.3">
      <c r="B346" s="176"/>
      <c r="C346" s="177"/>
      <c r="D346" s="177"/>
      <c r="E346" s="80"/>
      <c r="F346" s="80"/>
    </row>
    <row r="347" spans="2:6" x14ac:dyDescent="0.3">
      <c r="B347" s="176"/>
      <c r="C347" s="177"/>
      <c r="D347" s="177"/>
      <c r="E347" s="80"/>
      <c r="F347" s="80"/>
    </row>
    <row r="348" spans="2:6" x14ac:dyDescent="0.3">
      <c r="B348" s="176"/>
      <c r="C348" s="177"/>
      <c r="D348" s="177"/>
      <c r="E348" s="80"/>
      <c r="F348" s="80"/>
    </row>
    <row r="349" spans="2:6" x14ac:dyDescent="0.3">
      <c r="B349" s="176"/>
      <c r="C349" s="177"/>
      <c r="D349" s="177"/>
      <c r="E349" s="80"/>
      <c r="F349" s="80"/>
    </row>
    <row r="350" spans="2:6" x14ac:dyDescent="0.3">
      <c r="B350" s="176"/>
      <c r="C350" s="177"/>
      <c r="D350" s="177"/>
      <c r="E350" s="80"/>
      <c r="F350" s="80"/>
    </row>
    <row r="351" spans="2:6" x14ac:dyDescent="0.3">
      <c r="B351" s="176"/>
      <c r="C351" s="177"/>
      <c r="D351" s="177"/>
      <c r="E351" s="80"/>
      <c r="F351" s="80"/>
    </row>
    <row r="352" spans="2:6" x14ac:dyDescent="0.3">
      <c r="B352" s="176"/>
      <c r="C352" s="177"/>
      <c r="D352" s="177"/>
      <c r="E352" s="80"/>
      <c r="F352" s="80"/>
    </row>
    <row r="353" spans="2:6" x14ac:dyDescent="0.3">
      <c r="B353" s="176"/>
      <c r="C353" s="177"/>
      <c r="D353" s="177"/>
      <c r="E353" s="80"/>
      <c r="F353" s="80"/>
    </row>
    <row r="354" spans="2:6" x14ac:dyDescent="0.3">
      <c r="B354" s="176"/>
      <c r="C354" s="177"/>
      <c r="D354" s="177"/>
      <c r="E354" s="80"/>
      <c r="F354" s="80"/>
    </row>
    <row r="355" spans="2:6" x14ac:dyDescent="0.3">
      <c r="B355" s="176"/>
      <c r="C355" s="177"/>
      <c r="D355" s="177"/>
      <c r="E355" s="80"/>
      <c r="F355" s="80"/>
    </row>
    <row r="356" spans="2:6" x14ac:dyDescent="0.3">
      <c r="B356" s="176"/>
      <c r="C356" s="177"/>
      <c r="D356" s="177"/>
      <c r="E356" s="80"/>
      <c r="F356" s="80"/>
    </row>
    <row r="357" spans="2:6" x14ac:dyDescent="0.3">
      <c r="B357" s="176"/>
      <c r="C357" s="177"/>
      <c r="D357" s="177"/>
      <c r="E357" s="80"/>
      <c r="F357" s="80"/>
    </row>
    <row r="358" spans="2:6" x14ac:dyDescent="0.3">
      <c r="B358" s="176"/>
      <c r="C358" s="177"/>
      <c r="D358" s="177"/>
      <c r="E358" s="80"/>
      <c r="F358" s="80"/>
    </row>
    <row r="359" spans="2:6" x14ac:dyDescent="0.3">
      <c r="B359" s="176"/>
      <c r="C359" s="177"/>
      <c r="D359" s="177"/>
      <c r="E359" s="80"/>
      <c r="F359" s="80"/>
    </row>
    <row r="360" spans="2:6" x14ac:dyDescent="0.3">
      <c r="B360" s="176"/>
      <c r="C360" s="177"/>
      <c r="D360" s="177"/>
      <c r="E360" s="80"/>
      <c r="F360" s="80"/>
    </row>
    <row r="361" spans="2:6" x14ac:dyDescent="0.3">
      <c r="B361" s="176"/>
      <c r="C361" s="177"/>
      <c r="D361" s="177"/>
      <c r="E361" s="80"/>
      <c r="F361" s="80"/>
    </row>
    <row r="362" spans="2:6" x14ac:dyDescent="0.3">
      <c r="B362" s="176"/>
      <c r="C362" s="177"/>
      <c r="D362" s="177"/>
      <c r="E362" s="80"/>
      <c r="F362" s="80"/>
    </row>
    <row r="363" spans="2:6" x14ac:dyDescent="0.3">
      <c r="B363" s="176"/>
      <c r="C363" s="177"/>
      <c r="D363" s="177"/>
      <c r="E363" s="80"/>
      <c r="F363" s="80"/>
    </row>
    <row r="364" spans="2:6" x14ac:dyDescent="0.3">
      <c r="B364" s="176"/>
      <c r="C364" s="177"/>
      <c r="D364" s="177"/>
      <c r="E364" s="80"/>
      <c r="F364" s="80"/>
    </row>
    <row r="365" spans="2:6" x14ac:dyDescent="0.3">
      <c r="B365" s="176"/>
      <c r="C365" s="177"/>
      <c r="D365" s="177"/>
      <c r="E365" s="80"/>
      <c r="F365" s="80"/>
    </row>
    <row r="366" spans="2:6" x14ac:dyDescent="0.3">
      <c r="B366" s="176"/>
      <c r="C366" s="177"/>
      <c r="D366" s="177"/>
      <c r="E366" s="80"/>
      <c r="F366" s="80"/>
    </row>
    <row r="367" spans="2:6" x14ac:dyDescent="0.3">
      <c r="B367" s="176"/>
      <c r="C367" s="177"/>
      <c r="D367" s="177"/>
      <c r="E367" s="80"/>
      <c r="F367" s="80"/>
    </row>
    <row r="368" spans="2:6" x14ac:dyDescent="0.3">
      <c r="B368" s="176"/>
      <c r="C368" s="177"/>
      <c r="D368" s="177"/>
      <c r="E368" s="80"/>
      <c r="F368" s="80"/>
    </row>
    <row r="369" spans="2:6" x14ac:dyDescent="0.3">
      <c r="B369" s="176"/>
      <c r="C369" s="177"/>
      <c r="D369" s="177"/>
      <c r="E369" s="80"/>
      <c r="F369" s="80"/>
    </row>
    <row r="370" spans="2:6" x14ac:dyDescent="0.3">
      <c r="B370" s="176"/>
      <c r="C370" s="177"/>
      <c r="D370" s="177"/>
      <c r="E370" s="80"/>
      <c r="F370" s="80"/>
    </row>
    <row r="371" spans="2:6" x14ac:dyDescent="0.3">
      <c r="B371" s="176"/>
      <c r="C371" s="177"/>
      <c r="D371" s="177"/>
      <c r="E371" s="80"/>
      <c r="F371" s="80"/>
    </row>
    <row r="372" spans="2:6" x14ac:dyDescent="0.3">
      <c r="B372" s="176"/>
      <c r="C372" s="177"/>
      <c r="D372" s="177"/>
      <c r="E372" s="80"/>
      <c r="F372" s="80"/>
    </row>
    <row r="373" spans="2:6" x14ac:dyDescent="0.3">
      <c r="B373" s="176"/>
      <c r="C373" s="177"/>
      <c r="D373" s="177"/>
      <c r="E373" s="80"/>
      <c r="F373" s="80"/>
    </row>
    <row r="374" spans="2:6" x14ac:dyDescent="0.3">
      <c r="B374" s="176"/>
      <c r="C374" s="177"/>
      <c r="D374" s="177"/>
      <c r="E374" s="80"/>
      <c r="F374" s="80"/>
    </row>
    <row r="375" spans="2:6" x14ac:dyDescent="0.3">
      <c r="B375" s="176"/>
      <c r="C375" s="177"/>
      <c r="D375" s="177"/>
      <c r="E375" s="80"/>
      <c r="F375" s="80"/>
    </row>
    <row r="376" spans="2:6" x14ac:dyDescent="0.3">
      <c r="B376" s="176"/>
      <c r="C376" s="177"/>
      <c r="D376" s="177"/>
      <c r="E376" s="80"/>
      <c r="F376" s="80"/>
    </row>
    <row r="377" spans="2:6" x14ac:dyDescent="0.3">
      <c r="B377" s="176"/>
      <c r="C377" s="177"/>
      <c r="D377" s="177"/>
      <c r="E377" s="80"/>
      <c r="F377" s="80"/>
    </row>
    <row r="378" spans="2:6" x14ac:dyDescent="0.3">
      <c r="B378" s="176"/>
      <c r="C378" s="177"/>
      <c r="D378" s="177"/>
      <c r="E378" s="80"/>
      <c r="F378" s="80"/>
    </row>
    <row r="379" spans="2:6" x14ac:dyDescent="0.3">
      <c r="B379" s="176"/>
      <c r="C379" s="177"/>
      <c r="D379" s="177"/>
      <c r="E379" s="80"/>
      <c r="F379" s="80"/>
    </row>
    <row r="380" spans="2:6" x14ac:dyDescent="0.3">
      <c r="B380" s="176"/>
      <c r="C380" s="177"/>
      <c r="D380" s="177"/>
      <c r="E380" s="80"/>
      <c r="F380" s="80"/>
    </row>
    <row r="381" spans="2:6" x14ac:dyDescent="0.3">
      <c r="B381" s="176"/>
      <c r="C381" s="177"/>
      <c r="D381" s="177"/>
      <c r="E381" s="80"/>
      <c r="F381" s="80"/>
    </row>
    <row r="382" spans="2:6" x14ac:dyDescent="0.3">
      <c r="B382" s="176"/>
      <c r="C382" s="177"/>
      <c r="D382" s="177"/>
      <c r="E382" s="80"/>
      <c r="F382" s="80"/>
    </row>
    <row r="383" spans="2:6" x14ac:dyDescent="0.3">
      <c r="B383" s="176"/>
      <c r="C383" s="177"/>
      <c r="D383" s="177"/>
      <c r="E383" s="80"/>
      <c r="F383" s="80"/>
    </row>
    <row r="384" spans="2:6" x14ac:dyDescent="0.3">
      <c r="B384" s="176"/>
      <c r="C384" s="177"/>
      <c r="D384" s="177"/>
      <c r="E384" s="80"/>
      <c r="F384" s="80"/>
    </row>
    <row r="385" spans="2:6" x14ac:dyDescent="0.3">
      <c r="B385" s="176"/>
      <c r="C385" s="177"/>
      <c r="D385" s="177"/>
      <c r="E385" s="80"/>
      <c r="F385" s="80"/>
    </row>
    <row r="386" spans="2:6" x14ac:dyDescent="0.3">
      <c r="B386" s="176"/>
      <c r="C386" s="177"/>
      <c r="D386" s="177"/>
      <c r="E386" s="80"/>
      <c r="F386" s="80"/>
    </row>
    <row r="387" spans="2:6" x14ac:dyDescent="0.3">
      <c r="B387" s="176"/>
      <c r="C387" s="177"/>
      <c r="D387" s="177"/>
      <c r="E387" s="80"/>
      <c r="F387" s="80"/>
    </row>
    <row r="388" spans="2:6" x14ac:dyDescent="0.3">
      <c r="B388" s="176"/>
      <c r="C388" s="177"/>
      <c r="D388" s="177"/>
      <c r="E388" s="80"/>
      <c r="F388" s="80"/>
    </row>
    <row r="389" spans="2:6" x14ac:dyDescent="0.3">
      <c r="B389" s="176"/>
      <c r="C389" s="177"/>
      <c r="D389" s="177"/>
      <c r="E389" s="80"/>
      <c r="F389" s="80"/>
    </row>
    <row r="390" spans="2:6" x14ac:dyDescent="0.3">
      <c r="B390" s="176"/>
      <c r="C390" s="177"/>
      <c r="D390" s="177"/>
      <c r="E390" s="80"/>
      <c r="F390" s="80"/>
    </row>
    <row r="391" spans="2:6" x14ac:dyDescent="0.3">
      <c r="B391" s="176"/>
      <c r="C391" s="177"/>
      <c r="D391" s="177"/>
      <c r="E391" s="80"/>
      <c r="F391" s="80"/>
    </row>
    <row r="392" spans="2:6" x14ac:dyDescent="0.3">
      <c r="B392" s="176"/>
      <c r="C392" s="177"/>
      <c r="D392" s="177"/>
      <c r="E392" s="80"/>
      <c r="F392" s="80"/>
    </row>
    <row r="393" spans="2:6" x14ac:dyDescent="0.3">
      <c r="B393" s="176"/>
      <c r="C393" s="177"/>
      <c r="D393" s="177"/>
      <c r="E393" s="80"/>
      <c r="F393" s="80"/>
    </row>
    <row r="394" spans="2:6" x14ac:dyDescent="0.3">
      <c r="B394" s="176"/>
      <c r="C394" s="177"/>
      <c r="D394" s="177"/>
      <c r="E394" s="80"/>
      <c r="F394" s="80"/>
    </row>
    <row r="395" spans="2:6" x14ac:dyDescent="0.3">
      <c r="B395" s="176"/>
      <c r="C395" s="177"/>
      <c r="D395" s="177"/>
      <c r="E395" s="80"/>
      <c r="F395" s="80"/>
    </row>
    <row r="396" spans="2:6" x14ac:dyDescent="0.3">
      <c r="B396" s="176"/>
      <c r="C396" s="177"/>
      <c r="D396" s="177"/>
      <c r="E396" s="80"/>
      <c r="F396" s="80"/>
    </row>
    <row r="397" spans="2:6" x14ac:dyDescent="0.3">
      <c r="B397" s="176"/>
      <c r="C397" s="177"/>
      <c r="D397" s="177"/>
      <c r="E397" s="80"/>
      <c r="F397" s="80"/>
    </row>
    <row r="398" spans="2:6" x14ac:dyDescent="0.3">
      <c r="B398" s="176"/>
      <c r="C398" s="177"/>
      <c r="D398" s="177"/>
      <c r="E398" s="80"/>
      <c r="F398" s="80"/>
    </row>
    <row r="399" spans="2:6" x14ac:dyDescent="0.3">
      <c r="B399" s="176"/>
      <c r="C399" s="177"/>
      <c r="D399" s="177"/>
      <c r="E399" s="80"/>
      <c r="F399" s="80"/>
    </row>
    <row r="400" spans="2:6" x14ac:dyDescent="0.3">
      <c r="B400" s="176"/>
      <c r="C400" s="177"/>
      <c r="D400" s="177"/>
      <c r="E400" s="80"/>
      <c r="F400" s="80"/>
    </row>
    <row r="401" spans="2:6" x14ac:dyDescent="0.3">
      <c r="B401" s="176"/>
      <c r="C401" s="177"/>
      <c r="D401" s="177"/>
      <c r="E401" s="80"/>
      <c r="F401" s="80"/>
    </row>
    <row r="402" spans="2:6" x14ac:dyDescent="0.3">
      <c r="B402" s="176"/>
      <c r="C402" s="177"/>
      <c r="D402" s="177"/>
      <c r="E402" s="80"/>
      <c r="F402" s="80"/>
    </row>
    <row r="403" spans="2:6" x14ac:dyDescent="0.3">
      <c r="B403" s="176"/>
      <c r="C403" s="177"/>
      <c r="D403" s="177"/>
      <c r="E403" s="80"/>
      <c r="F403" s="80"/>
    </row>
    <row r="404" spans="2:6" x14ac:dyDescent="0.3">
      <c r="B404" s="176"/>
      <c r="C404" s="177"/>
      <c r="D404" s="177"/>
      <c r="E404" s="80"/>
      <c r="F404" s="80"/>
    </row>
    <row r="405" spans="2:6" x14ac:dyDescent="0.3">
      <c r="B405" s="176"/>
      <c r="C405" s="177"/>
      <c r="D405" s="177"/>
      <c r="E405" s="80"/>
      <c r="F405" s="80"/>
    </row>
    <row r="406" spans="2:6" x14ac:dyDescent="0.3">
      <c r="B406" s="176"/>
      <c r="C406" s="177"/>
      <c r="D406" s="177"/>
      <c r="E406" s="80"/>
      <c r="F406" s="80"/>
    </row>
    <row r="407" spans="2:6" x14ac:dyDescent="0.3">
      <c r="B407" s="176"/>
      <c r="C407" s="177"/>
      <c r="D407" s="177"/>
      <c r="E407" s="80"/>
      <c r="F407" s="80"/>
    </row>
    <row r="408" spans="2:6" x14ac:dyDescent="0.3">
      <c r="B408" s="176"/>
      <c r="C408" s="177"/>
      <c r="D408" s="177"/>
      <c r="E408" s="80"/>
      <c r="F408" s="80"/>
    </row>
    <row r="409" spans="2:6" x14ac:dyDescent="0.3">
      <c r="B409" s="176"/>
      <c r="C409" s="177"/>
      <c r="D409" s="177"/>
      <c r="E409" s="80"/>
      <c r="F409" s="80"/>
    </row>
    <row r="410" spans="2:6" x14ac:dyDescent="0.3">
      <c r="B410" s="176"/>
      <c r="C410" s="177"/>
      <c r="D410" s="177"/>
      <c r="E410" s="80"/>
      <c r="F410" s="80"/>
    </row>
    <row r="411" spans="2:6" x14ac:dyDescent="0.3">
      <c r="B411" s="176"/>
      <c r="C411" s="177"/>
      <c r="D411" s="177"/>
      <c r="E411" s="80"/>
      <c r="F411" s="80"/>
    </row>
    <row r="412" spans="2:6" x14ac:dyDescent="0.3">
      <c r="B412" s="176"/>
      <c r="C412" s="177"/>
      <c r="D412" s="177"/>
      <c r="E412" s="80"/>
      <c r="F412" s="80"/>
    </row>
    <row r="413" spans="2:6" x14ac:dyDescent="0.3">
      <c r="B413" s="176"/>
      <c r="C413" s="177"/>
      <c r="D413" s="177"/>
      <c r="E413" s="80"/>
      <c r="F413" s="80"/>
    </row>
    <row r="414" spans="2:6" x14ac:dyDescent="0.3">
      <c r="B414" s="176"/>
      <c r="C414" s="177"/>
      <c r="D414" s="177"/>
      <c r="E414" s="80"/>
      <c r="F414" s="80"/>
    </row>
    <row r="415" spans="2:6" x14ac:dyDescent="0.3">
      <c r="B415" s="176"/>
      <c r="C415" s="177"/>
      <c r="D415" s="177"/>
      <c r="E415" s="80"/>
      <c r="F415" s="80"/>
    </row>
    <row r="416" spans="2:6" x14ac:dyDescent="0.3">
      <c r="B416" s="176"/>
      <c r="C416" s="177"/>
      <c r="D416" s="177"/>
      <c r="E416" s="80"/>
      <c r="F416" s="80"/>
    </row>
    <row r="417" spans="2:6" x14ac:dyDescent="0.3">
      <c r="B417" s="176"/>
      <c r="C417" s="177"/>
      <c r="D417" s="177"/>
      <c r="E417" s="80"/>
      <c r="F417" s="80"/>
    </row>
    <row r="418" spans="2:6" x14ac:dyDescent="0.3">
      <c r="B418" s="176"/>
      <c r="C418" s="177"/>
      <c r="D418" s="177"/>
      <c r="E418" s="80"/>
      <c r="F418" s="80"/>
    </row>
    <row r="419" spans="2:6" x14ac:dyDescent="0.3">
      <c r="B419" s="176"/>
      <c r="C419" s="177"/>
      <c r="D419" s="177"/>
      <c r="E419" s="80"/>
      <c r="F419" s="80"/>
    </row>
    <row r="420" spans="2:6" x14ac:dyDescent="0.3">
      <c r="B420" s="176"/>
      <c r="C420" s="177"/>
      <c r="D420" s="177"/>
      <c r="E420" s="80"/>
      <c r="F420" s="80"/>
    </row>
    <row r="421" spans="2:6" x14ac:dyDescent="0.3">
      <c r="B421" s="176"/>
      <c r="C421" s="177"/>
      <c r="D421" s="177"/>
      <c r="E421" s="80"/>
      <c r="F421" s="80"/>
    </row>
    <row r="422" spans="2:6" x14ac:dyDescent="0.3">
      <c r="B422" s="176"/>
      <c r="C422" s="177"/>
      <c r="D422" s="177"/>
      <c r="E422" s="80"/>
      <c r="F422" s="80"/>
    </row>
    <row r="423" spans="2:6" x14ac:dyDescent="0.3">
      <c r="B423" s="176"/>
      <c r="C423" s="177"/>
      <c r="D423" s="177"/>
      <c r="E423" s="80"/>
      <c r="F423" s="80"/>
    </row>
    <row r="424" spans="2:6" x14ac:dyDescent="0.3">
      <c r="B424" s="176"/>
      <c r="C424" s="177"/>
      <c r="D424" s="177"/>
      <c r="E424" s="80"/>
      <c r="F424" s="80"/>
    </row>
    <row r="425" spans="2:6" x14ac:dyDescent="0.3">
      <c r="B425" s="176"/>
      <c r="C425" s="177"/>
      <c r="D425" s="177"/>
      <c r="E425" s="80"/>
      <c r="F425" s="80"/>
    </row>
    <row r="426" spans="2:6" x14ac:dyDescent="0.3">
      <c r="B426" s="176"/>
      <c r="C426" s="177"/>
      <c r="D426" s="177"/>
      <c r="E426" s="80"/>
      <c r="F426" s="80"/>
    </row>
    <row r="427" spans="2:6" x14ac:dyDescent="0.3">
      <c r="B427" s="176"/>
      <c r="C427" s="177"/>
      <c r="D427" s="177"/>
      <c r="E427" s="80"/>
      <c r="F427" s="80"/>
    </row>
    <row r="428" spans="2:6" x14ac:dyDescent="0.3">
      <c r="B428" s="176"/>
      <c r="C428" s="177"/>
      <c r="D428" s="177"/>
      <c r="E428" s="80"/>
      <c r="F428" s="80"/>
    </row>
    <row r="429" spans="2:6" x14ac:dyDescent="0.3">
      <c r="B429" s="176"/>
      <c r="C429" s="177"/>
      <c r="D429" s="177"/>
      <c r="E429" s="80"/>
      <c r="F429" s="80"/>
    </row>
    <row r="430" spans="2:6" x14ac:dyDescent="0.3">
      <c r="B430" s="176"/>
      <c r="C430" s="177"/>
      <c r="D430" s="177"/>
      <c r="E430" s="80"/>
      <c r="F430" s="80"/>
    </row>
    <row r="431" spans="2:6" x14ac:dyDescent="0.3">
      <c r="B431" s="176"/>
      <c r="C431" s="177"/>
      <c r="D431" s="177"/>
      <c r="E431" s="80"/>
      <c r="F431" s="80"/>
    </row>
    <row r="432" spans="2:6" x14ac:dyDescent="0.3">
      <c r="B432" s="176"/>
      <c r="C432" s="177"/>
      <c r="D432" s="177"/>
      <c r="E432" s="80"/>
      <c r="F432" s="80"/>
    </row>
    <row r="433" spans="2:6" x14ac:dyDescent="0.3">
      <c r="B433" s="176"/>
      <c r="C433" s="177"/>
      <c r="D433" s="177"/>
      <c r="E433" s="80"/>
      <c r="F433" s="80"/>
    </row>
    <row r="434" spans="2:6" x14ac:dyDescent="0.3">
      <c r="B434" s="176"/>
      <c r="C434" s="177"/>
      <c r="D434" s="177"/>
      <c r="E434" s="80"/>
      <c r="F434" s="80"/>
    </row>
    <row r="435" spans="2:6" x14ac:dyDescent="0.3">
      <c r="B435" s="176"/>
      <c r="C435" s="177"/>
      <c r="D435" s="177"/>
      <c r="E435" s="80"/>
      <c r="F435" s="80"/>
    </row>
    <row r="436" spans="2:6" x14ac:dyDescent="0.3">
      <c r="B436" s="176"/>
      <c r="C436" s="177"/>
      <c r="D436" s="177"/>
      <c r="E436" s="80"/>
      <c r="F436" s="80"/>
    </row>
    <row r="437" spans="2:6" x14ac:dyDescent="0.3">
      <c r="B437" s="176"/>
      <c r="C437" s="177"/>
      <c r="D437" s="177"/>
      <c r="E437" s="80"/>
      <c r="F437" s="80"/>
    </row>
    <row r="438" spans="2:6" x14ac:dyDescent="0.3">
      <c r="B438" s="176"/>
      <c r="C438" s="177"/>
      <c r="D438" s="177"/>
      <c r="E438" s="80"/>
      <c r="F438" s="80"/>
    </row>
    <row r="439" spans="2:6" x14ac:dyDescent="0.3">
      <c r="B439" s="176"/>
      <c r="C439" s="177"/>
      <c r="D439" s="177"/>
      <c r="E439" s="80"/>
      <c r="F439" s="80"/>
    </row>
    <row r="440" spans="2:6" x14ac:dyDescent="0.3">
      <c r="B440" s="176"/>
      <c r="C440" s="177"/>
      <c r="D440" s="177"/>
      <c r="E440" s="80"/>
      <c r="F440" s="80"/>
    </row>
    <row r="441" spans="2:6" x14ac:dyDescent="0.3">
      <c r="B441" s="176"/>
      <c r="C441" s="177"/>
      <c r="D441" s="177"/>
      <c r="E441" s="80"/>
      <c r="F441" s="80"/>
    </row>
    <row r="442" spans="2:6" x14ac:dyDescent="0.3">
      <c r="B442" s="176"/>
      <c r="C442" s="177"/>
      <c r="D442" s="177"/>
      <c r="E442" s="80"/>
      <c r="F442" s="80"/>
    </row>
    <row r="443" spans="2:6" x14ac:dyDescent="0.3">
      <c r="B443" s="176"/>
      <c r="C443" s="177"/>
      <c r="D443" s="177"/>
      <c r="E443" s="80"/>
      <c r="F443" s="80"/>
    </row>
    <row r="444" spans="2:6" x14ac:dyDescent="0.3">
      <c r="B444" s="176"/>
      <c r="C444" s="177"/>
      <c r="D444" s="177"/>
      <c r="E444" s="80"/>
      <c r="F444" s="80"/>
    </row>
    <row r="445" spans="2:6" x14ac:dyDescent="0.3">
      <c r="B445" s="176"/>
      <c r="C445" s="177"/>
      <c r="D445" s="177"/>
      <c r="E445" s="80"/>
      <c r="F445" s="80"/>
    </row>
    <row r="446" spans="2:6" x14ac:dyDescent="0.3">
      <c r="B446" s="176"/>
      <c r="C446" s="177"/>
      <c r="D446" s="177"/>
      <c r="E446" s="80"/>
      <c r="F446" s="80"/>
    </row>
    <row r="447" spans="2:6" x14ac:dyDescent="0.3">
      <c r="B447" s="176"/>
      <c r="C447" s="177"/>
      <c r="D447" s="177"/>
      <c r="E447" s="80"/>
      <c r="F447" s="80"/>
    </row>
    <row r="448" spans="2:6" x14ac:dyDescent="0.3">
      <c r="B448" s="176"/>
      <c r="C448" s="177"/>
      <c r="D448" s="177"/>
      <c r="E448" s="80"/>
      <c r="F448" s="80"/>
    </row>
    <row r="449" spans="2:6" x14ac:dyDescent="0.3">
      <c r="B449" s="176"/>
      <c r="C449" s="177"/>
      <c r="D449" s="177"/>
      <c r="E449" s="80"/>
      <c r="F449" s="80"/>
    </row>
    <row r="450" spans="2:6" x14ac:dyDescent="0.3">
      <c r="B450" s="176"/>
      <c r="C450" s="177"/>
      <c r="D450" s="177"/>
      <c r="E450" s="80"/>
      <c r="F450" s="80"/>
    </row>
    <row r="451" spans="2:6" x14ac:dyDescent="0.3">
      <c r="B451" s="176"/>
      <c r="C451" s="177"/>
      <c r="D451" s="177"/>
      <c r="E451" s="80"/>
      <c r="F451" s="80"/>
    </row>
    <row r="452" spans="2:6" x14ac:dyDescent="0.3">
      <c r="B452" s="176"/>
      <c r="C452" s="177"/>
      <c r="D452" s="177"/>
      <c r="E452" s="80"/>
      <c r="F452" s="80"/>
    </row>
    <row r="453" spans="2:6" x14ac:dyDescent="0.3">
      <c r="B453" s="176"/>
      <c r="C453" s="177"/>
      <c r="D453" s="177"/>
      <c r="E453" s="80"/>
      <c r="F453" s="80"/>
    </row>
    <row r="454" spans="2:6" x14ac:dyDescent="0.3">
      <c r="B454" s="176"/>
      <c r="C454" s="177"/>
      <c r="D454" s="177"/>
      <c r="E454" s="80"/>
      <c r="F454" s="80"/>
    </row>
    <row r="455" spans="2:6" x14ac:dyDescent="0.3">
      <c r="B455" s="176"/>
      <c r="C455" s="177"/>
      <c r="D455" s="177"/>
      <c r="E455" s="80"/>
      <c r="F455" s="80"/>
    </row>
    <row r="456" spans="2:6" x14ac:dyDescent="0.3">
      <c r="B456" s="176"/>
      <c r="C456" s="177"/>
      <c r="D456" s="177"/>
      <c r="E456" s="80"/>
      <c r="F456" s="80"/>
    </row>
    <row r="457" spans="2:6" x14ac:dyDescent="0.3">
      <c r="B457" s="176"/>
      <c r="C457" s="177"/>
      <c r="D457" s="177"/>
      <c r="E457" s="80"/>
      <c r="F457" s="80"/>
    </row>
    <row r="458" spans="2:6" x14ac:dyDescent="0.3">
      <c r="B458" s="176"/>
      <c r="C458" s="177"/>
      <c r="D458" s="177"/>
      <c r="E458" s="80"/>
      <c r="F458" s="80"/>
    </row>
    <row r="459" spans="2:6" x14ac:dyDescent="0.3">
      <c r="B459" s="176"/>
      <c r="C459" s="177"/>
      <c r="D459" s="177"/>
      <c r="E459" s="80"/>
      <c r="F459" s="80"/>
    </row>
    <row r="460" spans="2:6" x14ac:dyDescent="0.3">
      <c r="B460" s="176"/>
      <c r="C460" s="177"/>
      <c r="D460" s="177"/>
      <c r="E460" s="80"/>
      <c r="F460" s="80"/>
    </row>
    <row r="461" spans="2:6" x14ac:dyDescent="0.3">
      <c r="B461" s="176"/>
      <c r="C461" s="177"/>
      <c r="D461" s="177"/>
      <c r="E461" s="80"/>
      <c r="F461" s="80"/>
    </row>
    <row r="462" spans="2:6" x14ac:dyDescent="0.3">
      <c r="B462" s="176"/>
      <c r="C462" s="177"/>
      <c r="D462" s="177"/>
      <c r="E462" s="80"/>
      <c r="F462" s="80"/>
    </row>
    <row r="463" spans="2:6" x14ac:dyDescent="0.3">
      <c r="B463" s="176"/>
      <c r="C463" s="177"/>
      <c r="D463" s="177"/>
      <c r="E463" s="80"/>
      <c r="F463" s="80"/>
    </row>
    <row r="464" spans="2:6" x14ac:dyDescent="0.3">
      <c r="B464" s="176"/>
      <c r="C464" s="177"/>
      <c r="D464" s="177"/>
      <c r="E464" s="80"/>
      <c r="F464" s="80"/>
    </row>
    <row r="465" spans="2:6" x14ac:dyDescent="0.3">
      <c r="B465" s="176"/>
      <c r="C465" s="177"/>
      <c r="D465" s="177"/>
      <c r="E465" s="80"/>
      <c r="F465" s="80"/>
    </row>
    <row r="466" spans="2:6" x14ac:dyDescent="0.3">
      <c r="B466" s="176"/>
      <c r="C466" s="177"/>
      <c r="D466" s="177"/>
      <c r="E466" s="80"/>
      <c r="F466" s="80"/>
    </row>
    <row r="467" spans="2:6" x14ac:dyDescent="0.3">
      <c r="B467" s="176"/>
      <c r="C467" s="177"/>
      <c r="D467" s="177"/>
      <c r="E467" s="80"/>
      <c r="F467" s="80"/>
    </row>
    <row r="468" spans="2:6" x14ac:dyDescent="0.3">
      <c r="B468" s="176"/>
      <c r="C468" s="177"/>
      <c r="D468" s="177"/>
      <c r="E468" s="80"/>
      <c r="F468" s="80"/>
    </row>
    <row r="469" spans="2:6" x14ac:dyDescent="0.3">
      <c r="B469" s="176"/>
      <c r="C469" s="177"/>
      <c r="D469" s="177"/>
      <c r="E469" s="80"/>
      <c r="F469" s="80"/>
    </row>
    <row r="470" spans="2:6" x14ac:dyDescent="0.3">
      <c r="B470" s="176"/>
      <c r="C470" s="177"/>
      <c r="D470" s="177"/>
      <c r="E470" s="80"/>
      <c r="F470" s="80"/>
    </row>
    <row r="471" spans="2:6" x14ac:dyDescent="0.3">
      <c r="B471" s="176"/>
      <c r="C471" s="177"/>
      <c r="D471" s="177"/>
      <c r="E471" s="80"/>
      <c r="F471" s="80"/>
    </row>
    <row r="472" spans="2:6" x14ac:dyDescent="0.3">
      <c r="B472" s="176"/>
      <c r="C472" s="177"/>
      <c r="D472" s="177"/>
      <c r="E472" s="80"/>
      <c r="F472" s="80"/>
    </row>
    <row r="473" spans="2:6" x14ac:dyDescent="0.3">
      <c r="B473" s="176"/>
      <c r="C473" s="177"/>
      <c r="D473" s="177"/>
      <c r="E473" s="80"/>
      <c r="F473" s="80"/>
    </row>
    <row r="474" spans="2:6" x14ac:dyDescent="0.3">
      <c r="B474" s="176"/>
      <c r="C474" s="177"/>
      <c r="D474" s="177"/>
      <c r="E474" s="80"/>
      <c r="F474" s="80"/>
    </row>
    <row r="475" spans="2:6" x14ac:dyDescent="0.3">
      <c r="B475" s="176"/>
      <c r="C475" s="177"/>
      <c r="D475" s="177"/>
      <c r="E475" s="80"/>
      <c r="F475" s="80"/>
    </row>
    <row r="476" spans="2:6" x14ac:dyDescent="0.3">
      <c r="B476" s="176"/>
      <c r="C476" s="177"/>
      <c r="D476" s="177"/>
      <c r="E476" s="80"/>
      <c r="F476" s="80"/>
    </row>
    <row r="477" spans="2:6" x14ac:dyDescent="0.3">
      <c r="B477" s="176"/>
      <c r="C477" s="177"/>
      <c r="D477" s="177"/>
      <c r="E477" s="80"/>
      <c r="F477" s="80"/>
    </row>
    <row r="478" spans="2:6" x14ac:dyDescent="0.3">
      <c r="B478" s="176"/>
      <c r="C478" s="177"/>
      <c r="D478" s="177"/>
      <c r="E478" s="80"/>
      <c r="F478" s="80"/>
    </row>
    <row r="479" spans="2:6" x14ac:dyDescent="0.3">
      <c r="B479" s="176"/>
      <c r="C479" s="177"/>
      <c r="D479" s="177"/>
      <c r="E479" s="80"/>
      <c r="F479" s="80"/>
    </row>
    <row r="480" spans="2:6" x14ac:dyDescent="0.3">
      <c r="B480" s="176"/>
      <c r="C480" s="177"/>
      <c r="D480" s="177"/>
      <c r="E480" s="80"/>
      <c r="F480" s="80"/>
    </row>
    <row r="481" spans="2:6" x14ac:dyDescent="0.3">
      <c r="B481" s="176"/>
      <c r="C481" s="177"/>
      <c r="D481" s="177"/>
      <c r="E481" s="80"/>
      <c r="F481" s="80"/>
    </row>
    <row r="482" spans="2:6" x14ac:dyDescent="0.3">
      <c r="B482" s="176"/>
      <c r="C482" s="177"/>
      <c r="D482" s="177"/>
      <c r="E482" s="80"/>
      <c r="F482" s="80"/>
    </row>
    <row r="483" spans="2:6" x14ac:dyDescent="0.3">
      <c r="B483" s="176"/>
      <c r="C483" s="177"/>
      <c r="D483" s="177"/>
      <c r="E483" s="80"/>
      <c r="F483" s="80"/>
    </row>
    <row r="484" spans="2:6" x14ac:dyDescent="0.3">
      <c r="B484" s="176"/>
      <c r="C484" s="177"/>
      <c r="D484" s="177"/>
      <c r="E484" s="80"/>
      <c r="F484" s="80"/>
    </row>
    <row r="485" spans="2:6" x14ac:dyDescent="0.3">
      <c r="B485" s="176"/>
      <c r="C485" s="177"/>
      <c r="D485" s="177"/>
      <c r="E485" s="80"/>
      <c r="F485" s="80"/>
    </row>
    <row r="486" spans="2:6" x14ac:dyDescent="0.3">
      <c r="B486" s="176"/>
      <c r="C486" s="177"/>
      <c r="D486" s="177"/>
      <c r="E486" s="80"/>
      <c r="F486" s="80"/>
    </row>
    <row r="487" spans="2:6" x14ac:dyDescent="0.3">
      <c r="B487" s="176"/>
      <c r="C487" s="177"/>
      <c r="D487" s="177"/>
      <c r="E487" s="80"/>
      <c r="F487" s="80"/>
    </row>
    <row r="488" spans="2:6" x14ac:dyDescent="0.3">
      <c r="B488" s="176"/>
      <c r="C488" s="177"/>
      <c r="D488" s="177"/>
      <c r="E488" s="80"/>
      <c r="F488" s="80"/>
    </row>
    <row r="489" spans="2:6" x14ac:dyDescent="0.3">
      <c r="B489" s="176"/>
      <c r="C489" s="177"/>
      <c r="D489" s="177"/>
      <c r="E489" s="80"/>
      <c r="F489" s="80"/>
    </row>
    <row r="490" spans="2:6" x14ac:dyDescent="0.3">
      <c r="B490" s="176"/>
      <c r="C490" s="177"/>
      <c r="D490" s="177"/>
      <c r="E490" s="80"/>
      <c r="F490" s="80"/>
    </row>
    <row r="491" spans="2:6" x14ac:dyDescent="0.3">
      <c r="B491" s="176"/>
      <c r="C491" s="177"/>
      <c r="D491" s="177"/>
      <c r="E491" s="80"/>
      <c r="F491" s="80"/>
    </row>
    <row r="492" spans="2:6" x14ac:dyDescent="0.3">
      <c r="B492" s="176"/>
      <c r="C492" s="177"/>
      <c r="D492" s="177"/>
      <c r="E492" s="80"/>
      <c r="F492" s="80"/>
    </row>
    <row r="493" spans="2:6" x14ac:dyDescent="0.3">
      <c r="B493" s="176"/>
      <c r="C493" s="177"/>
      <c r="D493" s="177"/>
      <c r="E493" s="80"/>
      <c r="F493" s="80"/>
    </row>
    <row r="494" spans="2:6" x14ac:dyDescent="0.3">
      <c r="B494" s="176"/>
      <c r="C494" s="177"/>
      <c r="D494" s="177"/>
      <c r="E494" s="80"/>
      <c r="F494" s="80"/>
    </row>
    <row r="495" spans="2:6" x14ac:dyDescent="0.3">
      <c r="B495" s="176"/>
      <c r="C495" s="177"/>
      <c r="D495" s="177"/>
      <c r="E495" s="80"/>
      <c r="F495" s="80"/>
    </row>
    <row r="496" spans="2:6" x14ac:dyDescent="0.3">
      <c r="B496" s="176"/>
      <c r="C496" s="177"/>
      <c r="D496" s="177"/>
      <c r="E496" s="80"/>
      <c r="F496" s="80"/>
    </row>
    <row r="497" spans="2:6" x14ac:dyDescent="0.3">
      <c r="B497" s="176"/>
      <c r="C497" s="177"/>
      <c r="D497" s="177"/>
      <c r="E497" s="80"/>
      <c r="F497" s="80"/>
    </row>
    <row r="498" spans="2:6" x14ac:dyDescent="0.3">
      <c r="B498" s="176"/>
      <c r="C498" s="177"/>
      <c r="D498" s="177"/>
      <c r="E498" s="80"/>
      <c r="F498" s="80"/>
    </row>
    <row r="499" spans="2:6" x14ac:dyDescent="0.3">
      <c r="B499" s="176"/>
      <c r="C499" s="177"/>
      <c r="D499" s="177"/>
      <c r="E499" s="80"/>
      <c r="F499" s="80"/>
    </row>
    <row r="500" spans="2:6" x14ac:dyDescent="0.3">
      <c r="B500" s="176"/>
      <c r="C500" s="177"/>
      <c r="D500" s="177"/>
      <c r="E500" s="80"/>
      <c r="F500" s="80"/>
    </row>
    <row r="501" spans="2:6" x14ac:dyDescent="0.3">
      <c r="B501" s="176"/>
      <c r="C501" s="177"/>
      <c r="D501" s="177"/>
      <c r="E501" s="80"/>
      <c r="F501" s="80"/>
    </row>
    <row r="502" spans="2:6" x14ac:dyDescent="0.3">
      <c r="B502" s="176"/>
      <c r="C502" s="177"/>
      <c r="D502" s="177"/>
      <c r="E502" s="80"/>
      <c r="F502" s="80"/>
    </row>
    <row r="503" spans="2:6" x14ac:dyDescent="0.3">
      <c r="B503" s="176"/>
      <c r="C503" s="177"/>
      <c r="D503" s="177"/>
      <c r="E503" s="80"/>
      <c r="F503" s="80"/>
    </row>
    <row r="504" spans="2:6" x14ac:dyDescent="0.3">
      <c r="B504" s="176"/>
      <c r="C504" s="177"/>
      <c r="D504" s="177"/>
      <c r="E504" s="80"/>
      <c r="F504" s="80"/>
    </row>
    <row r="505" spans="2:6" x14ac:dyDescent="0.3">
      <c r="B505" s="176"/>
      <c r="C505" s="177"/>
      <c r="D505" s="177"/>
      <c r="E505" s="80"/>
      <c r="F505" s="80"/>
    </row>
    <row r="506" spans="2:6" x14ac:dyDescent="0.3">
      <c r="B506" s="176"/>
      <c r="C506" s="177"/>
      <c r="D506" s="177"/>
      <c r="E506" s="80"/>
      <c r="F506" s="80"/>
    </row>
    <row r="507" spans="2:6" x14ac:dyDescent="0.3">
      <c r="B507" s="176"/>
      <c r="C507" s="177"/>
      <c r="D507" s="177"/>
      <c r="E507" s="80"/>
      <c r="F507" s="80"/>
    </row>
    <row r="508" spans="2:6" x14ac:dyDescent="0.3">
      <c r="B508" s="176"/>
      <c r="C508" s="177"/>
      <c r="D508" s="177"/>
      <c r="E508" s="80"/>
      <c r="F508" s="80"/>
    </row>
    <row r="509" spans="2:6" x14ac:dyDescent="0.3">
      <c r="B509" s="176"/>
      <c r="C509" s="177"/>
      <c r="D509" s="177"/>
      <c r="E509" s="80"/>
      <c r="F509" s="80"/>
    </row>
    <row r="510" spans="2:6" x14ac:dyDescent="0.3">
      <c r="B510" s="176"/>
      <c r="C510" s="177"/>
      <c r="D510" s="177"/>
      <c r="E510" s="80"/>
      <c r="F510" s="80"/>
    </row>
    <row r="511" spans="2:6" x14ac:dyDescent="0.3">
      <c r="B511" s="176"/>
      <c r="C511" s="177"/>
      <c r="D511" s="177"/>
      <c r="E511" s="80"/>
      <c r="F511" s="80"/>
    </row>
    <row r="512" spans="2:6" x14ac:dyDescent="0.3">
      <c r="B512" s="176"/>
      <c r="C512" s="177"/>
      <c r="D512" s="177"/>
      <c r="E512" s="80"/>
      <c r="F512" s="80"/>
    </row>
    <row r="513" spans="2:6" x14ac:dyDescent="0.3">
      <c r="B513" s="176"/>
      <c r="C513" s="177"/>
      <c r="D513" s="177"/>
      <c r="E513" s="80"/>
      <c r="F513" s="80"/>
    </row>
    <row r="514" spans="2:6" x14ac:dyDescent="0.3">
      <c r="B514" s="176"/>
      <c r="C514" s="177"/>
      <c r="D514" s="177"/>
      <c r="E514" s="80"/>
      <c r="F514" s="80"/>
    </row>
    <row r="515" spans="2:6" x14ac:dyDescent="0.3">
      <c r="B515" s="176"/>
      <c r="C515" s="177"/>
      <c r="D515" s="177"/>
      <c r="E515" s="80"/>
      <c r="F515" s="80"/>
    </row>
    <row r="516" spans="2:6" x14ac:dyDescent="0.3">
      <c r="B516" s="176"/>
      <c r="C516" s="177"/>
      <c r="D516" s="177"/>
      <c r="E516" s="80"/>
      <c r="F516" s="80"/>
    </row>
    <row r="517" spans="2:6" x14ac:dyDescent="0.3">
      <c r="B517" s="176"/>
      <c r="C517" s="177"/>
      <c r="D517" s="177"/>
      <c r="E517" s="80"/>
      <c r="F517" s="80"/>
    </row>
    <row r="518" spans="2:6" x14ac:dyDescent="0.3">
      <c r="B518" s="176"/>
      <c r="C518" s="177"/>
      <c r="D518" s="177"/>
      <c r="E518" s="80"/>
      <c r="F518" s="80"/>
    </row>
    <row r="519" spans="2:6" x14ac:dyDescent="0.3">
      <c r="B519" s="176"/>
      <c r="C519" s="177"/>
      <c r="D519" s="177"/>
      <c r="E519" s="80"/>
      <c r="F519" s="80"/>
    </row>
    <row r="520" spans="2:6" x14ac:dyDescent="0.3">
      <c r="B520" s="176"/>
      <c r="C520" s="177"/>
      <c r="D520" s="177"/>
      <c r="E520" s="80"/>
      <c r="F520" s="80"/>
    </row>
    <row r="521" spans="2:6" x14ac:dyDescent="0.3">
      <c r="B521" s="176"/>
      <c r="C521" s="177"/>
      <c r="D521" s="177"/>
      <c r="E521" s="80"/>
      <c r="F521" s="80"/>
    </row>
    <row r="522" spans="2:6" x14ac:dyDescent="0.3">
      <c r="B522" s="176"/>
      <c r="C522" s="177"/>
      <c r="D522" s="177"/>
      <c r="E522" s="80"/>
      <c r="F522" s="80"/>
    </row>
    <row r="523" spans="2:6" x14ac:dyDescent="0.3">
      <c r="B523" s="176"/>
      <c r="C523" s="177"/>
      <c r="D523" s="177"/>
      <c r="E523" s="80"/>
      <c r="F523" s="80"/>
    </row>
    <row r="524" spans="2:6" x14ac:dyDescent="0.3">
      <c r="B524" s="176"/>
      <c r="C524" s="177"/>
      <c r="D524" s="177"/>
      <c r="E524" s="80"/>
      <c r="F524" s="80"/>
    </row>
    <row r="525" spans="2:6" x14ac:dyDescent="0.3">
      <c r="B525" s="176"/>
      <c r="C525" s="177"/>
      <c r="D525" s="177"/>
      <c r="E525" s="80"/>
      <c r="F525" s="80"/>
    </row>
    <row r="526" spans="2:6" x14ac:dyDescent="0.3">
      <c r="B526" s="176"/>
      <c r="C526" s="177"/>
      <c r="D526" s="177"/>
      <c r="E526" s="80"/>
      <c r="F526" s="80"/>
    </row>
    <row r="527" spans="2:6" x14ac:dyDescent="0.3">
      <c r="B527" s="176"/>
      <c r="C527" s="177"/>
      <c r="D527" s="177"/>
      <c r="E527" s="80"/>
      <c r="F527" s="80"/>
    </row>
    <row r="528" spans="2:6" x14ac:dyDescent="0.3">
      <c r="B528" s="176"/>
      <c r="C528" s="177"/>
      <c r="D528" s="177"/>
      <c r="E528" s="80"/>
      <c r="F528" s="80"/>
    </row>
    <row r="529" spans="2:6" x14ac:dyDescent="0.3">
      <c r="B529" s="176"/>
      <c r="C529" s="177"/>
      <c r="D529" s="177"/>
      <c r="E529" s="80"/>
      <c r="F529" s="80"/>
    </row>
    <row r="530" spans="2:6" x14ac:dyDescent="0.3">
      <c r="B530" s="176"/>
      <c r="C530" s="177"/>
      <c r="D530" s="177"/>
      <c r="E530" s="80"/>
      <c r="F530" s="80"/>
    </row>
    <row r="531" spans="2:6" x14ac:dyDescent="0.3">
      <c r="B531" s="176"/>
      <c r="C531" s="177"/>
      <c r="D531" s="177"/>
      <c r="E531" s="80"/>
      <c r="F531" s="80"/>
    </row>
    <row r="532" spans="2:6" x14ac:dyDescent="0.3">
      <c r="B532" s="176"/>
      <c r="C532" s="177"/>
      <c r="D532" s="177"/>
      <c r="E532" s="80"/>
      <c r="F532" s="80"/>
    </row>
    <row r="533" spans="2:6" x14ac:dyDescent="0.3">
      <c r="B533" s="176"/>
      <c r="C533" s="177"/>
      <c r="D533" s="177"/>
      <c r="E533" s="80"/>
      <c r="F533" s="80"/>
    </row>
    <row r="534" spans="2:6" x14ac:dyDescent="0.3">
      <c r="B534" s="176"/>
      <c r="C534" s="177"/>
      <c r="D534" s="177"/>
      <c r="E534" s="80"/>
      <c r="F534" s="80"/>
    </row>
    <row r="535" spans="2:6" x14ac:dyDescent="0.3">
      <c r="B535" s="176"/>
      <c r="C535" s="177"/>
      <c r="D535" s="177"/>
      <c r="E535" s="80"/>
      <c r="F535" s="80"/>
    </row>
    <row r="536" spans="2:6" x14ac:dyDescent="0.3">
      <c r="B536" s="176"/>
      <c r="C536" s="177"/>
      <c r="D536" s="177"/>
      <c r="E536" s="80"/>
      <c r="F536" s="80"/>
    </row>
    <row r="537" spans="2:6" x14ac:dyDescent="0.3">
      <c r="B537" s="176"/>
      <c r="C537" s="177"/>
      <c r="D537" s="177"/>
      <c r="E537" s="80"/>
      <c r="F537" s="80"/>
    </row>
    <row r="538" spans="2:6" x14ac:dyDescent="0.3">
      <c r="B538" s="176"/>
      <c r="C538" s="177"/>
      <c r="D538" s="177"/>
      <c r="E538" s="80"/>
      <c r="F538" s="80"/>
    </row>
    <row r="539" spans="2:6" x14ac:dyDescent="0.3">
      <c r="B539" s="176"/>
      <c r="C539" s="177"/>
      <c r="D539" s="177"/>
      <c r="E539" s="80"/>
      <c r="F539" s="80"/>
    </row>
    <row r="540" spans="2:6" x14ac:dyDescent="0.3">
      <c r="B540" s="176"/>
      <c r="C540" s="177"/>
      <c r="D540" s="177"/>
      <c r="E540" s="80"/>
      <c r="F540" s="80"/>
    </row>
    <row r="541" spans="2:6" x14ac:dyDescent="0.3">
      <c r="B541" s="176"/>
      <c r="C541" s="177"/>
      <c r="D541" s="177"/>
      <c r="E541" s="80"/>
      <c r="F541" s="80"/>
    </row>
    <row r="542" spans="2:6" x14ac:dyDescent="0.3">
      <c r="B542" s="176"/>
      <c r="C542" s="177"/>
      <c r="D542" s="177"/>
      <c r="E542" s="80"/>
      <c r="F542" s="80"/>
    </row>
    <row r="543" spans="2:6" x14ac:dyDescent="0.3">
      <c r="B543" s="176"/>
      <c r="C543" s="177"/>
      <c r="D543" s="177"/>
      <c r="E543" s="80"/>
      <c r="F543" s="80"/>
    </row>
    <row r="544" spans="2:6" x14ac:dyDescent="0.3">
      <c r="B544" s="176"/>
      <c r="C544" s="177"/>
      <c r="D544" s="177"/>
      <c r="E544" s="80"/>
      <c r="F544" s="80"/>
    </row>
    <row r="545" spans="2:6" x14ac:dyDescent="0.3">
      <c r="B545" s="176"/>
      <c r="C545" s="177"/>
      <c r="D545" s="177"/>
      <c r="E545" s="80"/>
      <c r="F545" s="80"/>
    </row>
    <row r="546" spans="2:6" x14ac:dyDescent="0.3">
      <c r="B546" s="176"/>
      <c r="C546" s="177"/>
      <c r="D546" s="177"/>
      <c r="E546" s="80"/>
      <c r="F546" s="80"/>
    </row>
    <row r="547" spans="2:6" x14ac:dyDescent="0.3">
      <c r="B547" s="176"/>
      <c r="C547" s="177"/>
      <c r="D547" s="177"/>
      <c r="E547" s="80"/>
      <c r="F547" s="80"/>
    </row>
    <row r="548" spans="2:6" x14ac:dyDescent="0.3">
      <c r="B548" s="176"/>
      <c r="C548" s="177"/>
      <c r="D548" s="177"/>
      <c r="E548" s="80"/>
      <c r="F548" s="80"/>
    </row>
    <row r="549" spans="2:6" x14ac:dyDescent="0.3">
      <c r="B549" s="176"/>
      <c r="C549" s="177"/>
      <c r="D549" s="177"/>
      <c r="E549" s="80"/>
      <c r="F549" s="80"/>
    </row>
    <row r="550" spans="2:6" x14ac:dyDescent="0.3">
      <c r="B550" s="176"/>
      <c r="C550" s="177"/>
      <c r="D550" s="177"/>
      <c r="E550" s="80"/>
      <c r="F550" s="80"/>
    </row>
    <row r="551" spans="2:6" x14ac:dyDescent="0.3">
      <c r="B551" s="176"/>
      <c r="C551" s="177"/>
      <c r="D551" s="177"/>
      <c r="E551" s="80"/>
      <c r="F551" s="80"/>
    </row>
    <row r="552" spans="2:6" x14ac:dyDescent="0.3">
      <c r="B552" s="176"/>
      <c r="C552" s="177"/>
      <c r="D552" s="177"/>
      <c r="E552" s="80"/>
      <c r="F552" s="80"/>
    </row>
    <row r="553" spans="2:6" x14ac:dyDescent="0.3">
      <c r="B553" s="176"/>
      <c r="C553" s="177"/>
      <c r="D553" s="177"/>
      <c r="E553" s="80"/>
      <c r="F553" s="80"/>
    </row>
    <row r="554" spans="2:6" x14ac:dyDescent="0.3">
      <c r="B554" s="176"/>
      <c r="C554" s="177"/>
      <c r="D554" s="177"/>
      <c r="E554" s="80"/>
      <c r="F554" s="80"/>
    </row>
    <row r="555" spans="2:6" x14ac:dyDescent="0.3">
      <c r="B555" s="176"/>
      <c r="C555" s="177"/>
      <c r="D555" s="177"/>
      <c r="E555" s="80"/>
      <c r="F555" s="80"/>
    </row>
    <row r="556" spans="2:6" x14ac:dyDescent="0.3">
      <c r="B556" s="176"/>
      <c r="C556" s="177"/>
      <c r="D556" s="177"/>
      <c r="E556" s="80"/>
      <c r="F556" s="80"/>
    </row>
    <row r="557" spans="2:6" x14ac:dyDescent="0.3">
      <c r="B557" s="176"/>
      <c r="C557" s="177"/>
      <c r="D557" s="177"/>
      <c r="E557" s="80"/>
      <c r="F557" s="80"/>
    </row>
    <row r="558" spans="2:6" x14ac:dyDescent="0.3">
      <c r="B558" s="176"/>
      <c r="C558" s="177"/>
      <c r="D558" s="177"/>
      <c r="E558" s="80"/>
      <c r="F558" s="80"/>
    </row>
    <row r="559" spans="2:6" x14ac:dyDescent="0.3">
      <c r="B559" s="176"/>
      <c r="C559" s="177"/>
      <c r="D559" s="177"/>
      <c r="E559" s="80"/>
      <c r="F559" s="80"/>
    </row>
    <row r="560" spans="2:6" x14ac:dyDescent="0.3">
      <c r="B560" s="176"/>
      <c r="C560" s="177"/>
      <c r="D560" s="177"/>
      <c r="E560" s="80"/>
      <c r="F560" s="80"/>
    </row>
    <row r="561" spans="2:6" x14ac:dyDescent="0.3">
      <c r="B561" s="176"/>
      <c r="C561" s="177"/>
      <c r="D561" s="177"/>
      <c r="E561" s="80"/>
      <c r="F561" s="80"/>
    </row>
    <row r="562" spans="2:6" x14ac:dyDescent="0.3">
      <c r="B562" s="176"/>
      <c r="C562" s="177"/>
      <c r="D562" s="177"/>
      <c r="E562" s="80"/>
      <c r="F562" s="80"/>
    </row>
    <row r="563" spans="2:6" x14ac:dyDescent="0.3">
      <c r="B563" s="176"/>
      <c r="C563" s="177"/>
      <c r="D563" s="177"/>
      <c r="E563" s="80"/>
      <c r="F563" s="80"/>
    </row>
    <row r="564" spans="2:6" x14ac:dyDescent="0.3">
      <c r="B564" s="176"/>
      <c r="C564" s="177"/>
      <c r="D564" s="177"/>
      <c r="E564" s="80"/>
      <c r="F564" s="80"/>
    </row>
    <row r="565" spans="2:6" x14ac:dyDescent="0.3">
      <c r="B565" s="176"/>
      <c r="C565" s="177"/>
      <c r="D565" s="177"/>
      <c r="E565" s="80"/>
      <c r="F565" s="80"/>
    </row>
    <row r="566" spans="2:6" x14ac:dyDescent="0.3">
      <c r="B566" s="176"/>
      <c r="C566" s="177"/>
      <c r="D566" s="177"/>
      <c r="E566" s="80"/>
      <c r="F566" s="80"/>
    </row>
    <row r="567" spans="2:6" x14ac:dyDescent="0.3">
      <c r="B567" s="176"/>
      <c r="C567" s="177"/>
      <c r="D567" s="177"/>
      <c r="E567" s="80"/>
      <c r="F567" s="80"/>
    </row>
    <row r="568" spans="2:6" x14ac:dyDescent="0.3">
      <c r="B568" s="176"/>
      <c r="C568" s="177"/>
      <c r="D568" s="177"/>
      <c r="E568" s="80"/>
      <c r="F568" s="80"/>
    </row>
    <row r="569" spans="2:6" x14ac:dyDescent="0.3">
      <c r="B569" s="176"/>
      <c r="C569" s="177"/>
      <c r="D569" s="177"/>
      <c r="E569" s="80"/>
      <c r="F569" s="80"/>
    </row>
    <row r="570" spans="2:6" x14ac:dyDescent="0.3">
      <c r="B570" s="176"/>
      <c r="C570" s="177"/>
      <c r="D570" s="177"/>
      <c r="E570" s="80"/>
      <c r="F570" s="80"/>
    </row>
    <row r="571" spans="2:6" x14ac:dyDescent="0.3">
      <c r="B571" s="176"/>
      <c r="C571" s="177"/>
      <c r="D571" s="177"/>
      <c r="E571" s="80"/>
      <c r="F571" s="80"/>
    </row>
    <row r="572" spans="2:6" x14ac:dyDescent="0.3">
      <c r="B572" s="176"/>
      <c r="C572" s="177"/>
      <c r="D572" s="177"/>
      <c r="E572" s="80"/>
      <c r="F572" s="80"/>
    </row>
    <row r="573" spans="2:6" x14ac:dyDescent="0.3">
      <c r="B573" s="176"/>
      <c r="C573" s="177"/>
      <c r="D573" s="177"/>
      <c r="E573" s="80"/>
      <c r="F573" s="80"/>
    </row>
    <row r="574" spans="2:6" x14ac:dyDescent="0.3">
      <c r="B574" s="176"/>
      <c r="C574" s="177"/>
      <c r="D574" s="177"/>
      <c r="E574" s="80"/>
      <c r="F574" s="80"/>
    </row>
    <row r="575" spans="2:6" x14ac:dyDescent="0.3">
      <c r="B575" s="176"/>
      <c r="C575" s="177"/>
      <c r="D575" s="177"/>
      <c r="E575" s="80"/>
      <c r="F575" s="80"/>
    </row>
    <row r="576" spans="2:6" x14ac:dyDescent="0.3">
      <c r="B576" s="176"/>
      <c r="C576" s="177"/>
      <c r="D576" s="177"/>
      <c r="E576" s="80"/>
      <c r="F576" s="80"/>
    </row>
    <row r="577" spans="2:6" x14ac:dyDescent="0.3">
      <c r="B577" s="176"/>
      <c r="C577" s="177"/>
      <c r="D577" s="177"/>
      <c r="E577" s="80"/>
      <c r="F577" s="80"/>
    </row>
    <row r="578" spans="2:6" x14ac:dyDescent="0.3">
      <c r="B578" s="176"/>
      <c r="C578" s="177"/>
      <c r="D578" s="177"/>
      <c r="E578" s="80"/>
      <c r="F578" s="80"/>
    </row>
    <row r="579" spans="2:6" x14ac:dyDescent="0.3">
      <c r="B579" s="176"/>
      <c r="C579" s="177"/>
      <c r="D579" s="177"/>
      <c r="E579" s="80"/>
      <c r="F579" s="80"/>
    </row>
    <row r="580" spans="2:6" x14ac:dyDescent="0.3">
      <c r="B580" s="176"/>
      <c r="C580" s="177"/>
      <c r="D580" s="177"/>
      <c r="E580" s="80"/>
      <c r="F580" s="80"/>
    </row>
    <row r="581" spans="2:6" x14ac:dyDescent="0.3">
      <c r="B581" s="176"/>
      <c r="C581" s="177"/>
      <c r="D581" s="177"/>
      <c r="E581" s="80"/>
      <c r="F581" s="80"/>
    </row>
    <row r="582" spans="2:6" x14ac:dyDescent="0.3">
      <c r="B582" s="176"/>
      <c r="C582" s="177"/>
      <c r="D582" s="177"/>
      <c r="E582" s="80"/>
      <c r="F582" s="80"/>
    </row>
    <row r="583" spans="2:6" x14ac:dyDescent="0.3">
      <c r="B583" s="176"/>
      <c r="C583" s="177"/>
      <c r="D583" s="177"/>
      <c r="E583" s="80"/>
      <c r="F583" s="80"/>
    </row>
    <row r="584" spans="2:6" x14ac:dyDescent="0.3">
      <c r="B584" s="176"/>
      <c r="C584" s="177"/>
      <c r="D584" s="177"/>
      <c r="E584" s="80"/>
      <c r="F584" s="80"/>
    </row>
    <row r="585" spans="2:6" x14ac:dyDescent="0.3">
      <c r="B585" s="176"/>
      <c r="C585" s="177"/>
      <c r="D585" s="177"/>
      <c r="E585" s="80"/>
      <c r="F585" s="80"/>
    </row>
    <row r="586" spans="2:6" x14ac:dyDescent="0.3">
      <c r="B586" s="176"/>
      <c r="C586" s="177"/>
      <c r="D586" s="177"/>
      <c r="E586" s="80"/>
      <c r="F586" s="80"/>
    </row>
    <row r="587" spans="2:6" x14ac:dyDescent="0.3">
      <c r="B587" s="176"/>
      <c r="C587" s="177"/>
      <c r="D587" s="177"/>
      <c r="E587" s="80"/>
      <c r="F587" s="80"/>
    </row>
    <row r="588" spans="2:6" x14ac:dyDescent="0.3">
      <c r="B588" s="176"/>
      <c r="C588" s="177"/>
      <c r="D588" s="177"/>
      <c r="E588" s="80"/>
      <c r="F588" s="80"/>
    </row>
    <row r="589" spans="2:6" x14ac:dyDescent="0.3">
      <c r="B589" s="176"/>
      <c r="C589" s="177"/>
      <c r="D589" s="177"/>
      <c r="E589" s="80"/>
      <c r="F589" s="80"/>
    </row>
    <row r="590" spans="2:6" x14ac:dyDescent="0.3">
      <c r="B590" s="176"/>
      <c r="C590" s="177"/>
      <c r="D590" s="177"/>
      <c r="E590" s="80"/>
      <c r="F590" s="80"/>
    </row>
    <row r="591" spans="2:6" x14ac:dyDescent="0.3">
      <c r="B591" s="176"/>
      <c r="C591" s="177"/>
      <c r="D591" s="177"/>
      <c r="E591" s="80"/>
      <c r="F591" s="80"/>
    </row>
    <row r="592" spans="2:6" x14ac:dyDescent="0.3">
      <c r="B592" s="176"/>
      <c r="C592" s="177"/>
      <c r="D592" s="177"/>
      <c r="E592" s="80"/>
      <c r="F592" s="80"/>
    </row>
    <row r="593" spans="2:6" x14ac:dyDescent="0.3">
      <c r="B593" s="176"/>
      <c r="C593" s="177"/>
      <c r="D593" s="177"/>
      <c r="E593" s="80"/>
      <c r="F593" s="80"/>
    </row>
    <row r="594" spans="2:6" x14ac:dyDescent="0.3">
      <c r="B594" s="176"/>
      <c r="C594" s="177"/>
      <c r="D594" s="177"/>
      <c r="E594" s="80"/>
      <c r="F594" s="80"/>
    </row>
    <row r="595" spans="2:6" x14ac:dyDescent="0.3">
      <c r="B595" s="176"/>
      <c r="C595" s="177"/>
      <c r="D595" s="177"/>
      <c r="E595" s="80"/>
      <c r="F595" s="80"/>
    </row>
    <row r="596" spans="2:6" x14ac:dyDescent="0.3">
      <c r="B596" s="176"/>
      <c r="C596" s="177"/>
      <c r="D596" s="177"/>
      <c r="E596" s="80"/>
      <c r="F596" s="80"/>
    </row>
    <row r="597" spans="2:6" x14ac:dyDescent="0.3">
      <c r="B597" s="176"/>
      <c r="C597" s="177"/>
      <c r="D597" s="177"/>
      <c r="E597" s="80"/>
      <c r="F597" s="80"/>
    </row>
    <row r="598" spans="2:6" x14ac:dyDescent="0.3">
      <c r="B598" s="176"/>
      <c r="C598" s="177"/>
      <c r="D598" s="177"/>
      <c r="E598" s="80"/>
      <c r="F598" s="80"/>
    </row>
    <row r="599" spans="2:6" x14ac:dyDescent="0.3">
      <c r="B599" s="176"/>
      <c r="C599" s="177"/>
      <c r="D599" s="177"/>
      <c r="E599" s="80"/>
      <c r="F599" s="80"/>
    </row>
    <row r="600" spans="2:6" x14ac:dyDescent="0.3">
      <c r="B600" s="176"/>
      <c r="C600" s="177"/>
      <c r="D600" s="177"/>
      <c r="E600" s="80"/>
      <c r="F600" s="80"/>
    </row>
    <row r="601" spans="2:6" x14ac:dyDescent="0.3">
      <c r="B601" s="176"/>
      <c r="C601" s="177"/>
      <c r="D601" s="177"/>
      <c r="E601" s="80"/>
      <c r="F601" s="80"/>
    </row>
    <row r="602" spans="2:6" x14ac:dyDescent="0.3">
      <c r="B602" s="176"/>
      <c r="C602" s="177"/>
      <c r="D602" s="177"/>
      <c r="E602" s="80"/>
      <c r="F602" s="80"/>
    </row>
    <row r="603" spans="2:6" x14ac:dyDescent="0.3">
      <c r="B603" s="176"/>
      <c r="C603" s="177"/>
      <c r="D603" s="177"/>
      <c r="E603" s="80"/>
      <c r="F603" s="80"/>
    </row>
    <row r="604" spans="2:6" x14ac:dyDescent="0.3">
      <c r="B604" s="176"/>
      <c r="C604" s="177"/>
      <c r="D604" s="177"/>
      <c r="E604" s="80"/>
      <c r="F604" s="80"/>
    </row>
    <row r="605" spans="2:6" x14ac:dyDescent="0.3">
      <c r="B605" s="176"/>
      <c r="C605" s="177"/>
      <c r="D605" s="177"/>
      <c r="E605" s="80"/>
      <c r="F605" s="80"/>
    </row>
    <row r="606" spans="2:6" x14ac:dyDescent="0.3">
      <c r="B606" s="176"/>
      <c r="C606" s="177"/>
      <c r="D606" s="177"/>
      <c r="E606" s="80"/>
      <c r="F606" s="80"/>
    </row>
    <row r="607" spans="2:6" x14ac:dyDescent="0.3">
      <c r="B607" s="176"/>
      <c r="C607" s="177"/>
      <c r="D607" s="177"/>
      <c r="E607" s="80"/>
      <c r="F607" s="80"/>
    </row>
    <row r="608" spans="2:6" x14ac:dyDescent="0.3">
      <c r="B608" s="176"/>
      <c r="C608" s="177"/>
      <c r="D608" s="177"/>
      <c r="E608" s="80"/>
      <c r="F608" s="80"/>
    </row>
    <row r="609" spans="2:6" x14ac:dyDescent="0.3">
      <c r="B609" s="176"/>
      <c r="C609" s="177"/>
      <c r="D609" s="177"/>
      <c r="E609" s="80"/>
      <c r="F609" s="80"/>
    </row>
    <row r="610" spans="2:6" x14ac:dyDescent="0.3">
      <c r="B610" s="176"/>
      <c r="C610" s="177"/>
      <c r="D610" s="177"/>
      <c r="E610" s="80"/>
      <c r="F610" s="80"/>
    </row>
    <row r="611" spans="2:6" x14ac:dyDescent="0.3">
      <c r="B611" s="176"/>
      <c r="C611" s="177"/>
      <c r="D611" s="177"/>
      <c r="E611" s="80"/>
      <c r="F611" s="80"/>
    </row>
    <row r="612" spans="2:6" x14ac:dyDescent="0.3">
      <c r="B612" s="176"/>
      <c r="C612" s="177"/>
      <c r="D612" s="177"/>
      <c r="E612" s="80"/>
      <c r="F612" s="80"/>
    </row>
    <row r="613" spans="2:6" x14ac:dyDescent="0.3">
      <c r="B613" s="176"/>
      <c r="C613" s="177"/>
      <c r="D613" s="177"/>
      <c r="E613" s="80"/>
      <c r="F613" s="80"/>
    </row>
    <row r="614" spans="2:6" x14ac:dyDescent="0.3">
      <c r="B614" s="176"/>
      <c r="C614" s="177"/>
      <c r="D614" s="177"/>
      <c r="E614" s="80"/>
      <c r="F614" s="80"/>
    </row>
    <row r="615" spans="2:6" x14ac:dyDescent="0.3">
      <c r="B615" s="176"/>
      <c r="C615" s="177"/>
      <c r="D615" s="177"/>
      <c r="E615" s="80"/>
      <c r="F615" s="80"/>
    </row>
    <row r="616" spans="2:6" x14ac:dyDescent="0.3">
      <c r="B616" s="176"/>
      <c r="C616" s="177"/>
      <c r="D616" s="177"/>
      <c r="E616" s="80"/>
      <c r="F616" s="80"/>
    </row>
    <row r="617" spans="2:6" x14ac:dyDescent="0.3">
      <c r="B617" s="176"/>
      <c r="C617" s="177"/>
      <c r="D617" s="177"/>
      <c r="E617" s="80"/>
      <c r="F617" s="80"/>
    </row>
    <row r="618" spans="2:6" x14ac:dyDescent="0.3">
      <c r="B618" s="176"/>
      <c r="C618" s="177"/>
      <c r="D618" s="177"/>
      <c r="E618" s="80"/>
      <c r="F618" s="80"/>
    </row>
    <row r="619" spans="2:6" x14ac:dyDescent="0.3">
      <c r="B619" s="176"/>
      <c r="C619" s="177"/>
      <c r="D619" s="177"/>
      <c r="E619" s="80"/>
      <c r="F619" s="80"/>
    </row>
    <row r="620" spans="2:6" x14ac:dyDescent="0.3">
      <c r="B620" s="176"/>
      <c r="C620" s="177"/>
      <c r="D620" s="177"/>
      <c r="E620" s="80"/>
      <c r="F620" s="80"/>
    </row>
    <row r="621" spans="2:6" x14ac:dyDescent="0.3">
      <c r="B621" s="176"/>
      <c r="C621" s="177"/>
      <c r="D621" s="177"/>
      <c r="E621" s="80"/>
      <c r="F621" s="80"/>
    </row>
    <row r="622" spans="2:6" x14ac:dyDescent="0.3">
      <c r="B622" s="176"/>
      <c r="C622" s="177"/>
      <c r="D622" s="177"/>
      <c r="E622" s="80"/>
      <c r="F622" s="80"/>
    </row>
    <row r="623" spans="2:6" x14ac:dyDescent="0.3">
      <c r="B623" s="176"/>
      <c r="C623" s="177"/>
      <c r="D623" s="177"/>
      <c r="E623" s="80"/>
      <c r="F623" s="80"/>
    </row>
    <row r="624" spans="2:6" x14ac:dyDescent="0.3">
      <c r="B624" s="176"/>
      <c r="C624" s="177"/>
      <c r="D624" s="177"/>
      <c r="E624" s="80"/>
      <c r="F624" s="80"/>
    </row>
    <row r="625" spans="2:6" x14ac:dyDescent="0.3">
      <c r="B625" s="176"/>
      <c r="C625" s="177"/>
      <c r="D625" s="177"/>
      <c r="E625" s="80"/>
      <c r="F625" s="80"/>
    </row>
    <row r="626" spans="2:6" x14ac:dyDescent="0.3">
      <c r="B626" s="176"/>
      <c r="C626" s="177"/>
      <c r="D626" s="177"/>
      <c r="E626" s="80"/>
      <c r="F626" s="80"/>
    </row>
    <row r="627" spans="2:6" x14ac:dyDescent="0.3">
      <c r="B627" s="176"/>
      <c r="C627" s="177"/>
      <c r="D627" s="177"/>
      <c r="E627" s="80"/>
      <c r="F627" s="80"/>
    </row>
    <row r="628" spans="2:6" x14ac:dyDescent="0.3">
      <c r="B628" s="176"/>
      <c r="C628" s="177"/>
      <c r="D628" s="177"/>
      <c r="E628" s="80"/>
      <c r="F628" s="80"/>
    </row>
    <row r="629" spans="2:6" x14ac:dyDescent="0.3">
      <c r="B629" s="176"/>
      <c r="C629" s="177"/>
      <c r="D629" s="177"/>
      <c r="E629" s="80"/>
      <c r="F629" s="80"/>
    </row>
    <row r="630" spans="2:6" x14ac:dyDescent="0.3">
      <c r="B630" s="176"/>
      <c r="C630" s="177"/>
      <c r="D630" s="177"/>
      <c r="E630" s="80"/>
      <c r="F630" s="80"/>
    </row>
    <row r="631" spans="2:6" x14ac:dyDescent="0.3">
      <c r="B631" s="176"/>
      <c r="C631" s="177"/>
      <c r="D631" s="177"/>
      <c r="E631" s="80"/>
      <c r="F631" s="80"/>
    </row>
    <row r="632" spans="2:6" x14ac:dyDescent="0.3">
      <c r="B632" s="176"/>
      <c r="C632" s="177"/>
      <c r="D632" s="177"/>
      <c r="E632" s="80"/>
      <c r="F632" s="80"/>
    </row>
    <row r="633" spans="2:6" x14ac:dyDescent="0.3">
      <c r="B633" s="176"/>
      <c r="C633" s="177"/>
      <c r="D633" s="177"/>
      <c r="E633" s="80"/>
      <c r="F633" s="80"/>
    </row>
    <row r="634" spans="2:6" x14ac:dyDescent="0.3">
      <c r="B634" s="176"/>
      <c r="C634" s="177"/>
      <c r="D634" s="177"/>
      <c r="E634" s="80"/>
      <c r="F634" s="80"/>
    </row>
    <row r="635" spans="2:6" x14ac:dyDescent="0.3">
      <c r="B635" s="176"/>
      <c r="C635" s="177"/>
      <c r="D635" s="177"/>
      <c r="E635" s="80"/>
      <c r="F635" s="80"/>
    </row>
    <row r="636" spans="2:6" x14ac:dyDescent="0.3">
      <c r="B636" s="176"/>
      <c r="C636" s="177"/>
      <c r="D636" s="177"/>
      <c r="E636" s="80"/>
      <c r="F636" s="80"/>
    </row>
    <row r="637" spans="2:6" x14ac:dyDescent="0.3">
      <c r="B637" s="176"/>
      <c r="C637" s="177"/>
      <c r="D637" s="177"/>
      <c r="E637" s="80"/>
      <c r="F637" s="80"/>
    </row>
    <row r="638" spans="2:6" x14ac:dyDescent="0.3">
      <c r="B638" s="176"/>
      <c r="C638" s="177"/>
      <c r="D638" s="177"/>
      <c r="E638" s="80"/>
      <c r="F638" s="80"/>
    </row>
    <row r="639" spans="2:6" x14ac:dyDescent="0.3">
      <c r="B639" s="176"/>
      <c r="C639" s="177"/>
      <c r="D639" s="177"/>
      <c r="E639" s="80"/>
      <c r="F639" s="80"/>
    </row>
    <row r="640" spans="2:6" x14ac:dyDescent="0.3">
      <c r="B640" s="176"/>
      <c r="C640" s="177"/>
      <c r="D640" s="177"/>
      <c r="E640" s="80"/>
      <c r="F640" s="80"/>
    </row>
    <row r="641" spans="2:6" x14ac:dyDescent="0.3">
      <c r="B641" s="176"/>
      <c r="C641" s="177"/>
      <c r="D641" s="177"/>
      <c r="E641" s="80"/>
      <c r="F641" s="80"/>
    </row>
    <row r="642" spans="2:6" x14ac:dyDescent="0.3">
      <c r="B642" s="176"/>
      <c r="C642" s="177"/>
      <c r="D642" s="177"/>
      <c r="E642" s="80"/>
      <c r="F642" s="80"/>
    </row>
    <row r="643" spans="2:6" x14ac:dyDescent="0.3">
      <c r="B643" s="176"/>
      <c r="C643" s="177"/>
      <c r="D643" s="177"/>
      <c r="E643" s="80"/>
      <c r="F643" s="80"/>
    </row>
    <row r="644" spans="2:6" x14ac:dyDescent="0.3">
      <c r="B644" s="176"/>
      <c r="C644" s="177"/>
      <c r="D644" s="177"/>
      <c r="E644" s="80"/>
      <c r="F644" s="80"/>
    </row>
    <row r="645" spans="2:6" x14ac:dyDescent="0.3">
      <c r="B645" s="176"/>
      <c r="C645" s="177"/>
      <c r="D645" s="177"/>
      <c r="E645" s="80"/>
      <c r="F645" s="80"/>
    </row>
    <row r="646" spans="2:6" x14ac:dyDescent="0.3">
      <c r="B646" s="176"/>
      <c r="C646" s="177"/>
      <c r="D646" s="177"/>
      <c r="E646" s="80"/>
      <c r="F646" s="80"/>
    </row>
    <row r="647" spans="2:6" x14ac:dyDescent="0.3">
      <c r="B647" s="176"/>
      <c r="C647" s="177"/>
      <c r="D647" s="177"/>
      <c r="E647" s="80"/>
      <c r="F647" s="80"/>
    </row>
    <row r="648" spans="2:6" x14ac:dyDescent="0.3">
      <c r="B648" s="176"/>
      <c r="C648" s="177"/>
      <c r="D648" s="177"/>
      <c r="E648" s="80"/>
      <c r="F648" s="80"/>
    </row>
    <row r="649" spans="2:6" x14ac:dyDescent="0.3">
      <c r="B649" s="176"/>
      <c r="C649" s="177"/>
      <c r="D649" s="177"/>
      <c r="E649" s="80"/>
      <c r="F649" s="80"/>
    </row>
    <row r="650" spans="2:6" x14ac:dyDescent="0.3">
      <c r="B650" s="176"/>
      <c r="C650" s="177"/>
      <c r="D650" s="177"/>
      <c r="E650" s="80"/>
      <c r="F650" s="80"/>
    </row>
    <row r="651" spans="2:6" x14ac:dyDescent="0.3">
      <c r="B651" s="176"/>
      <c r="C651" s="177"/>
      <c r="D651" s="177"/>
      <c r="E651" s="80"/>
      <c r="F651" s="80"/>
    </row>
    <row r="652" spans="2:6" x14ac:dyDescent="0.3">
      <c r="B652" s="176"/>
      <c r="C652" s="177"/>
      <c r="D652" s="177"/>
      <c r="E652" s="80"/>
      <c r="F652" s="80"/>
    </row>
    <row r="653" spans="2:6" x14ac:dyDescent="0.3">
      <c r="B653" s="176"/>
      <c r="C653" s="177"/>
      <c r="D653" s="177"/>
      <c r="E653" s="80"/>
      <c r="F653" s="80"/>
    </row>
    <row r="654" spans="2:6" x14ac:dyDescent="0.3">
      <c r="B654" s="176"/>
      <c r="C654" s="177"/>
      <c r="D654" s="177"/>
      <c r="E654" s="80"/>
      <c r="F654" s="80"/>
    </row>
    <row r="655" spans="2:6" x14ac:dyDescent="0.3">
      <c r="B655" s="176"/>
      <c r="C655" s="177"/>
      <c r="D655" s="177"/>
      <c r="E655" s="80"/>
      <c r="F655" s="80"/>
    </row>
    <row r="656" spans="2:6" x14ac:dyDescent="0.3">
      <c r="B656" s="176"/>
      <c r="C656" s="177"/>
      <c r="D656" s="177"/>
      <c r="E656" s="80"/>
      <c r="F656" s="80"/>
    </row>
    <row r="657" spans="2:6" x14ac:dyDescent="0.3">
      <c r="B657" s="176"/>
      <c r="C657" s="177"/>
      <c r="D657" s="177"/>
      <c r="E657" s="80"/>
      <c r="F657" s="80"/>
    </row>
    <row r="658" spans="2:6" x14ac:dyDescent="0.3">
      <c r="B658" s="176"/>
      <c r="C658" s="177"/>
      <c r="D658" s="177"/>
      <c r="E658" s="80"/>
      <c r="F658" s="80"/>
    </row>
    <row r="659" spans="2:6" x14ac:dyDescent="0.3">
      <c r="B659" s="176"/>
      <c r="C659" s="177"/>
      <c r="D659" s="177"/>
      <c r="E659" s="80"/>
      <c r="F659" s="80"/>
    </row>
    <row r="660" spans="2:6" x14ac:dyDescent="0.3">
      <c r="B660" s="176"/>
      <c r="C660" s="177"/>
      <c r="D660" s="177"/>
      <c r="E660" s="80"/>
      <c r="F660" s="80"/>
    </row>
    <row r="661" spans="2:6" x14ac:dyDescent="0.3">
      <c r="B661" s="176"/>
      <c r="C661" s="177"/>
      <c r="D661" s="177"/>
      <c r="E661" s="80"/>
      <c r="F661" s="80"/>
    </row>
    <row r="662" spans="2:6" x14ac:dyDescent="0.3">
      <c r="B662" s="176"/>
      <c r="C662" s="177"/>
      <c r="D662" s="177"/>
      <c r="E662" s="80"/>
      <c r="F662" s="80"/>
    </row>
    <row r="663" spans="2:6" x14ac:dyDescent="0.3">
      <c r="B663" s="176"/>
      <c r="C663" s="177"/>
      <c r="D663" s="177"/>
      <c r="E663" s="80"/>
      <c r="F663" s="80"/>
    </row>
    <row r="664" spans="2:6" x14ac:dyDescent="0.3">
      <c r="B664" s="176"/>
      <c r="C664" s="177"/>
      <c r="D664" s="177"/>
      <c r="E664" s="80"/>
      <c r="F664" s="80"/>
    </row>
    <row r="665" spans="2:6" x14ac:dyDescent="0.3">
      <c r="B665" s="176"/>
      <c r="C665" s="177"/>
      <c r="D665" s="177"/>
      <c r="E665" s="80"/>
      <c r="F665" s="80"/>
    </row>
    <row r="666" spans="2:6" x14ac:dyDescent="0.3">
      <c r="B666" s="176"/>
      <c r="C666" s="177"/>
      <c r="D666" s="177"/>
      <c r="E666" s="80"/>
      <c r="F666" s="80"/>
    </row>
    <row r="667" spans="2:6" x14ac:dyDescent="0.3">
      <c r="B667" s="176"/>
      <c r="C667" s="177"/>
      <c r="D667" s="177"/>
      <c r="E667" s="80"/>
      <c r="F667" s="80"/>
    </row>
    <row r="668" spans="2:6" x14ac:dyDescent="0.3">
      <c r="B668" s="176"/>
      <c r="C668" s="177"/>
      <c r="D668" s="177"/>
      <c r="E668" s="80"/>
      <c r="F668" s="80"/>
    </row>
    <row r="669" spans="2:6" x14ac:dyDescent="0.3">
      <c r="B669" s="176"/>
      <c r="C669" s="177"/>
      <c r="D669" s="177"/>
      <c r="E669" s="80"/>
      <c r="F669" s="80"/>
    </row>
    <row r="670" spans="2:6" x14ac:dyDescent="0.3">
      <c r="B670" s="176"/>
      <c r="C670" s="177"/>
      <c r="D670" s="177"/>
      <c r="E670" s="80"/>
      <c r="F670" s="80"/>
    </row>
    <row r="671" spans="2:6" x14ac:dyDescent="0.3">
      <c r="B671" s="176"/>
      <c r="C671" s="177"/>
      <c r="D671" s="177"/>
      <c r="E671" s="80"/>
      <c r="F671" s="80"/>
    </row>
    <row r="672" spans="2:6" x14ac:dyDescent="0.3">
      <c r="B672" s="176"/>
      <c r="C672" s="177"/>
      <c r="D672" s="177"/>
      <c r="E672" s="80"/>
      <c r="F672" s="80"/>
    </row>
    <row r="673" spans="2:6" x14ac:dyDescent="0.3">
      <c r="B673" s="176"/>
      <c r="C673" s="177"/>
      <c r="D673" s="177"/>
      <c r="E673" s="80"/>
      <c r="F673" s="80"/>
    </row>
    <row r="674" spans="2:6" x14ac:dyDescent="0.3">
      <c r="B674" s="176"/>
      <c r="C674" s="177"/>
      <c r="D674" s="177"/>
      <c r="E674" s="80"/>
      <c r="F674" s="80"/>
    </row>
    <row r="675" spans="2:6" x14ac:dyDescent="0.3">
      <c r="B675" s="176"/>
      <c r="C675" s="177"/>
      <c r="D675" s="177"/>
      <c r="E675" s="80"/>
      <c r="F675" s="80"/>
    </row>
    <row r="676" spans="2:6" x14ac:dyDescent="0.3">
      <c r="B676" s="176"/>
      <c r="C676" s="177"/>
      <c r="D676" s="177"/>
      <c r="E676" s="80"/>
      <c r="F676" s="80"/>
    </row>
    <row r="677" spans="2:6" x14ac:dyDescent="0.3">
      <c r="B677" s="176"/>
      <c r="C677" s="177"/>
      <c r="D677" s="177"/>
      <c r="E677" s="80"/>
      <c r="F677" s="80"/>
    </row>
    <row r="678" spans="2:6" x14ac:dyDescent="0.3">
      <c r="B678" s="176"/>
      <c r="C678" s="177"/>
      <c r="D678" s="177"/>
      <c r="E678" s="80"/>
      <c r="F678" s="80"/>
    </row>
    <row r="679" spans="2:6" x14ac:dyDescent="0.3">
      <c r="B679" s="176"/>
      <c r="C679" s="177"/>
      <c r="D679" s="177"/>
      <c r="E679" s="80"/>
      <c r="F679" s="80"/>
    </row>
    <row r="680" spans="2:6" x14ac:dyDescent="0.3">
      <c r="B680" s="176"/>
      <c r="C680" s="177"/>
      <c r="D680" s="177"/>
      <c r="E680" s="80"/>
      <c r="F680" s="80"/>
    </row>
    <row r="681" spans="2:6" x14ac:dyDescent="0.3">
      <c r="B681" s="176"/>
      <c r="C681" s="177"/>
      <c r="D681" s="177"/>
      <c r="E681" s="80"/>
      <c r="F681" s="80"/>
    </row>
    <row r="682" spans="2:6" x14ac:dyDescent="0.3">
      <c r="B682" s="176"/>
      <c r="C682" s="177"/>
      <c r="D682" s="177"/>
      <c r="E682" s="80"/>
      <c r="F682" s="80"/>
    </row>
    <row r="683" spans="2:6" x14ac:dyDescent="0.3">
      <c r="B683" s="176"/>
      <c r="C683" s="177"/>
      <c r="D683" s="177"/>
      <c r="E683" s="80"/>
      <c r="F683" s="80"/>
    </row>
    <row r="684" spans="2:6" x14ac:dyDescent="0.3">
      <c r="B684" s="176"/>
      <c r="C684" s="177"/>
      <c r="D684" s="177"/>
      <c r="E684" s="80"/>
      <c r="F684" s="80"/>
    </row>
    <row r="685" spans="2:6" x14ac:dyDescent="0.3">
      <c r="B685" s="176"/>
      <c r="C685" s="177"/>
      <c r="D685" s="177"/>
      <c r="E685" s="80"/>
      <c r="F685" s="80"/>
    </row>
    <row r="686" spans="2:6" x14ac:dyDescent="0.3">
      <c r="B686" s="176"/>
      <c r="C686" s="177"/>
      <c r="D686" s="177"/>
      <c r="E686" s="80"/>
      <c r="F686" s="80"/>
    </row>
    <row r="687" spans="2:6" x14ac:dyDescent="0.3">
      <c r="B687" s="176"/>
      <c r="C687" s="177"/>
      <c r="D687" s="177"/>
      <c r="E687" s="80"/>
      <c r="F687" s="80"/>
    </row>
    <row r="688" spans="2:6" x14ac:dyDescent="0.3">
      <c r="B688" s="176"/>
      <c r="C688" s="177"/>
      <c r="D688" s="177"/>
      <c r="E688" s="80"/>
      <c r="F688" s="80"/>
    </row>
    <row r="689" spans="2:6" x14ac:dyDescent="0.3">
      <c r="B689" s="176"/>
      <c r="C689" s="177"/>
      <c r="D689" s="177"/>
      <c r="E689" s="80"/>
      <c r="F689" s="80"/>
    </row>
    <row r="690" spans="2:6" x14ac:dyDescent="0.3">
      <c r="B690" s="176"/>
      <c r="C690" s="177"/>
      <c r="D690" s="177"/>
      <c r="E690" s="80"/>
      <c r="F690" s="80"/>
    </row>
    <row r="691" spans="2:6" x14ac:dyDescent="0.3">
      <c r="B691" s="176"/>
      <c r="C691" s="177"/>
      <c r="D691" s="177"/>
      <c r="E691" s="80"/>
      <c r="F691" s="80"/>
    </row>
    <row r="692" spans="2:6" x14ac:dyDescent="0.3">
      <c r="B692" s="176"/>
      <c r="C692" s="177"/>
      <c r="D692" s="177"/>
      <c r="E692" s="80"/>
      <c r="F692" s="80"/>
    </row>
    <row r="693" spans="2:6" x14ac:dyDescent="0.3">
      <c r="B693" s="176"/>
      <c r="C693" s="177"/>
      <c r="D693" s="177"/>
      <c r="E693" s="80"/>
      <c r="F693" s="80"/>
    </row>
    <row r="694" spans="2:6" x14ac:dyDescent="0.3">
      <c r="B694" s="176"/>
      <c r="C694" s="177"/>
      <c r="D694" s="177"/>
      <c r="E694" s="80"/>
      <c r="F694" s="80"/>
    </row>
    <row r="695" spans="2:6" x14ac:dyDescent="0.3">
      <c r="B695" s="176"/>
      <c r="C695" s="177"/>
      <c r="D695" s="177"/>
      <c r="E695" s="80"/>
      <c r="F695" s="80"/>
    </row>
    <row r="696" spans="2:6" x14ac:dyDescent="0.3">
      <c r="B696" s="176"/>
      <c r="C696" s="177"/>
      <c r="D696" s="177"/>
      <c r="E696" s="80"/>
      <c r="F696" s="80"/>
    </row>
    <row r="697" spans="2:6" x14ac:dyDescent="0.3">
      <c r="B697" s="176"/>
      <c r="C697" s="177"/>
      <c r="D697" s="177"/>
      <c r="E697" s="80"/>
      <c r="F697" s="80"/>
    </row>
    <row r="698" spans="2:6" x14ac:dyDescent="0.3">
      <c r="B698" s="176"/>
      <c r="C698" s="177"/>
      <c r="D698" s="177"/>
      <c r="E698" s="80"/>
      <c r="F698" s="80"/>
    </row>
    <row r="699" spans="2:6" x14ac:dyDescent="0.3">
      <c r="B699" s="176"/>
      <c r="C699" s="177"/>
      <c r="D699" s="177"/>
      <c r="E699" s="80"/>
      <c r="F699" s="80"/>
    </row>
    <row r="700" spans="2:6" x14ac:dyDescent="0.3">
      <c r="B700" s="176"/>
      <c r="C700" s="177"/>
      <c r="D700" s="177"/>
      <c r="E700" s="80"/>
      <c r="F700" s="80"/>
    </row>
    <row r="701" spans="2:6" x14ac:dyDescent="0.3">
      <c r="B701" s="176"/>
      <c r="C701" s="177"/>
      <c r="D701" s="177"/>
      <c r="E701" s="80"/>
      <c r="F701" s="80"/>
    </row>
    <row r="702" spans="2:6" x14ac:dyDescent="0.3">
      <c r="B702" s="176"/>
      <c r="C702" s="177"/>
      <c r="D702" s="177"/>
      <c r="E702" s="80"/>
      <c r="F702" s="80"/>
    </row>
    <row r="703" spans="2:6" x14ac:dyDescent="0.3">
      <c r="B703" s="176"/>
      <c r="C703" s="177"/>
      <c r="D703" s="177"/>
      <c r="E703" s="80"/>
      <c r="F703" s="80"/>
    </row>
    <row r="704" spans="2:6" x14ac:dyDescent="0.3">
      <c r="B704" s="176"/>
      <c r="C704" s="177"/>
      <c r="D704" s="177"/>
      <c r="E704" s="80"/>
      <c r="F704" s="80"/>
    </row>
    <row r="705" spans="2:6" x14ac:dyDescent="0.3">
      <c r="B705" s="176"/>
      <c r="C705" s="177"/>
      <c r="D705" s="177"/>
      <c r="E705" s="80"/>
      <c r="F705" s="80"/>
    </row>
    <row r="706" spans="2:6" x14ac:dyDescent="0.3">
      <c r="B706" s="176"/>
      <c r="C706" s="177"/>
      <c r="D706" s="177"/>
      <c r="E706" s="80"/>
      <c r="F706" s="80"/>
    </row>
    <row r="707" spans="2:6" x14ac:dyDescent="0.3">
      <c r="B707" s="176"/>
      <c r="C707" s="177"/>
      <c r="D707" s="177"/>
      <c r="E707" s="80"/>
      <c r="F707" s="80"/>
    </row>
    <row r="708" spans="2:6" x14ac:dyDescent="0.3">
      <c r="B708" s="176"/>
      <c r="C708" s="177"/>
      <c r="D708" s="177"/>
      <c r="E708" s="80"/>
      <c r="F708" s="80"/>
    </row>
    <row r="709" spans="2:6" x14ac:dyDescent="0.3">
      <c r="B709" s="176"/>
      <c r="C709" s="177"/>
      <c r="D709" s="177"/>
      <c r="E709" s="80"/>
      <c r="F709" s="80"/>
    </row>
    <row r="710" spans="2:6" x14ac:dyDescent="0.3">
      <c r="B710" s="176"/>
      <c r="C710" s="177"/>
      <c r="D710" s="177"/>
      <c r="E710" s="80"/>
      <c r="F710" s="80"/>
    </row>
    <row r="711" spans="2:6" x14ac:dyDescent="0.3">
      <c r="B711" s="176"/>
      <c r="C711" s="177"/>
      <c r="D711" s="177"/>
      <c r="E711" s="80"/>
      <c r="F711" s="80"/>
    </row>
    <row r="712" spans="2:6" x14ac:dyDescent="0.3">
      <c r="B712" s="176"/>
      <c r="C712" s="177"/>
      <c r="D712" s="177"/>
      <c r="E712" s="80"/>
      <c r="F712" s="80"/>
    </row>
    <row r="713" spans="2:6" x14ac:dyDescent="0.3">
      <c r="B713" s="176"/>
      <c r="C713" s="177"/>
      <c r="D713" s="177"/>
      <c r="E713" s="80"/>
      <c r="F713" s="80"/>
    </row>
    <row r="714" spans="2:6" x14ac:dyDescent="0.3">
      <c r="B714" s="176"/>
      <c r="C714" s="177"/>
      <c r="D714" s="177"/>
      <c r="E714" s="80"/>
      <c r="F714" s="80"/>
    </row>
    <row r="715" spans="2:6" x14ac:dyDescent="0.3">
      <c r="B715" s="176"/>
      <c r="C715" s="177"/>
      <c r="D715" s="177"/>
      <c r="E715" s="80"/>
      <c r="F715" s="80"/>
    </row>
    <row r="716" spans="2:6" x14ac:dyDescent="0.3">
      <c r="B716" s="176"/>
      <c r="C716" s="177"/>
      <c r="D716" s="177"/>
      <c r="E716" s="80"/>
      <c r="F716" s="80"/>
    </row>
    <row r="717" spans="2:6" x14ac:dyDescent="0.3">
      <c r="B717" s="176"/>
      <c r="C717" s="177"/>
      <c r="D717" s="177"/>
      <c r="E717" s="80"/>
      <c r="F717" s="80"/>
    </row>
    <row r="718" spans="2:6" x14ac:dyDescent="0.3">
      <c r="B718" s="176"/>
      <c r="C718" s="177"/>
      <c r="D718" s="177"/>
      <c r="E718" s="80"/>
      <c r="F718" s="80"/>
    </row>
    <row r="719" spans="2:6" x14ac:dyDescent="0.3">
      <c r="B719" s="176"/>
      <c r="C719" s="177"/>
      <c r="D719" s="177"/>
      <c r="E719" s="80"/>
      <c r="F719" s="80"/>
    </row>
    <row r="720" spans="2:6" x14ac:dyDescent="0.3">
      <c r="B720" s="176"/>
      <c r="C720" s="177"/>
      <c r="D720" s="177"/>
      <c r="E720" s="80"/>
      <c r="F720" s="80"/>
    </row>
    <row r="721" spans="2:6" x14ac:dyDescent="0.3">
      <c r="B721" s="176"/>
      <c r="C721" s="177"/>
      <c r="D721" s="177"/>
      <c r="E721" s="80"/>
      <c r="F721" s="80"/>
    </row>
    <row r="722" spans="2:6" x14ac:dyDescent="0.3">
      <c r="B722" s="176"/>
      <c r="C722" s="177"/>
      <c r="D722" s="177"/>
      <c r="E722" s="80"/>
      <c r="F722" s="80"/>
    </row>
    <row r="723" spans="2:6" x14ac:dyDescent="0.3">
      <c r="B723" s="176"/>
      <c r="C723" s="177"/>
      <c r="D723" s="177"/>
      <c r="E723" s="80"/>
      <c r="F723" s="80"/>
    </row>
    <row r="724" spans="2:6" x14ac:dyDescent="0.3">
      <c r="B724" s="176"/>
      <c r="C724" s="177"/>
      <c r="D724" s="177"/>
      <c r="E724" s="80"/>
      <c r="F724" s="80"/>
    </row>
    <row r="725" spans="2:6" x14ac:dyDescent="0.3">
      <c r="B725" s="176"/>
      <c r="C725" s="177"/>
      <c r="D725" s="177"/>
      <c r="E725" s="80"/>
      <c r="F725" s="80"/>
    </row>
    <row r="726" spans="2:6" x14ac:dyDescent="0.3">
      <c r="B726" s="176"/>
      <c r="C726" s="177"/>
      <c r="D726" s="177"/>
      <c r="E726" s="80"/>
      <c r="F726" s="80"/>
    </row>
    <row r="727" spans="2:6" x14ac:dyDescent="0.3">
      <c r="B727" s="176"/>
      <c r="C727" s="177"/>
      <c r="D727" s="177"/>
      <c r="E727" s="80"/>
      <c r="F727" s="80"/>
    </row>
    <row r="728" spans="2:6" x14ac:dyDescent="0.3">
      <c r="B728" s="176"/>
      <c r="C728" s="177"/>
      <c r="D728" s="177"/>
      <c r="E728" s="80"/>
      <c r="F728" s="80"/>
    </row>
    <row r="729" spans="2:6" x14ac:dyDescent="0.3">
      <c r="B729" s="176"/>
      <c r="C729" s="177"/>
      <c r="D729" s="177"/>
      <c r="E729" s="80"/>
      <c r="F729" s="80"/>
    </row>
    <row r="730" spans="2:6" x14ac:dyDescent="0.3">
      <c r="B730" s="176"/>
      <c r="C730" s="177"/>
      <c r="D730" s="177"/>
      <c r="E730" s="80"/>
      <c r="F730" s="80"/>
    </row>
    <row r="731" spans="2:6" x14ac:dyDescent="0.3">
      <c r="B731" s="176"/>
      <c r="C731" s="177"/>
      <c r="D731" s="177"/>
      <c r="E731" s="80"/>
      <c r="F731" s="80"/>
    </row>
    <row r="732" spans="2:6" x14ac:dyDescent="0.3">
      <c r="B732" s="176"/>
      <c r="C732" s="177"/>
      <c r="D732" s="177"/>
      <c r="E732" s="80"/>
      <c r="F732" s="80"/>
    </row>
    <row r="733" spans="2:6" x14ac:dyDescent="0.3">
      <c r="B733" s="176"/>
      <c r="C733" s="177"/>
      <c r="D733" s="177"/>
      <c r="E733" s="80"/>
      <c r="F733" s="80"/>
    </row>
    <row r="734" spans="2:6" x14ac:dyDescent="0.3">
      <c r="B734" s="176"/>
      <c r="C734" s="177"/>
      <c r="D734" s="177"/>
      <c r="E734" s="80"/>
      <c r="F734" s="80"/>
    </row>
    <row r="735" spans="2:6" x14ac:dyDescent="0.3">
      <c r="B735" s="176"/>
      <c r="C735" s="177"/>
      <c r="D735" s="177"/>
      <c r="E735" s="80"/>
      <c r="F735" s="80"/>
    </row>
    <row r="736" spans="2:6" x14ac:dyDescent="0.3">
      <c r="B736" s="176"/>
      <c r="C736" s="177"/>
      <c r="D736" s="177"/>
      <c r="E736" s="80"/>
      <c r="F736" s="80"/>
    </row>
    <row r="737" spans="2:6" x14ac:dyDescent="0.3">
      <c r="B737" s="176"/>
      <c r="C737" s="177"/>
      <c r="D737" s="177"/>
      <c r="E737" s="80"/>
      <c r="F737" s="80"/>
    </row>
    <row r="738" spans="2:6" x14ac:dyDescent="0.3">
      <c r="B738" s="176"/>
      <c r="C738" s="177"/>
      <c r="D738" s="177"/>
      <c r="E738" s="80"/>
      <c r="F738" s="80"/>
    </row>
    <row r="739" spans="2:6" x14ac:dyDescent="0.3">
      <c r="B739" s="176"/>
      <c r="C739" s="177"/>
      <c r="D739" s="177"/>
      <c r="E739" s="80"/>
      <c r="F739" s="80"/>
    </row>
    <row r="740" spans="2:6" x14ac:dyDescent="0.3">
      <c r="B740" s="176"/>
      <c r="C740" s="177"/>
      <c r="D740" s="177"/>
      <c r="E740" s="80"/>
      <c r="F740" s="80"/>
    </row>
    <row r="741" spans="2:6" x14ac:dyDescent="0.3">
      <c r="B741" s="176"/>
      <c r="C741" s="177"/>
      <c r="D741" s="177"/>
      <c r="E741" s="80"/>
      <c r="F741" s="80"/>
    </row>
    <row r="742" spans="2:6" x14ac:dyDescent="0.3">
      <c r="B742" s="176"/>
      <c r="C742" s="177"/>
      <c r="D742" s="177"/>
      <c r="E742" s="80"/>
      <c r="F742" s="80"/>
    </row>
    <row r="743" spans="2:6" x14ac:dyDescent="0.3">
      <c r="B743" s="176"/>
      <c r="C743" s="177"/>
      <c r="D743" s="177"/>
      <c r="E743" s="80"/>
      <c r="F743" s="80"/>
    </row>
    <row r="744" spans="2:6" x14ac:dyDescent="0.3">
      <c r="B744" s="176"/>
      <c r="C744" s="177"/>
      <c r="D744" s="177"/>
      <c r="E744" s="80"/>
      <c r="F744" s="80"/>
    </row>
    <row r="745" spans="2:6" x14ac:dyDescent="0.3">
      <c r="B745" s="176"/>
      <c r="C745" s="177"/>
      <c r="D745" s="177"/>
      <c r="E745" s="80"/>
      <c r="F745" s="80"/>
    </row>
    <row r="746" spans="2:6" x14ac:dyDescent="0.3">
      <c r="B746" s="176"/>
      <c r="C746" s="177"/>
      <c r="D746" s="177"/>
      <c r="E746" s="80"/>
      <c r="F746" s="80"/>
    </row>
    <row r="747" spans="2:6" x14ac:dyDescent="0.3">
      <c r="B747" s="176"/>
      <c r="C747" s="177"/>
      <c r="D747" s="177"/>
      <c r="E747" s="80"/>
      <c r="F747" s="80"/>
    </row>
    <row r="748" spans="2:6" x14ac:dyDescent="0.3">
      <c r="B748" s="176"/>
      <c r="C748" s="177"/>
      <c r="D748" s="177"/>
      <c r="E748" s="80"/>
      <c r="F748" s="80"/>
    </row>
    <row r="749" spans="2:6" x14ac:dyDescent="0.3">
      <c r="B749" s="176"/>
      <c r="C749" s="177"/>
      <c r="D749" s="177"/>
      <c r="E749" s="80"/>
      <c r="F749" s="80"/>
    </row>
    <row r="750" spans="2:6" x14ac:dyDescent="0.3">
      <c r="B750" s="176"/>
      <c r="C750" s="177"/>
      <c r="D750" s="177"/>
      <c r="E750" s="80"/>
      <c r="F750" s="80"/>
    </row>
    <row r="751" spans="2:6" x14ac:dyDescent="0.3">
      <c r="B751" s="176"/>
      <c r="C751" s="177"/>
      <c r="D751" s="177"/>
      <c r="E751" s="80"/>
      <c r="F751" s="80"/>
    </row>
    <row r="752" spans="2:6" x14ac:dyDescent="0.3">
      <c r="B752" s="176"/>
      <c r="C752" s="177"/>
      <c r="D752" s="177"/>
      <c r="E752" s="80"/>
      <c r="F752" s="80"/>
    </row>
    <row r="753" spans="2:6" x14ac:dyDescent="0.3">
      <c r="B753" s="176"/>
      <c r="C753" s="177"/>
      <c r="D753" s="177"/>
      <c r="E753" s="80"/>
      <c r="F753" s="80"/>
    </row>
    <row r="754" spans="2:6" x14ac:dyDescent="0.3">
      <c r="B754" s="176"/>
      <c r="C754" s="177"/>
      <c r="D754" s="177"/>
      <c r="E754" s="80"/>
      <c r="F754" s="80"/>
    </row>
    <row r="755" spans="2:6" x14ac:dyDescent="0.3">
      <c r="B755" s="176"/>
      <c r="C755" s="177"/>
      <c r="D755" s="177"/>
      <c r="E755" s="80"/>
      <c r="F755" s="80"/>
    </row>
    <row r="756" spans="2:6" x14ac:dyDescent="0.3">
      <c r="B756" s="176"/>
      <c r="C756" s="177"/>
      <c r="D756" s="177"/>
      <c r="E756" s="80"/>
      <c r="F756" s="80"/>
    </row>
    <row r="757" spans="2:6" x14ac:dyDescent="0.3">
      <c r="B757" s="176"/>
      <c r="C757" s="177"/>
      <c r="D757" s="177"/>
      <c r="E757" s="80"/>
      <c r="F757" s="80"/>
    </row>
    <row r="758" spans="2:6" x14ac:dyDescent="0.3">
      <c r="B758" s="176"/>
      <c r="C758" s="177"/>
      <c r="D758" s="177"/>
      <c r="E758" s="80"/>
      <c r="F758" s="80"/>
    </row>
    <row r="759" spans="2:6" x14ac:dyDescent="0.3">
      <c r="B759" s="176"/>
      <c r="C759" s="177"/>
      <c r="D759" s="177"/>
      <c r="E759" s="80"/>
      <c r="F759" s="80"/>
    </row>
    <row r="760" spans="2:6" x14ac:dyDescent="0.3">
      <c r="B760" s="176"/>
      <c r="C760" s="177"/>
      <c r="D760" s="177"/>
      <c r="E760" s="80"/>
      <c r="F760" s="80"/>
    </row>
    <row r="761" spans="2:6" x14ac:dyDescent="0.3">
      <c r="B761" s="176"/>
      <c r="C761" s="177"/>
      <c r="D761" s="177"/>
      <c r="E761" s="80"/>
      <c r="F761" s="80"/>
    </row>
    <row r="762" spans="2:6" x14ac:dyDescent="0.3">
      <c r="B762" s="176"/>
      <c r="C762" s="177"/>
      <c r="D762" s="177"/>
      <c r="E762" s="80"/>
      <c r="F762" s="80"/>
    </row>
    <row r="763" spans="2:6" x14ac:dyDescent="0.3">
      <c r="B763" s="176"/>
      <c r="C763" s="177"/>
      <c r="D763" s="177"/>
      <c r="E763" s="80"/>
      <c r="F763" s="80"/>
    </row>
    <row r="764" spans="2:6" x14ac:dyDescent="0.3">
      <c r="B764" s="176"/>
      <c r="C764" s="177"/>
      <c r="D764" s="177"/>
      <c r="E764" s="80"/>
      <c r="F764" s="80"/>
    </row>
    <row r="765" spans="2:6" x14ac:dyDescent="0.3">
      <c r="B765" s="176"/>
      <c r="C765" s="177"/>
      <c r="D765" s="177"/>
      <c r="E765" s="80"/>
      <c r="F765" s="80"/>
    </row>
    <row r="766" spans="2:6" x14ac:dyDescent="0.3">
      <c r="B766" s="176"/>
      <c r="C766" s="177"/>
      <c r="D766" s="177"/>
      <c r="E766" s="80"/>
      <c r="F766" s="80"/>
    </row>
    <row r="767" spans="2:6" x14ac:dyDescent="0.3">
      <c r="B767" s="176"/>
      <c r="C767" s="177"/>
      <c r="D767" s="177"/>
      <c r="E767" s="80"/>
      <c r="F767" s="80"/>
    </row>
    <row r="768" spans="2:6" x14ac:dyDescent="0.3">
      <c r="B768" s="176"/>
      <c r="C768" s="177"/>
      <c r="D768" s="177"/>
      <c r="E768" s="80"/>
      <c r="F768" s="80"/>
    </row>
    <row r="769" spans="2:6" x14ac:dyDescent="0.3">
      <c r="B769" s="176"/>
      <c r="C769" s="177"/>
      <c r="D769" s="177"/>
      <c r="E769" s="80"/>
      <c r="F769" s="80"/>
    </row>
    <row r="770" spans="2:6" x14ac:dyDescent="0.3">
      <c r="B770" s="176"/>
      <c r="C770" s="177"/>
      <c r="D770" s="177"/>
      <c r="E770" s="80"/>
      <c r="F770" s="80"/>
    </row>
    <row r="771" spans="2:6" x14ac:dyDescent="0.3">
      <c r="B771" s="176"/>
      <c r="C771" s="177"/>
      <c r="D771" s="177"/>
      <c r="E771" s="80"/>
      <c r="F771" s="80"/>
    </row>
    <row r="772" spans="2:6" x14ac:dyDescent="0.3">
      <c r="B772" s="176"/>
      <c r="C772" s="177"/>
      <c r="D772" s="177"/>
      <c r="E772" s="80"/>
      <c r="F772" s="80"/>
    </row>
    <row r="773" spans="2:6" x14ac:dyDescent="0.3">
      <c r="B773" s="176"/>
      <c r="C773" s="177"/>
      <c r="D773" s="177"/>
      <c r="E773" s="80"/>
      <c r="F773" s="80"/>
    </row>
    <row r="774" spans="2:6" x14ac:dyDescent="0.3">
      <c r="B774" s="176"/>
      <c r="C774" s="177"/>
      <c r="D774" s="177"/>
      <c r="E774" s="80"/>
      <c r="F774" s="80"/>
    </row>
    <row r="775" spans="2:6" x14ac:dyDescent="0.3">
      <c r="B775" s="176"/>
      <c r="C775" s="177"/>
      <c r="D775" s="177"/>
      <c r="E775" s="80"/>
      <c r="F775" s="80"/>
    </row>
    <row r="776" spans="2:6" x14ac:dyDescent="0.3">
      <c r="B776" s="176"/>
      <c r="C776" s="177"/>
      <c r="D776" s="177"/>
      <c r="E776" s="80"/>
      <c r="F776" s="80"/>
    </row>
    <row r="777" spans="2:6" x14ac:dyDescent="0.3">
      <c r="B777" s="176"/>
      <c r="C777" s="177"/>
      <c r="D777" s="177"/>
      <c r="E777" s="80"/>
      <c r="F777" s="80"/>
    </row>
    <row r="778" spans="2:6" x14ac:dyDescent="0.3">
      <c r="B778" s="176"/>
      <c r="C778" s="177"/>
      <c r="D778" s="177"/>
      <c r="E778" s="80"/>
      <c r="F778" s="80"/>
    </row>
    <row r="779" spans="2:6" x14ac:dyDescent="0.3">
      <c r="B779" s="176"/>
      <c r="C779" s="177"/>
      <c r="D779" s="177"/>
      <c r="E779" s="80"/>
      <c r="F779" s="80"/>
    </row>
    <row r="780" spans="2:6" x14ac:dyDescent="0.3">
      <c r="B780" s="176"/>
      <c r="C780" s="177"/>
      <c r="D780" s="177"/>
      <c r="E780" s="80"/>
      <c r="F780" s="80"/>
    </row>
    <row r="781" spans="2:6" x14ac:dyDescent="0.3">
      <c r="B781" s="176"/>
      <c r="C781" s="177"/>
      <c r="D781" s="177"/>
      <c r="E781" s="80"/>
      <c r="F781" s="80"/>
    </row>
    <row r="782" spans="2:6" x14ac:dyDescent="0.3">
      <c r="B782" s="176"/>
      <c r="C782" s="177"/>
      <c r="D782" s="177"/>
      <c r="E782" s="80"/>
      <c r="F782" s="80"/>
    </row>
    <row r="783" spans="2:6" x14ac:dyDescent="0.3">
      <c r="B783" s="176"/>
      <c r="C783" s="177"/>
      <c r="D783" s="177"/>
      <c r="E783" s="80"/>
      <c r="F783" s="80"/>
    </row>
    <row r="784" spans="2:6" x14ac:dyDescent="0.3">
      <c r="B784" s="176"/>
      <c r="C784" s="177"/>
      <c r="D784" s="177"/>
      <c r="E784" s="80"/>
      <c r="F784" s="80"/>
    </row>
    <row r="785" spans="2:6" x14ac:dyDescent="0.3">
      <c r="B785" s="176"/>
      <c r="C785" s="177"/>
      <c r="D785" s="177"/>
      <c r="E785" s="80"/>
      <c r="F785" s="80"/>
    </row>
    <row r="786" spans="2:6" x14ac:dyDescent="0.3">
      <c r="B786" s="176"/>
      <c r="C786" s="177"/>
      <c r="D786" s="177"/>
      <c r="E786" s="80"/>
      <c r="F786" s="80"/>
    </row>
    <row r="787" spans="2:6" x14ac:dyDescent="0.3">
      <c r="B787" s="176"/>
      <c r="C787" s="177"/>
      <c r="D787" s="177"/>
      <c r="E787" s="80"/>
      <c r="F787" s="80"/>
    </row>
    <row r="788" spans="2:6" x14ac:dyDescent="0.3">
      <c r="B788" s="176"/>
      <c r="C788" s="177"/>
      <c r="D788" s="177"/>
      <c r="E788" s="80"/>
      <c r="F788" s="80"/>
    </row>
    <row r="789" spans="2:6" x14ac:dyDescent="0.3">
      <c r="B789" s="176"/>
      <c r="C789" s="177"/>
      <c r="D789" s="177"/>
      <c r="E789" s="80"/>
      <c r="F789" s="80"/>
    </row>
    <row r="790" spans="2:6" x14ac:dyDescent="0.3">
      <c r="B790" s="176"/>
      <c r="C790" s="177"/>
      <c r="D790" s="177"/>
      <c r="E790" s="80"/>
      <c r="F790" s="80"/>
    </row>
    <row r="791" spans="2:6" x14ac:dyDescent="0.3">
      <c r="B791" s="176"/>
      <c r="C791" s="177"/>
      <c r="D791" s="177"/>
      <c r="E791" s="80"/>
      <c r="F791" s="80"/>
    </row>
    <row r="792" spans="2:6" x14ac:dyDescent="0.3">
      <c r="B792" s="176"/>
      <c r="C792" s="177"/>
      <c r="D792" s="177"/>
      <c r="E792" s="80"/>
      <c r="F792" s="80"/>
    </row>
    <row r="793" spans="2:6" x14ac:dyDescent="0.3">
      <c r="B793" s="176"/>
      <c r="C793" s="177"/>
      <c r="D793" s="177"/>
      <c r="E793" s="80"/>
      <c r="F793" s="80"/>
    </row>
    <row r="794" spans="2:6" x14ac:dyDescent="0.3">
      <c r="B794" s="176"/>
      <c r="C794" s="177"/>
      <c r="D794" s="177"/>
      <c r="E794" s="80"/>
      <c r="F794" s="80"/>
    </row>
    <row r="795" spans="2:6" x14ac:dyDescent="0.3">
      <c r="B795" s="176"/>
      <c r="C795" s="177"/>
      <c r="D795" s="177"/>
      <c r="E795" s="80"/>
      <c r="F795" s="80"/>
    </row>
    <row r="796" spans="2:6" x14ac:dyDescent="0.3">
      <c r="B796" s="176"/>
      <c r="C796" s="177"/>
      <c r="D796" s="177"/>
      <c r="E796" s="80"/>
      <c r="F796" s="80"/>
    </row>
    <row r="797" spans="2:6" x14ac:dyDescent="0.3">
      <c r="B797" s="176"/>
      <c r="C797" s="177"/>
      <c r="D797" s="177"/>
      <c r="E797" s="80"/>
      <c r="F797" s="80"/>
    </row>
    <row r="798" spans="2:6" x14ac:dyDescent="0.3">
      <c r="B798" s="176"/>
      <c r="C798" s="177"/>
      <c r="D798" s="177"/>
      <c r="E798" s="80"/>
      <c r="F798" s="80"/>
    </row>
    <row r="799" spans="2:6" x14ac:dyDescent="0.3">
      <c r="B799" s="176"/>
      <c r="C799" s="177"/>
      <c r="D799" s="177"/>
      <c r="E799" s="80"/>
      <c r="F799" s="80"/>
    </row>
    <row r="800" spans="2:6" x14ac:dyDescent="0.3">
      <c r="B800" s="176"/>
      <c r="C800" s="177"/>
      <c r="D800" s="177"/>
      <c r="E800" s="80"/>
      <c r="F800" s="80"/>
    </row>
    <row r="801" spans="2:6" x14ac:dyDescent="0.3">
      <c r="B801" s="176"/>
      <c r="C801" s="177"/>
      <c r="D801" s="177"/>
      <c r="E801" s="80"/>
      <c r="F801" s="80"/>
    </row>
    <row r="802" spans="2:6" x14ac:dyDescent="0.3">
      <c r="B802" s="176"/>
      <c r="C802" s="177"/>
      <c r="D802" s="177"/>
      <c r="E802" s="80"/>
      <c r="F802" s="80"/>
    </row>
    <row r="803" spans="2:6" x14ac:dyDescent="0.3">
      <c r="B803" s="176"/>
      <c r="C803" s="177"/>
      <c r="D803" s="177"/>
      <c r="E803" s="80"/>
      <c r="F803" s="80"/>
    </row>
    <row r="804" spans="2:6" x14ac:dyDescent="0.3">
      <c r="B804" s="176"/>
      <c r="C804" s="177"/>
      <c r="D804" s="177"/>
      <c r="E804" s="80"/>
      <c r="F804" s="80"/>
    </row>
    <row r="805" spans="2:6" x14ac:dyDescent="0.3">
      <c r="B805" s="176"/>
      <c r="C805" s="177"/>
      <c r="D805" s="177"/>
      <c r="E805" s="80"/>
      <c r="F805" s="80"/>
    </row>
    <row r="806" spans="2:6" x14ac:dyDescent="0.3">
      <c r="B806" s="176"/>
      <c r="C806" s="177"/>
      <c r="D806" s="177"/>
      <c r="E806" s="80"/>
      <c r="F806" s="80"/>
    </row>
    <row r="807" spans="2:6" x14ac:dyDescent="0.3">
      <c r="B807" s="176"/>
      <c r="C807" s="177"/>
      <c r="D807" s="177"/>
      <c r="E807" s="80"/>
      <c r="F807" s="80"/>
    </row>
    <row r="808" spans="2:6" x14ac:dyDescent="0.3">
      <c r="B808" s="176"/>
      <c r="C808" s="177"/>
      <c r="D808" s="177"/>
      <c r="E808" s="80"/>
      <c r="F808" s="80"/>
    </row>
    <row r="809" spans="2:6" x14ac:dyDescent="0.3">
      <c r="B809" s="176"/>
      <c r="C809" s="177"/>
      <c r="D809" s="177"/>
      <c r="E809" s="80"/>
      <c r="F809" s="80"/>
    </row>
    <row r="810" spans="2:6" x14ac:dyDescent="0.3">
      <c r="B810" s="176"/>
      <c r="C810" s="177"/>
      <c r="D810" s="177"/>
      <c r="E810" s="80"/>
      <c r="F810" s="80"/>
    </row>
    <row r="811" spans="2:6" x14ac:dyDescent="0.3">
      <c r="B811" s="176"/>
      <c r="C811" s="177"/>
      <c r="D811" s="177"/>
      <c r="E811" s="80"/>
      <c r="F811" s="80"/>
    </row>
    <row r="812" spans="2:6" x14ac:dyDescent="0.3">
      <c r="B812" s="176"/>
      <c r="C812" s="177"/>
      <c r="D812" s="177"/>
      <c r="E812" s="80"/>
      <c r="F812" s="80"/>
    </row>
    <row r="813" spans="2:6" x14ac:dyDescent="0.3">
      <c r="B813" s="176"/>
      <c r="C813" s="177"/>
      <c r="D813" s="177"/>
      <c r="E813" s="80"/>
      <c r="F813" s="80"/>
    </row>
    <row r="814" spans="2:6" x14ac:dyDescent="0.3">
      <c r="B814" s="176"/>
      <c r="C814" s="177"/>
      <c r="D814" s="177"/>
      <c r="E814" s="80"/>
      <c r="F814" s="80"/>
    </row>
    <row r="815" spans="2:6" x14ac:dyDescent="0.3">
      <c r="B815" s="176"/>
      <c r="C815" s="177"/>
      <c r="D815" s="177"/>
      <c r="E815" s="80"/>
      <c r="F815" s="80"/>
    </row>
    <row r="816" spans="2:6" x14ac:dyDescent="0.3">
      <c r="B816" s="176"/>
      <c r="C816" s="177"/>
      <c r="D816" s="177"/>
      <c r="E816" s="80"/>
      <c r="F816" s="80"/>
    </row>
    <row r="817" spans="2:6" x14ac:dyDescent="0.3">
      <c r="B817" s="176"/>
      <c r="C817" s="177"/>
      <c r="D817" s="177"/>
      <c r="E817" s="80"/>
      <c r="F817" s="80"/>
    </row>
    <row r="818" spans="2:6" x14ac:dyDescent="0.3">
      <c r="B818" s="176"/>
      <c r="C818" s="177"/>
      <c r="D818" s="177"/>
      <c r="E818" s="80"/>
      <c r="F818" s="80"/>
    </row>
    <row r="819" spans="2:6" x14ac:dyDescent="0.3">
      <c r="B819" s="176"/>
      <c r="C819" s="177"/>
      <c r="D819" s="177"/>
      <c r="E819" s="80"/>
      <c r="F819" s="80"/>
    </row>
    <row r="820" spans="2:6" x14ac:dyDescent="0.3">
      <c r="B820" s="176"/>
      <c r="C820" s="177"/>
      <c r="D820" s="177"/>
      <c r="E820" s="80"/>
      <c r="F820" s="80"/>
    </row>
    <row r="821" spans="2:6" x14ac:dyDescent="0.3">
      <c r="B821" s="176"/>
      <c r="C821" s="177"/>
      <c r="D821" s="177"/>
      <c r="E821" s="80"/>
      <c r="F821" s="80"/>
    </row>
    <row r="822" spans="2:6" x14ac:dyDescent="0.3">
      <c r="B822" s="176"/>
      <c r="C822" s="177"/>
      <c r="D822" s="177"/>
      <c r="E822" s="80"/>
      <c r="F822" s="80"/>
    </row>
    <row r="823" spans="2:6" x14ac:dyDescent="0.3">
      <c r="B823" s="176"/>
      <c r="C823" s="177"/>
      <c r="D823" s="177"/>
      <c r="E823" s="80"/>
      <c r="F823" s="80"/>
    </row>
    <row r="824" spans="2:6" x14ac:dyDescent="0.3">
      <c r="B824" s="176"/>
      <c r="C824" s="177"/>
      <c r="D824" s="177"/>
      <c r="E824" s="80"/>
      <c r="F824" s="80"/>
    </row>
    <row r="825" spans="2:6" x14ac:dyDescent="0.3">
      <c r="B825" s="176"/>
      <c r="C825" s="177"/>
      <c r="D825" s="177"/>
      <c r="E825" s="80"/>
      <c r="F825" s="80"/>
    </row>
    <row r="826" spans="2:6" x14ac:dyDescent="0.3">
      <c r="B826" s="176"/>
      <c r="C826" s="177"/>
      <c r="D826" s="177"/>
      <c r="E826" s="80"/>
      <c r="F826" s="80"/>
    </row>
    <row r="827" spans="2:6" x14ac:dyDescent="0.3">
      <c r="B827" s="176"/>
      <c r="C827" s="177"/>
      <c r="D827" s="177"/>
      <c r="E827" s="80"/>
      <c r="F827" s="80"/>
    </row>
    <row r="828" spans="2:6" x14ac:dyDescent="0.3">
      <c r="B828" s="176"/>
      <c r="C828" s="177"/>
      <c r="D828" s="177"/>
      <c r="E828" s="80"/>
      <c r="F828" s="80"/>
    </row>
    <row r="829" spans="2:6" x14ac:dyDescent="0.3">
      <c r="B829" s="176"/>
      <c r="C829" s="177"/>
      <c r="D829" s="177"/>
      <c r="E829" s="80"/>
      <c r="F829" s="80"/>
    </row>
    <row r="830" spans="2:6" x14ac:dyDescent="0.3">
      <c r="B830" s="176"/>
      <c r="C830" s="177"/>
      <c r="D830" s="177"/>
      <c r="E830" s="80"/>
      <c r="F830" s="80"/>
    </row>
    <row r="831" spans="2:6" x14ac:dyDescent="0.3">
      <c r="B831" s="176"/>
      <c r="C831" s="177"/>
      <c r="D831" s="177"/>
      <c r="E831" s="80"/>
      <c r="F831" s="80"/>
    </row>
    <row r="832" spans="2:6" x14ac:dyDescent="0.3">
      <c r="B832" s="176"/>
      <c r="C832" s="177"/>
      <c r="D832" s="177"/>
      <c r="E832" s="80"/>
      <c r="F832" s="80"/>
    </row>
    <row r="833" spans="2:6" x14ac:dyDescent="0.3">
      <c r="B833" s="176"/>
      <c r="C833" s="177"/>
      <c r="D833" s="177"/>
      <c r="E833" s="80"/>
      <c r="F833" s="80"/>
    </row>
    <row r="834" spans="2:6" x14ac:dyDescent="0.3">
      <c r="B834" s="176"/>
      <c r="C834" s="177"/>
      <c r="D834" s="177"/>
      <c r="E834" s="80"/>
      <c r="F834" s="80"/>
    </row>
    <row r="835" spans="2:6" x14ac:dyDescent="0.3">
      <c r="B835" s="176"/>
      <c r="C835" s="177"/>
      <c r="D835" s="177"/>
      <c r="E835" s="80"/>
      <c r="F835" s="80"/>
    </row>
    <row r="836" spans="2:6" x14ac:dyDescent="0.3">
      <c r="B836" s="176"/>
      <c r="C836" s="177"/>
      <c r="D836" s="177"/>
      <c r="E836" s="80"/>
      <c r="F836" s="80"/>
    </row>
    <row r="837" spans="2:6" x14ac:dyDescent="0.3">
      <c r="B837" s="176"/>
      <c r="C837" s="177"/>
      <c r="D837" s="177"/>
      <c r="E837" s="80"/>
      <c r="F837" s="80"/>
    </row>
    <row r="838" spans="2:6" x14ac:dyDescent="0.3">
      <c r="B838" s="176"/>
      <c r="C838" s="177"/>
      <c r="D838" s="177"/>
      <c r="E838" s="80"/>
      <c r="F838" s="80"/>
    </row>
    <row r="839" spans="2:6" x14ac:dyDescent="0.3">
      <c r="B839" s="176"/>
      <c r="C839" s="177"/>
      <c r="D839" s="177"/>
      <c r="E839" s="80"/>
      <c r="F839" s="80"/>
    </row>
    <row r="840" spans="2:6" x14ac:dyDescent="0.3">
      <c r="B840" s="176"/>
      <c r="C840" s="177"/>
      <c r="D840" s="177"/>
      <c r="E840" s="80"/>
      <c r="F840" s="80"/>
    </row>
    <row r="841" spans="2:6" x14ac:dyDescent="0.3">
      <c r="B841" s="176"/>
      <c r="C841" s="177"/>
      <c r="D841" s="177"/>
      <c r="E841" s="80"/>
      <c r="F841" s="80"/>
    </row>
    <row r="842" spans="2:6" x14ac:dyDescent="0.3">
      <c r="B842" s="176"/>
      <c r="C842" s="177"/>
      <c r="D842" s="177"/>
      <c r="E842" s="80"/>
      <c r="F842" s="80"/>
    </row>
    <row r="843" spans="2:6" x14ac:dyDescent="0.3">
      <c r="B843" s="176"/>
      <c r="C843" s="177"/>
      <c r="D843" s="177"/>
      <c r="E843" s="80"/>
      <c r="F843" s="80"/>
    </row>
    <row r="844" spans="2:6" x14ac:dyDescent="0.3">
      <c r="B844" s="176"/>
      <c r="C844" s="177"/>
      <c r="D844" s="177"/>
      <c r="E844" s="80"/>
      <c r="F844" s="80"/>
    </row>
    <row r="845" spans="2:6" x14ac:dyDescent="0.3">
      <c r="B845" s="176"/>
      <c r="C845" s="177"/>
      <c r="D845" s="177"/>
      <c r="E845" s="80"/>
      <c r="F845" s="80"/>
    </row>
    <row r="846" spans="2:6" x14ac:dyDescent="0.3">
      <c r="B846" s="176"/>
      <c r="C846" s="177"/>
      <c r="D846" s="177"/>
      <c r="E846" s="80"/>
      <c r="F846" s="80"/>
    </row>
    <row r="847" spans="2:6" x14ac:dyDescent="0.3">
      <c r="B847" s="176"/>
      <c r="C847" s="177"/>
      <c r="D847" s="177"/>
      <c r="E847" s="80"/>
      <c r="F847" s="80"/>
    </row>
    <row r="848" spans="2:6" x14ac:dyDescent="0.3">
      <c r="B848" s="176"/>
      <c r="C848" s="177"/>
      <c r="D848" s="177"/>
      <c r="E848" s="80"/>
      <c r="F848" s="80"/>
    </row>
    <row r="849" spans="2:6" x14ac:dyDescent="0.3">
      <c r="B849" s="176"/>
      <c r="C849" s="177"/>
      <c r="D849" s="177"/>
      <c r="E849" s="80"/>
      <c r="F849" s="80"/>
    </row>
    <row r="850" spans="2:6" x14ac:dyDescent="0.3">
      <c r="B850" s="176"/>
      <c r="C850" s="177"/>
      <c r="D850" s="177"/>
      <c r="E850" s="80"/>
      <c r="F850" s="80"/>
    </row>
    <row r="851" spans="2:6" x14ac:dyDescent="0.3">
      <c r="B851" s="176"/>
      <c r="C851" s="177"/>
      <c r="D851" s="177"/>
      <c r="E851" s="80"/>
      <c r="F851" s="80"/>
    </row>
    <row r="852" spans="2:6" x14ac:dyDescent="0.3">
      <c r="B852" s="176"/>
      <c r="C852" s="177"/>
      <c r="D852" s="177"/>
      <c r="E852" s="80"/>
      <c r="F852" s="80"/>
    </row>
    <row r="853" spans="2:6" x14ac:dyDescent="0.3">
      <c r="B853" s="176"/>
      <c r="C853" s="177"/>
      <c r="D853" s="177"/>
      <c r="E853" s="80"/>
      <c r="F853" s="80"/>
    </row>
    <row r="854" spans="2:6" x14ac:dyDescent="0.3">
      <c r="B854" s="176"/>
      <c r="C854" s="177"/>
      <c r="D854" s="177"/>
      <c r="E854" s="80"/>
      <c r="F854" s="80"/>
    </row>
    <row r="855" spans="2:6" x14ac:dyDescent="0.3">
      <c r="B855" s="176"/>
      <c r="C855" s="177"/>
      <c r="D855" s="177"/>
      <c r="E855" s="80"/>
      <c r="F855" s="80"/>
    </row>
    <row r="856" spans="2:6" x14ac:dyDescent="0.3">
      <c r="B856" s="176"/>
      <c r="C856" s="177"/>
      <c r="D856" s="177"/>
      <c r="E856" s="80"/>
      <c r="F856" s="80"/>
    </row>
    <row r="857" spans="2:6" x14ac:dyDescent="0.3">
      <c r="B857" s="176"/>
      <c r="C857" s="177"/>
      <c r="D857" s="177"/>
      <c r="E857" s="80"/>
      <c r="F857" s="80"/>
    </row>
    <row r="858" spans="2:6" x14ac:dyDescent="0.3">
      <c r="B858" s="176"/>
      <c r="C858" s="177"/>
      <c r="D858" s="177"/>
      <c r="E858" s="80"/>
      <c r="F858" s="80"/>
    </row>
    <row r="859" spans="2:6" x14ac:dyDescent="0.3">
      <c r="B859" s="176"/>
      <c r="C859" s="177"/>
      <c r="D859" s="177"/>
      <c r="E859" s="80"/>
      <c r="F859" s="80"/>
    </row>
    <row r="860" spans="2:6" x14ac:dyDescent="0.3">
      <c r="B860" s="176"/>
      <c r="C860" s="177"/>
      <c r="D860" s="177"/>
      <c r="E860" s="80"/>
      <c r="F860" s="80"/>
    </row>
    <row r="861" spans="2:6" x14ac:dyDescent="0.3">
      <c r="B861" s="176"/>
      <c r="C861" s="177"/>
      <c r="D861" s="177"/>
      <c r="E861" s="80"/>
      <c r="F861" s="80"/>
    </row>
    <row r="862" spans="2:6" x14ac:dyDescent="0.3">
      <c r="B862" s="176"/>
      <c r="C862" s="177"/>
      <c r="D862" s="177"/>
      <c r="E862" s="80"/>
      <c r="F862" s="80"/>
    </row>
    <row r="863" spans="2:6" x14ac:dyDescent="0.3">
      <c r="B863" s="176"/>
      <c r="C863" s="177"/>
      <c r="D863" s="177"/>
      <c r="E863" s="80"/>
      <c r="F863" s="80"/>
    </row>
    <row r="864" spans="2:6" x14ac:dyDescent="0.3">
      <c r="B864" s="176"/>
      <c r="C864" s="177"/>
      <c r="D864" s="177"/>
      <c r="E864" s="80"/>
      <c r="F864" s="80"/>
    </row>
    <row r="865" spans="2:6" x14ac:dyDescent="0.3">
      <c r="B865" s="176"/>
      <c r="C865" s="177"/>
      <c r="D865" s="177"/>
      <c r="E865" s="80"/>
      <c r="F865" s="80"/>
    </row>
    <row r="866" spans="2:6" x14ac:dyDescent="0.3">
      <c r="B866" s="176"/>
      <c r="C866" s="177"/>
      <c r="D866" s="177"/>
      <c r="E866" s="80"/>
      <c r="F866" s="80"/>
    </row>
    <row r="867" spans="2:6" x14ac:dyDescent="0.3">
      <c r="B867" s="176"/>
      <c r="C867" s="177"/>
      <c r="D867" s="177"/>
      <c r="E867" s="80"/>
      <c r="F867" s="80"/>
    </row>
    <row r="868" spans="2:6" x14ac:dyDescent="0.3">
      <c r="B868" s="176"/>
      <c r="C868" s="177"/>
      <c r="D868" s="177"/>
      <c r="E868" s="80"/>
      <c r="F868" s="80"/>
    </row>
    <row r="869" spans="2:6" x14ac:dyDescent="0.3">
      <c r="B869" s="176"/>
      <c r="C869" s="177"/>
      <c r="D869" s="177"/>
      <c r="E869" s="80"/>
      <c r="F869" s="80"/>
    </row>
    <row r="870" spans="2:6" x14ac:dyDescent="0.3">
      <c r="B870" s="176"/>
      <c r="C870" s="177"/>
      <c r="D870" s="177"/>
      <c r="E870" s="80"/>
      <c r="F870" s="80"/>
    </row>
    <row r="871" spans="2:6" x14ac:dyDescent="0.3">
      <c r="B871" s="176"/>
      <c r="C871" s="177"/>
      <c r="D871" s="177"/>
      <c r="E871" s="80"/>
      <c r="F871" s="80"/>
    </row>
    <row r="872" spans="2:6" x14ac:dyDescent="0.3">
      <c r="B872" s="176"/>
      <c r="C872" s="177"/>
      <c r="D872" s="177"/>
      <c r="E872" s="80"/>
      <c r="F872" s="80"/>
    </row>
    <row r="873" spans="2:6" x14ac:dyDescent="0.3">
      <c r="B873" s="176"/>
      <c r="C873" s="177"/>
      <c r="D873" s="177"/>
      <c r="E873" s="80"/>
      <c r="F873" s="80"/>
    </row>
    <row r="874" spans="2:6" x14ac:dyDescent="0.3">
      <c r="B874" s="176"/>
      <c r="C874" s="177"/>
      <c r="D874" s="177"/>
      <c r="E874" s="80"/>
      <c r="F874" s="80"/>
    </row>
    <row r="875" spans="2:6" x14ac:dyDescent="0.3">
      <c r="B875" s="176"/>
      <c r="C875" s="177"/>
      <c r="D875" s="177"/>
      <c r="E875" s="80"/>
      <c r="F875" s="80"/>
    </row>
    <row r="876" spans="2:6" x14ac:dyDescent="0.3">
      <c r="B876" s="176"/>
      <c r="C876" s="177"/>
      <c r="D876" s="177"/>
      <c r="E876" s="80"/>
      <c r="F876" s="80"/>
    </row>
    <row r="877" spans="2:6" x14ac:dyDescent="0.3">
      <c r="B877" s="176"/>
      <c r="C877" s="177"/>
      <c r="D877" s="177"/>
      <c r="E877" s="80"/>
      <c r="F877" s="80"/>
    </row>
    <row r="878" spans="2:6" x14ac:dyDescent="0.3">
      <c r="B878" s="176"/>
      <c r="C878" s="177"/>
      <c r="D878" s="177"/>
      <c r="E878" s="80"/>
      <c r="F878" s="80"/>
    </row>
    <row r="879" spans="2:6" x14ac:dyDescent="0.3">
      <c r="B879" s="176"/>
      <c r="C879" s="177"/>
      <c r="D879" s="177"/>
      <c r="E879" s="80"/>
      <c r="F879" s="80"/>
    </row>
    <row r="880" spans="2:6" x14ac:dyDescent="0.3">
      <c r="B880" s="176"/>
      <c r="C880" s="177"/>
      <c r="D880" s="177"/>
      <c r="E880" s="80"/>
      <c r="F880" s="80"/>
    </row>
    <row r="881" spans="2:6" x14ac:dyDescent="0.3">
      <c r="B881" s="176"/>
      <c r="C881" s="177"/>
      <c r="D881" s="177"/>
      <c r="E881" s="80"/>
      <c r="F881" s="80"/>
    </row>
    <row r="882" spans="2:6" x14ac:dyDescent="0.3">
      <c r="B882" s="176"/>
      <c r="C882" s="177"/>
      <c r="D882" s="177"/>
      <c r="E882" s="80"/>
      <c r="F882" s="80"/>
    </row>
    <row r="883" spans="2:6" x14ac:dyDescent="0.3">
      <c r="B883" s="176"/>
      <c r="C883" s="177"/>
      <c r="D883" s="177"/>
      <c r="E883" s="80"/>
      <c r="F883" s="80"/>
    </row>
    <row r="884" spans="2:6" x14ac:dyDescent="0.3">
      <c r="B884" s="176"/>
      <c r="C884" s="177"/>
      <c r="D884" s="177"/>
      <c r="E884" s="80"/>
      <c r="F884" s="80"/>
    </row>
    <row r="885" spans="2:6" x14ac:dyDescent="0.3">
      <c r="B885" s="176"/>
      <c r="C885" s="177"/>
      <c r="D885" s="177"/>
      <c r="E885" s="80"/>
      <c r="F885" s="80"/>
    </row>
    <row r="886" spans="2:6" x14ac:dyDescent="0.3">
      <c r="B886" s="176"/>
      <c r="C886" s="177"/>
      <c r="D886" s="177"/>
      <c r="E886" s="80"/>
      <c r="F886" s="80"/>
    </row>
    <row r="887" spans="2:6" x14ac:dyDescent="0.3">
      <c r="B887" s="176"/>
      <c r="C887" s="177"/>
      <c r="D887" s="177"/>
      <c r="E887" s="80"/>
      <c r="F887" s="80"/>
    </row>
    <row r="888" spans="2:6" x14ac:dyDescent="0.3">
      <c r="B888" s="176"/>
      <c r="C888" s="177"/>
      <c r="D888" s="177"/>
      <c r="E888" s="80"/>
      <c r="F888" s="80"/>
    </row>
    <row r="889" spans="2:6" x14ac:dyDescent="0.3">
      <c r="B889" s="176"/>
      <c r="C889" s="177"/>
      <c r="D889" s="177"/>
      <c r="E889" s="80"/>
      <c r="F889" s="80"/>
    </row>
    <row r="890" spans="2:6" x14ac:dyDescent="0.3">
      <c r="B890" s="176"/>
      <c r="C890" s="177"/>
      <c r="D890" s="177"/>
      <c r="E890" s="80"/>
      <c r="F890" s="80"/>
    </row>
    <row r="891" spans="2:6" x14ac:dyDescent="0.3">
      <c r="B891" s="176"/>
      <c r="C891" s="177"/>
      <c r="D891" s="177"/>
      <c r="E891" s="80"/>
      <c r="F891" s="80"/>
    </row>
    <row r="892" spans="2:6" x14ac:dyDescent="0.3">
      <c r="B892" s="176"/>
      <c r="C892" s="177"/>
      <c r="D892" s="177"/>
      <c r="E892" s="80"/>
      <c r="F892" s="80"/>
    </row>
    <row r="893" spans="2:6" x14ac:dyDescent="0.3">
      <c r="B893" s="176"/>
      <c r="C893" s="177"/>
      <c r="D893" s="177"/>
      <c r="E893" s="80"/>
      <c r="F893" s="80"/>
    </row>
    <row r="894" spans="2:6" x14ac:dyDescent="0.3">
      <c r="B894" s="176"/>
      <c r="C894" s="177"/>
      <c r="D894" s="177"/>
      <c r="E894" s="80"/>
      <c r="F894" s="80"/>
    </row>
    <row r="895" spans="2:6" x14ac:dyDescent="0.3">
      <c r="B895" s="176"/>
      <c r="C895" s="177"/>
      <c r="D895" s="177"/>
      <c r="E895" s="80"/>
      <c r="F895" s="80"/>
    </row>
    <row r="896" spans="2:6" x14ac:dyDescent="0.3">
      <c r="B896" s="176"/>
      <c r="C896" s="177"/>
      <c r="D896" s="177"/>
      <c r="E896" s="80"/>
      <c r="F896" s="80"/>
    </row>
    <row r="897" spans="2:6" x14ac:dyDescent="0.3">
      <c r="B897" s="176"/>
      <c r="C897" s="177"/>
      <c r="D897" s="177"/>
      <c r="E897" s="80"/>
      <c r="F897" s="80"/>
    </row>
    <row r="898" spans="2:6" x14ac:dyDescent="0.3">
      <c r="B898" s="176"/>
      <c r="C898" s="177"/>
      <c r="D898" s="177"/>
      <c r="E898" s="80"/>
      <c r="F898" s="80"/>
    </row>
    <row r="899" spans="2:6" x14ac:dyDescent="0.3">
      <c r="B899" s="176"/>
      <c r="C899" s="177"/>
      <c r="D899" s="177"/>
      <c r="E899" s="80"/>
      <c r="F899" s="80"/>
    </row>
    <row r="900" spans="2:6" x14ac:dyDescent="0.3">
      <c r="B900" s="176"/>
      <c r="C900" s="177"/>
      <c r="D900" s="177"/>
      <c r="E900" s="80"/>
      <c r="F900" s="80"/>
    </row>
    <row r="901" spans="2:6" x14ac:dyDescent="0.3">
      <c r="B901" s="176"/>
      <c r="C901" s="177"/>
      <c r="D901" s="177"/>
      <c r="E901" s="80"/>
      <c r="F901" s="80"/>
    </row>
    <row r="902" spans="2:6" x14ac:dyDescent="0.3">
      <c r="B902" s="176"/>
      <c r="C902" s="177"/>
      <c r="D902" s="177"/>
      <c r="E902" s="80"/>
      <c r="F902" s="80"/>
    </row>
    <row r="903" spans="2:6" x14ac:dyDescent="0.3">
      <c r="B903" s="176"/>
      <c r="C903" s="177"/>
      <c r="D903" s="177"/>
      <c r="E903" s="80"/>
      <c r="F903" s="80"/>
    </row>
    <row r="904" spans="2:6" x14ac:dyDescent="0.3">
      <c r="B904" s="176"/>
      <c r="C904" s="177"/>
      <c r="D904" s="177"/>
      <c r="E904" s="80"/>
      <c r="F904" s="80"/>
    </row>
    <row r="905" spans="2:6" x14ac:dyDescent="0.3">
      <c r="B905" s="176"/>
      <c r="C905" s="177"/>
      <c r="D905" s="177"/>
      <c r="E905" s="80"/>
      <c r="F905" s="80"/>
    </row>
    <row r="906" spans="2:6" x14ac:dyDescent="0.3">
      <c r="B906" s="176"/>
      <c r="C906" s="177"/>
      <c r="D906" s="177"/>
      <c r="E906" s="80"/>
      <c r="F906" s="80"/>
    </row>
    <row r="907" spans="2:6" x14ac:dyDescent="0.3">
      <c r="B907" s="176"/>
      <c r="C907" s="177"/>
      <c r="D907" s="177"/>
      <c r="E907" s="80"/>
      <c r="F907" s="80"/>
    </row>
    <row r="908" spans="2:6" x14ac:dyDescent="0.3">
      <c r="B908" s="176"/>
      <c r="C908" s="177"/>
      <c r="D908" s="177"/>
      <c r="E908" s="80"/>
      <c r="F908" s="80"/>
    </row>
    <row r="909" spans="2:6" x14ac:dyDescent="0.3">
      <c r="B909" s="176"/>
      <c r="C909" s="177"/>
      <c r="D909" s="177"/>
      <c r="E909" s="80"/>
      <c r="F909" s="80"/>
    </row>
    <row r="910" spans="2:6" x14ac:dyDescent="0.3">
      <c r="B910" s="176"/>
      <c r="C910" s="177"/>
      <c r="D910" s="177"/>
      <c r="E910" s="80"/>
      <c r="F910" s="80"/>
    </row>
    <row r="911" spans="2:6" x14ac:dyDescent="0.3">
      <c r="B911" s="176"/>
      <c r="C911" s="177"/>
      <c r="D911" s="177"/>
      <c r="E911" s="80"/>
      <c r="F911" s="80"/>
    </row>
    <row r="912" spans="2:6" x14ac:dyDescent="0.3">
      <c r="B912" s="176"/>
      <c r="C912" s="177"/>
      <c r="D912" s="177"/>
      <c r="E912" s="80"/>
      <c r="F912" s="80"/>
    </row>
    <row r="913" spans="2:6" x14ac:dyDescent="0.3">
      <c r="B913" s="176"/>
      <c r="C913" s="177"/>
      <c r="D913" s="177"/>
      <c r="E913" s="80"/>
      <c r="F913" s="80"/>
    </row>
    <row r="914" spans="2:6" x14ac:dyDescent="0.3">
      <c r="B914" s="176"/>
      <c r="C914" s="177"/>
      <c r="D914" s="177"/>
      <c r="E914" s="80"/>
      <c r="F914" s="80"/>
    </row>
    <row r="915" spans="2:6" x14ac:dyDescent="0.3">
      <c r="B915" s="176"/>
      <c r="C915" s="177"/>
      <c r="D915" s="177"/>
      <c r="E915" s="80"/>
      <c r="F915" s="80"/>
    </row>
    <row r="916" spans="2:6" x14ac:dyDescent="0.3">
      <c r="B916" s="176"/>
      <c r="C916" s="177"/>
      <c r="D916" s="177"/>
      <c r="E916" s="80"/>
      <c r="F916" s="80"/>
    </row>
    <row r="917" spans="2:6" x14ac:dyDescent="0.3">
      <c r="B917" s="176"/>
      <c r="C917" s="177"/>
      <c r="D917" s="177"/>
      <c r="E917" s="80"/>
      <c r="F917" s="80"/>
    </row>
    <row r="918" spans="2:6" x14ac:dyDescent="0.3">
      <c r="B918" s="176"/>
      <c r="C918" s="177"/>
      <c r="D918" s="177"/>
      <c r="E918" s="80"/>
      <c r="F918" s="80"/>
    </row>
    <row r="919" spans="2:6" x14ac:dyDescent="0.3">
      <c r="B919" s="176"/>
      <c r="C919" s="177"/>
      <c r="D919" s="177"/>
      <c r="E919" s="80"/>
      <c r="F919" s="80"/>
    </row>
    <row r="920" spans="2:6" x14ac:dyDescent="0.3">
      <c r="B920" s="176"/>
      <c r="C920" s="177"/>
      <c r="D920" s="177"/>
      <c r="E920" s="80"/>
      <c r="F920" s="80"/>
    </row>
    <row r="921" spans="2:6" x14ac:dyDescent="0.3">
      <c r="B921" s="176"/>
      <c r="C921" s="177"/>
      <c r="D921" s="177"/>
      <c r="E921" s="80"/>
      <c r="F921" s="80"/>
    </row>
    <row r="922" spans="2:6" x14ac:dyDescent="0.3">
      <c r="B922" s="176"/>
      <c r="C922" s="177"/>
      <c r="D922" s="177"/>
      <c r="E922" s="80"/>
      <c r="F922" s="80"/>
    </row>
    <row r="923" spans="2:6" x14ac:dyDescent="0.3">
      <c r="B923" s="176"/>
      <c r="C923" s="177"/>
      <c r="D923" s="177"/>
      <c r="E923" s="80"/>
      <c r="F923" s="80"/>
    </row>
    <row r="924" spans="2:6" x14ac:dyDescent="0.3">
      <c r="B924" s="176"/>
      <c r="C924" s="177"/>
      <c r="D924" s="177"/>
      <c r="E924" s="80"/>
      <c r="F924" s="80"/>
    </row>
    <row r="925" spans="2:6" x14ac:dyDescent="0.3">
      <c r="B925" s="176"/>
      <c r="C925" s="177"/>
      <c r="D925" s="177"/>
      <c r="E925" s="80"/>
      <c r="F925" s="80"/>
    </row>
    <row r="926" spans="2:6" x14ac:dyDescent="0.3">
      <c r="B926" s="176"/>
      <c r="C926" s="177"/>
      <c r="D926" s="177"/>
      <c r="E926" s="80"/>
      <c r="F926" s="80"/>
    </row>
    <row r="927" spans="2:6" x14ac:dyDescent="0.3">
      <c r="B927" s="176"/>
      <c r="C927" s="177"/>
      <c r="D927" s="177"/>
      <c r="E927" s="80"/>
      <c r="F927" s="80"/>
    </row>
    <row r="928" spans="2:6" x14ac:dyDescent="0.3">
      <c r="B928" s="176"/>
      <c r="C928" s="177"/>
      <c r="D928" s="177"/>
      <c r="E928" s="80"/>
      <c r="F928" s="80"/>
    </row>
    <row r="929" spans="2:6" x14ac:dyDescent="0.3">
      <c r="B929" s="176"/>
      <c r="C929" s="177"/>
      <c r="D929" s="177"/>
      <c r="E929" s="80"/>
      <c r="F929" s="80"/>
    </row>
    <row r="930" spans="2:6" x14ac:dyDescent="0.3">
      <c r="B930" s="176"/>
      <c r="C930" s="177"/>
      <c r="D930" s="177"/>
      <c r="E930" s="80"/>
      <c r="F930" s="80"/>
    </row>
    <row r="931" spans="2:6" x14ac:dyDescent="0.3">
      <c r="B931" s="176"/>
      <c r="C931" s="177"/>
      <c r="D931" s="177"/>
      <c r="E931" s="80"/>
      <c r="F931" s="80"/>
    </row>
    <row r="932" spans="2:6" x14ac:dyDescent="0.3">
      <c r="B932" s="176"/>
      <c r="C932" s="177"/>
      <c r="D932" s="177"/>
      <c r="E932" s="80"/>
      <c r="F932" s="80"/>
    </row>
    <row r="933" spans="2:6" x14ac:dyDescent="0.3">
      <c r="B933" s="176"/>
      <c r="C933" s="177"/>
      <c r="D933" s="177"/>
      <c r="E933" s="80"/>
      <c r="F933" s="80"/>
    </row>
    <row r="934" spans="2:6" x14ac:dyDescent="0.3">
      <c r="B934" s="176"/>
      <c r="C934" s="177"/>
      <c r="D934" s="177"/>
      <c r="E934" s="80"/>
      <c r="F934" s="80"/>
    </row>
    <row r="935" spans="2:6" x14ac:dyDescent="0.3">
      <c r="B935" s="176"/>
      <c r="C935" s="177"/>
      <c r="D935" s="177"/>
      <c r="E935" s="80"/>
      <c r="F935" s="80"/>
    </row>
    <row r="936" spans="2:6" x14ac:dyDescent="0.3">
      <c r="B936" s="176"/>
      <c r="C936" s="177"/>
      <c r="D936" s="177"/>
      <c r="E936" s="80"/>
      <c r="F936" s="80"/>
    </row>
    <row r="937" spans="2:6" x14ac:dyDescent="0.3">
      <c r="B937" s="176"/>
      <c r="C937" s="177"/>
      <c r="D937" s="177"/>
      <c r="E937" s="80"/>
      <c r="F937" s="80"/>
    </row>
    <row r="938" spans="2:6" x14ac:dyDescent="0.3">
      <c r="B938" s="176"/>
      <c r="C938" s="177"/>
      <c r="D938" s="177"/>
      <c r="E938" s="80"/>
      <c r="F938" s="80"/>
    </row>
    <row r="939" spans="2:6" x14ac:dyDescent="0.3">
      <c r="B939" s="176"/>
      <c r="C939" s="177"/>
      <c r="D939" s="177"/>
      <c r="E939" s="80"/>
      <c r="F939" s="80"/>
    </row>
    <row r="940" spans="2:6" x14ac:dyDescent="0.3">
      <c r="B940" s="176"/>
      <c r="C940" s="177"/>
      <c r="D940" s="177"/>
      <c r="E940" s="80"/>
      <c r="F940" s="80"/>
    </row>
    <row r="941" spans="2:6" x14ac:dyDescent="0.3">
      <c r="B941" s="176"/>
      <c r="C941" s="177"/>
      <c r="D941" s="177"/>
      <c r="E941" s="80"/>
      <c r="F941" s="80"/>
    </row>
    <row r="942" spans="2:6" x14ac:dyDescent="0.3">
      <c r="B942" s="176"/>
      <c r="C942" s="177"/>
      <c r="D942" s="177"/>
      <c r="E942" s="80"/>
      <c r="F942" s="80"/>
    </row>
    <row r="943" spans="2:6" x14ac:dyDescent="0.3">
      <c r="B943" s="176"/>
      <c r="C943" s="177"/>
      <c r="D943" s="177"/>
      <c r="E943" s="80"/>
      <c r="F943" s="80"/>
    </row>
    <row r="944" spans="2:6" x14ac:dyDescent="0.3">
      <c r="B944" s="176"/>
      <c r="C944" s="177"/>
      <c r="D944" s="177"/>
      <c r="E944" s="80"/>
      <c r="F944" s="80"/>
    </row>
    <row r="945" spans="2:6" x14ac:dyDescent="0.3">
      <c r="B945" s="176"/>
      <c r="C945" s="177"/>
      <c r="D945" s="177"/>
      <c r="E945" s="80"/>
      <c r="F945" s="80"/>
    </row>
    <row r="946" spans="2:6" x14ac:dyDescent="0.3">
      <c r="B946" s="176"/>
      <c r="C946" s="177"/>
      <c r="D946" s="177"/>
      <c r="E946" s="80"/>
      <c r="F946" s="80"/>
    </row>
    <row r="947" spans="2:6" x14ac:dyDescent="0.3">
      <c r="B947" s="176"/>
      <c r="C947" s="177"/>
      <c r="D947" s="177"/>
      <c r="E947" s="80"/>
      <c r="F947" s="80"/>
    </row>
    <row r="948" spans="2:6" x14ac:dyDescent="0.3">
      <c r="B948" s="176"/>
      <c r="C948" s="177"/>
      <c r="D948" s="177"/>
      <c r="E948" s="80"/>
      <c r="F948" s="80"/>
    </row>
    <row r="949" spans="2:6" x14ac:dyDescent="0.3">
      <c r="B949" s="176"/>
      <c r="C949" s="177"/>
      <c r="D949" s="177"/>
      <c r="E949" s="80"/>
      <c r="F949" s="80"/>
    </row>
    <row r="950" spans="2:6" x14ac:dyDescent="0.3">
      <c r="B950" s="176"/>
      <c r="C950" s="177"/>
      <c r="D950" s="177"/>
      <c r="E950" s="80"/>
      <c r="F950" s="80"/>
    </row>
    <row r="951" spans="2:6" x14ac:dyDescent="0.3">
      <c r="B951" s="176"/>
      <c r="C951" s="177"/>
      <c r="D951" s="177"/>
      <c r="E951" s="80"/>
      <c r="F951" s="80"/>
    </row>
    <row r="952" spans="2:6" x14ac:dyDescent="0.3">
      <c r="B952" s="176"/>
      <c r="C952" s="177"/>
      <c r="D952" s="177"/>
      <c r="E952" s="80"/>
      <c r="F952" s="80"/>
    </row>
    <row r="953" spans="2:6" x14ac:dyDescent="0.3">
      <c r="B953" s="176"/>
      <c r="C953" s="177"/>
      <c r="D953" s="177"/>
      <c r="E953" s="80"/>
      <c r="F953" s="80"/>
    </row>
    <row r="954" spans="2:6" x14ac:dyDescent="0.3">
      <c r="B954" s="176"/>
      <c r="C954" s="177"/>
      <c r="D954" s="177"/>
      <c r="E954" s="80"/>
      <c r="F954" s="80"/>
    </row>
    <row r="955" spans="2:6" x14ac:dyDescent="0.3">
      <c r="B955" s="176"/>
      <c r="C955" s="177"/>
      <c r="D955" s="177"/>
      <c r="E955" s="80"/>
      <c r="F955" s="80"/>
    </row>
    <row r="956" spans="2:6" x14ac:dyDescent="0.3">
      <c r="B956" s="176"/>
      <c r="C956" s="177"/>
      <c r="D956" s="177"/>
      <c r="E956" s="80"/>
      <c r="F956" s="80"/>
    </row>
    <row r="957" spans="2:6" x14ac:dyDescent="0.3">
      <c r="B957" s="176"/>
      <c r="C957" s="177"/>
      <c r="D957" s="177"/>
      <c r="E957" s="80"/>
      <c r="F957" s="80"/>
    </row>
    <row r="958" spans="2:6" x14ac:dyDescent="0.3">
      <c r="B958" s="176"/>
      <c r="C958" s="177"/>
      <c r="D958" s="177"/>
      <c r="E958" s="80"/>
      <c r="F958" s="80"/>
    </row>
    <row r="959" spans="2:6" x14ac:dyDescent="0.3">
      <c r="B959" s="176"/>
      <c r="C959" s="177"/>
      <c r="D959" s="177"/>
      <c r="E959" s="80"/>
      <c r="F959" s="80"/>
    </row>
    <row r="960" spans="2:6" x14ac:dyDescent="0.3">
      <c r="B960" s="176"/>
      <c r="C960" s="177"/>
      <c r="D960" s="177"/>
      <c r="E960" s="80"/>
      <c r="F960" s="80"/>
    </row>
    <row r="961" spans="2:6" x14ac:dyDescent="0.3">
      <c r="B961" s="176"/>
      <c r="C961" s="177"/>
      <c r="D961" s="177"/>
      <c r="E961" s="80"/>
      <c r="F961" s="80"/>
    </row>
    <row r="962" spans="2:6" x14ac:dyDescent="0.3">
      <c r="B962" s="176"/>
      <c r="C962" s="177"/>
      <c r="D962" s="177"/>
      <c r="E962" s="80"/>
      <c r="F962" s="80"/>
    </row>
    <row r="963" spans="2:6" x14ac:dyDescent="0.3">
      <c r="B963" s="176"/>
      <c r="C963" s="177"/>
      <c r="D963" s="177"/>
      <c r="E963" s="80"/>
      <c r="F963" s="80"/>
    </row>
    <row r="964" spans="2:6" x14ac:dyDescent="0.3">
      <c r="B964" s="176"/>
      <c r="C964" s="177"/>
      <c r="D964" s="177"/>
      <c r="E964" s="80"/>
      <c r="F964" s="80"/>
    </row>
    <row r="965" spans="2:6" x14ac:dyDescent="0.3">
      <c r="B965" s="176"/>
      <c r="C965" s="177"/>
      <c r="D965" s="177"/>
      <c r="E965" s="80"/>
      <c r="F965" s="80"/>
    </row>
    <row r="966" spans="2:6" x14ac:dyDescent="0.3">
      <c r="B966" s="176"/>
      <c r="C966" s="177"/>
      <c r="D966" s="177"/>
      <c r="E966" s="80"/>
      <c r="F966" s="80"/>
    </row>
    <row r="967" spans="2:6" x14ac:dyDescent="0.3">
      <c r="B967" s="176"/>
      <c r="C967" s="177"/>
      <c r="D967" s="177"/>
      <c r="E967" s="80"/>
      <c r="F967" s="80"/>
    </row>
    <row r="968" spans="2:6" x14ac:dyDescent="0.3">
      <c r="B968" s="176"/>
      <c r="C968" s="177"/>
      <c r="D968" s="177"/>
      <c r="E968" s="80"/>
      <c r="F968" s="80"/>
    </row>
    <row r="969" spans="2:6" x14ac:dyDescent="0.3">
      <c r="B969" s="176"/>
      <c r="C969" s="177"/>
      <c r="D969" s="177"/>
      <c r="E969" s="80"/>
      <c r="F969" s="80"/>
    </row>
    <row r="970" spans="2:6" x14ac:dyDescent="0.3">
      <c r="B970" s="176"/>
      <c r="C970" s="177"/>
      <c r="D970" s="177"/>
      <c r="E970" s="80"/>
      <c r="F970" s="80"/>
    </row>
    <row r="971" spans="2:6" x14ac:dyDescent="0.3">
      <c r="B971" s="176"/>
      <c r="C971" s="177"/>
      <c r="D971" s="177"/>
      <c r="E971" s="80"/>
      <c r="F971" s="80"/>
    </row>
    <row r="972" spans="2:6" x14ac:dyDescent="0.3">
      <c r="B972" s="176"/>
      <c r="C972" s="177"/>
      <c r="D972" s="177"/>
      <c r="E972" s="80"/>
      <c r="F972" s="80"/>
    </row>
    <row r="973" spans="2:6" x14ac:dyDescent="0.3">
      <c r="B973" s="176"/>
      <c r="C973" s="177"/>
      <c r="D973" s="177"/>
      <c r="E973" s="80"/>
      <c r="F973" s="80"/>
    </row>
    <row r="974" spans="2:6" x14ac:dyDescent="0.3">
      <c r="B974" s="176"/>
      <c r="C974" s="177"/>
      <c r="D974" s="177"/>
      <c r="E974" s="80"/>
      <c r="F974" s="80"/>
    </row>
    <row r="975" spans="2:6" x14ac:dyDescent="0.3">
      <c r="B975" s="176"/>
      <c r="C975" s="177"/>
      <c r="D975" s="177"/>
      <c r="E975" s="80"/>
      <c r="F975" s="80"/>
    </row>
    <row r="976" spans="2:6" x14ac:dyDescent="0.3">
      <c r="B976" s="176"/>
      <c r="C976" s="177"/>
      <c r="D976" s="177"/>
      <c r="E976" s="80"/>
      <c r="F976" s="80"/>
    </row>
    <row r="977" spans="2:6" x14ac:dyDescent="0.3">
      <c r="B977" s="176"/>
      <c r="C977" s="177"/>
      <c r="D977" s="177"/>
      <c r="E977" s="80"/>
      <c r="F977" s="80"/>
    </row>
    <row r="978" spans="2:6" x14ac:dyDescent="0.3">
      <c r="B978" s="176"/>
      <c r="C978" s="177"/>
      <c r="D978" s="177"/>
      <c r="E978" s="80"/>
      <c r="F978" s="80"/>
    </row>
    <row r="979" spans="2:6" x14ac:dyDescent="0.3">
      <c r="B979" s="176"/>
      <c r="C979" s="177"/>
      <c r="D979" s="177"/>
      <c r="E979" s="80"/>
      <c r="F979" s="80"/>
    </row>
    <row r="980" spans="2:6" x14ac:dyDescent="0.3">
      <c r="B980" s="176"/>
      <c r="C980" s="177"/>
      <c r="D980" s="177"/>
      <c r="E980" s="80"/>
      <c r="F980" s="80"/>
    </row>
    <row r="981" spans="2:6" x14ac:dyDescent="0.3">
      <c r="B981" s="176"/>
      <c r="C981" s="177"/>
      <c r="D981" s="177"/>
      <c r="E981" s="80"/>
      <c r="F981" s="80"/>
    </row>
    <row r="982" spans="2:6" x14ac:dyDescent="0.3">
      <c r="B982" s="176"/>
      <c r="C982" s="177"/>
      <c r="D982" s="177"/>
      <c r="E982" s="80"/>
      <c r="F982" s="80"/>
    </row>
    <row r="983" spans="2:6" x14ac:dyDescent="0.3">
      <c r="B983" s="176"/>
      <c r="C983" s="177"/>
      <c r="D983" s="177"/>
      <c r="E983" s="80"/>
      <c r="F983" s="80"/>
    </row>
    <row r="984" spans="2:6" x14ac:dyDescent="0.3">
      <c r="B984" s="176"/>
      <c r="C984" s="177"/>
      <c r="D984" s="177"/>
      <c r="E984" s="80"/>
      <c r="F984" s="80"/>
    </row>
    <row r="985" spans="2:6" x14ac:dyDescent="0.3">
      <c r="B985" s="176"/>
      <c r="C985" s="177"/>
      <c r="D985" s="177"/>
      <c r="E985" s="80"/>
      <c r="F985" s="80"/>
    </row>
    <row r="986" spans="2:6" x14ac:dyDescent="0.3">
      <c r="B986" s="176"/>
      <c r="C986" s="177"/>
      <c r="D986" s="177"/>
      <c r="E986" s="80"/>
      <c r="F986" s="80"/>
    </row>
    <row r="987" spans="2:6" x14ac:dyDescent="0.3">
      <c r="B987" s="176"/>
      <c r="C987" s="177"/>
      <c r="D987" s="177"/>
      <c r="E987" s="80"/>
      <c r="F987" s="80"/>
    </row>
    <row r="988" spans="2:6" x14ac:dyDescent="0.3">
      <c r="B988" s="176"/>
      <c r="C988" s="177"/>
      <c r="D988" s="177"/>
      <c r="E988" s="80"/>
      <c r="F988" s="80"/>
    </row>
    <row r="989" spans="2:6" x14ac:dyDescent="0.3">
      <c r="B989" s="176"/>
      <c r="C989" s="177"/>
      <c r="D989" s="177"/>
      <c r="E989" s="80"/>
      <c r="F989" s="80"/>
    </row>
    <row r="990" spans="2:6" x14ac:dyDescent="0.3">
      <c r="B990" s="176"/>
      <c r="C990" s="177"/>
      <c r="D990" s="177"/>
      <c r="E990" s="80"/>
      <c r="F990" s="80"/>
    </row>
    <row r="991" spans="2:6" x14ac:dyDescent="0.3">
      <c r="B991" s="176"/>
      <c r="C991" s="177"/>
      <c r="D991" s="177"/>
      <c r="E991" s="80"/>
      <c r="F991" s="80"/>
    </row>
    <row r="992" spans="2:6" x14ac:dyDescent="0.3">
      <c r="B992" s="176"/>
      <c r="C992" s="177"/>
      <c r="D992" s="177"/>
      <c r="E992" s="80"/>
      <c r="F992" s="80"/>
    </row>
    <row r="993" spans="2:6" x14ac:dyDescent="0.3">
      <c r="B993" s="176"/>
      <c r="C993" s="177"/>
      <c r="D993" s="177"/>
      <c r="E993" s="80"/>
      <c r="F993" s="80"/>
    </row>
    <row r="994" spans="2:6" x14ac:dyDescent="0.3">
      <c r="B994" s="176"/>
      <c r="C994" s="177"/>
      <c r="D994" s="177"/>
      <c r="E994" s="80"/>
      <c r="F994" s="80"/>
    </row>
    <row r="995" spans="2:6" x14ac:dyDescent="0.3">
      <c r="B995" s="176"/>
      <c r="C995" s="177"/>
      <c r="D995" s="177"/>
      <c r="E995" s="80"/>
      <c r="F995" s="80"/>
    </row>
    <row r="996" spans="2:6" x14ac:dyDescent="0.3">
      <c r="B996" s="176"/>
      <c r="C996" s="177"/>
      <c r="D996" s="177"/>
      <c r="E996" s="80"/>
      <c r="F996" s="80"/>
    </row>
    <row r="997" spans="2:6" x14ac:dyDescent="0.3">
      <c r="B997" s="176"/>
      <c r="C997" s="177"/>
      <c r="D997" s="177"/>
      <c r="E997" s="80"/>
      <c r="F997" s="80"/>
    </row>
    <row r="998" spans="2:6" x14ac:dyDescent="0.3">
      <c r="B998" s="176"/>
      <c r="C998" s="177"/>
      <c r="D998" s="177"/>
      <c r="E998" s="80"/>
      <c r="F998" s="80"/>
    </row>
    <row r="999" spans="2:6" x14ac:dyDescent="0.3">
      <c r="B999" s="176"/>
      <c r="C999" s="177"/>
      <c r="D999" s="177"/>
      <c r="E999" s="80"/>
      <c r="F999" s="80"/>
    </row>
    <row r="1000" spans="2:6" x14ac:dyDescent="0.3">
      <c r="B1000" s="176"/>
      <c r="C1000" s="177"/>
      <c r="D1000" s="177"/>
      <c r="E1000" s="80"/>
      <c r="F1000" s="80"/>
    </row>
    <row r="1001" spans="2:6" x14ac:dyDescent="0.3">
      <c r="B1001" s="176"/>
      <c r="C1001" s="177"/>
      <c r="D1001" s="177"/>
      <c r="E1001" s="80"/>
      <c r="F1001" s="80"/>
    </row>
    <row r="1002" spans="2:6" x14ac:dyDescent="0.3">
      <c r="B1002" s="176"/>
      <c r="C1002" s="177"/>
      <c r="D1002" s="177"/>
      <c r="E1002" s="80"/>
      <c r="F1002" s="80"/>
    </row>
    <row r="1003" spans="2:6" x14ac:dyDescent="0.3">
      <c r="B1003" s="176"/>
      <c r="C1003" s="177"/>
      <c r="D1003" s="177"/>
      <c r="E1003" s="80"/>
      <c r="F1003" s="80"/>
    </row>
    <row r="1004" spans="2:6" x14ac:dyDescent="0.3">
      <c r="B1004" s="176"/>
      <c r="C1004" s="177"/>
      <c r="D1004" s="177"/>
      <c r="E1004" s="80"/>
      <c r="F1004" s="80"/>
    </row>
    <row r="1005" spans="2:6" x14ac:dyDescent="0.3">
      <c r="B1005" s="176"/>
      <c r="C1005" s="177"/>
      <c r="D1005" s="177"/>
      <c r="E1005" s="80"/>
      <c r="F1005" s="80"/>
    </row>
    <row r="1006" spans="2:6" x14ac:dyDescent="0.3">
      <c r="B1006" s="176"/>
      <c r="C1006" s="177"/>
      <c r="D1006" s="177"/>
      <c r="E1006" s="80"/>
      <c r="F1006" s="80"/>
    </row>
    <row r="1007" spans="2:6" x14ac:dyDescent="0.3">
      <c r="B1007" s="176"/>
      <c r="C1007" s="177"/>
      <c r="D1007" s="177"/>
      <c r="E1007" s="80"/>
      <c r="F1007" s="80"/>
    </row>
    <row r="1008" spans="2:6" x14ac:dyDescent="0.3">
      <c r="B1008" s="176"/>
      <c r="C1008" s="177"/>
      <c r="D1008" s="177"/>
      <c r="E1008" s="80"/>
      <c r="F1008" s="80"/>
    </row>
    <row r="1009" spans="2:6" x14ac:dyDescent="0.3">
      <c r="B1009" s="176"/>
      <c r="C1009" s="177"/>
      <c r="D1009" s="177"/>
      <c r="E1009" s="80"/>
      <c r="F1009" s="80"/>
    </row>
    <row r="1010" spans="2:6" x14ac:dyDescent="0.3">
      <c r="B1010" s="176"/>
      <c r="C1010" s="177"/>
      <c r="D1010" s="177"/>
      <c r="E1010" s="80"/>
      <c r="F1010" s="80"/>
    </row>
    <row r="1011" spans="2:6" x14ac:dyDescent="0.3">
      <c r="B1011" s="176"/>
      <c r="C1011" s="177"/>
      <c r="D1011" s="177"/>
      <c r="E1011" s="80"/>
      <c r="F1011" s="80"/>
    </row>
    <row r="1012" spans="2:6" x14ac:dyDescent="0.3">
      <c r="B1012" s="176"/>
      <c r="C1012" s="177"/>
      <c r="D1012" s="177"/>
      <c r="E1012" s="80"/>
      <c r="F1012" s="80"/>
    </row>
    <row r="1013" spans="2:6" x14ac:dyDescent="0.3">
      <c r="B1013" s="176"/>
      <c r="C1013" s="177"/>
      <c r="D1013" s="177"/>
      <c r="E1013" s="80"/>
      <c r="F1013" s="80"/>
    </row>
    <row r="1014" spans="2:6" x14ac:dyDescent="0.3">
      <c r="B1014" s="176"/>
      <c r="C1014" s="177"/>
      <c r="D1014" s="177"/>
      <c r="E1014" s="80"/>
      <c r="F1014" s="80"/>
    </row>
    <row r="1015" spans="2:6" x14ac:dyDescent="0.3">
      <c r="B1015" s="176"/>
      <c r="C1015" s="177"/>
      <c r="D1015" s="177"/>
      <c r="E1015" s="80"/>
      <c r="F1015" s="80"/>
    </row>
    <row r="1016" spans="2:6" x14ac:dyDescent="0.3">
      <c r="B1016" s="176"/>
      <c r="C1016" s="177"/>
      <c r="D1016" s="177"/>
      <c r="E1016" s="80"/>
      <c r="F1016" s="80"/>
    </row>
    <row r="1017" spans="2:6" x14ac:dyDescent="0.3">
      <c r="B1017" s="176"/>
      <c r="C1017" s="177"/>
      <c r="D1017" s="177"/>
      <c r="E1017" s="80"/>
      <c r="F1017" s="80"/>
    </row>
    <row r="1018" spans="2:6" x14ac:dyDescent="0.3">
      <c r="B1018" s="176"/>
      <c r="C1018" s="177"/>
      <c r="D1018" s="177"/>
      <c r="E1018" s="80"/>
      <c r="F1018" s="80"/>
    </row>
    <row r="1019" spans="2:6" x14ac:dyDescent="0.3">
      <c r="B1019" s="176"/>
      <c r="C1019" s="177"/>
      <c r="D1019" s="177"/>
      <c r="E1019" s="80"/>
      <c r="F1019" s="80"/>
    </row>
    <row r="1020" spans="2:6" x14ac:dyDescent="0.3">
      <c r="B1020" s="176"/>
      <c r="C1020" s="177"/>
      <c r="D1020" s="177"/>
      <c r="E1020" s="80"/>
      <c r="F1020" s="80"/>
    </row>
    <row r="1021" spans="2:6" x14ac:dyDescent="0.3">
      <c r="B1021" s="176"/>
      <c r="C1021" s="177"/>
      <c r="D1021" s="177"/>
      <c r="E1021" s="80"/>
      <c r="F1021" s="80"/>
    </row>
    <row r="1022" spans="2:6" x14ac:dyDescent="0.3">
      <c r="B1022" s="176"/>
      <c r="C1022" s="177"/>
      <c r="D1022" s="177"/>
      <c r="E1022" s="80"/>
      <c r="F1022" s="80"/>
    </row>
    <row r="1023" spans="2:6" x14ac:dyDescent="0.3">
      <c r="B1023" s="176"/>
      <c r="C1023" s="177"/>
      <c r="D1023" s="177"/>
      <c r="E1023" s="80"/>
      <c r="F1023" s="80"/>
    </row>
    <row r="1024" spans="2:6" x14ac:dyDescent="0.3">
      <c r="B1024" s="176"/>
      <c r="C1024" s="177"/>
      <c r="D1024" s="177"/>
      <c r="E1024" s="80"/>
      <c r="F1024" s="80"/>
    </row>
    <row r="1025" spans="2:6" x14ac:dyDescent="0.3">
      <c r="B1025" s="176"/>
      <c r="C1025" s="177"/>
      <c r="D1025" s="177"/>
      <c r="E1025" s="80"/>
      <c r="F1025" s="80"/>
    </row>
    <row r="1026" spans="2:6" x14ac:dyDescent="0.3">
      <c r="B1026" s="176"/>
      <c r="C1026" s="177"/>
      <c r="D1026" s="177"/>
      <c r="E1026" s="80"/>
      <c r="F1026" s="80"/>
    </row>
    <row r="1027" spans="2:6" x14ac:dyDescent="0.3">
      <c r="B1027" s="176"/>
      <c r="C1027" s="177"/>
      <c r="D1027" s="177"/>
      <c r="E1027" s="80"/>
      <c r="F1027" s="80"/>
    </row>
    <row r="1028" spans="2:6" x14ac:dyDescent="0.3">
      <c r="B1028" s="176"/>
      <c r="C1028" s="177"/>
      <c r="D1028" s="177"/>
      <c r="E1028" s="80"/>
      <c r="F1028" s="80"/>
    </row>
    <row r="1029" spans="2:6" x14ac:dyDescent="0.3">
      <c r="B1029" s="176"/>
      <c r="C1029" s="177"/>
      <c r="D1029" s="177"/>
      <c r="E1029" s="80"/>
      <c r="F1029" s="80"/>
    </row>
    <row r="1030" spans="2:6" x14ac:dyDescent="0.3">
      <c r="B1030" s="176"/>
      <c r="C1030" s="177"/>
      <c r="D1030" s="177"/>
      <c r="E1030" s="80"/>
      <c r="F1030" s="80"/>
    </row>
    <row r="1031" spans="2:6" x14ac:dyDescent="0.3">
      <c r="B1031" s="176"/>
      <c r="C1031" s="177"/>
      <c r="D1031" s="177"/>
      <c r="E1031" s="80"/>
      <c r="F1031" s="80"/>
    </row>
    <row r="1032" spans="2:6" x14ac:dyDescent="0.3">
      <c r="B1032" s="176"/>
      <c r="C1032" s="177"/>
      <c r="D1032" s="177"/>
      <c r="E1032" s="80"/>
      <c r="F1032" s="80"/>
    </row>
    <row r="1033" spans="2:6" x14ac:dyDescent="0.3">
      <c r="B1033" s="176"/>
      <c r="C1033" s="177"/>
      <c r="D1033" s="177"/>
      <c r="E1033" s="80"/>
      <c r="F1033" s="80"/>
    </row>
    <row r="1034" spans="2:6" x14ac:dyDescent="0.3">
      <c r="B1034" s="176"/>
      <c r="C1034" s="177"/>
      <c r="D1034" s="177"/>
      <c r="E1034" s="80"/>
      <c r="F1034" s="80"/>
    </row>
    <row r="1035" spans="2:6" x14ac:dyDescent="0.3">
      <c r="B1035" s="176"/>
      <c r="C1035" s="177"/>
      <c r="D1035" s="177"/>
      <c r="E1035" s="80"/>
      <c r="F1035" s="80"/>
    </row>
    <row r="1036" spans="2:6" x14ac:dyDescent="0.3">
      <c r="B1036" s="176"/>
      <c r="C1036" s="177"/>
      <c r="D1036" s="177"/>
      <c r="E1036" s="80"/>
      <c r="F1036" s="80"/>
    </row>
    <row r="1037" spans="2:6" x14ac:dyDescent="0.3">
      <c r="B1037" s="176"/>
      <c r="C1037" s="177"/>
      <c r="D1037" s="177"/>
      <c r="E1037" s="80"/>
      <c r="F1037" s="80"/>
    </row>
    <row r="1038" spans="2:6" x14ac:dyDescent="0.3">
      <c r="B1038" s="176"/>
      <c r="C1038" s="177"/>
      <c r="D1038" s="177"/>
      <c r="E1038" s="80"/>
      <c r="F1038" s="80"/>
    </row>
    <row r="1039" spans="2:6" x14ac:dyDescent="0.3">
      <c r="B1039" s="176"/>
      <c r="C1039" s="177"/>
      <c r="D1039" s="177"/>
      <c r="E1039" s="80"/>
      <c r="F1039" s="80"/>
    </row>
    <row r="1040" spans="2:6" x14ac:dyDescent="0.3">
      <c r="B1040" s="176"/>
      <c r="C1040" s="177"/>
      <c r="D1040" s="177"/>
      <c r="E1040" s="80"/>
      <c r="F1040" s="80"/>
    </row>
    <row r="1041" spans="2:6" x14ac:dyDescent="0.3">
      <c r="B1041" s="176"/>
      <c r="C1041" s="177"/>
      <c r="D1041" s="177"/>
      <c r="E1041" s="80"/>
      <c r="F1041" s="80"/>
    </row>
    <row r="1042" spans="2:6" x14ac:dyDescent="0.3">
      <c r="B1042" s="176"/>
      <c r="C1042" s="177"/>
      <c r="D1042" s="177"/>
      <c r="E1042" s="80"/>
      <c r="F1042" s="80"/>
    </row>
    <row r="1043" spans="2:6" x14ac:dyDescent="0.3">
      <c r="B1043" s="176"/>
      <c r="C1043" s="177"/>
      <c r="D1043" s="177"/>
      <c r="E1043" s="80"/>
      <c r="F1043" s="80"/>
    </row>
    <row r="1044" spans="2:6" x14ac:dyDescent="0.3">
      <c r="B1044" s="176"/>
      <c r="C1044" s="177"/>
      <c r="D1044" s="177"/>
      <c r="E1044" s="80"/>
      <c r="F1044" s="80"/>
    </row>
    <row r="1045" spans="2:6" x14ac:dyDescent="0.3">
      <c r="B1045" s="176"/>
      <c r="C1045" s="177"/>
      <c r="D1045" s="177"/>
      <c r="E1045" s="80"/>
      <c r="F1045" s="80"/>
    </row>
    <row r="1046" spans="2:6" x14ac:dyDescent="0.3">
      <c r="B1046" s="176"/>
      <c r="C1046" s="177"/>
      <c r="D1046" s="177"/>
      <c r="E1046" s="80"/>
      <c r="F1046" s="80"/>
    </row>
    <row r="1047" spans="2:6" x14ac:dyDescent="0.3">
      <c r="B1047" s="176"/>
      <c r="C1047" s="177"/>
      <c r="D1047" s="177"/>
      <c r="E1047" s="80"/>
      <c r="F1047" s="80"/>
    </row>
    <row r="1048" spans="2:6" x14ac:dyDescent="0.3">
      <c r="B1048" s="176"/>
      <c r="C1048" s="177"/>
      <c r="D1048" s="177"/>
      <c r="E1048" s="80"/>
      <c r="F1048" s="80"/>
    </row>
    <row r="1049" spans="2:6" x14ac:dyDescent="0.3">
      <c r="B1049" s="176"/>
      <c r="C1049" s="177"/>
      <c r="D1049" s="177"/>
      <c r="E1049" s="80"/>
      <c r="F1049" s="80"/>
    </row>
    <row r="1050" spans="2:6" x14ac:dyDescent="0.3">
      <c r="B1050" s="176"/>
      <c r="C1050" s="177"/>
      <c r="D1050" s="177"/>
      <c r="E1050" s="80"/>
      <c r="F1050" s="80"/>
    </row>
    <row r="1051" spans="2:6" x14ac:dyDescent="0.3">
      <c r="B1051" s="176"/>
      <c r="C1051" s="177"/>
      <c r="D1051" s="177"/>
      <c r="E1051" s="80"/>
      <c r="F1051" s="80"/>
    </row>
    <row r="1052" spans="2:6" x14ac:dyDescent="0.3">
      <c r="B1052" s="176"/>
      <c r="C1052" s="177"/>
      <c r="D1052" s="177"/>
      <c r="E1052" s="80"/>
      <c r="F1052" s="80"/>
    </row>
    <row r="1053" spans="2:6" x14ac:dyDescent="0.3">
      <c r="B1053" s="176"/>
      <c r="C1053" s="177"/>
      <c r="D1053" s="177"/>
      <c r="E1053" s="80"/>
      <c r="F1053" s="80"/>
    </row>
    <row r="1054" spans="2:6" x14ac:dyDescent="0.3">
      <c r="B1054" s="176"/>
      <c r="C1054" s="177"/>
      <c r="D1054" s="177"/>
      <c r="E1054" s="80"/>
      <c r="F1054" s="80"/>
    </row>
    <row r="1055" spans="2:6" x14ac:dyDescent="0.3">
      <c r="B1055" s="176"/>
      <c r="C1055" s="177"/>
      <c r="D1055" s="177"/>
      <c r="E1055" s="80"/>
      <c r="F1055" s="80"/>
    </row>
    <row r="1056" spans="2:6" x14ac:dyDescent="0.3">
      <c r="B1056" s="176"/>
      <c r="C1056" s="177"/>
      <c r="D1056" s="177"/>
      <c r="E1056" s="80"/>
      <c r="F1056" s="80"/>
    </row>
    <row r="1057" spans="2:6" x14ac:dyDescent="0.3">
      <c r="B1057" s="176"/>
      <c r="C1057" s="177"/>
      <c r="D1057" s="177"/>
      <c r="E1057" s="80"/>
      <c r="F1057" s="80"/>
    </row>
    <row r="1058" spans="2:6" x14ac:dyDescent="0.3">
      <c r="B1058" s="176"/>
      <c r="C1058" s="177"/>
      <c r="D1058" s="177"/>
      <c r="E1058" s="80"/>
      <c r="F1058" s="80"/>
    </row>
    <row r="1059" spans="2:6" x14ac:dyDescent="0.3">
      <c r="B1059" s="176"/>
      <c r="C1059" s="177"/>
      <c r="D1059" s="177"/>
      <c r="E1059" s="80"/>
      <c r="F1059" s="80"/>
    </row>
    <row r="1060" spans="2:6" x14ac:dyDescent="0.3">
      <c r="B1060" s="176"/>
      <c r="C1060" s="177"/>
      <c r="D1060" s="177"/>
      <c r="E1060" s="80"/>
      <c r="F1060" s="80"/>
    </row>
    <row r="1061" spans="2:6" x14ac:dyDescent="0.3">
      <c r="B1061" s="176"/>
      <c r="C1061" s="177"/>
      <c r="D1061" s="177"/>
      <c r="E1061" s="80"/>
      <c r="F1061" s="80"/>
    </row>
    <row r="1062" spans="2:6" x14ac:dyDescent="0.3">
      <c r="B1062" s="176"/>
      <c r="C1062" s="177"/>
      <c r="D1062" s="177"/>
      <c r="E1062" s="80"/>
      <c r="F1062" s="80"/>
    </row>
    <row r="1063" spans="2:6" x14ac:dyDescent="0.3">
      <c r="B1063" s="176"/>
      <c r="C1063" s="177"/>
      <c r="D1063" s="177"/>
      <c r="E1063" s="80"/>
      <c r="F1063" s="80"/>
    </row>
    <row r="1064" spans="2:6" x14ac:dyDescent="0.3">
      <c r="B1064" s="176"/>
      <c r="C1064" s="177"/>
      <c r="D1064" s="177"/>
      <c r="E1064" s="80"/>
      <c r="F1064" s="80"/>
    </row>
    <row r="1065" spans="2:6" x14ac:dyDescent="0.3">
      <c r="B1065" s="176"/>
      <c r="C1065" s="177"/>
      <c r="D1065" s="177"/>
      <c r="E1065" s="80"/>
      <c r="F1065" s="80"/>
    </row>
    <row r="1066" spans="2:6" x14ac:dyDescent="0.3">
      <c r="B1066" s="176"/>
      <c r="C1066" s="177"/>
      <c r="D1066" s="177"/>
      <c r="E1066" s="80"/>
      <c r="F1066" s="80"/>
    </row>
    <row r="1067" spans="2:6" x14ac:dyDescent="0.3">
      <c r="B1067" s="176"/>
      <c r="C1067" s="177"/>
      <c r="D1067" s="177"/>
      <c r="E1067" s="80"/>
      <c r="F1067" s="80"/>
    </row>
    <row r="1068" spans="2:6" x14ac:dyDescent="0.3">
      <c r="B1068" s="176"/>
      <c r="C1068" s="177"/>
      <c r="D1068" s="177"/>
      <c r="E1068" s="80"/>
      <c r="F1068" s="80"/>
    </row>
    <row r="1069" spans="2:6" x14ac:dyDescent="0.3">
      <c r="B1069" s="176"/>
      <c r="C1069" s="177"/>
      <c r="D1069" s="177"/>
      <c r="E1069" s="80"/>
      <c r="F1069" s="80"/>
    </row>
    <row r="1070" spans="2:6" x14ac:dyDescent="0.3">
      <c r="B1070" s="176"/>
      <c r="C1070" s="177"/>
      <c r="D1070" s="177"/>
      <c r="E1070" s="80"/>
      <c r="F1070" s="80"/>
    </row>
    <row r="1071" spans="2:6" x14ac:dyDescent="0.3">
      <c r="B1071" s="176"/>
      <c r="C1071" s="177"/>
      <c r="D1071" s="177"/>
      <c r="E1071" s="80"/>
      <c r="F1071" s="80"/>
    </row>
    <row r="1072" spans="2:6" x14ac:dyDescent="0.3">
      <c r="B1072" s="176"/>
      <c r="C1072" s="177"/>
      <c r="D1072" s="177"/>
      <c r="E1072" s="80"/>
      <c r="F1072" s="80"/>
    </row>
    <row r="1073" spans="2:6" x14ac:dyDescent="0.3">
      <c r="B1073" s="176"/>
      <c r="C1073" s="177"/>
      <c r="D1073" s="177"/>
      <c r="E1073" s="80"/>
      <c r="F1073" s="80"/>
    </row>
    <row r="1074" spans="2:6" x14ac:dyDescent="0.3">
      <c r="B1074" s="176"/>
      <c r="C1074" s="177"/>
      <c r="D1074" s="177"/>
      <c r="E1074" s="80"/>
      <c r="F1074" s="80"/>
    </row>
    <row r="1075" spans="2:6" x14ac:dyDescent="0.3">
      <c r="B1075" s="176"/>
      <c r="C1075" s="177"/>
      <c r="D1075" s="177"/>
      <c r="E1075" s="80"/>
      <c r="F1075" s="80"/>
    </row>
    <row r="1076" spans="2:6" x14ac:dyDescent="0.3">
      <c r="B1076" s="176"/>
      <c r="C1076" s="177"/>
      <c r="D1076" s="177"/>
      <c r="E1076" s="80"/>
      <c r="F1076" s="80"/>
    </row>
    <row r="1077" spans="2:6" x14ac:dyDescent="0.3">
      <c r="B1077" s="176"/>
      <c r="C1077" s="177"/>
      <c r="D1077" s="177"/>
      <c r="E1077" s="80"/>
      <c r="F1077" s="80"/>
    </row>
    <row r="1078" spans="2:6" x14ac:dyDescent="0.3">
      <c r="B1078" s="176"/>
      <c r="C1078" s="177"/>
      <c r="D1078" s="177"/>
      <c r="E1078" s="80"/>
      <c r="F1078" s="80"/>
    </row>
    <row r="1079" spans="2:6" x14ac:dyDescent="0.3">
      <c r="B1079" s="176"/>
      <c r="C1079" s="177"/>
      <c r="D1079" s="177"/>
      <c r="E1079" s="80"/>
      <c r="F1079" s="80"/>
    </row>
    <row r="1080" spans="2:6" x14ac:dyDescent="0.3">
      <c r="B1080" s="176"/>
      <c r="C1080" s="177"/>
      <c r="D1080" s="177"/>
      <c r="E1080" s="80"/>
      <c r="F1080" s="80"/>
    </row>
    <row r="1081" spans="2:6" x14ac:dyDescent="0.3">
      <c r="B1081" s="176"/>
      <c r="C1081" s="177"/>
      <c r="D1081" s="177"/>
      <c r="E1081" s="80"/>
      <c r="F1081" s="80"/>
    </row>
    <row r="1082" spans="2:6" x14ac:dyDescent="0.3">
      <c r="B1082" s="176"/>
      <c r="C1082" s="177"/>
      <c r="D1082" s="177"/>
      <c r="E1082" s="80"/>
      <c r="F1082" s="80"/>
    </row>
    <row r="1083" spans="2:6" x14ac:dyDescent="0.3">
      <c r="B1083" s="176"/>
      <c r="C1083" s="177"/>
      <c r="D1083" s="177"/>
      <c r="E1083" s="80"/>
      <c r="F1083" s="80"/>
    </row>
    <row r="1084" spans="2:6" x14ac:dyDescent="0.3">
      <c r="B1084" s="176"/>
      <c r="C1084" s="177"/>
      <c r="D1084" s="177"/>
      <c r="E1084" s="80"/>
      <c r="F1084" s="80"/>
    </row>
    <row r="1085" spans="2:6" x14ac:dyDescent="0.3">
      <c r="B1085" s="176"/>
      <c r="C1085" s="177"/>
      <c r="D1085" s="177"/>
      <c r="E1085" s="80"/>
      <c r="F1085" s="80"/>
    </row>
    <row r="1086" spans="2:6" x14ac:dyDescent="0.3">
      <c r="B1086" s="176"/>
      <c r="C1086" s="177"/>
      <c r="D1086" s="177"/>
      <c r="E1086" s="80"/>
      <c r="F1086" s="80"/>
    </row>
    <row r="1087" spans="2:6" x14ac:dyDescent="0.3">
      <c r="B1087" s="176"/>
      <c r="C1087" s="177"/>
      <c r="D1087" s="177"/>
      <c r="E1087" s="80"/>
      <c r="F1087" s="80"/>
    </row>
    <row r="1088" spans="2:6" x14ac:dyDescent="0.3">
      <c r="B1088" s="176"/>
      <c r="C1088" s="177"/>
      <c r="D1088" s="177"/>
      <c r="E1088" s="80"/>
      <c r="F1088" s="80"/>
    </row>
    <row r="1089" spans="2:6" x14ac:dyDescent="0.3">
      <c r="B1089" s="176"/>
      <c r="C1089" s="177"/>
      <c r="D1089" s="177"/>
      <c r="E1089" s="80"/>
      <c r="F1089" s="80"/>
    </row>
    <row r="1090" spans="2:6" x14ac:dyDescent="0.3">
      <c r="B1090" s="176"/>
      <c r="C1090" s="177"/>
      <c r="D1090" s="177"/>
      <c r="E1090" s="80"/>
      <c r="F1090" s="80"/>
    </row>
    <row r="1091" spans="2:6" x14ac:dyDescent="0.3">
      <c r="B1091" s="176"/>
      <c r="C1091" s="177"/>
      <c r="D1091" s="177"/>
      <c r="E1091" s="80"/>
      <c r="F1091" s="80"/>
    </row>
    <row r="1092" spans="2:6" x14ac:dyDescent="0.3">
      <c r="B1092" s="176"/>
      <c r="C1092" s="177"/>
      <c r="D1092" s="177"/>
      <c r="E1092" s="80"/>
      <c r="F1092" s="80"/>
    </row>
    <row r="1093" spans="2:6" x14ac:dyDescent="0.3">
      <c r="B1093" s="176"/>
      <c r="C1093" s="177"/>
      <c r="D1093" s="177"/>
      <c r="E1093" s="80"/>
      <c r="F1093" s="80"/>
    </row>
    <row r="1094" spans="2:6" x14ac:dyDescent="0.3">
      <c r="B1094" s="176"/>
      <c r="C1094" s="177"/>
      <c r="D1094" s="177"/>
      <c r="E1094" s="80"/>
      <c r="F1094" s="80"/>
    </row>
    <row r="1095" spans="2:6" x14ac:dyDescent="0.3">
      <c r="B1095" s="176"/>
      <c r="C1095" s="177"/>
      <c r="D1095" s="177"/>
      <c r="E1095" s="80"/>
      <c r="F1095" s="80"/>
    </row>
    <row r="1096" spans="2:6" x14ac:dyDescent="0.3">
      <c r="B1096" s="176"/>
      <c r="C1096" s="177"/>
      <c r="D1096" s="177"/>
      <c r="E1096" s="80"/>
      <c r="F1096" s="80"/>
    </row>
    <row r="1097" spans="2:6" x14ac:dyDescent="0.3">
      <c r="B1097" s="176"/>
      <c r="C1097" s="177"/>
      <c r="D1097" s="177"/>
      <c r="E1097" s="80"/>
      <c r="F1097" s="80"/>
    </row>
    <row r="1098" spans="2:6" x14ac:dyDescent="0.3">
      <c r="B1098" s="176"/>
      <c r="C1098" s="177"/>
      <c r="D1098" s="177"/>
      <c r="E1098" s="80"/>
      <c r="F1098" s="80"/>
    </row>
    <row r="1099" spans="2:6" x14ac:dyDescent="0.3">
      <c r="B1099" s="176"/>
      <c r="C1099" s="177"/>
      <c r="D1099" s="177"/>
      <c r="E1099" s="80"/>
      <c r="F1099" s="80"/>
    </row>
    <row r="1100" spans="2:6" x14ac:dyDescent="0.3">
      <c r="B1100" s="176"/>
      <c r="C1100" s="177"/>
      <c r="D1100" s="177"/>
      <c r="E1100" s="80"/>
      <c r="F1100" s="80"/>
    </row>
    <row r="1101" spans="2:6" x14ac:dyDescent="0.3">
      <c r="B1101" s="176"/>
      <c r="C1101" s="177"/>
      <c r="D1101" s="177"/>
      <c r="E1101" s="80"/>
      <c r="F1101" s="80"/>
    </row>
    <row r="1102" spans="2:6" x14ac:dyDescent="0.3">
      <c r="B1102" s="176"/>
      <c r="C1102" s="177"/>
      <c r="D1102" s="177"/>
      <c r="E1102" s="80"/>
      <c r="F1102" s="80"/>
    </row>
    <row r="1103" spans="2:6" x14ac:dyDescent="0.3">
      <c r="B1103" s="176"/>
      <c r="C1103" s="177"/>
      <c r="D1103" s="177"/>
      <c r="E1103" s="80"/>
      <c r="F1103" s="80"/>
    </row>
    <row r="1104" spans="2:6" x14ac:dyDescent="0.3">
      <c r="B1104" s="176"/>
      <c r="C1104" s="177"/>
      <c r="D1104" s="177"/>
      <c r="E1104" s="80"/>
      <c r="F1104" s="80"/>
    </row>
    <row r="1105" spans="2:6" x14ac:dyDescent="0.3">
      <c r="B1105" s="176"/>
      <c r="C1105" s="177"/>
      <c r="D1105" s="177"/>
      <c r="E1105" s="80"/>
      <c r="F1105" s="80"/>
    </row>
    <row r="1106" spans="2:6" x14ac:dyDescent="0.3">
      <c r="B1106" s="176"/>
      <c r="C1106" s="177"/>
      <c r="D1106" s="177"/>
      <c r="E1106" s="80"/>
      <c r="F1106" s="80"/>
    </row>
    <row r="1107" spans="2:6" x14ac:dyDescent="0.3">
      <c r="B1107" s="176"/>
      <c r="C1107" s="177"/>
      <c r="D1107" s="177"/>
      <c r="E1107" s="80"/>
      <c r="F1107" s="80"/>
    </row>
    <row r="1108" spans="2:6" x14ac:dyDescent="0.3">
      <c r="B1108" s="176"/>
      <c r="C1108" s="177"/>
      <c r="D1108" s="177"/>
      <c r="E1108" s="80"/>
      <c r="F1108" s="80"/>
    </row>
    <row r="1109" spans="2:6" x14ac:dyDescent="0.3">
      <c r="B1109" s="176"/>
      <c r="C1109" s="177"/>
      <c r="D1109" s="177"/>
      <c r="E1109" s="80"/>
      <c r="F1109" s="80"/>
    </row>
    <row r="1110" spans="2:6" x14ac:dyDescent="0.3">
      <c r="B1110" s="176"/>
      <c r="C1110" s="177"/>
      <c r="D1110" s="177"/>
      <c r="E1110" s="80"/>
      <c r="F1110" s="80"/>
    </row>
    <row r="1111" spans="2:6" x14ac:dyDescent="0.3">
      <c r="B1111" s="176"/>
      <c r="C1111" s="177"/>
      <c r="D1111" s="177"/>
      <c r="E1111" s="80"/>
      <c r="F1111" s="80"/>
    </row>
    <row r="1112" spans="2:6" x14ac:dyDescent="0.3">
      <c r="B1112" s="176"/>
      <c r="C1112" s="177"/>
      <c r="D1112" s="177"/>
      <c r="E1112" s="80"/>
      <c r="F1112" s="80"/>
    </row>
    <row r="1113" spans="2:6" x14ac:dyDescent="0.3">
      <c r="B1113" s="176"/>
      <c r="C1113" s="177"/>
      <c r="D1113" s="177"/>
      <c r="E1113" s="80"/>
      <c r="F1113" s="80"/>
    </row>
    <row r="1114" spans="2:6" x14ac:dyDescent="0.3">
      <c r="B1114" s="176"/>
      <c r="C1114" s="177"/>
      <c r="D1114" s="177"/>
      <c r="E1114" s="80"/>
      <c r="F1114" s="80"/>
    </row>
    <row r="1115" spans="2:6" x14ac:dyDescent="0.3">
      <c r="B1115" s="176"/>
      <c r="C1115" s="177"/>
      <c r="D1115" s="177"/>
      <c r="E1115" s="80"/>
      <c r="F1115" s="80"/>
    </row>
    <row r="1116" spans="2:6" x14ac:dyDescent="0.3">
      <c r="B1116" s="176"/>
      <c r="C1116" s="177"/>
      <c r="D1116" s="177"/>
      <c r="E1116" s="80"/>
      <c r="F1116" s="80"/>
    </row>
    <row r="1117" spans="2:6" x14ac:dyDescent="0.3">
      <c r="B1117" s="176"/>
      <c r="C1117" s="177"/>
      <c r="D1117" s="177"/>
      <c r="E1117" s="80"/>
      <c r="F1117" s="80"/>
    </row>
    <row r="1118" spans="2:6" x14ac:dyDescent="0.3">
      <c r="B1118" s="176"/>
      <c r="C1118" s="177"/>
      <c r="D1118" s="177"/>
      <c r="E1118" s="80"/>
      <c r="F1118" s="80"/>
    </row>
    <row r="1119" spans="2:6" x14ac:dyDescent="0.3">
      <c r="B1119" s="176"/>
      <c r="C1119" s="177"/>
      <c r="D1119" s="177"/>
      <c r="E1119" s="80"/>
      <c r="F1119" s="80"/>
    </row>
    <row r="1120" spans="2:6" x14ac:dyDescent="0.3">
      <c r="B1120" s="176"/>
      <c r="C1120" s="177"/>
      <c r="D1120" s="177"/>
      <c r="E1120" s="80"/>
      <c r="F1120" s="80"/>
    </row>
    <row r="1121" spans="2:6" x14ac:dyDescent="0.3">
      <c r="B1121" s="176"/>
      <c r="C1121" s="177"/>
      <c r="D1121" s="177"/>
      <c r="E1121" s="80"/>
      <c r="F1121" s="80"/>
    </row>
    <row r="1122" spans="2:6" x14ac:dyDescent="0.3">
      <c r="B1122" s="176"/>
      <c r="C1122" s="177"/>
      <c r="D1122" s="177"/>
      <c r="E1122" s="80"/>
      <c r="F1122" s="80"/>
    </row>
    <row r="1123" spans="2:6" x14ac:dyDescent="0.3">
      <c r="B1123" s="176"/>
      <c r="C1123" s="177"/>
      <c r="D1123" s="177"/>
      <c r="E1123" s="80"/>
      <c r="F1123" s="80"/>
    </row>
    <row r="1124" spans="2:6" x14ac:dyDescent="0.3">
      <c r="B1124" s="176"/>
      <c r="C1124" s="177"/>
      <c r="D1124" s="177"/>
      <c r="E1124" s="80"/>
      <c r="F1124" s="80"/>
    </row>
    <row r="1125" spans="2:6" x14ac:dyDescent="0.3">
      <c r="B1125" s="176"/>
      <c r="C1125" s="177"/>
      <c r="D1125" s="177"/>
      <c r="E1125" s="80"/>
      <c r="F1125" s="80"/>
    </row>
    <row r="1126" spans="2:6" x14ac:dyDescent="0.3">
      <c r="B1126" s="176"/>
      <c r="C1126" s="177"/>
      <c r="D1126" s="177"/>
      <c r="E1126" s="80"/>
      <c r="F1126" s="80"/>
    </row>
    <row r="1127" spans="2:6" x14ac:dyDescent="0.3">
      <c r="B1127" s="176"/>
      <c r="C1127" s="177"/>
      <c r="D1127" s="177"/>
      <c r="E1127" s="80"/>
      <c r="F1127" s="80"/>
    </row>
    <row r="1128" spans="2:6" x14ac:dyDescent="0.3">
      <c r="B1128" s="176"/>
      <c r="C1128" s="177"/>
      <c r="D1128" s="177"/>
      <c r="E1128" s="80"/>
      <c r="F1128" s="80"/>
    </row>
    <row r="1129" spans="2:6" x14ac:dyDescent="0.3">
      <c r="B1129" s="176"/>
      <c r="C1129" s="177"/>
      <c r="D1129" s="177"/>
      <c r="E1129" s="80"/>
      <c r="F1129" s="80"/>
    </row>
    <row r="1130" spans="2:6" x14ac:dyDescent="0.3">
      <c r="B1130" s="176"/>
      <c r="C1130" s="177"/>
      <c r="D1130" s="177"/>
      <c r="E1130" s="80"/>
      <c r="F1130" s="80"/>
    </row>
    <row r="1131" spans="2:6" x14ac:dyDescent="0.3">
      <c r="B1131" s="176"/>
      <c r="C1131" s="177"/>
      <c r="D1131" s="177"/>
      <c r="E1131" s="80"/>
      <c r="F1131" s="80"/>
    </row>
    <row r="1132" spans="2:6" x14ac:dyDescent="0.3">
      <c r="B1132" s="176"/>
      <c r="C1132" s="177"/>
      <c r="D1132" s="177"/>
      <c r="E1132" s="80"/>
      <c r="F1132" s="80"/>
    </row>
    <row r="1133" spans="2:6" x14ac:dyDescent="0.3">
      <c r="B1133" s="176"/>
      <c r="C1133" s="177"/>
      <c r="D1133" s="177"/>
      <c r="E1133" s="80"/>
      <c r="F1133" s="80"/>
    </row>
    <row r="1134" spans="2:6" x14ac:dyDescent="0.3">
      <c r="B1134" s="176"/>
      <c r="C1134" s="177"/>
      <c r="D1134" s="177"/>
      <c r="E1134" s="80"/>
      <c r="F1134" s="80"/>
    </row>
    <row r="1135" spans="2:6" x14ac:dyDescent="0.3">
      <c r="B1135" s="176"/>
      <c r="C1135" s="177"/>
      <c r="D1135" s="177"/>
      <c r="E1135" s="80"/>
      <c r="F1135" s="80"/>
    </row>
    <row r="1136" spans="2:6" x14ac:dyDescent="0.3">
      <c r="B1136" s="176"/>
      <c r="C1136" s="177"/>
      <c r="D1136" s="177"/>
      <c r="E1136" s="80"/>
      <c r="F1136" s="80"/>
    </row>
    <row r="1137" spans="2:6" x14ac:dyDescent="0.3">
      <c r="B1137" s="176"/>
      <c r="C1137" s="177"/>
      <c r="D1137" s="177"/>
      <c r="E1137" s="80"/>
      <c r="F1137" s="80"/>
    </row>
    <row r="1138" spans="2:6" x14ac:dyDescent="0.3">
      <c r="B1138" s="176"/>
      <c r="C1138" s="177"/>
      <c r="D1138" s="177"/>
      <c r="E1138" s="80"/>
      <c r="F1138" s="80"/>
    </row>
    <row r="1139" spans="2:6" x14ac:dyDescent="0.3">
      <c r="B1139" s="176"/>
      <c r="C1139" s="177"/>
      <c r="D1139" s="177"/>
      <c r="E1139" s="80"/>
      <c r="F1139" s="80"/>
    </row>
    <row r="1140" spans="2:6" x14ac:dyDescent="0.3">
      <c r="B1140" s="176"/>
      <c r="C1140" s="177"/>
      <c r="D1140" s="177"/>
      <c r="E1140" s="80"/>
      <c r="F1140" s="80"/>
    </row>
    <row r="1141" spans="2:6" x14ac:dyDescent="0.3">
      <c r="B1141" s="176"/>
      <c r="C1141" s="177"/>
      <c r="D1141" s="177"/>
      <c r="E1141" s="80"/>
      <c r="F1141" s="80"/>
    </row>
    <row r="1142" spans="2:6" x14ac:dyDescent="0.3">
      <c r="B1142" s="176"/>
      <c r="C1142" s="177"/>
      <c r="D1142" s="177"/>
      <c r="E1142" s="80"/>
      <c r="F1142" s="80"/>
    </row>
    <row r="1143" spans="2:6" x14ac:dyDescent="0.3">
      <c r="B1143" s="176"/>
      <c r="C1143" s="177"/>
      <c r="D1143" s="177"/>
      <c r="E1143" s="80"/>
      <c r="F1143" s="80"/>
    </row>
    <row r="1144" spans="2:6" x14ac:dyDescent="0.3">
      <c r="B1144" s="176"/>
      <c r="C1144" s="177"/>
      <c r="D1144" s="177"/>
      <c r="E1144" s="80"/>
      <c r="F1144" s="80"/>
    </row>
    <row r="1145" spans="2:6" x14ac:dyDescent="0.3">
      <c r="B1145" s="176"/>
      <c r="C1145" s="177"/>
      <c r="D1145" s="177"/>
      <c r="E1145" s="80"/>
      <c r="F1145" s="80"/>
    </row>
    <row r="1146" spans="2:6" x14ac:dyDescent="0.3">
      <c r="B1146" s="176"/>
      <c r="C1146" s="177"/>
      <c r="D1146" s="177"/>
      <c r="E1146" s="80"/>
      <c r="F1146" s="80"/>
    </row>
    <row r="1147" spans="2:6" x14ac:dyDescent="0.3">
      <c r="B1147" s="176"/>
      <c r="C1147" s="177"/>
      <c r="D1147" s="177"/>
      <c r="E1147" s="80"/>
      <c r="F1147" s="80"/>
    </row>
    <row r="1148" spans="2:6" x14ac:dyDescent="0.3">
      <c r="B1148" s="176"/>
      <c r="C1148" s="177"/>
      <c r="D1148" s="177"/>
      <c r="E1148" s="80"/>
      <c r="F1148" s="80"/>
    </row>
    <row r="1149" spans="2:6" x14ac:dyDescent="0.3">
      <c r="B1149" s="176"/>
      <c r="C1149" s="177"/>
      <c r="D1149" s="177"/>
      <c r="E1149" s="80"/>
      <c r="F1149" s="80"/>
    </row>
    <row r="1150" spans="2:6" x14ac:dyDescent="0.3">
      <c r="B1150" s="176"/>
      <c r="C1150" s="177"/>
      <c r="D1150" s="177"/>
      <c r="E1150" s="80"/>
      <c r="F1150" s="80"/>
    </row>
    <row r="1151" spans="2:6" x14ac:dyDescent="0.3">
      <c r="B1151" s="176"/>
      <c r="C1151" s="177"/>
      <c r="D1151" s="177"/>
      <c r="E1151" s="80"/>
      <c r="F1151" s="80"/>
    </row>
    <row r="1152" spans="2:6" x14ac:dyDescent="0.3">
      <c r="B1152" s="176"/>
      <c r="C1152" s="177"/>
      <c r="D1152" s="177"/>
      <c r="E1152" s="80"/>
      <c r="F1152" s="80"/>
    </row>
    <row r="1153" spans="2:6" x14ac:dyDescent="0.3">
      <c r="B1153" s="176"/>
      <c r="C1153" s="177"/>
      <c r="D1153" s="177"/>
      <c r="E1153" s="80"/>
      <c r="F1153" s="80"/>
    </row>
    <row r="1154" spans="2:6" x14ac:dyDescent="0.3">
      <c r="B1154" s="176"/>
      <c r="C1154" s="177"/>
      <c r="D1154" s="177"/>
      <c r="E1154" s="80"/>
      <c r="F1154" s="80"/>
    </row>
    <row r="1155" spans="2:6" x14ac:dyDescent="0.3">
      <c r="B1155" s="176"/>
      <c r="C1155" s="177"/>
      <c r="D1155" s="177"/>
      <c r="E1155" s="80"/>
      <c r="F1155" s="80"/>
    </row>
    <row r="1156" spans="2:6" x14ac:dyDescent="0.3">
      <c r="B1156" s="176"/>
      <c r="C1156" s="177"/>
      <c r="D1156" s="177"/>
      <c r="E1156" s="80"/>
      <c r="F1156" s="80"/>
    </row>
    <row r="1157" spans="2:6" x14ac:dyDescent="0.3">
      <c r="B1157" s="176"/>
      <c r="C1157" s="177"/>
      <c r="D1157" s="177"/>
      <c r="E1157" s="80"/>
      <c r="F1157" s="80"/>
    </row>
    <row r="1158" spans="2:6" x14ac:dyDescent="0.3">
      <c r="B1158" s="176"/>
      <c r="C1158" s="177"/>
      <c r="D1158" s="177"/>
      <c r="E1158" s="80"/>
      <c r="F1158" s="80"/>
    </row>
    <row r="1159" spans="2:6" x14ac:dyDescent="0.3">
      <c r="B1159" s="176"/>
      <c r="C1159" s="177"/>
      <c r="D1159" s="177"/>
      <c r="E1159" s="80"/>
      <c r="F1159" s="80"/>
    </row>
    <row r="1160" spans="2:6" x14ac:dyDescent="0.3">
      <c r="B1160" s="176"/>
      <c r="C1160" s="177"/>
      <c r="D1160" s="177"/>
      <c r="E1160" s="80"/>
      <c r="F1160" s="80"/>
    </row>
    <row r="1161" spans="2:6" x14ac:dyDescent="0.3">
      <c r="B1161" s="176"/>
      <c r="C1161" s="177"/>
      <c r="D1161" s="177"/>
      <c r="E1161" s="80"/>
      <c r="F1161" s="80"/>
    </row>
    <row r="1162" spans="2:6" x14ac:dyDescent="0.3">
      <c r="B1162" s="176"/>
      <c r="C1162" s="177"/>
      <c r="D1162" s="177"/>
      <c r="E1162" s="80"/>
      <c r="F1162" s="80"/>
    </row>
    <row r="1163" spans="2:6" x14ac:dyDescent="0.3">
      <c r="B1163" s="176"/>
      <c r="C1163" s="177"/>
      <c r="D1163" s="177"/>
      <c r="E1163" s="80"/>
      <c r="F1163" s="80"/>
    </row>
    <row r="1164" spans="2:6" x14ac:dyDescent="0.3">
      <c r="B1164" s="176"/>
      <c r="C1164" s="177"/>
      <c r="D1164" s="177"/>
      <c r="E1164" s="80"/>
      <c r="F1164" s="80"/>
    </row>
    <row r="1165" spans="2:6" x14ac:dyDescent="0.3">
      <c r="B1165" s="176"/>
      <c r="C1165" s="177"/>
      <c r="D1165" s="177"/>
      <c r="E1165" s="80"/>
      <c r="F1165" s="80"/>
    </row>
    <row r="1166" spans="2:6" x14ac:dyDescent="0.3">
      <c r="B1166" s="176"/>
      <c r="C1166" s="177"/>
      <c r="D1166" s="177"/>
      <c r="E1166" s="80"/>
      <c r="F1166" s="80"/>
    </row>
    <row r="1167" spans="2:6" x14ac:dyDescent="0.3">
      <c r="B1167" s="176"/>
      <c r="C1167" s="177"/>
      <c r="D1167" s="177"/>
      <c r="E1167" s="80"/>
      <c r="F1167" s="80"/>
    </row>
    <row r="1168" spans="2:6" x14ac:dyDescent="0.3">
      <c r="B1168" s="176"/>
      <c r="C1168" s="177"/>
      <c r="D1168" s="177"/>
      <c r="E1168" s="80"/>
      <c r="F1168" s="80"/>
    </row>
    <row r="1169" spans="2:6" x14ac:dyDescent="0.3">
      <c r="B1169" s="176"/>
      <c r="C1169" s="177"/>
      <c r="D1169" s="177"/>
      <c r="E1169" s="80"/>
      <c r="F1169" s="80"/>
    </row>
    <row r="1170" spans="2:6" x14ac:dyDescent="0.3">
      <c r="B1170" s="176"/>
      <c r="C1170" s="177"/>
      <c r="D1170" s="177"/>
      <c r="E1170" s="80"/>
      <c r="F1170" s="80"/>
    </row>
    <row r="1171" spans="2:6" x14ac:dyDescent="0.3">
      <c r="B1171" s="176"/>
      <c r="C1171" s="177"/>
      <c r="D1171" s="177"/>
      <c r="E1171" s="80"/>
      <c r="F1171" s="80"/>
    </row>
    <row r="1172" spans="2:6" x14ac:dyDescent="0.3">
      <c r="B1172" s="176"/>
      <c r="C1172" s="177"/>
      <c r="D1172" s="177"/>
      <c r="E1172" s="80"/>
      <c r="F1172" s="80"/>
    </row>
    <row r="1173" spans="2:6" x14ac:dyDescent="0.3">
      <c r="B1173" s="176"/>
      <c r="C1173" s="177"/>
      <c r="D1173" s="177"/>
      <c r="E1173" s="80"/>
      <c r="F1173" s="80"/>
    </row>
    <row r="1174" spans="2:6" x14ac:dyDescent="0.3">
      <c r="B1174" s="176"/>
      <c r="C1174" s="177"/>
      <c r="D1174" s="177"/>
      <c r="E1174" s="80"/>
      <c r="F1174" s="80"/>
    </row>
    <row r="1175" spans="2:6" x14ac:dyDescent="0.3">
      <c r="B1175" s="176"/>
      <c r="C1175" s="177"/>
      <c r="D1175" s="177"/>
      <c r="E1175" s="80"/>
      <c r="F1175" s="80"/>
    </row>
    <row r="1176" spans="2:6" x14ac:dyDescent="0.3">
      <c r="B1176" s="176"/>
      <c r="C1176" s="177"/>
      <c r="D1176" s="177"/>
      <c r="E1176" s="80"/>
      <c r="F1176" s="80"/>
    </row>
    <row r="1177" spans="2:6" x14ac:dyDescent="0.3">
      <c r="B1177" s="176"/>
      <c r="C1177" s="177"/>
      <c r="D1177" s="177"/>
      <c r="E1177" s="80"/>
      <c r="F1177" s="80"/>
    </row>
    <row r="1178" spans="2:6" x14ac:dyDescent="0.3">
      <c r="B1178" s="176"/>
      <c r="C1178" s="177"/>
      <c r="D1178" s="177"/>
      <c r="E1178" s="80"/>
      <c r="F1178" s="80"/>
    </row>
    <row r="1179" spans="2:6" x14ac:dyDescent="0.3">
      <c r="B1179" s="176"/>
      <c r="C1179" s="177"/>
      <c r="D1179" s="177"/>
      <c r="E1179" s="80"/>
      <c r="F1179" s="80"/>
    </row>
    <row r="1180" spans="2:6" x14ac:dyDescent="0.3">
      <c r="B1180" s="176"/>
      <c r="C1180" s="177"/>
      <c r="D1180" s="177"/>
      <c r="E1180" s="80"/>
      <c r="F1180" s="80"/>
    </row>
    <row r="1181" spans="2:6" x14ac:dyDescent="0.3">
      <c r="B1181" s="176"/>
      <c r="C1181" s="177"/>
      <c r="D1181" s="177"/>
      <c r="E1181" s="80"/>
      <c r="F1181" s="80"/>
    </row>
    <row r="1182" spans="2:6" x14ac:dyDescent="0.3">
      <c r="B1182" s="176"/>
      <c r="C1182" s="177"/>
      <c r="D1182" s="177"/>
      <c r="E1182" s="80"/>
      <c r="F1182" s="80"/>
    </row>
    <row r="1183" spans="2:6" x14ac:dyDescent="0.3">
      <c r="B1183" s="176"/>
      <c r="C1183" s="177"/>
      <c r="D1183" s="177"/>
      <c r="E1183" s="80"/>
      <c r="F1183" s="80"/>
    </row>
    <row r="1184" spans="2:6" x14ac:dyDescent="0.3">
      <c r="B1184" s="176"/>
      <c r="C1184" s="177"/>
      <c r="D1184" s="177"/>
      <c r="E1184" s="80"/>
      <c r="F1184" s="80"/>
    </row>
    <row r="1185" spans="2:6" x14ac:dyDescent="0.3">
      <c r="B1185" s="176"/>
      <c r="C1185" s="177"/>
      <c r="D1185" s="177"/>
      <c r="E1185" s="80"/>
      <c r="F1185" s="80"/>
    </row>
    <row r="1186" spans="2:6" x14ac:dyDescent="0.3">
      <c r="B1186" s="176"/>
      <c r="C1186" s="177"/>
      <c r="D1186" s="177"/>
      <c r="E1186" s="80"/>
      <c r="F1186" s="80"/>
    </row>
    <row r="1187" spans="2:6" x14ac:dyDescent="0.3">
      <c r="B1187" s="176"/>
      <c r="C1187" s="177"/>
      <c r="D1187" s="177"/>
      <c r="E1187" s="80"/>
      <c r="F1187" s="80"/>
    </row>
    <row r="1188" spans="2:6" x14ac:dyDescent="0.3">
      <c r="B1188" s="176"/>
      <c r="C1188" s="177"/>
      <c r="D1188" s="177"/>
      <c r="E1188" s="80"/>
      <c r="F1188" s="80"/>
    </row>
    <row r="1189" spans="2:6" x14ac:dyDescent="0.3">
      <c r="B1189" s="176"/>
      <c r="C1189" s="177"/>
      <c r="D1189" s="177"/>
      <c r="E1189" s="80"/>
      <c r="F1189" s="80"/>
    </row>
    <row r="1190" spans="2:6" x14ac:dyDescent="0.3">
      <c r="B1190" s="176"/>
      <c r="C1190" s="177"/>
      <c r="D1190" s="177"/>
      <c r="E1190" s="80"/>
      <c r="F1190" s="80"/>
    </row>
    <row r="1191" spans="2:6" x14ac:dyDescent="0.3">
      <c r="B1191" s="176"/>
      <c r="C1191" s="177"/>
      <c r="D1191" s="177"/>
      <c r="E1191" s="80"/>
      <c r="F1191" s="80"/>
    </row>
    <row r="1192" spans="2:6" x14ac:dyDescent="0.3">
      <c r="B1192" s="176"/>
      <c r="C1192" s="177"/>
      <c r="D1192" s="177"/>
      <c r="E1192" s="80"/>
      <c r="F1192" s="80"/>
    </row>
    <row r="1193" spans="2:6" x14ac:dyDescent="0.3">
      <c r="B1193" s="176"/>
      <c r="C1193" s="177"/>
      <c r="D1193" s="177"/>
      <c r="E1193" s="80"/>
      <c r="F1193" s="80"/>
    </row>
    <row r="1194" spans="2:6" x14ac:dyDescent="0.3">
      <c r="B1194" s="176"/>
      <c r="C1194" s="177"/>
      <c r="D1194" s="177"/>
      <c r="E1194" s="80"/>
      <c r="F1194" s="80"/>
    </row>
    <row r="1195" spans="2:6" x14ac:dyDescent="0.3">
      <c r="B1195" s="176"/>
      <c r="C1195" s="177"/>
      <c r="D1195" s="177"/>
      <c r="E1195" s="80"/>
      <c r="F1195" s="80"/>
    </row>
    <row r="1196" spans="2:6" x14ac:dyDescent="0.3">
      <c r="B1196" s="176"/>
      <c r="C1196" s="177"/>
      <c r="D1196" s="177"/>
      <c r="E1196" s="80"/>
      <c r="F1196" s="80"/>
    </row>
    <row r="1197" spans="2:6" x14ac:dyDescent="0.3">
      <c r="B1197" s="176"/>
      <c r="C1197" s="177"/>
      <c r="D1197" s="177"/>
      <c r="E1197" s="80"/>
      <c r="F1197" s="80"/>
    </row>
    <row r="1198" spans="2:6" x14ac:dyDescent="0.3">
      <c r="B1198" s="176"/>
      <c r="C1198" s="177"/>
      <c r="D1198" s="177"/>
      <c r="E1198" s="80"/>
      <c r="F1198" s="80"/>
    </row>
    <row r="1199" spans="2:6" x14ac:dyDescent="0.3">
      <c r="B1199" s="176"/>
      <c r="C1199" s="177"/>
      <c r="D1199" s="177"/>
      <c r="E1199" s="80"/>
      <c r="F1199" s="80"/>
    </row>
    <row r="1200" spans="2:6" x14ac:dyDescent="0.3">
      <c r="B1200" s="176"/>
      <c r="C1200" s="177"/>
      <c r="D1200" s="177"/>
      <c r="E1200" s="80"/>
      <c r="F1200" s="80"/>
    </row>
    <row r="1201" spans="2:6" x14ac:dyDescent="0.3">
      <c r="B1201" s="176"/>
      <c r="C1201" s="177"/>
      <c r="D1201" s="177"/>
      <c r="E1201" s="80"/>
      <c r="F1201" s="80"/>
    </row>
    <row r="1202" spans="2:6" x14ac:dyDescent="0.3">
      <c r="B1202" s="176"/>
      <c r="C1202" s="177"/>
      <c r="D1202" s="177"/>
      <c r="E1202" s="80"/>
      <c r="F1202" s="80"/>
    </row>
    <row r="1203" spans="2:6" x14ac:dyDescent="0.3">
      <c r="B1203" s="176"/>
      <c r="C1203" s="177"/>
      <c r="D1203" s="177"/>
      <c r="E1203" s="80"/>
      <c r="F1203" s="80"/>
    </row>
    <row r="1204" spans="2:6" x14ac:dyDescent="0.3">
      <c r="B1204" s="176"/>
      <c r="C1204" s="177"/>
      <c r="D1204" s="177"/>
      <c r="E1204" s="80"/>
      <c r="F1204" s="80"/>
    </row>
    <row r="1205" spans="2:6" x14ac:dyDescent="0.3">
      <c r="B1205" s="176"/>
      <c r="C1205" s="177"/>
      <c r="D1205" s="177"/>
      <c r="E1205" s="80"/>
      <c r="F1205" s="80"/>
    </row>
    <row r="1206" spans="2:6" x14ac:dyDescent="0.3">
      <c r="B1206" s="176"/>
      <c r="C1206" s="177"/>
      <c r="D1206" s="177"/>
      <c r="E1206" s="80"/>
      <c r="F1206" s="80"/>
    </row>
    <row r="1207" spans="2:6" x14ac:dyDescent="0.3">
      <c r="B1207" s="176"/>
      <c r="C1207" s="177"/>
      <c r="D1207" s="177"/>
      <c r="E1207" s="80"/>
      <c r="F1207" s="80"/>
    </row>
    <row r="1208" spans="2:6" x14ac:dyDescent="0.3">
      <c r="B1208" s="176"/>
      <c r="C1208" s="177"/>
      <c r="D1208" s="177"/>
      <c r="E1208" s="80"/>
      <c r="F1208" s="80"/>
    </row>
    <row r="1209" spans="2:6" x14ac:dyDescent="0.3">
      <c r="B1209" s="176"/>
      <c r="C1209" s="177"/>
      <c r="D1209" s="177"/>
      <c r="E1209" s="80"/>
      <c r="F1209" s="80"/>
    </row>
    <row r="1210" spans="2:6" x14ac:dyDescent="0.3">
      <c r="B1210" s="176"/>
      <c r="C1210" s="177"/>
      <c r="D1210" s="177"/>
      <c r="E1210" s="80"/>
      <c r="F1210" s="80"/>
    </row>
    <row r="1211" spans="2:6" x14ac:dyDescent="0.3">
      <c r="B1211" s="176"/>
      <c r="C1211" s="177"/>
      <c r="D1211" s="177"/>
      <c r="E1211" s="80"/>
      <c r="F1211" s="80"/>
    </row>
    <row r="1212" spans="2:6" x14ac:dyDescent="0.3">
      <c r="B1212" s="176"/>
      <c r="C1212" s="177"/>
      <c r="D1212" s="177"/>
      <c r="E1212" s="80"/>
      <c r="F1212" s="80"/>
    </row>
    <row r="1213" spans="2:6" x14ac:dyDescent="0.3">
      <c r="B1213" s="176"/>
      <c r="C1213" s="177"/>
      <c r="D1213" s="177"/>
      <c r="E1213" s="80"/>
      <c r="F1213" s="80"/>
    </row>
    <row r="1214" spans="2:6" x14ac:dyDescent="0.3">
      <c r="B1214" s="176"/>
      <c r="C1214" s="177"/>
      <c r="D1214" s="177"/>
      <c r="E1214" s="80"/>
      <c r="F1214" s="80"/>
    </row>
    <row r="1215" spans="2:6" x14ac:dyDescent="0.3">
      <c r="B1215" s="176"/>
      <c r="C1215" s="177"/>
      <c r="D1215" s="177"/>
      <c r="E1215" s="80"/>
      <c r="F1215" s="80"/>
    </row>
    <row r="1216" spans="2:6" x14ac:dyDescent="0.3">
      <c r="B1216" s="176"/>
      <c r="C1216" s="177"/>
      <c r="D1216" s="177"/>
      <c r="E1216" s="80"/>
      <c r="F1216" s="80"/>
    </row>
    <row r="1217" spans="2:6" x14ac:dyDescent="0.3">
      <c r="B1217" s="176"/>
      <c r="C1217" s="177"/>
      <c r="D1217" s="177"/>
      <c r="E1217" s="80"/>
      <c r="F1217" s="80"/>
    </row>
    <row r="1218" spans="2:6" x14ac:dyDescent="0.3">
      <c r="B1218" s="176"/>
      <c r="C1218" s="177"/>
      <c r="D1218" s="177"/>
      <c r="E1218" s="80"/>
      <c r="F1218" s="80"/>
    </row>
    <row r="1219" spans="2:6" x14ac:dyDescent="0.3">
      <c r="B1219" s="176"/>
      <c r="C1219" s="177"/>
      <c r="D1219" s="177"/>
      <c r="E1219" s="80"/>
      <c r="F1219" s="80"/>
    </row>
    <row r="1220" spans="2:6" x14ac:dyDescent="0.3">
      <c r="B1220" s="176"/>
      <c r="C1220" s="177"/>
      <c r="D1220" s="177"/>
      <c r="E1220" s="80"/>
      <c r="F1220" s="80"/>
    </row>
    <row r="1221" spans="2:6" x14ac:dyDescent="0.3">
      <c r="B1221" s="176"/>
      <c r="C1221" s="177"/>
      <c r="D1221" s="177"/>
      <c r="E1221" s="80"/>
      <c r="F1221" s="80"/>
    </row>
    <row r="1222" spans="2:6" x14ac:dyDescent="0.3">
      <c r="B1222" s="176"/>
      <c r="C1222" s="177"/>
      <c r="D1222" s="177"/>
      <c r="E1222" s="80"/>
      <c r="F1222" s="80"/>
    </row>
    <row r="1223" spans="2:6" x14ac:dyDescent="0.3">
      <c r="B1223" s="176"/>
      <c r="C1223" s="177"/>
      <c r="D1223" s="177"/>
      <c r="E1223" s="80"/>
      <c r="F1223" s="80"/>
    </row>
    <row r="1224" spans="2:6" x14ac:dyDescent="0.3">
      <c r="B1224" s="176"/>
      <c r="C1224" s="177"/>
      <c r="D1224" s="177"/>
      <c r="E1224" s="80"/>
      <c r="F1224" s="80"/>
    </row>
    <row r="1225" spans="2:6" x14ac:dyDescent="0.3">
      <c r="B1225" s="176"/>
      <c r="C1225" s="177"/>
      <c r="D1225" s="177"/>
      <c r="E1225" s="80"/>
      <c r="F1225" s="80"/>
    </row>
    <row r="1226" spans="2:6" x14ac:dyDescent="0.3">
      <c r="B1226" s="176"/>
      <c r="C1226" s="177"/>
      <c r="D1226" s="177"/>
      <c r="E1226" s="80"/>
      <c r="F1226" s="80"/>
    </row>
    <row r="1227" spans="2:6" x14ac:dyDescent="0.3">
      <c r="B1227" s="176"/>
      <c r="C1227" s="177"/>
      <c r="D1227" s="177"/>
      <c r="E1227" s="80"/>
      <c r="F1227" s="80"/>
    </row>
    <row r="1228" spans="2:6" x14ac:dyDescent="0.3">
      <c r="B1228" s="176"/>
      <c r="C1228" s="177"/>
      <c r="D1228" s="177"/>
      <c r="E1228" s="80"/>
      <c r="F1228" s="80"/>
    </row>
    <row r="1229" spans="2:6" x14ac:dyDescent="0.3">
      <c r="B1229" s="176"/>
      <c r="C1229" s="177"/>
      <c r="D1229" s="177"/>
      <c r="E1229" s="80"/>
      <c r="F1229" s="80"/>
    </row>
    <row r="1230" spans="2:6" x14ac:dyDescent="0.3">
      <c r="B1230" s="176"/>
      <c r="C1230" s="177"/>
      <c r="D1230" s="177"/>
      <c r="E1230" s="80"/>
      <c r="F1230" s="80"/>
    </row>
    <row r="1231" spans="2:6" x14ac:dyDescent="0.3">
      <c r="B1231" s="176"/>
      <c r="C1231" s="177"/>
      <c r="D1231" s="177"/>
      <c r="E1231" s="80"/>
      <c r="F1231" s="80"/>
    </row>
    <row r="1232" spans="2:6" x14ac:dyDescent="0.3">
      <c r="B1232" s="176"/>
      <c r="C1232" s="177"/>
      <c r="D1232" s="177"/>
      <c r="E1232" s="80"/>
      <c r="F1232" s="80"/>
    </row>
    <row r="1233" spans="2:6" x14ac:dyDescent="0.3">
      <c r="B1233" s="176"/>
      <c r="C1233" s="177"/>
      <c r="D1233" s="177"/>
      <c r="E1233" s="80"/>
      <c r="F1233" s="80"/>
    </row>
    <row r="1234" spans="2:6" x14ac:dyDescent="0.3">
      <c r="B1234" s="176"/>
      <c r="C1234" s="177"/>
      <c r="D1234" s="177"/>
      <c r="E1234" s="80"/>
      <c r="F1234" s="80"/>
    </row>
    <row r="1235" spans="2:6" x14ac:dyDescent="0.3">
      <c r="B1235" s="176"/>
      <c r="C1235" s="177"/>
      <c r="D1235" s="177"/>
      <c r="E1235" s="80"/>
      <c r="F1235" s="80"/>
    </row>
    <row r="1236" spans="2:6" x14ac:dyDescent="0.3">
      <c r="B1236" s="176"/>
      <c r="C1236" s="177"/>
      <c r="D1236" s="177"/>
      <c r="E1236" s="80"/>
      <c r="F1236" s="80"/>
    </row>
    <row r="1237" spans="2:6" x14ac:dyDescent="0.3">
      <c r="B1237" s="176"/>
      <c r="C1237" s="177"/>
      <c r="D1237" s="177"/>
      <c r="E1237" s="80"/>
      <c r="F1237" s="80"/>
    </row>
    <row r="1238" spans="2:6" x14ac:dyDescent="0.3">
      <c r="B1238" s="176"/>
      <c r="C1238" s="177"/>
      <c r="D1238" s="177"/>
      <c r="E1238" s="80"/>
      <c r="F1238" s="80"/>
    </row>
    <row r="1239" spans="2:6" x14ac:dyDescent="0.3">
      <c r="B1239" s="176"/>
      <c r="C1239" s="177"/>
      <c r="D1239" s="177"/>
      <c r="E1239" s="80"/>
      <c r="F1239" s="80"/>
    </row>
    <row r="1240" spans="2:6" x14ac:dyDescent="0.3">
      <c r="B1240" s="176"/>
      <c r="C1240" s="177"/>
      <c r="D1240" s="177"/>
      <c r="E1240" s="80"/>
      <c r="F1240" s="80"/>
    </row>
    <row r="1241" spans="2:6" x14ac:dyDescent="0.3">
      <c r="B1241" s="176"/>
      <c r="C1241" s="177"/>
      <c r="D1241" s="177"/>
      <c r="E1241" s="80"/>
      <c r="F1241" s="80"/>
    </row>
    <row r="1242" spans="2:6" x14ac:dyDescent="0.3">
      <c r="B1242" s="176"/>
      <c r="C1242" s="177"/>
      <c r="D1242" s="177"/>
      <c r="E1242" s="80"/>
      <c r="F1242" s="80"/>
    </row>
    <row r="1243" spans="2:6" x14ac:dyDescent="0.3">
      <c r="B1243" s="176"/>
      <c r="C1243" s="177"/>
      <c r="D1243" s="177"/>
      <c r="E1243" s="80"/>
      <c r="F1243" s="80"/>
    </row>
    <row r="1244" spans="2:6" x14ac:dyDescent="0.3">
      <c r="B1244" s="176"/>
      <c r="C1244" s="177"/>
      <c r="D1244" s="177"/>
      <c r="E1244" s="80"/>
      <c r="F1244" s="80"/>
    </row>
    <row r="1245" spans="2:6" x14ac:dyDescent="0.3">
      <c r="B1245" s="176"/>
      <c r="C1245" s="177"/>
      <c r="D1245" s="177"/>
      <c r="E1245" s="80"/>
      <c r="F1245" s="80"/>
    </row>
    <row r="1246" spans="2:6" x14ac:dyDescent="0.3">
      <c r="B1246" s="176"/>
      <c r="C1246" s="177"/>
      <c r="D1246" s="177"/>
      <c r="E1246" s="80"/>
      <c r="F1246" s="80"/>
    </row>
    <row r="1247" spans="2:6" x14ac:dyDescent="0.3">
      <c r="B1247" s="176"/>
      <c r="C1247" s="177"/>
      <c r="D1247" s="177"/>
      <c r="E1247" s="80"/>
      <c r="F1247" s="80"/>
    </row>
    <row r="1248" spans="2:6" x14ac:dyDescent="0.3">
      <c r="B1248" s="176"/>
      <c r="C1248" s="177"/>
      <c r="D1248" s="177"/>
      <c r="E1248" s="80"/>
      <c r="F1248" s="80"/>
    </row>
    <row r="1249" spans="2:6" x14ac:dyDescent="0.3">
      <c r="B1249" s="176"/>
      <c r="C1249" s="177"/>
      <c r="D1249" s="177"/>
      <c r="E1249" s="80"/>
      <c r="F1249" s="80"/>
    </row>
    <row r="1250" spans="2:6" x14ac:dyDescent="0.3">
      <c r="B1250" s="176"/>
      <c r="C1250" s="177"/>
      <c r="D1250" s="177"/>
      <c r="E1250" s="80"/>
      <c r="F1250" s="80"/>
    </row>
    <row r="1251" spans="2:6" x14ac:dyDescent="0.3">
      <c r="B1251" s="176"/>
      <c r="C1251" s="177"/>
      <c r="D1251" s="177"/>
      <c r="E1251" s="80"/>
      <c r="F1251" s="80"/>
    </row>
    <row r="1252" spans="2:6" x14ac:dyDescent="0.3">
      <c r="B1252" s="176"/>
      <c r="C1252" s="177"/>
      <c r="D1252" s="177"/>
      <c r="E1252" s="80"/>
      <c r="F1252" s="80"/>
    </row>
    <row r="1253" spans="2:6" x14ac:dyDescent="0.3">
      <c r="B1253" s="176"/>
      <c r="C1253" s="177"/>
      <c r="D1253" s="177"/>
      <c r="E1253" s="80"/>
      <c r="F1253" s="80"/>
    </row>
    <row r="1254" spans="2:6" x14ac:dyDescent="0.3">
      <c r="B1254" s="176"/>
      <c r="C1254" s="177"/>
      <c r="D1254" s="177"/>
      <c r="E1254" s="80"/>
      <c r="F1254" s="80"/>
    </row>
    <row r="1255" spans="2:6" x14ac:dyDescent="0.3">
      <c r="B1255" s="176"/>
      <c r="C1255" s="177"/>
      <c r="D1255" s="177"/>
      <c r="E1255" s="80"/>
      <c r="F1255" s="80"/>
    </row>
    <row r="1256" spans="2:6" x14ac:dyDescent="0.3">
      <c r="B1256" s="176"/>
      <c r="C1256" s="177"/>
      <c r="D1256" s="177"/>
      <c r="E1256" s="80"/>
      <c r="F1256" s="80"/>
    </row>
    <row r="1257" spans="2:6" x14ac:dyDescent="0.3">
      <c r="B1257" s="176"/>
      <c r="C1257" s="177"/>
      <c r="D1257" s="177"/>
      <c r="E1257" s="80"/>
      <c r="F1257" s="80"/>
    </row>
    <row r="1258" spans="2:6" x14ac:dyDescent="0.3">
      <c r="B1258" s="176"/>
      <c r="C1258" s="177"/>
      <c r="D1258" s="177"/>
      <c r="E1258" s="80"/>
      <c r="F1258" s="80"/>
    </row>
    <row r="1259" spans="2:6" x14ac:dyDescent="0.3">
      <c r="B1259" s="176"/>
      <c r="C1259" s="177"/>
      <c r="D1259" s="177"/>
      <c r="E1259" s="80"/>
      <c r="F1259" s="80"/>
    </row>
    <row r="1260" spans="2:6" x14ac:dyDescent="0.3">
      <c r="B1260" s="176"/>
      <c r="C1260" s="177"/>
      <c r="D1260" s="177"/>
      <c r="E1260" s="80"/>
      <c r="F1260" s="80"/>
    </row>
    <row r="1261" spans="2:6" x14ac:dyDescent="0.3">
      <c r="B1261" s="176"/>
      <c r="C1261" s="177"/>
      <c r="D1261" s="177"/>
      <c r="E1261" s="80"/>
      <c r="F1261" s="80"/>
    </row>
    <row r="1262" spans="2:6" x14ac:dyDescent="0.3">
      <c r="B1262" s="176"/>
      <c r="C1262" s="177"/>
      <c r="D1262" s="177"/>
      <c r="E1262" s="80"/>
      <c r="F1262" s="80"/>
    </row>
    <row r="1263" spans="2:6" x14ac:dyDescent="0.3">
      <c r="B1263" s="176"/>
      <c r="C1263" s="177"/>
      <c r="D1263" s="177"/>
      <c r="E1263" s="80"/>
      <c r="F1263" s="80"/>
    </row>
    <row r="1264" spans="2:6" x14ac:dyDescent="0.3">
      <c r="B1264" s="176"/>
      <c r="C1264" s="177"/>
      <c r="D1264" s="177"/>
      <c r="E1264" s="80"/>
      <c r="F1264" s="80"/>
    </row>
    <row r="1265" spans="2:6" x14ac:dyDescent="0.3">
      <c r="B1265" s="176"/>
      <c r="C1265" s="177"/>
      <c r="D1265" s="177"/>
      <c r="E1265" s="80"/>
      <c r="F1265" s="80"/>
    </row>
    <row r="1266" spans="2:6" x14ac:dyDescent="0.3">
      <c r="B1266" s="176"/>
      <c r="C1266" s="177"/>
      <c r="D1266" s="177"/>
      <c r="E1266" s="80"/>
      <c r="F1266" s="80"/>
    </row>
    <row r="1267" spans="2:6" x14ac:dyDescent="0.3">
      <c r="B1267" s="176"/>
      <c r="C1267" s="177"/>
      <c r="D1267" s="177"/>
      <c r="E1267" s="80"/>
      <c r="F1267" s="80"/>
    </row>
    <row r="1268" spans="2:6" x14ac:dyDescent="0.3">
      <c r="B1268" s="176"/>
      <c r="C1268" s="177"/>
      <c r="D1268" s="177"/>
      <c r="E1268" s="80"/>
      <c r="F1268" s="80"/>
    </row>
    <row r="1269" spans="2:6" x14ac:dyDescent="0.3">
      <c r="B1269" s="176"/>
      <c r="C1269" s="177"/>
      <c r="D1269" s="177"/>
      <c r="E1269" s="80"/>
      <c r="F1269" s="80"/>
    </row>
    <row r="1270" spans="2:6" x14ac:dyDescent="0.3">
      <c r="B1270" s="176"/>
      <c r="C1270" s="177"/>
      <c r="D1270" s="177"/>
      <c r="E1270" s="80"/>
      <c r="F1270" s="80"/>
    </row>
    <row r="1271" spans="2:6" x14ac:dyDescent="0.3">
      <c r="B1271" s="176"/>
      <c r="C1271" s="177"/>
      <c r="D1271" s="177"/>
      <c r="E1271" s="80"/>
      <c r="F1271" s="80"/>
    </row>
    <row r="1272" spans="2:6" x14ac:dyDescent="0.3">
      <c r="B1272" s="176"/>
      <c r="C1272" s="177"/>
      <c r="D1272" s="177"/>
      <c r="E1272" s="80"/>
      <c r="F1272" s="80"/>
    </row>
    <row r="1273" spans="2:6" x14ac:dyDescent="0.3">
      <c r="B1273" s="176"/>
      <c r="C1273" s="177"/>
      <c r="D1273" s="177"/>
      <c r="E1273" s="80"/>
      <c r="F1273" s="80"/>
    </row>
    <row r="1274" spans="2:6" x14ac:dyDescent="0.3">
      <c r="B1274" s="176"/>
      <c r="C1274" s="177"/>
      <c r="D1274" s="177"/>
      <c r="E1274" s="80"/>
      <c r="F1274" s="80"/>
    </row>
    <row r="1275" spans="2:6" x14ac:dyDescent="0.3">
      <c r="B1275" s="176"/>
      <c r="C1275" s="177"/>
      <c r="D1275" s="177"/>
      <c r="E1275" s="80"/>
      <c r="F1275" s="80"/>
    </row>
    <row r="1276" spans="2:6" x14ac:dyDescent="0.3">
      <c r="B1276" s="176"/>
      <c r="C1276" s="177"/>
      <c r="D1276" s="177"/>
      <c r="E1276" s="80"/>
      <c r="F1276" s="80"/>
    </row>
    <row r="1277" spans="2:6" x14ac:dyDescent="0.3">
      <c r="B1277" s="176"/>
      <c r="C1277" s="177"/>
      <c r="D1277" s="177"/>
      <c r="E1277" s="80"/>
      <c r="F1277" s="80"/>
    </row>
    <row r="1278" spans="2:6" x14ac:dyDescent="0.3">
      <c r="B1278" s="176"/>
      <c r="C1278" s="177"/>
      <c r="D1278" s="177"/>
      <c r="E1278" s="80"/>
      <c r="F1278" s="80"/>
    </row>
    <row r="1279" spans="2:6" x14ac:dyDescent="0.3">
      <c r="B1279" s="176"/>
      <c r="C1279" s="177"/>
      <c r="D1279" s="177"/>
      <c r="E1279" s="80"/>
      <c r="F1279" s="80"/>
    </row>
    <row r="1280" spans="2:6" x14ac:dyDescent="0.3">
      <c r="B1280" s="176"/>
      <c r="C1280" s="177"/>
      <c r="D1280" s="177"/>
      <c r="E1280" s="80"/>
      <c r="F1280" s="80"/>
    </row>
    <row r="1281" spans="2:6" x14ac:dyDescent="0.3">
      <c r="B1281" s="176"/>
      <c r="C1281" s="177"/>
      <c r="D1281" s="177"/>
      <c r="E1281" s="80"/>
      <c r="F1281" s="80"/>
    </row>
    <row r="1282" spans="2:6" x14ac:dyDescent="0.3">
      <c r="B1282" s="176"/>
      <c r="C1282" s="177"/>
      <c r="D1282" s="177"/>
      <c r="E1282" s="80"/>
      <c r="F1282" s="80"/>
    </row>
    <row r="1283" spans="2:6" x14ac:dyDescent="0.3">
      <c r="B1283" s="176"/>
      <c r="C1283" s="177"/>
      <c r="D1283" s="177"/>
      <c r="E1283" s="80"/>
      <c r="F1283" s="80"/>
    </row>
    <row r="1284" spans="2:6" x14ac:dyDescent="0.3">
      <c r="B1284" s="176"/>
      <c r="C1284" s="177"/>
      <c r="D1284" s="177"/>
      <c r="E1284" s="80"/>
      <c r="F1284" s="80"/>
    </row>
    <row r="1285" spans="2:6" x14ac:dyDescent="0.3">
      <c r="B1285" s="176"/>
      <c r="C1285" s="177"/>
      <c r="D1285" s="177"/>
      <c r="E1285" s="80"/>
      <c r="F1285" s="80"/>
    </row>
    <row r="1286" spans="2:6" x14ac:dyDescent="0.3">
      <c r="B1286" s="176"/>
      <c r="C1286" s="177"/>
      <c r="D1286" s="177"/>
      <c r="E1286" s="80"/>
      <c r="F1286" s="80"/>
    </row>
    <row r="1287" spans="2:6" x14ac:dyDescent="0.3">
      <c r="B1287" s="176"/>
      <c r="C1287" s="177"/>
      <c r="D1287" s="177"/>
      <c r="E1287" s="80"/>
      <c r="F1287" s="80"/>
    </row>
    <row r="1288" spans="2:6" x14ac:dyDescent="0.3">
      <c r="B1288" s="176"/>
      <c r="C1288" s="177"/>
      <c r="D1288" s="177"/>
      <c r="E1288" s="80"/>
      <c r="F1288" s="80"/>
    </row>
    <row r="1289" spans="2:6" x14ac:dyDescent="0.3">
      <c r="B1289" s="176"/>
      <c r="C1289" s="177"/>
      <c r="D1289" s="177"/>
      <c r="E1289" s="80"/>
      <c r="F1289" s="80"/>
    </row>
    <row r="1290" spans="2:6" x14ac:dyDescent="0.3">
      <c r="B1290" s="176"/>
      <c r="C1290" s="177"/>
      <c r="D1290" s="177"/>
      <c r="E1290" s="80"/>
      <c r="F1290" s="80"/>
    </row>
    <row r="1291" spans="2:6" x14ac:dyDescent="0.3">
      <c r="B1291" s="176"/>
      <c r="C1291" s="177"/>
      <c r="D1291" s="177"/>
      <c r="E1291" s="80"/>
      <c r="F1291" s="80"/>
    </row>
    <row r="1292" spans="2:6" x14ac:dyDescent="0.3">
      <c r="B1292" s="176"/>
      <c r="C1292" s="177"/>
      <c r="D1292" s="177"/>
      <c r="E1292" s="80"/>
      <c r="F1292" s="80"/>
    </row>
    <row r="1293" spans="2:6" x14ac:dyDescent="0.3">
      <c r="B1293" s="176"/>
      <c r="C1293" s="177"/>
      <c r="D1293" s="177"/>
      <c r="E1293" s="80"/>
      <c r="F1293" s="80"/>
    </row>
    <row r="1294" spans="2:6" x14ac:dyDescent="0.3">
      <c r="B1294" s="176"/>
      <c r="C1294" s="177"/>
      <c r="D1294" s="177"/>
      <c r="E1294" s="80"/>
      <c r="F1294" s="80"/>
    </row>
    <row r="1295" spans="2:6" x14ac:dyDescent="0.3">
      <c r="B1295" s="176"/>
      <c r="C1295" s="177"/>
      <c r="D1295" s="177"/>
      <c r="E1295" s="80"/>
      <c r="F1295" s="80"/>
    </row>
    <row r="1296" spans="2:6" x14ac:dyDescent="0.3">
      <c r="B1296" s="176"/>
      <c r="C1296" s="177"/>
      <c r="D1296" s="177"/>
      <c r="E1296" s="80"/>
      <c r="F1296" s="80"/>
    </row>
    <row r="1297" spans="2:6" x14ac:dyDescent="0.3">
      <c r="B1297" s="176"/>
      <c r="C1297" s="177"/>
      <c r="D1297" s="177"/>
      <c r="E1297" s="80"/>
      <c r="F1297" s="80"/>
    </row>
    <row r="1298" spans="2:6" x14ac:dyDescent="0.3">
      <c r="B1298" s="176"/>
      <c r="C1298" s="177"/>
      <c r="D1298" s="177"/>
      <c r="E1298" s="80"/>
      <c r="F1298" s="80"/>
    </row>
    <row r="1299" spans="2:6" x14ac:dyDescent="0.3">
      <c r="B1299" s="176"/>
      <c r="C1299" s="177"/>
      <c r="D1299" s="177"/>
      <c r="E1299" s="80"/>
      <c r="F1299" s="80"/>
    </row>
    <row r="1300" spans="2:6" x14ac:dyDescent="0.3">
      <c r="B1300" s="176"/>
      <c r="C1300" s="177"/>
      <c r="D1300" s="177"/>
      <c r="E1300" s="80"/>
      <c r="F1300" s="80"/>
    </row>
    <row r="1301" spans="2:6" x14ac:dyDescent="0.3">
      <c r="B1301" s="176"/>
      <c r="C1301" s="177"/>
      <c r="D1301" s="177"/>
      <c r="E1301" s="80"/>
      <c r="F1301" s="80"/>
    </row>
    <row r="1302" spans="2:6" x14ac:dyDescent="0.3">
      <c r="B1302" s="176"/>
      <c r="C1302" s="177"/>
      <c r="D1302" s="177"/>
      <c r="E1302" s="80"/>
      <c r="F1302" s="80"/>
    </row>
    <row r="1303" spans="2:6" x14ac:dyDescent="0.3">
      <c r="B1303" s="176"/>
      <c r="C1303" s="177"/>
      <c r="D1303" s="177"/>
      <c r="E1303" s="80"/>
      <c r="F1303" s="80"/>
    </row>
    <row r="1304" spans="2:6" x14ac:dyDescent="0.3">
      <c r="B1304" s="176"/>
      <c r="C1304" s="177"/>
      <c r="D1304" s="177"/>
      <c r="E1304" s="80"/>
      <c r="F1304" s="80"/>
    </row>
    <row r="1305" spans="2:6" x14ac:dyDescent="0.3">
      <c r="B1305" s="176"/>
      <c r="C1305" s="177"/>
      <c r="D1305" s="177"/>
      <c r="E1305" s="80"/>
      <c r="F1305" s="80"/>
    </row>
    <row r="1306" spans="2:6" x14ac:dyDescent="0.3">
      <c r="B1306" s="176"/>
      <c r="C1306" s="177"/>
      <c r="D1306" s="177"/>
      <c r="E1306" s="80"/>
      <c r="F1306" s="80"/>
    </row>
    <row r="1307" spans="2:6" x14ac:dyDescent="0.3">
      <c r="B1307" s="176"/>
      <c r="C1307" s="177"/>
      <c r="D1307" s="177"/>
      <c r="E1307" s="80"/>
      <c r="F1307" s="80"/>
    </row>
    <row r="1308" spans="2:6" x14ac:dyDescent="0.3">
      <c r="B1308" s="176"/>
      <c r="C1308" s="177"/>
      <c r="D1308" s="177"/>
      <c r="E1308" s="80"/>
      <c r="F1308" s="80"/>
    </row>
    <row r="1309" spans="2:6" x14ac:dyDescent="0.3">
      <c r="B1309" s="176"/>
      <c r="C1309" s="177"/>
      <c r="D1309" s="177"/>
      <c r="E1309" s="80"/>
      <c r="F1309" s="80"/>
    </row>
    <row r="1310" spans="2:6" x14ac:dyDescent="0.3">
      <c r="B1310" s="176"/>
      <c r="C1310" s="177"/>
      <c r="D1310" s="177"/>
      <c r="E1310" s="80"/>
      <c r="F1310" s="80"/>
    </row>
    <row r="1311" spans="2:6" x14ac:dyDescent="0.3">
      <c r="B1311" s="176"/>
      <c r="C1311" s="177"/>
      <c r="D1311" s="177"/>
      <c r="E1311" s="80"/>
      <c r="F1311" s="80"/>
    </row>
    <row r="1312" spans="2:6" x14ac:dyDescent="0.3">
      <c r="B1312" s="176"/>
      <c r="C1312" s="177"/>
      <c r="D1312" s="177"/>
      <c r="E1312" s="80"/>
      <c r="F1312" s="80"/>
    </row>
    <row r="1313" spans="2:6" x14ac:dyDescent="0.3">
      <c r="B1313" s="176"/>
      <c r="C1313" s="177"/>
      <c r="D1313" s="177"/>
      <c r="E1313" s="80"/>
      <c r="F1313" s="80"/>
    </row>
    <row r="1314" spans="2:6" x14ac:dyDescent="0.3">
      <c r="B1314" s="176"/>
      <c r="C1314" s="177"/>
      <c r="D1314" s="177"/>
      <c r="E1314" s="80"/>
      <c r="F1314" s="80"/>
    </row>
    <row r="1315" spans="2:6" x14ac:dyDescent="0.3">
      <c r="B1315" s="176"/>
      <c r="C1315" s="177"/>
      <c r="D1315" s="177"/>
      <c r="E1315" s="80"/>
      <c r="F1315" s="80"/>
    </row>
    <row r="1316" spans="2:6" x14ac:dyDescent="0.3">
      <c r="B1316" s="176"/>
      <c r="C1316" s="177"/>
      <c r="D1316" s="177"/>
      <c r="E1316" s="80"/>
      <c r="F1316" s="80"/>
    </row>
    <row r="1317" spans="2:6" x14ac:dyDescent="0.3">
      <c r="B1317" s="176"/>
      <c r="C1317" s="177"/>
      <c r="D1317" s="177"/>
      <c r="E1317" s="80"/>
      <c r="F1317" s="80"/>
    </row>
    <row r="1318" spans="2:6" x14ac:dyDescent="0.3">
      <c r="B1318" s="176"/>
      <c r="C1318" s="177"/>
      <c r="D1318" s="177"/>
      <c r="E1318" s="80"/>
      <c r="F1318" s="80"/>
    </row>
    <row r="1319" spans="2:6" x14ac:dyDescent="0.3">
      <c r="B1319" s="176"/>
      <c r="C1319" s="177"/>
      <c r="D1319" s="177"/>
      <c r="E1319" s="80"/>
      <c r="F1319" s="80"/>
    </row>
    <row r="1320" spans="2:6" x14ac:dyDescent="0.3">
      <c r="B1320" s="176"/>
      <c r="C1320" s="177"/>
      <c r="D1320" s="177"/>
      <c r="E1320" s="80"/>
      <c r="F1320" s="80"/>
    </row>
    <row r="1321" spans="2:6" x14ac:dyDescent="0.3">
      <c r="B1321" s="176"/>
      <c r="C1321" s="177"/>
      <c r="D1321" s="177"/>
      <c r="E1321" s="80"/>
      <c r="F1321" s="80"/>
    </row>
    <row r="1322" spans="2:6" x14ac:dyDescent="0.3">
      <c r="B1322" s="176"/>
      <c r="C1322" s="177"/>
      <c r="D1322" s="177"/>
      <c r="E1322" s="80"/>
      <c r="F1322" s="80"/>
    </row>
    <row r="1323" spans="2:6" x14ac:dyDescent="0.3">
      <c r="B1323" s="176"/>
      <c r="C1323" s="177"/>
      <c r="D1323" s="177"/>
      <c r="E1323" s="80"/>
      <c r="F1323" s="80"/>
    </row>
    <row r="1324" spans="2:6" x14ac:dyDescent="0.3">
      <c r="B1324" s="176"/>
      <c r="C1324" s="177"/>
      <c r="D1324" s="177"/>
      <c r="E1324" s="80"/>
      <c r="F1324" s="80"/>
    </row>
    <row r="1325" spans="2:6" x14ac:dyDescent="0.3">
      <c r="B1325" s="176"/>
      <c r="C1325" s="177"/>
      <c r="D1325" s="177"/>
      <c r="E1325" s="80"/>
      <c r="F1325" s="80"/>
    </row>
    <row r="1326" spans="2:6" x14ac:dyDescent="0.3">
      <c r="B1326" s="176"/>
      <c r="C1326" s="177"/>
      <c r="D1326" s="177"/>
      <c r="E1326" s="80"/>
      <c r="F1326" s="80"/>
    </row>
    <row r="1327" spans="2:6" x14ac:dyDescent="0.3">
      <c r="B1327" s="176"/>
      <c r="C1327" s="177"/>
      <c r="D1327" s="177"/>
      <c r="E1327" s="80"/>
      <c r="F1327" s="80"/>
    </row>
    <row r="1328" spans="2:6" x14ac:dyDescent="0.3">
      <c r="B1328" s="176"/>
      <c r="C1328" s="177"/>
      <c r="D1328" s="177"/>
      <c r="E1328" s="80"/>
      <c r="F1328" s="80"/>
    </row>
    <row r="1329" spans="2:6" x14ac:dyDescent="0.3">
      <c r="B1329" s="176"/>
      <c r="C1329" s="177"/>
      <c r="D1329" s="177"/>
      <c r="E1329" s="80"/>
      <c r="F1329" s="80"/>
    </row>
    <row r="1330" spans="2:6" x14ac:dyDescent="0.3">
      <c r="B1330" s="176"/>
      <c r="C1330" s="177"/>
      <c r="D1330" s="177"/>
      <c r="E1330" s="80"/>
      <c r="F1330" s="80"/>
    </row>
    <row r="1331" spans="2:6" x14ac:dyDescent="0.3">
      <c r="B1331" s="176"/>
      <c r="C1331" s="177"/>
      <c r="D1331" s="177"/>
      <c r="E1331" s="80"/>
      <c r="F1331" s="80"/>
    </row>
    <row r="1332" spans="2:6" x14ac:dyDescent="0.3">
      <c r="B1332" s="176"/>
      <c r="C1332" s="177"/>
      <c r="D1332" s="177"/>
      <c r="E1332" s="80"/>
      <c r="F1332" s="80"/>
    </row>
    <row r="1333" spans="2:6" x14ac:dyDescent="0.3">
      <c r="B1333" s="176"/>
      <c r="C1333" s="177"/>
      <c r="D1333" s="177"/>
      <c r="E1333" s="80"/>
      <c r="F1333" s="80"/>
    </row>
    <row r="1334" spans="2:6" x14ac:dyDescent="0.3">
      <c r="B1334" s="176"/>
      <c r="C1334" s="177"/>
      <c r="D1334" s="177"/>
      <c r="E1334" s="80"/>
      <c r="F1334" s="80"/>
    </row>
    <row r="1335" spans="2:6" x14ac:dyDescent="0.3">
      <c r="B1335" s="176"/>
      <c r="C1335" s="177"/>
      <c r="D1335" s="177"/>
      <c r="E1335" s="80"/>
      <c r="F1335" s="80"/>
    </row>
    <row r="1336" spans="2:6" x14ac:dyDescent="0.3">
      <c r="B1336" s="176"/>
      <c r="C1336" s="177"/>
      <c r="D1336" s="177"/>
      <c r="E1336" s="80"/>
      <c r="F1336" s="80"/>
    </row>
    <row r="1337" spans="2:6" x14ac:dyDescent="0.3">
      <c r="B1337" s="176"/>
      <c r="C1337" s="177"/>
      <c r="D1337" s="177"/>
      <c r="E1337" s="80"/>
      <c r="F1337" s="80"/>
    </row>
    <row r="1338" spans="2:6" x14ac:dyDescent="0.3">
      <c r="B1338" s="176"/>
      <c r="C1338" s="177"/>
      <c r="D1338" s="177"/>
      <c r="E1338" s="80"/>
      <c r="F1338" s="80"/>
    </row>
    <row r="1339" spans="2:6" x14ac:dyDescent="0.3">
      <c r="B1339" s="176"/>
      <c r="C1339" s="177"/>
      <c r="D1339" s="177"/>
      <c r="E1339" s="80"/>
      <c r="F1339" s="80"/>
    </row>
    <row r="1340" spans="2:6" x14ac:dyDescent="0.3">
      <c r="B1340" s="176"/>
      <c r="C1340" s="177"/>
      <c r="D1340" s="177"/>
      <c r="E1340" s="80"/>
      <c r="F1340" s="80"/>
    </row>
    <row r="1341" spans="2:6" x14ac:dyDescent="0.3">
      <c r="B1341" s="176"/>
      <c r="C1341" s="177"/>
      <c r="D1341" s="177"/>
      <c r="E1341" s="80"/>
      <c r="F1341" s="80"/>
    </row>
    <row r="1342" spans="2:6" x14ac:dyDescent="0.3">
      <c r="B1342" s="176"/>
      <c r="C1342" s="177"/>
      <c r="D1342" s="177"/>
      <c r="E1342" s="80"/>
      <c r="F1342" s="80"/>
    </row>
    <row r="1343" spans="2:6" x14ac:dyDescent="0.3">
      <c r="B1343" s="176"/>
      <c r="C1343" s="177"/>
      <c r="D1343" s="177"/>
      <c r="E1343" s="80"/>
      <c r="F1343" s="80"/>
    </row>
    <row r="1344" spans="2:6" x14ac:dyDescent="0.3">
      <c r="B1344" s="176"/>
      <c r="C1344" s="177"/>
      <c r="D1344" s="177"/>
      <c r="E1344" s="80"/>
      <c r="F1344" s="80"/>
    </row>
    <row r="1345" spans="2:6" x14ac:dyDescent="0.3">
      <c r="B1345" s="176"/>
      <c r="C1345" s="177"/>
      <c r="D1345" s="177"/>
      <c r="E1345" s="80"/>
      <c r="F1345" s="80"/>
    </row>
    <row r="1346" spans="2:6" x14ac:dyDescent="0.3">
      <c r="B1346" s="176"/>
      <c r="C1346" s="177"/>
      <c r="D1346" s="177"/>
      <c r="E1346" s="80"/>
      <c r="F1346" s="80"/>
    </row>
    <row r="1347" spans="2:6" x14ac:dyDescent="0.3">
      <c r="B1347" s="176"/>
      <c r="C1347" s="177"/>
      <c r="D1347" s="177"/>
      <c r="E1347" s="80"/>
      <c r="F1347" s="80"/>
    </row>
    <row r="1348" spans="2:6" x14ac:dyDescent="0.3">
      <c r="B1348" s="176"/>
      <c r="C1348" s="177"/>
      <c r="D1348" s="177"/>
      <c r="E1348" s="80"/>
      <c r="F1348" s="80"/>
    </row>
    <row r="1349" spans="2:6" x14ac:dyDescent="0.3">
      <c r="B1349" s="176"/>
      <c r="C1349" s="177"/>
      <c r="D1349" s="177"/>
      <c r="E1349" s="80"/>
      <c r="F1349" s="80"/>
    </row>
    <row r="1350" spans="2:6" x14ac:dyDescent="0.3">
      <c r="B1350" s="176"/>
      <c r="C1350" s="177"/>
      <c r="D1350" s="177"/>
      <c r="E1350" s="80"/>
      <c r="F1350" s="80"/>
    </row>
    <row r="1351" spans="2:6" x14ac:dyDescent="0.3">
      <c r="B1351" s="176"/>
      <c r="C1351" s="177"/>
      <c r="D1351" s="177"/>
      <c r="E1351" s="80"/>
      <c r="F1351" s="80"/>
    </row>
    <row r="1352" spans="2:6" x14ac:dyDescent="0.3">
      <c r="B1352" s="176"/>
      <c r="C1352" s="177"/>
      <c r="D1352" s="177"/>
      <c r="E1352" s="80"/>
      <c r="F1352" s="80"/>
    </row>
    <row r="1353" spans="2:6" x14ac:dyDescent="0.3">
      <c r="B1353" s="176"/>
      <c r="C1353" s="177"/>
      <c r="D1353" s="177"/>
      <c r="E1353" s="80"/>
      <c r="F1353" s="80"/>
    </row>
    <row r="1354" spans="2:6" x14ac:dyDescent="0.3">
      <c r="B1354" s="176"/>
      <c r="C1354" s="177"/>
      <c r="D1354" s="177"/>
      <c r="E1354" s="80"/>
      <c r="F1354" s="80"/>
    </row>
    <row r="1355" spans="2:6" x14ac:dyDescent="0.3">
      <c r="B1355" s="176"/>
      <c r="C1355" s="177"/>
      <c r="D1355" s="177"/>
      <c r="E1355" s="80"/>
      <c r="F1355" s="80"/>
    </row>
    <row r="1356" spans="2:6" x14ac:dyDescent="0.3">
      <c r="B1356" s="176"/>
      <c r="C1356" s="177"/>
      <c r="D1356" s="177"/>
      <c r="E1356" s="80"/>
      <c r="F1356" s="80"/>
    </row>
    <row r="1357" spans="2:6" x14ac:dyDescent="0.3">
      <c r="B1357" s="176"/>
      <c r="C1357" s="177"/>
      <c r="D1357" s="177"/>
      <c r="E1357" s="80"/>
      <c r="F1357" s="80"/>
    </row>
    <row r="1358" spans="2:6" x14ac:dyDescent="0.3">
      <c r="B1358" s="176"/>
      <c r="C1358" s="177"/>
      <c r="D1358" s="177"/>
      <c r="E1358" s="80"/>
      <c r="F1358" s="80"/>
    </row>
    <row r="1359" spans="2:6" x14ac:dyDescent="0.3">
      <c r="B1359" s="176"/>
      <c r="C1359" s="177"/>
      <c r="D1359" s="177"/>
      <c r="E1359" s="80"/>
      <c r="F1359" s="80"/>
    </row>
    <row r="1360" spans="2:6" x14ac:dyDescent="0.3">
      <c r="B1360" s="176"/>
      <c r="C1360" s="177"/>
      <c r="D1360" s="177"/>
      <c r="E1360" s="80"/>
      <c r="F1360" s="80"/>
    </row>
    <row r="1361" spans="2:6" x14ac:dyDescent="0.3">
      <c r="B1361" s="176"/>
      <c r="C1361" s="177"/>
      <c r="D1361" s="177"/>
      <c r="E1361" s="80"/>
      <c r="F1361" s="80"/>
    </row>
    <row r="1362" spans="2:6" x14ac:dyDescent="0.3">
      <c r="B1362" s="176"/>
      <c r="C1362" s="177"/>
      <c r="D1362" s="177"/>
      <c r="E1362" s="80"/>
      <c r="F1362" s="80"/>
    </row>
    <row r="1363" spans="2:6" x14ac:dyDescent="0.3">
      <c r="B1363" s="176"/>
      <c r="C1363" s="177"/>
      <c r="D1363" s="177"/>
      <c r="E1363" s="80"/>
      <c r="F1363" s="80"/>
    </row>
    <row r="1364" spans="2:6" x14ac:dyDescent="0.3">
      <c r="B1364" s="176"/>
      <c r="C1364" s="177"/>
      <c r="D1364" s="177"/>
      <c r="E1364" s="80"/>
      <c r="F1364" s="80"/>
    </row>
    <row r="1365" spans="2:6" x14ac:dyDescent="0.3">
      <c r="B1365" s="176"/>
      <c r="C1365" s="177"/>
      <c r="D1365" s="177"/>
      <c r="E1365" s="80"/>
      <c r="F1365" s="80"/>
    </row>
    <row r="1366" spans="2:6" x14ac:dyDescent="0.3">
      <c r="B1366" s="176"/>
      <c r="C1366" s="177"/>
      <c r="D1366" s="177"/>
      <c r="E1366" s="80"/>
      <c r="F1366" s="80"/>
    </row>
    <row r="1367" spans="2:6" x14ac:dyDescent="0.3">
      <c r="B1367" s="176"/>
      <c r="C1367" s="177"/>
      <c r="D1367" s="177"/>
      <c r="E1367" s="80"/>
      <c r="F1367" s="80"/>
    </row>
    <row r="1368" spans="2:6" x14ac:dyDescent="0.3">
      <c r="B1368" s="176"/>
      <c r="C1368" s="177"/>
      <c r="D1368" s="177"/>
      <c r="E1368" s="80"/>
      <c r="F1368" s="80"/>
    </row>
    <row r="1369" spans="2:6" x14ac:dyDescent="0.3">
      <c r="B1369" s="176"/>
      <c r="C1369" s="177"/>
      <c r="D1369" s="177"/>
      <c r="E1369" s="80"/>
      <c r="F1369" s="80"/>
    </row>
    <row r="1370" spans="2:6" x14ac:dyDescent="0.3">
      <c r="B1370" s="176"/>
      <c r="C1370" s="177"/>
      <c r="D1370" s="177"/>
      <c r="E1370" s="80"/>
      <c r="F1370" s="80"/>
    </row>
    <row r="1371" spans="2:6" x14ac:dyDescent="0.3">
      <c r="B1371" s="176"/>
      <c r="C1371" s="177"/>
      <c r="D1371" s="177"/>
      <c r="E1371" s="80"/>
      <c r="F1371" s="80"/>
    </row>
    <row r="1372" spans="2:6" x14ac:dyDescent="0.3">
      <c r="B1372" s="176"/>
      <c r="C1372" s="177"/>
      <c r="D1372" s="177"/>
      <c r="E1372" s="80"/>
      <c r="F1372" s="80"/>
    </row>
    <row r="1373" spans="2:6" x14ac:dyDescent="0.3">
      <c r="B1373" s="176"/>
      <c r="C1373" s="177"/>
      <c r="D1373" s="177"/>
      <c r="E1373" s="80"/>
      <c r="F1373" s="80"/>
    </row>
    <row r="1374" spans="2:6" x14ac:dyDescent="0.3">
      <c r="B1374" s="176"/>
      <c r="C1374" s="177"/>
      <c r="D1374" s="177"/>
      <c r="E1374" s="80"/>
      <c r="F1374" s="80"/>
    </row>
    <row r="1375" spans="2:6" x14ac:dyDescent="0.3">
      <c r="B1375" s="176"/>
      <c r="C1375" s="177"/>
      <c r="D1375" s="177"/>
      <c r="E1375" s="80"/>
      <c r="F1375" s="80"/>
    </row>
    <row r="1376" spans="2:6" x14ac:dyDescent="0.3">
      <c r="B1376" s="176"/>
      <c r="C1376" s="177"/>
      <c r="D1376" s="177"/>
      <c r="E1376" s="80"/>
      <c r="F1376" s="80"/>
    </row>
    <row r="1377" spans="2:6" x14ac:dyDescent="0.3">
      <c r="B1377" s="176"/>
      <c r="C1377" s="177"/>
      <c r="D1377" s="177"/>
      <c r="E1377" s="80"/>
      <c r="F1377" s="80"/>
    </row>
    <row r="1378" spans="2:6" x14ac:dyDescent="0.3">
      <c r="B1378" s="176"/>
      <c r="C1378" s="177"/>
      <c r="D1378" s="177"/>
      <c r="E1378" s="80"/>
      <c r="F1378" s="80"/>
    </row>
    <row r="1379" spans="2:6" x14ac:dyDescent="0.3">
      <c r="B1379" s="176"/>
      <c r="C1379" s="177"/>
      <c r="D1379" s="177"/>
      <c r="E1379" s="80"/>
      <c r="F1379" s="80"/>
    </row>
    <row r="1380" spans="2:6" x14ac:dyDescent="0.3">
      <c r="B1380" s="176"/>
      <c r="C1380" s="177"/>
      <c r="D1380" s="177"/>
      <c r="E1380" s="80"/>
      <c r="F1380" s="80"/>
    </row>
    <row r="1381" spans="2:6" x14ac:dyDescent="0.3">
      <c r="B1381" s="176"/>
      <c r="C1381" s="177"/>
      <c r="D1381" s="177"/>
      <c r="E1381" s="80"/>
      <c r="F1381" s="80"/>
    </row>
    <row r="1382" spans="2:6" x14ac:dyDescent="0.3">
      <c r="B1382" s="176"/>
      <c r="C1382" s="177"/>
      <c r="D1382" s="177"/>
      <c r="E1382" s="80"/>
      <c r="F1382" s="80"/>
    </row>
    <row r="1383" spans="2:6" x14ac:dyDescent="0.3">
      <c r="B1383" s="176"/>
      <c r="C1383" s="177"/>
      <c r="D1383" s="177"/>
      <c r="E1383" s="80"/>
      <c r="F1383" s="80"/>
    </row>
    <row r="1384" spans="2:6" x14ac:dyDescent="0.3">
      <c r="B1384" s="176"/>
      <c r="C1384" s="177"/>
      <c r="D1384" s="177"/>
      <c r="E1384" s="80"/>
      <c r="F1384" s="80"/>
    </row>
    <row r="1385" spans="2:6" x14ac:dyDescent="0.3">
      <c r="B1385" s="176"/>
      <c r="C1385" s="177"/>
      <c r="D1385" s="177"/>
      <c r="E1385" s="80"/>
      <c r="F1385" s="80"/>
    </row>
    <row r="1386" spans="2:6" x14ac:dyDescent="0.3">
      <c r="B1386" s="176"/>
      <c r="C1386" s="177"/>
      <c r="D1386" s="177"/>
      <c r="E1386" s="80"/>
      <c r="F1386" s="80"/>
    </row>
    <row r="1387" spans="2:6" x14ac:dyDescent="0.3">
      <c r="B1387" s="176"/>
      <c r="C1387" s="177"/>
      <c r="D1387" s="177"/>
      <c r="E1387" s="80"/>
      <c r="F1387" s="80"/>
    </row>
    <row r="1388" spans="2:6" x14ac:dyDescent="0.3">
      <c r="B1388" s="176"/>
      <c r="C1388" s="177"/>
      <c r="D1388" s="177"/>
      <c r="E1388" s="80"/>
      <c r="F1388" s="80"/>
    </row>
    <row r="1389" spans="2:6" x14ac:dyDescent="0.3">
      <c r="B1389" s="176"/>
      <c r="C1389" s="177"/>
      <c r="D1389" s="177"/>
      <c r="E1389" s="80"/>
      <c r="F1389" s="80"/>
    </row>
    <row r="1390" spans="2:6" x14ac:dyDescent="0.3">
      <c r="B1390" s="176"/>
      <c r="C1390" s="177"/>
      <c r="D1390" s="177"/>
      <c r="E1390" s="80"/>
      <c r="F1390" s="80"/>
    </row>
    <row r="1391" spans="2:6" x14ac:dyDescent="0.3">
      <c r="B1391" s="176"/>
      <c r="C1391" s="177"/>
      <c r="D1391" s="177"/>
      <c r="E1391" s="80"/>
      <c r="F1391" s="80"/>
    </row>
    <row r="1392" spans="2:6" x14ac:dyDescent="0.3">
      <c r="B1392" s="176"/>
      <c r="C1392" s="177"/>
      <c r="D1392" s="177"/>
      <c r="E1392" s="80"/>
      <c r="F1392" s="80"/>
    </row>
    <row r="1393" spans="2:6" x14ac:dyDescent="0.3">
      <c r="B1393" s="176"/>
      <c r="C1393" s="177"/>
      <c r="D1393" s="177"/>
      <c r="E1393" s="80"/>
      <c r="F1393" s="80"/>
    </row>
    <row r="1394" spans="2:6" x14ac:dyDescent="0.3">
      <c r="B1394" s="176"/>
      <c r="C1394" s="177"/>
      <c r="D1394" s="177"/>
      <c r="E1394" s="80"/>
      <c r="F1394" s="80"/>
    </row>
    <row r="1395" spans="2:6" x14ac:dyDescent="0.3">
      <c r="B1395" s="176"/>
      <c r="C1395" s="177"/>
      <c r="D1395" s="177"/>
      <c r="E1395" s="80"/>
      <c r="F1395" s="80"/>
    </row>
    <row r="1396" spans="2:6" x14ac:dyDescent="0.3">
      <c r="B1396" s="176"/>
      <c r="C1396" s="177"/>
      <c r="D1396" s="177"/>
      <c r="E1396" s="80"/>
      <c r="F1396" s="80"/>
    </row>
    <row r="1397" spans="2:6" x14ac:dyDescent="0.3">
      <c r="B1397" s="176"/>
      <c r="C1397" s="177"/>
      <c r="D1397" s="177"/>
      <c r="E1397" s="80"/>
      <c r="F1397" s="80"/>
    </row>
    <row r="1398" spans="2:6" x14ac:dyDescent="0.3">
      <c r="B1398" s="176"/>
      <c r="C1398" s="177"/>
      <c r="D1398" s="177"/>
      <c r="E1398" s="80"/>
      <c r="F1398" s="80"/>
    </row>
    <row r="1399" spans="2:6" x14ac:dyDescent="0.3">
      <c r="B1399" s="176"/>
      <c r="C1399" s="177"/>
      <c r="D1399" s="177"/>
      <c r="E1399" s="80"/>
      <c r="F1399" s="80"/>
    </row>
    <row r="1400" spans="2:6" x14ac:dyDescent="0.3">
      <c r="B1400" s="176"/>
      <c r="C1400" s="177"/>
      <c r="D1400" s="177"/>
      <c r="E1400" s="80"/>
      <c r="F1400" s="80"/>
    </row>
    <row r="1401" spans="2:6" x14ac:dyDescent="0.3">
      <c r="B1401" s="176"/>
      <c r="C1401" s="177"/>
      <c r="D1401" s="177"/>
      <c r="E1401" s="80"/>
      <c r="F1401" s="80"/>
    </row>
    <row r="1402" spans="2:6" x14ac:dyDescent="0.3">
      <c r="B1402" s="176"/>
      <c r="C1402" s="177"/>
      <c r="D1402" s="177"/>
      <c r="E1402" s="80"/>
      <c r="F1402" s="80"/>
    </row>
    <row r="1403" spans="2:6" x14ac:dyDescent="0.3">
      <c r="B1403" s="176"/>
      <c r="C1403" s="177"/>
      <c r="D1403" s="177"/>
      <c r="E1403" s="80"/>
      <c r="F1403" s="80"/>
    </row>
    <row r="1404" spans="2:6" x14ac:dyDescent="0.3">
      <c r="B1404" s="176"/>
      <c r="C1404" s="177"/>
      <c r="D1404" s="177"/>
      <c r="E1404" s="80"/>
      <c r="F1404" s="80"/>
    </row>
    <row r="1405" spans="2:6" x14ac:dyDescent="0.3">
      <c r="B1405" s="176"/>
      <c r="C1405" s="177"/>
      <c r="D1405" s="177"/>
      <c r="E1405" s="80"/>
      <c r="F1405" s="80"/>
    </row>
    <row r="1406" spans="2:6" x14ac:dyDescent="0.3">
      <c r="B1406" s="176"/>
      <c r="C1406" s="177"/>
      <c r="D1406" s="177"/>
      <c r="E1406" s="80"/>
      <c r="F1406" s="80"/>
    </row>
    <row r="1407" spans="2:6" x14ac:dyDescent="0.3">
      <c r="B1407" s="176"/>
      <c r="C1407" s="177"/>
      <c r="D1407" s="177"/>
      <c r="E1407" s="80"/>
      <c r="F1407" s="80"/>
    </row>
    <row r="1408" spans="2:6" x14ac:dyDescent="0.3">
      <c r="B1408" s="176"/>
      <c r="C1408" s="177"/>
      <c r="D1408" s="177"/>
      <c r="E1408" s="80"/>
      <c r="F1408" s="80"/>
    </row>
    <row r="1409" spans="2:6" x14ac:dyDescent="0.3">
      <c r="B1409" s="176"/>
      <c r="C1409" s="177"/>
      <c r="D1409" s="177"/>
      <c r="E1409" s="80"/>
      <c r="F1409" s="80"/>
    </row>
    <row r="1410" spans="2:6" x14ac:dyDescent="0.3">
      <c r="B1410" s="176"/>
      <c r="C1410" s="177"/>
      <c r="D1410" s="177"/>
      <c r="E1410" s="80"/>
      <c r="F1410" s="80"/>
    </row>
    <row r="1411" spans="2:6" x14ac:dyDescent="0.3">
      <c r="B1411" s="176"/>
      <c r="C1411" s="177"/>
      <c r="D1411" s="177"/>
      <c r="E1411" s="80"/>
      <c r="F1411" s="80"/>
    </row>
    <row r="1412" spans="2:6" x14ac:dyDescent="0.3">
      <c r="B1412" s="176"/>
      <c r="C1412" s="177"/>
      <c r="D1412" s="177"/>
      <c r="E1412" s="80"/>
      <c r="F1412" s="80"/>
    </row>
    <row r="1413" spans="2:6" x14ac:dyDescent="0.3">
      <c r="B1413" s="176"/>
      <c r="C1413" s="177"/>
      <c r="D1413" s="177"/>
      <c r="E1413" s="80"/>
      <c r="F1413" s="80"/>
    </row>
    <row r="1414" spans="2:6" x14ac:dyDescent="0.3">
      <c r="B1414" s="176"/>
      <c r="C1414" s="177"/>
      <c r="D1414" s="177"/>
      <c r="E1414" s="80"/>
      <c r="F1414" s="80"/>
    </row>
    <row r="1415" spans="2:6" x14ac:dyDescent="0.3">
      <c r="B1415" s="176"/>
      <c r="C1415" s="177"/>
      <c r="D1415" s="177"/>
      <c r="E1415" s="80"/>
      <c r="F1415" s="80"/>
    </row>
    <row r="1416" spans="2:6" x14ac:dyDescent="0.3">
      <c r="B1416" s="176"/>
      <c r="C1416" s="177"/>
      <c r="D1416" s="177"/>
      <c r="E1416" s="80"/>
      <c r="F1416" s="80"/>
    </row>
    <row r="1417" spans="2:6" x14ac:dyDescent="0.3">
      <c r="B1417" s="176"/>
      <c r="C1417" s="177"/>
      <c r="D1417" s="177"/>
      <c r="E1417" s="80"/>
      <c r="F1417" s="80"/>
    </row>
    <row r="1418" spans="2:6" x14ac:dyDescent="0.3">
      <c r="B1418" s="176"/>
      <c r="C1418" s="177"/>
      <c r="D1418" s="177"/>
      <c r="E1418" s="80"/>
      <c r="F1418" s="80"/>
    </row>
    <row r="1419" spans="2:6" x14ac:dyDescent="0.3">
      <c r="B1419" s="176"/>
      <c r="C1419" s="177"/>
      <c r="D1419" s="177"/>
      <c r="E1419" s="80"/>
      <c r="F1419" s="80"/>
    </row>
    <row r="1420" spans="2:6" x14ac:dyDescent="0.3">
      <c r="B1420" s="176"/>
      <c r="C1420" s="177"/>
      <c r="D1420" s="177"/>
      <c r="E1420" s="80"/>
      <c r="F1420" s="80"/>
    </row>
    <row r="1421" spans="2:6" x14ac:dyDescent="0.3">
      <c r="B1421" s="176"/>
      <c r="C1421" s="177"/>
      <c r="D1421" s="177"/>
      <c r="E1421" s="80"/>
      <c r="F1421" s="80"/>
    </row>
    <row r="1422" spans="2:6" x14ac:dyDescent="0.3">
      <c r="B1422" s="176"/>
      <c r="C1422" s="177"/>
      <c r="D1422" s="177"/>
      <c r="E1422" s="80"/>
      <c r="F1422" s="80"/>
    </row>
    <row r="1423" spans="2:6" x14ac:dyDescent="0.3">
      <c r="B1423" s="176"/>
      <c r="C1423" s="177"/>
      <c r="D1423" s="177"/>
      <c r="E1423" s="80"/>
      <c r="F1423" s="80"/>
    </row>
    <row r="1424" spans="2:6" x14ac:dyDescent="0.3">
      <c r="B1424" s="176"/>
      <c r="C1424" s="177"/>
      <c r="D1424" s="177"/>
      <c r="E1424" s="80"/>
      <c r="F1424" s="80"/>
    </row>
    <row r="1425" spans="2:6" x14ac:dyDescent="0.3">
      <c r="B1425" s="176"/>
      <c r="C1425" s="177"/>
      <c r="D1425" s="177"/>
      <c r="E1425" s="80"/>
      <c r="F1425" s="80"/>
    </row>
    <row r="1426" spans="2:6" x14ac:dyDescent="0.3">
      <c r="B1426" s="176"/>
      <c r="C1426" s="177"/>
      <c r="D1426" s="177"/>
      <c r="E1426" s="80"/>
      <c r="F1426" s="80"/>
    </row>
    <row r="1427" spans="2:6" x14ac:dyDescent="0.3">
      <c r="B1427" s="176"/>
      <c r="C1427" s="177"/>
      <c r="D1427" s="177"/>
      <c r="E1427" s="80"/>
      <c r="F1427" s="80"/>
    </row>
    <row r="1428" spans="2:6" x14ac:dyDescent="0.3">
      <c r="B1428" s="176"/>
      <c r="C1428" s="177"/>
      <c r="D1428" s="177"/>
      <c r="E1428" s="80"/>
      <c r="F1428" s="80"/>
    </row>
    <row r="1429" spans="2:6" x14ac:dyDescent="0.3">
      <c r="B1429" s="176"/>
      <c r="C1429" s="177"/>
      <c r="D1429" s="177"/>
      <c r="E1429" s="80"/>
      <c r="F1429" s="80"/>
    </row>
    <row r="1430" spans="2:6" x14ac:dyDescent="0.3">
      <c r="B1430" s="176"/>
      <c r="C1430" s="177"/>
      <c r="D1430" s="177"/>
      <c r="E1430" s="80"/>
      <c r="F1430" s="80"/>
    </row>
    <row r="1431" spans="2:6" x14ac:dyDescent="0.3">
      <c r="B1431" s="176"/>
      <c r="C1431" s="177"/>
      <c r="D1431" s="177"/>
      <c r="E1431" s="80"/>
      <c r="F1431" s="80"/>
    </row>
    <row r="1432" spans="2:6" x14ac:dyDescent="0.3">
      <c r="B1432" s="176"/>
      <c r="C1432" s="177"/>
      <c r="D1432" s="177"/>
      <c r="E1432" s="80"/>
      <c r="F1432" s="80"/>
    </row>
    <row r="1433" spans="2:6" x14ac:dyDescent="0.3">
      <c r="B1433" s="176"/>
      <c r="C1433" s="177"/>
      <c r="D1433" s="177"/>
      <c r="E1433" s="80"/>
      <c r="F1433" s="80"/>
    </row>
    <row r="1434" spans="2:6" x14ac:dyDescent="0.3">
      <c r="B1434" s="176"/>
      <c r="C1434" s="177"/>
      <c r="D1434" s="177"/>
      <c r="E1434" s="80"/>
      <c r="F1434" s="80"/>
    </row>
    <row r="1435" spans="2:6" x14ac:dyDescent="0.3">
      <c r="B1435" s="176"/>
      <c r="C1435" s="177"/>
      <c r="D1435" s="177"/>
      <c r="E1435" s="80"/>
      <c r="F1435" s="80"/>
    </row>
    <row r="1436" spans="2:6" x14ac:dyDescent="0.3">
      <c r="B1436" s="176"/>
      <c r="C1436" s="177"/>
      <c r="D1436" s="177"/>
      <c r="E1436" s="80"/>
      <c r="F1436" s="80"/>
    </row>
    <row r="1437" spans="2:6" x14ac:dyDescent="0.3">
      <c r="B1437" s="176"/>
      <c r="C1437" s="177"/>
      <c r="D1437" s="177"/>
      <c r="E1437" s="80"/>
      <c r="F1437" s="80"/>
    </row>
    <row r="1438" spans="2:6" x14ac:dyDescent="0.3">
      <c r="B1438" s="176"/>
      <c r="C1438" s="177"/>
      <c r="D1438" s="177"/>
      <c r="E1438" s="80"/>
      <c r="F1438" s="80"/>
    </row>
    <row r="1439" spans="2:6" x14ac:dyDescent="0.3">
      <c r="B1439" s="176"/>
      <c r="C1439" s="177"/>
      <c r="D1439" s="177"/>
      <c r="E1439" s="80"/>
      <c r="F1439" s="80"/>
    </row>
    <row r="1440" spans="2:6" x14ac:dyDescent="0.3">
      <c r="B1440" s="176"/>
      <c r="C1440" s="177"/>
      <c r="D1440" s="177"/>
      <c r="E1440" s="80"/>
      <c r="F1440" s="80"/>
    </row>
    <row r="1441" spans="2:6" x14ac:dyDescent="0.3">
      <c r="B1441" s="176"/>
      <c r="C1441" s="177"/>
      <c r="D1441" s="177"/>
      <c r="E1441" s="80"/>
      <c r="F1441" s="80"/>
    </row>
    <row r="1442" spans="2:6" x14ac:dyDescent="0.3">
      <c r="B1442" s="176"/>
      <c r="C1442" s="177"/>
      <c r="D1442" s="177"/>
      <c r="E1442" s="80"/>
      <c r="F1442" s="80"/>
    </row>
    <row r="1443" spans="2:6" x14ac:dyDescent="0.3">
      <c r="B1443" s="176"/>
      <c r="C1443" s="177"/>
      <c r="D1443" s="177"/>
      <c r="E1443" s="80"/>
      <c r="F1443" s="80"/>
    </row>
    <row r="1444" spans="2:6" x14ac:dyDescent="0.3">
      <c r="B1444" s="176"/>
      <c r="C1444" s="177"/>
      <c r="D1444" s="177"/>
      <c r="E1444" s="80"/>
      <c r="F1444" s="80"/>
    </row>
    <row r="1445" spans="2:6" x14ac:dyDescent="0.3">
      <c r="B1445" s="176"/>
      <c r="C1445" s="177"/>
      <c r="D1445" s="177"/>
      <c r="E1445" s="80"/>
      <c r="F1445" s="80"/>
    </row>
    <row r="1446" spans="2:6" x14ac:dyDescent="0.3">
      <c r="B1446" s="176"/>
      <c r="C1446" s="177"/>
      <c r="D1446" s="177"/>
      <c r="E1446" s="80"/>
      <c r="F1446" s="80"/>
    </row>
    <row r="1447" spans="2:6" x14ac:dyDescent="0.3">
      <c r="B1447" s="176"/>
      <c r="C1447" s="177"/>
      <c r="D1447" s="177"/>
      <c r="E1447" s="80"/>
      <c r="F1447" s="80"/>
    </row>
    <row r="1448" spans="2:6" x14ac:dyDescent="0.3">
      <c r="B1448" s="176"/>
      <c r="C1448" s="177"/>
      <c r="D1448" s="177"/>
      <c r="E1448" s="80"/>
      <c r="F1448" s="80"/>
    </row>
    <row r="1449" spans="2:6" x14ac:dyDescent="0.3">
      <c r="B1449" s="176"/>
      <c r="C1449" s="177"/>
      <c r="D1449" s="177"/>
      <c r="E1449" s="80"/>
      <c r="F1449" s="80"/>
    </row>
    <row r="1450" spans="2:6" x14ac:dyDescent="0.3">
      <c r="B1450" s="176"/>
      <c r="C1450" s="177"/>
      <c r="D1450" s="177"/>
      <c r="E1450" s="80"/>
      <c r="F1450" s="80"/>
    </row>
    <row r="1451" spans="2:6" x14ac:dyDescent="0.3">
      <c r="B1451" s="176"/>
      <c r="C1451" s="177"/>
      <c r="D1451" s="177"/>
      <c r="E1451" s="80"/>
      <c r="F1451" s="80"/>
    </row>
    <row r="1452" spans="2:6" x14ac:dyDescent="0.3">
      <c r="B1452" s="176"/>
      <c r="C1452" s="177"/>
      <c r="D1452" s="177"/>
      <c r="E1452" s="80"/>
      <c r="F1452" s="80"/>
    </row>
    <row r="1453" spans="2:6" x14ac:dyDescent="0.3">
      <c r="B1453" s="176"/>
      <c r="C1453" s="177"/>
      <c r="D1453" s="177"/>
      <c r="E1453" s="80"/>
      <c r="F1453" s="80"/>
    </row>
    <row r="1454" spans="2:6" x14ac:dyDescent="0.3">
      <c r="B1454" s="176"/>
      <c r="C1454" s="177"/>
      <c r="D1454" s="177"/>
      <c r="E1454" s="80"/>
      <c r="F1454" s="80"/>
    </row>
    <row r="1455" spans="2:6" x14ac:dyDescent="0.3">
      <c r="B1455" s="176"/>
      <c r="C1455" s="177"/>
      <c r="D1455" s="177"/>
      <c r="E1455" s="80"/>
      <c r="F1455" s="80"/>
    </row>
    <row r="1456" spans="2:6" x14ac:dyDescent="0.3">
      <c r="B1456" s="176"/>
      <c r="C1456" s="177"/>
      <c r="D1456" s="177"/>
      <c r="E1456" s="80"/>
      <c r="F1456" s="80"/>
    </row>
    <row r="1457" spans="2:6" x14ac:dyDescent="0.3">
      <c r="B1457" s="176"/>
      <c r="C1457" s="177"/>
      <c r="D1457" s="177"/>
      <c r="E1457" s="80"/>
      <c r="F1457" s="80"/>
    </row>
    <row r="1458" spans="2:6" x14ac:dyDescent="0.3">
      <c r="B1458" s="176"/>
      <c r="C1458" s="177"/>
      <c r="D1458" s="177"/>
      <c r="E1458" s="80"/>
      <c r="F1458" s="80"/>
    </row>
    <row r="1459" spans="2:6" x14ac:dyDescent="0.3">
      <c r="B1459" s="176"/>
      <c r="C1459" s="177"/>
      <c r="D1459" s="177"/>
      <c r="E1459" s="80"/>
      <c r="F1459" s="80"/>
    </row>
    <row r="1460" spans="2:6" x14ac:dyDescent="0.3">
      <c r="B1460" s="176"/>
      <c r="C1460" s="177"/>
      <c r="D1460" s="177"/>
      <c r="E1460" s="80"/>
      <c r="F1460" s="80"/>
    </row>
    <row r="1461" spans="2:6" x14ac:dyDescent="0.3">
      <c r="B1461" s="176"/>
      <c r="C1461" s="177"/>
      <c r="D1461" s="177"/>
      <c r="E1461" s="80"/>
      <c r="F1461" s="80"/>
    </row>
    <row r="1462" spans="2:6" x14ac:dyDescent="0.3">
      <c r="B1462" s="176"/>
      <c r="C1462" s="177"/>
      <c r="D1462" s="177"/>
      <c r="E1462" s="80"/>
      <c r="F1462" s="80"/>
    </row>
    <row r="1463" spans="2:6" x14ac:dyDescent="0.3">
      <c r="B1463" s="176"/>
      <c r="C1463" s="177"/>
      <c r="D1463" s="177"/>
      <c r="E1463" s="80"/>
      <c r="F1463" s="80"/>
    </row>
    <row r="1464" spans="2:6" x14ac:dyDescent="0.3">
      <c r="B1464" s="176"/>
      <c r="C1464" s="177"/>
      <c r="D1464" s="177"/>
      <c r="E1464" s="80"/>
      <c r="F1464" s="80"/>
    </row>
    <row r="1465" spans="2:6" x14ac:dyDescent="0.3">
      <c r="B1465" s="176"/>
      <c r="C1465" s="177"/>
      <c r="D1465" s="177"/>
      <c r="E1465" s="80"/>
      <c r="F1465" s="80"/>
    </row>
    <row r="1466" spans="2:6" x14ac:dyDescent="0.3">
      <c r="B1466" s="176"/>
      <c r="C1466" s="177"/>
      <c r="D1466" s="177"/>
      <c r="E1466" s="80"/>
      <c r="F1466" s="80"/>
    </row>
    <row r="1467" spans="2:6" x14ac:dyDescent="0.3">
      <c r="B1467" s="176"/>
      <c r="C1467" s="177"/>
      <c r="D1467" s="177"/>
      <c r="E1467" s="80"/>
      <c r="F1467" s="80"/>
    </row>
    <row r="1468" spans="2:6" x14ac:dyDescent="0.3">
      <c r="B1468" s="176"/>
      <c r="C1468" s="177"/>
      <c r="D1468" s="177"/>
      <c r="E1468" s="80"/>
      <c r="F1468" s="80"/>
    </row>
    <row r="1469" spans="2:6" x14ac:dyDescent="0.3">
      <c r="B1469" s="176"/>
      <c r="C1469" s="177"/>
      <c r="D1469" s="177"/>
      <c r="E1469" s="80"/>
      <c r="F1469" s="80"/>
    </row>
    <row r="1470" spans="2:6" x14ac:dyDescent="0.3">
      <c r="B1470" s="176"/>
      <c r="C1470" s="177"/>
      <c r="D1470" s="177"/>
      <c r="E1470" s="80"/>
      <c r="F1470" s="80"/>
    </row>
    <row r="1471" spans="2:6" x14ac:dyDescent="0.3">
      <c r="B1471" s="176"/>
      <c r="C1471" s="177"/>
      <c r="D1471" s="177"/>
      <c r="E1471" s="80"/>
      <c r="F1471" s="80"/>
    </row>
    <row r="1472" spans="2:6" x14ac:dyDescent="0.3">
      <c r="B1472" s="176"/>
      <c r="C1472" s="177"/>
      <c r="D1472" s="177"/>
      <c r="E1472" s="80"/>
      <c r="F1472" s="80"/>
    </row>
    <row r="1473" spans="2:6" x14ac:dyDescent="0.3">
      <c r="B1473" s="176"/>
      <c r="C1473" s="177"/>
      <c r="D1473" s="177"/>
      <c r="E1473" s="80"/>
      <c r="F1473" s="80"/>
    </row>
    <row r="1474" spans="2:6" x14ac:dyDescent="0.3">
      <c r="B1474" s="176"/>
      <c r="C1474" s="177"/>
      <c r="D1474" s="177"/>
      <c r="E1474" s="80"/>
      <c r="F1474" s="80"/>
    </row>
    <row r="1475" spans="2:6" x14ac:dyDescent="0.3">
      <c r="B1475" s="176"/>
      <c r="C1475" s="177"/>
      <c r="D1475" s="177"/>
      <c r="E1475" s="80"/>
      <c r="F1475" s="80"/>
    </row>
    <row r="1476" spans="2:6" x14ac:dyDescent="0.3">
      <c r="B1476" s="176"/>
      <c r="C1476" s="177"/>
      <c r="D1476" s="177"/>
      <c r="E1476" s="80"/>
      <c r="F1476" s="80"/>
    </row>
    <row r="1477" spans="2:6" x14ac:dyDescent="0.3">
      <c r="B1477" s="176"/>
      <c r="C1477" s="177"/>
      <c r="D1477" s="177"/>
      <c r="E1477" s="80"/>
      <c r="F1477" s="80"/>
    </row>
    <row r="1478" spans="2:6" x14ac:dyDescent="0.3">
      <c r="B1478" s="176"/>
      <c r="C1478" s="177"/>
      <c r="D1478" s="177"/>
      <c r="E1478" s="80"/>
      <c r="F1478" s="80"/>
    </row>
    <row r="1479" spans="2:6" x14ac:dyDescent="0.3">
      <c r="B1479" s="176"/>
      <c r="C1479" s="177"/>
      <c r="D1479" s="177"/>
      <c r="E1479" s="80"/>
      <c r="F1479" s="80"/>
    </row>
    <row r="1480" spans="2:6" x14ac:dyDescent="0.3">
      <c r="B1480" s="176"/>
      <c r="C1480" s="177"/>
      <c r="D1480" s="177"/>
      <c r="E1480" s="80"/>
      <c r="F1480" s="80"/>
    </row>
    <row r="1481" spans="2:6" x14ac:dyDescent="0.3">
      <c r="B1481" s="176"/>
      <c r="C1481" s="177"/>
      <c r="D1481" s="177"/>
      <c r="E1481" s="80"/>
      <c r="F1481" s="80"/>
    </row>
    <row r="1482" spans="2:6" x14ac:dyDescent="0.3">
      <c r="B1482" s="176"/>
      <c r="C1482" s="177"/>
      <c r="D1482" s="177"/>
      <c r="E1482" s="80"/>
      <c r="F1482" s="80"/>
    </row>
    <row r="1483" spans="2:6" x14ac:dyDescent="0.3">
      <c r="B1483" s="176"/>
      <c r="C1483" s="177"/>
      <c r="D1483" s="177"/>
      <c r="E1483" s="80"/>
      <c r="F1483" s="80"/>
    </row>
    <row r="1484" spans="2:6" x14ac:dyDescent="0.3">
      <c r="B1484" s="176"/>
      <c r="C1484" s="177"/>
      <c r="D1484" s="177"/>
      <c r="E1484" s="80"/>
      <c r="F1484" s="80"/>
    </row>
    <row r="1485" spans="2:6" x14ac:dyDescent="0.3">
      <c r="B1485" s="176"/>
      <c r="C1485" s="177"/>
      <c r="D1485" s="177"/>
      <c r="E1485" s="80"/>
      <c r="F1485" s="80"/>
    </row>
    <row r="1486" spans="2:6" x14ac:dyDescent="0.3">
      <c r="B1486" s="176"/>
      <c r="C1486" s="177"/>
      <c r="D1486" s="177"/>
      <c r="E1486" s="80"/>
      <c r="F1486" s="80"/>
    </row>
    <row r="1487" spans="2:6" x14ac:dyDescent="0.3">
      <c r="B1487" s="176"/>
      <c r="C1487" s="177"/>
      <c r="D1487" s="177"/>
      <c r="E1487" s="80"/>
      <c r="F1487" s="80"/>
    </row>
    <row r="1488" spans="2:6" x14ac:dyDescent="0.3">
      <c r="B1488" s="176"/>
      <c r="C1488" s="177"/>
      <c r="D1488" s="177"/>
      <c r="E1488" s="80"/>
      <c r="F1488" s="80"/>
    </row>
    <row r="1489" spans="2:6" x14ac:dyDescent="0.3">
      <c r="B1489" s="176"/>
      <c r="C1489" s="177"/>
      <c r="D1489" s="177"/>
      <c r="E1489" s="80"/>
      <c r="F1489" s="80"/>
    </row>
    <row r="1490" spans="2:6" x14ac:dyDescent="0.3">
      <c r="B1490" s="176"/>
      <c r="C1490" s="177"/>
      <c r="D1490" s="177"/>
      <c r="E1490" s="80"/>
      <c r="F1490" s="80"/>
    </row>
    <row r="1491" spans="2:6" x14ac:dyDescent="0.3">
      <c r="B1491" s="176"/>
      <c r="C1491" s="177"/>
      <c r="D1491" s="177"/>
      <c r="E1491" s="80"/>
      <c r="F1491" s="80"/>
    </row>
    <row r="1492" spans="2:6" x14ac:dyDescent="0.3">
      <c r="B1492" s="176"/>
      <c r="C1492" s="177"/>
      <c r="D1492" s="177"/>
      <c r="E1492" s="80"/>
      <c r="F1492" s="80"/>
    </row>
    <row r="1493" spans="2:6" x14ac:dyDescent="0.3">
      <c r="B1493" s="176"/>
      <c r="C1493" s="177"/>
      <c r="D1493" s="177"/>
      <c r="E1493" s="80"/>
      <c r="F1493" s="80"/>
    </row>
    <row r="1494" spans="2:6" x14ac:dyDescent="0.3">
      <c r="B1494" s="176"/>
      <c r="C1494" s="177"/>
      <c r="D1494" s="177"/>
      <c r="E1494" s="80"/>
      <c r="F1494" s="80"/>
    </row>
    <row r="1495" spans="2:6" x14ac:dyDescent="0.3">
      <c r="B1495" s="176"/>
      <c r="C1495" s="177"/>
      <c r="D1495" s="177"/>
      <c r="E1495" s="80"/>
      <c r="F1495" s="80"/>
    </row>
    <row r="1496" spans="2:6" x14ac:dyDescent="0.3">
      <c r="B1496" s="176"/>
      <c r="C1496" s="177"/>
      <c r="D1496" s="177"/>
      <c r="E1496" s="80"/>
      <c r="F1496" s="80"/>
    </row>
    <row r="1497" spans="2:6" x14ac:dyDescent="0.3">
      <c r="B1497" s="176"/>
      <c r="C1497" s="177"/>
      <c r="D1497" s="177"/>
      <c r="E1497" s="80"/>
      <c r="F1497" s="80"/>
    </row>
    <row r="1498" spans="2:6" x14ac:dyDescent="0.3">
      <c r="B1498" s="176"/>
      <c r="C1498" s="177"/>
      <c r="D1498" s="177"/>
      <c r="E1498" s="80"/>
      <c r="F1498" s="80"/>
    </row>
    <row r="1499" spans="2:6" x14ac:dyDescent="0.3">
      <c r="B1499" s="176"/>
      <c r="C1499" s="177"/>
      <c r="D1499" s="177"/>
      <c r="E1499" s="80"/>
      <c r="F1499" s="80"/>
    </row>
    <row r="1500" spans="2:6" x14ac:dyDescent="0.3">
      <c r="B1500" s="176"/>
      <c r="C1500" s="177"/>
      <c r="D1500" s="177"/>
      <c r="E1500" s="80"/>
      <c r="F1500" s="80"/>
    </row>
    <row r="1501" spans="2:6" x14ac:dyDescent="0.3">
      <c r="B1501" s="176"/>
      <c r="C1501" s="177"/>
      <c r="D1501" s="177"/>
      <c r="E1501" s="80"/>
      <c r="F1501" s="80"/>
    </row>
    <row r="1502" spans="2:6" x14ac:dyDescent="0.3">
      <c r="B1502" s="176"/>
      <c r="C1502" s="177"/>
      <c r="D1502" s="177"/>
      <c r="E1502" s="80"/>
      <c r="F1502" s="80"/>
    </row>
    <row r="1503" spans="2:6" x14ac:dyDescent="0.3">
      <c r="B1503" s="176"/>
      <c r="C1503" s="177"/>
      <c r="D1503" s="177"/>
      <c r="E1503" s="80"/>
      <c r="F1503" s="80"/>
    </row>
    <row r="1504" spans="2:6" x14ac:dyDescent="0.3">
      <c r="B1504" s="176"/>
      <c r="C1504" s="177"/>
      <c r="D1504" s="177"/>
      <c r="E1504" s="80"/>
      <c r="F1504" s="80"/>
    </row>
    <row r="1505" spans="2:6" x14ac:dyDescent="0.3">
      <c r="B1505" s="176"/>
      <c r="C1505" s="177"/>
      <c r="D1505" s="177"/>
      <c r="E1505" s="80"/>
      <c r="F1505" s="80"/>
    </row>
    <row r="1506" spans="2:6" x14ac:dyDescent="0.3">
      <c r="B1506" s="176"/>
      <c r="C1506" s="177"/>
      <c r="D1506" s="177"/>
      <c r="E1506" s="80"/>
      <c r="F1506" s="80"/>
    </row>
    <row r="1507" spans="2:6" x14ac:dyDescent="0.3">
      <c r="B1507" s="176"/>
      <c r="C1507" s="177"/>
      <c r="D1507" s="177"/>
      <c r="E1507" s="80"/>
      <c r="F1507" s="80"/>
    </row>
    <row r="1508" spans="2:6" x14ac:dyDescent="0.3">
      <c r="B1508" s="176"/>
      <c r="C1508" s="177"/>
      <c r="D1508" s="177"/>
      <c r="E1508" s="80"/>
      <c r="F1508" s="80"/>
    </row>
    <row r="1509" spans="2:6" x14ac:dyDescent="0.3">
      <c r="B1509" s="176"/>
      <c r="C1509" s="177"/>
      <c r="D1509" s="177"/>
      <c r="E1509" s="80"/>
      <c r="F1509" s="80"/>
    </row>
    <row r="1510" spans="2:6" x14ac:dyDescent="0.3">
      <c r="B1510" s="176"/>
      <c r="C1510" s="177"/>
      <c r="D1510" s="177"/>
      <c r="E1510" s="80"/>
      <c r="F1510" s="80"/>
    </row>
    <row r="1511" spans="2:6" x14ac:dyDescent="0.3">
      <c r="B1511" s="176"/>
      <c r="C1511" s="177"/>
      <c r="D1511" s="177"/>
      <c r="E1511" s="80"/>
      <c r="F1511" s="80"/>
    </row>
    <row r="1512" spans="2:6" x14ac:dyDescent="0.3">
      <c r="B1512" s="176"/>
      <c r="C1512" s="177"/>
      <c r="D1512" s="177"/>
      <c r="E1512" s="80"/>
      <c r="F1512" s="80"/>
    </row>
    <row r="1513" spans="2:6" x14ac:dyDescent="0.3">
      <c r="B1513" s="176"/>
      <c r="C1513" s="177"/>
      <c r="D1513" s="177"/>
      <c r="E1513" s="80"/>
      <c r="F1513" s="80"/>
    </row>
    <row r="1514" spans="2:6" x14ac:dyDescent="0.3">
      <c r="B1514" s="176"/>
      <c r="C1514" s="177"/>
      <c r="D1514" s="177"/>
      <c r="E1514" s="80"/>
      <c r="F1514" s="80"/>
    </row>
    <row r="1515" spans="2:6" x14ac:dyDescent="0.3">
      <c r="B1515" s="176"/>
      <c r="C1515" s="177"/>
      <c r="D1515" s="177"/>
      <c r="E1515" s="80"/>
      <c r="F1515" s="80"/>
    </row>
    <row r="1516" spans="2:6" x14ac:dyDescent="0.3">
      <c r="B1516" s="176"/>
      <c r="C1516" s="177"/>
      <c r="D1516" s="177"/>
      <c r="E1516" s="80"/>
      <c r="F1516" s="80"/>
    </row>
    <row r="1517" spans="2:6" x14ac:dyDescent="0.3">
      <c r="B1517" s="176"/>
      <c r="C1517" s="177"/>
      <c r="D1517" s="177"/>
      <c r="E1517" s="80"/>
      <c r="F1517" s="80"/>
    </row>
    <row r="1518" spans="2:6" x14ac:dyDescent="0.3">
      <c r="B1518" s="176"/>
      <c r="C1518" s="177"/>
      <c r="D1518" s="177"/>
      <c r="E1518" s="80"/>
      <c r="F1518" s="80"/>
    </row>
    <row r="1519" spans="2:6" x14ac:dyDescent="0.3">
      <c r="B1519" s="176"/>
      <c r="C1519" s="177"/>
      <c r="D1519" s="177"/>
      <c r="E1519" s="80"/>
      <c r="F1519" s="80"/>
    </row>
    <row r="1520" spans="2:6" x14ac:dyDescent="0.3">
      <c r="B1520" s="176"/>
      <c r="C1520" s="177"/>
      <c r="D1520" s="177"/>
      <c r="E1520" s="80"/>
      <c r="F1520" s="80"/>
    </row>
    <row r="1521" spans="2:6" x14ac:dyDescent="0.3">
      <c r="B1521" s="176"/>
      <c r="C1521" s="177"/>
      <c r="D1521" s="177"/>
      <c r="E1521" s="80"/>
      <c r="F1521" s="80"/>
    </row>
    <row r="1522" spans="2:6" x14ac:dyDescent="0.3">
      <c r="B1522" s="176"/>
      <c r="C1522" s="177"/>
      <c r="D1522" s="177"/>
      <c r="E1522" s="80"/>
      <c r="F1522" s="80"/>
    </row>
    <row r="1523" spans="2:6" x14ac:dyDescent="0.3">
      <c r="B1523" s="176"/>
      <c r="C1523" s="177"/>
      <c r="D1523" s="177"/>
      <c r="E1523" s="80"/>
      <c r="F1523" s="80"/>
    </row>
    <row r="1524" spans="2:6" x14ac:dyDescent="0.3">
      <c r="B1524" s="176"/>
      <c r="C1524" s="177"/>
      <c r="D1524" s="177"/>
      <c r="E1524" s="80"/>
      <c r="F1524" s="80"/>
    </row>
    <row r="1525" spans="2:6" x14ac:dyDescent="0.3">
      <c r="B1525" s="176"/>
      <c r="C1525" s="177"/>
      <c r="D1525" s="177"/>
      <c r="E1525" s="80"/>
      <c r="F1525" s="80"/>
    </row>
    <row r="1526" spans="2:6" x14ac:dyDescent="0.3">
      <c r="B1526" s="176"/>
      <c r="C1526" s="177"/>
      <c r="D1526" s="177"/>
      <c r="E1526" s="80"/>
      <c r="F1526" s="80"/>
    </row>
    <row r="1527" spans="2:6" x14ac:dyDescent="0.3">
      <c r="B1527" s="176"/>
      <c r="C1527" s="177"/>
      <c r="D1527" s="177"/>
      <c r="E1527" s="80"/>
      <c r="F1527" s="80"/>
    </row>
    <row r="1528" spans="2:6" x14ac:dyDescent="0.3">
      <c r="B1528" s="176"/>
      <c r="C1528" s="177"/>
      <c r="D1528" s="177"/>
      <c r="E1528" s="80"/>
      <c r="F1528" s="80"/>
    </row>
    <row r="1529" spans="2:6" x14ac:dyDescent="0.3">
      <c r="B1529" s="176"/>
      <c r="C1529" s="177"/>
      <c r="D1529" s="177"/>
      <c r="E1529" s="80"/>
      <c r="F1529" s="80"/>
    </row>
    <row r="1530" spans="2:6" x14ac:dyDescent="0.3">
      <c r="B1530" s="176"/>
      <c r="C1530" s="177"/>
      <c r="D1530" s="177"/>
      <c r="E1530" s="80"/>
      <c r="F1530" s="80"/>
    </row>
    <row r="1531" spans="2:6" x14ac:dyDescent="0.3">
      <c r="B1531" s="176"/>
      <c r="C1531" s="177"/>
      <c r="D1531" s="177"/>
      <c r="E1531" s="80"/>
      <c r="F1531" s="80"/>
    </row>
    <row r="1532" spans="2:6" x14ac:dyDescent="0.3">
      <c r="B1532" s="176"/>
      <c r="C1532" s="177"/>
      <c r="D1532" s="177"/>
      <c r="E1532" s="80"/>
      <c r="F1532" s="80"/>
    </row>
    <row r="1533" spans="2:6" x14ac:dyDescent="0.3">
      <c r="B1533" s="176"/>
      <c r="C1533" s="177"/>
      <c r="D1533" s="177"/>
      <c r="E1533" s="80"/>
      <c r="F1533" s="80"/>
    </row>
    <row r="1534" spans="2:6" x14ac:dyDescent="0.3">
      <c r="B1534" s="176"/>
      <c r="C1534" s="177"/>
      <c r="D1534" s="177"/>
      <c r="E1534" s="80"/>
      <c r="F1534" s="80"/>
    </row>
    <row r="1535" spans="2:6" x14ac:dyDescent="0.3">
      <c r="B1535" s="176"/>
      <c r="C1535" s="177"/>
      <c r="D1535" s="177"/>
      <c r="E1535" s="80"/>
      <c r="F1535" s="80"/>
    </row>
    <row r="1536" spans="2:6" x14ac:dyDescent="0.3">
      <c r="B1536" s="176"/>
      <c r="C1536" s="177"/>
      <c r="D1536" s="177"/>
      <c r="E1536" s="80"/>
      <c r="F1536" s="80"/>
    </row>
    <row r="1537" spans="2:6" x14ac:dyDescent="0.3">
      <c r="B1537" s="176"/>
      <c r="C1537" s="177"/>
      <c r="D1537" s="177"/>
      <c r="E1537" s="80"/>
      <c r="F1537" s="80"/>
    </row>
    <row r="1538" spans="2:6" x14ac:dyDescent="0.3">
      <c r="B1538" s="176"/>
      <c r="C1538" s="177"/>
      <c r="D1538" s="177"/>
      <c r="E1538" s="80"/>
      <c r="F1538" s="80"/>
    </row>
    <row r="1539" spans="2:6" x14ac:dyDescent="0.3">
      <c r="B1539" s="176"/>
      <c r="C1539" s="177"/>
      <c r="D1539" s="177"/>
      <c r="E1539" s="80"/>
      <c r="F1539" s="80"/>
    </row>
    <row r="1540" spans="2:6" x14ac:dyDescent="0.3">
      <c r="B1540" s="176"/>
      <c r="C1540" s="177"/>
      <c r="D1540" s="177"/>
      <c r="E1540" s="80"/>
      <c r="F1540" s="80"/>
    </row>
    <row r="1541" spans="2:6" x14ac:dyDescent="0.3">
      <c r="B1541" s="176"/>
      <c r="C1541" s="177"/>
      <c r="D1541" s="177"/>
      <c r="E1541" s="80"/>
      <c r="F1541" s="80"/>
    </row>
    <row r="1542" spans="2:6" x14ac:dyDescent="0.3">
      <c r="B1542" s="176"/>
      <c r="C1542" s="177"/>
      <c r="D1542" s="177"/>
      <c r="E1542" s="80"/>
      <c r="F1542" s="80"/>
    </row>
    <row r="1543" spans="2:6" x14ac:dyDescent="0.3">
      <c r="B1543" s="176"/>
      <c r="C1543" s="177"/>
      <c r="D1543" s="177"/>
      <c r="E1543" s="80"/>
      <c r="F1543" s="80"/>
    </row>
    <row r="1544" spans="2:6" x14ac:dyDescent="0.3">
      <c r="B1544" s="176"/>
      <c r="C1544" s="177"/>
      <c r="D1544" s="177"/>
      <c r="E1544" s="80"/>
      <c r="F1544" s="80"/>
    </row>
    <row r="1545" spans="2:6" x14ac:dyDescent="0.3">
      <c r="B1545" s="176"/>
      <c r="C1545" s="177"/>
      <c r="D1545" s="177"/>
      <c r="E1545" s="80"/>
      <c r="F1545" s="80"/>
    </row>
    <row r="1546" spans="2:6" x14ac:dyDescent="0.3">
      <c r="B1546" s="176"/>
      <c r="C1546" s="177"/>
      <c r="D1546" s="177"/>
      <c r="E1546" s="80"/>
      <c r="F1546" s="80"/>
    </row>
    <row r="1547" spans="2:6" x14ac:dyDescent="0.3">
      <c r="B1547" s="176"/>
      <c r="C1547" s="177"/>
      <c r="D1547" s="177"/>
      <c r="E1547" s="80"/>
      <c r="F1547" s="80"/>
    </row>
    <row r="1548" spans="2:6" x14ac:dyDescent="0.3">
      <c r="B1548" s="176"/>
      <c r="C1548" s="177"/>
      <c r="D1548" s="177"/>
      <c r="E1548" s="80"/>
      <c r="F1548" s="80"/>
    </row>
    <row r="1549" spans="2:6" x14ac:dyDescent="0.3">
      <c r="B1549" s="176"/>
      <c r="C1549" s="177"/>
      <c r="D1549" s="177"/>
      <c r="E1549" s="80"/>
      <c r="F1549" s="80"/>
    </row>
    <row r="1550" spans="2:6" x14ac:dyDescent="0.3">
      <c r="B1550" s="176"/>
      <c r="C1550" s="177"/>
      <c r="D1550" s="177"/>
      <c r="E1550" s="80"/>
      <c r="F1550" s="80"/>
    </row>
    <row r="1551" spans="2:6" x14ac:dyDescent="0.3">
      <c r="B1551" s="176"/>
      <c r="C1551" s="177"/>
      <c r="D1551" s="177"/>
      <c r="E1551" s="80"/>
      <c r="F1551" s="80"/>
    </row>
    <row r="1552" spans="2:6" x14ac:dyDescent="0.3">
      <c r="B1552" s="176"/>
      <c r="C1552" s="177"/>
      <c r="D1552" s="177"/>
      <c r="E1552" s="80"/>
      <c r="F1552" s="80"/>
    </row>
    <row r="1553" spans="2:6" x14ac:dyDescent="0.3">
      <c r="B1553" s="176"/>
      <c r="C1553" s="177"/>
      <c r="D1553" s="177"/>
      <c r="E1553" s="80"/>
      <c r="F1553" s="80"/>
    </row>
    <row r="1554" spans="2:6" x14ac:dyDescent="0.3">
      <c r="B1554" s="176"/>
      <c r="C1554" s="177"/>
      <c r="D1554" s="177"/>
      <c r="E1554" s="80"/>
      <c r="F1554" s="80"/>
    </row>
    <row r="1555" spans="2:6" x14ac:dyDescent="0.3">
      <c r="B1555" s="176"/>
      <c r="C1555" s="177"/>
      <c r="D1555" s="177"/>
      <c r="E1555" s="80"/>
      <c r="F1555" s="80"/>
    </row>
    <row r="1556" spans="2:6" x14ac:dyDescent="0.3">
      <c r="B1556" s="176"/>
      <c r="C1556" s="177"/>
      <c r="D1556" s="177"/>
      <c r="E1556" s="80"/>
      <c r="F1556" s="80"/>
    </row>
    <row r="1557" spans="2:6" x14ac:dyDescent="0.3">
      <c r="B1557" s="176"/>
      <c r="C1557" s="177"/>
      <c r="D1557" s="177"/>
      <c r="E1557" s="80"/>
      <c r="F1557" s="80"/>
    </row>
    <row r="1558" spans="2:6" x14ac:dyDescent="0.3">
      <c r="B1558" s="176"/>
      <c r="C1558" s="177"/>
      <c r="D1558" s="177"/>
      <c r="E1558" s="80"/>
      <c r="F1558" s="80"/>
    </row>
    <row r="1559" spans="2:6" x14ac:dyDescent="0.3">
      <c r="B1559" s="176"/>
      <c r="C1559" s="177"/>
      <c r="D1559" s="177"/>
      <c r="E1559" s="80"/>
      <c r="F1559" s="80"/>
    </row>
    <row r="1560" spans="2:6" x14ac:dyDescent="0.3">
      <c r="B1560" s="176"/>
      <c r="C1560" s="177"/>
      <c r="D1560" s="177"/>
      <c r="E1560" s="80"/>
      <c r="F1560" s="80"/>
    </row>
    <row r="1561" spans="2:6" x14ac:dyDescent="0.3">
      <c r="B1561" s="176"/>
      <c r="C1561" s="177"/>
      <c r="D1561" s="177"/>
      <c r="E1561" s="80"/>
      <c r="F1561" s="80"/>
    </row>
    <row r="1562" spans="2:6" x14ac:dyDescent="0.3">
      <c r="B1562" s="176"/>
      <c r="C1562" s="177"/>
      <c r="D1562" s="177"/>
      <c r="E1562" s="80"/>
      <c r="F1562" s="80"/>
    </row>
    <row r="1563" spans="2:6" x14ac:dyDescent="0.3">
      <c r="B1563" s="176"/>
      <c r="C1563" s="177"/>
      <c r="D1563" s="177"/>
      <c r="E1563" s="80"/>
      <c r="F1563" s="80"/>
    </row>
    <row r="1564" spans="2:6" x14ac:dyDescent="0.3">
      <c r="B1564" s="176"/>
      <c r="C1564" s="177"/>
      <c r="D1564" s="177"/>
      <c r="E1564" s="80"/>
      <c r="F1564" s="80"/>
    </row>
    <row r="1565" spans="2:6" x14ac:dyDescent="0.3">
      <c r="B1565" s="176"/>
      <c r="C1565" s="177"/>
      <c r="D1565" s="177"/>
      <c r="E1565" s="80"/>
      <c r="F1565" s="80"/>
    </row>
    <row r="1566" spans="2:6" x14ac:dyDescent="0.3">
      <c r="B1566" s="176"/>
      <c r="C1566" s="177"/>
      <c r="D1566" s="177"/>
      <c r="E1566" s="80"/>
      <c r="F1566" s="80"/>
    </row>
    <row r="1567" spans="2:6" x14ac:dyDescent="0.3">
      <c r="B1567" s="176"/>
      <c r="C1567" s="177"/>
      <c r="D1567" s="177"/>
      <c r="E1567" s="80"/>
      <c r="F1567" s="80"/>
    </row>
    <row r="1568" spans="2:6" x14ac:dyDescent="0.3">
      <c r="B1568" s="176"/>
      <c r="C1568" s="177"/>
      <c r="D1568" s="177"/>
      <c r="E1568" s="80"/>
      <c r="F1568" s="80"/>
    </row>
    <row r="1569" spans="2:6" x14ac:dyDescent="0.3">
      <c r="B1569" s="176"/>
      <c r="C1569" s="177"/>
      <c r="D1569" s="177"/>
      <c r="E1569" s="80"/>
      <c r="F1569" s="80"/>
    </row>
    <row r="1570" spans="2:6" x14ac:dyDescent="0.3">
      <c r="B1570" s="176"/>
      <c r="C1570" s="177"/>
      <c r="D1570" s="177"/>
      <c r="E1570" s="80"/>
      <c r="F1570" s="80"/>
    </row>
    <row r="1571" spans="2:6" x14ac:dyDescent="0.3">
      <c r="B1571" s="176"/>
      <c r="C1571" s="177"/>
      <c r="D1571" s="177"/>
      <c r="E1571" s="80"/>
      <c r="F1571" s="80"/>
    </row>
    <row r="1572" spans="2:6" x14ac:dyDescent="0.3">
      <c r="B1572" s="176"/>
      <c r="C1572" s="177"/>
      <c r="D1572" s="177"/>
      <c r="E1572" s="80"/>
      <c r="F1572" s="80"/>
    </row>
    <row r="1573" spans="2:6" x14ac:dyDescent="0.3">
      <c r="B1573" s="176"/>
      <c r="C1573" s="177"/>
      <c r="D1573" s="177"/>
      <c r="E1573" s="80"/>
      <c r="F1573" s="80"/>
    </row>
    <row r="1574" spans="2:6" x14ac:dyDescent="0.3">
      <c r="B1574" s="176"/>
      <c r="C1574" s="177"/>
      <c r="D1574" s="177"/>
      <c r="E1574" s="80"/>
      <c r="F1574" s="80"/>
    </row>
    <row r="1575" spans="2:6" x14ac:dyDescent="0.3">
      <c r="B1575" s="176"/>
      <c r="C1575" s="177"/>
      <c r="D1575" s="177"/>
      <c r="E1575" s="80"/>
      <c r="F1575" s="80"/>
    </row>
    <row r="1576" spans="2:6" x14ac:dyDescent="0.3">
      <c r="B1576" s="176"/>
      <c r="C1576" s="177"/>
      <c r="D1576" s="177"/>
      <c r="E1576" s="80"/>
      <c r="F1576" s="80"/>
    </row>
    <row r="1577" spans="2:6" x14ac:dyDescent="0.3">
      <c r="B1577" s="176"/>
      <c r="C1577" s="177"/>
      <c r="D1577" s="177"/>
      <c r="E1577" s="80"/>
      <c r="F1577" s="80"/>
    </row>
    <row r="1578" spans="2:6" x14ac:dyDescent="0.3">
      <c r="B1578" s="176"/>
      <c r="C1578" s="177"/>
      <c r="D1578" s="177"/>
      <c r="E1578" s="80"/>
      <c r="F1578" s="80"/>
    </row>
    <row r="1579" spans="2:6" x14ac:dyDescent="0.3">
      <c r="B1579" s="176"/>
      <c r="C1579" s="177"/>
      <c r="D1579" s="177"/>
      <c r="E1579" s="80"/>
      <c r="F1579" s="80"/>
    </row>
    <row r="1580" spans="2:6" x14ac:dyDescent="0.3">
      <c r="B1580" s="176"/>
      <c r="C1580" s="177"/>
      <c r="D1580" s="177"/>
      <c r="E1580" s="80"/>
      <c r="F1580" s="80"/>
    </row>
    <row r="1581" spans="2:6" x14ac:dyDescent="0.3">
      <c r="B1581" s="176"/>
      <c r="C1581" s="177"/>
      <c r="D1581" s="177"/>
      <c r="E1581" s="80"/>
      <c r="F1581" s="80"/>
    </row>
    <row r="1582" spans="2:6" x14ac:dyDescent="0.3">
      <c r="B1582" s="176"/>
      <c r="C1582" s="177"/>
      <c r="D1582" s="177"/>
      <c r="E1582" s="80"/>
      <c r="F1582" s="80"/>
    </row>
    <row r="1583" spans="2:6" x14ac:dyDescent="0.3">
      <c r="B1583" s="176"/>
      <c r="C1583" s="177"/>
      <c r="D1583" s="177"/>
      <c r="E1583" s="80"/>
      <c r="F1583" s="80"/>
    </row>
    <row r="1584" spans="2:6" x14ac:dyDescent="0.3">
      <c r="B1584" s="176"/>
      <c r="C1584" s="177"/>
      <c r="D1584" s="177"/>
      <c r="E1584" s="80"/>
      <c r="F1584" s="80"/>
    </row>
    <row r="1585" spans="2:6" x14ac:dyDescent="0.3">
      <c r="B1585" s="176"/>
      <c r="C1585" s="177"/>
      <c r="D1585" s="177"/>
      <c r="E1585" s="80"/>
      <c r="F1585" s="80"/>
    </row>
    <row r="1586" spans="2:6" x14ac:dyDescent="0.3">
      <c r="B1586" s="176"/>
      <c r="C1586" s="177"/>
      <c r="D1586" s="177"/>
      <c r="E1586" s="80"/>
      <c r="F1586" s="80"/>
    </row>
    <row r="1587" spans="2:6" x14ac:dyDescent="0.3">
      <c r="B1587" s="176"/>
      <c r="C1587" s="177"/>
      <c r="D1587" s="177"/>
      <c r="E1587" s="80"/>
      <c r="F1587" s="80"/>
    </row>
    <row r="1588" spans="2:6" x14ac:dyDescent="0.3">
      <c r="B1588" s="176"/>
      <c r="C1588" s="177"/>
      <c r="D1588" s="177"/>
      <c r="E1588" s="80"/>
      <c r="F1588" s="80"/>
    </row>
    <row r="1589" spans="2:6" x14ac:dyDescent="0.3">
      <c r="B1589" s="176"/>
      <c r="C1589" s="177"/>
      <c r="D1589" s="177"/>
      <c r="E1589" s="80"/>
      <c r="F1589" s="80"/>
    </row>
    <row r="1590" spans="2:6" x14ac:dyDescent="0.3">
      <c r="B1590" s="176"/>
      <c r="C1590" s="177"/>
      <c r="D1590" s="177"/>
      <c r="E1590" s="80"/>
      <c r="F1590" s="80"/>
    </row>
    <row r="1591" spans="2:6" x14ac:dyDescent="0.3">
      <c r="B1591" s="176"/>
      <c r="C1591" s="177"/>
      <c r="D1591" s="177"/>
      <c r="E1591" s="80"/>
      <c r="F1591" s="80"/>
    </row>
    <row r="1592" spans="2:6" x14ac:dyDescent="0.3">
      <c r="B1592" s="176"/>
      <c r="C1592" s="177"/>
      <c r="D1592" s="177"/>
      <c r="E1592" s="80"/>
      <c r="F1592" s="80"/>
    </row>
    <row r="1593" spans="2:6" x14ac:dyDescent="0.3">
      <c r="B1593" s="176"/>
      <c r="C1593" s="177"/>
      <c r="D1593" s="177"/>
      <c r="E1593" s="80"/>
      <c r="F1593" s="80"/>
    </row>
    <row r="1594" spans="2:6" x14ac:dyDescent="0.3">
      <c r="B1594" s="176"/>
      <c r="C1594" s="177"/>
      <c r="D1594" s="177"/>
      <c r="E1594" s="80"/>
      <c r="F1594" s="80"/>
    </row>
    <row r="1595" spans="2:6" x14ac:dyDescent="0.3">
      <c r="B1595" s="176"/>
      <c r="C1595" s="177"/>
      <c r="D1595" s="177"/>
      <c r="E1595" s="80"/>
      <c r="F1595" s="80"/>
    </row>
    <row r="1596" spans="2:6" x14ac:dyDescent="0.3">
      <c r="B1596" s="176"/>
      <c r="C1596" s="177"/>
      <c r="D1596" s="177"/>
      <c r="E1596" s="80"/>
      <c r="F1596" s="80"/>
    </row>
    <row r="1597" spans="2:6" x14ac:dyDescent="0.3">
      <c r="B1597" s="176"/>
      <c r="C1597" s="177"/>
      <c r="D1597" s="177"/>
      <c r="E1597" s="80"/>
      <c r="F1597" s="80"/>
    </row>
    <row r="1598" spans="2:6" x14ac:dyDescent="0.3">
      <c r="B1598" s="176"/>
      <c r="C1598" s="177"/>
      <c r="D1598" s="177"/>
      <c r="E1598" s="80"/>
      <c r="F1598" s="80"/>
    </row>
    <row r="1599" spans="2:6" x14ac:dyDescent="0.3">
      <c r="B1599" s="176"/>
      <c r="C1599" s="177"/>
      <c r="D1599" s="177"/>
      <c r="E1599" s="80"/>
      <c r="F1599" s="80"/>
    </row>
    <row r="1600" spans="2:6" x14ac:dyDescent="0.3">
      <c r="B1600" s="176"/>
      <c r="C1600" s="177"/>
      <c r="D1600" s="177"/>
      <c r="E1600" s="80"/>
      <c r="F1600" s="80"/>
    </row>
    <row r="1601" spans="2:6" x14ac:dyDescent="0.3">
      <c r="B1601" s="176"/>
      <c r="C1601" s="177"/>
      <c r="D1601" s="177"/>
      <c r="E1601" s="80"/>
      <c r="F1601" s="80"/>
    </row>
    <row r="1602" spans="2:6" x14ac:dyDescent="0.3">
      <c r="B1602" s="176"/>
      <c r="C1602" s="177"/>
      <c r="D1602" s="177"/>
      <c r="E1602" s="80"/>
      <c r="F1602" s="80"/>
    </row>
    <row r="1603" spans="2:6" x14ac:dyDescent="0.3">
      <c r="B1603" s="176"/>
      <c r="C1603" s="177"/>
      <c r="D1603" s="177"/>
      <c r="E1603" s="80"/>
      <c r="F1603" s="80"/>
    </row>
    <row r="1604" spans="2:6" x14ac:dyDescent="0.3">
      <c r="B1604" s="176"/>
      <c r="C1604" s="177"/>
      <c r="D1604" s="177"/>
      <c r="E1604" s="80"/>
      <c r="F1604" s="80"/>
    </row>
    <row r="1605" spans="2:6" x14ac:dyDescent="0.3">
      <c r="B1605" s="176"/>
      <c r="C1605" s="177"/>
      <c r="D1605" s="177"/>
      <c r="E1605" s="80"/>
      <c r="F1605" s="80"/>
    </row>
    <row r="1606" spans="2:6" x14ac:dyDescent="0.3">
      <c r="B1606" s="176"/>
      <c r="C1606" s="177"/>
      <c r="D1606" s="177"/>
      <c r="E1606" s="80"/>
      <c r="F1606" s="80"/>
    </row>
    <row r="1607" spans="2:6" x14ac:dyDescent="0.3">
      <c r="B1607" s="176"/>
      <c r="C1607" s="177"/>
      <c r="D1607" s="177"/>
      <c r="E1607" s="80"/>
      <c r="F1607" s="80"/>
    </row>
    <row r="1608" spans="2:6" x14ac:dyDescent="0.3">
      <c r="B1608" s="176"/>
      <c r="C1608" s="177"/>
      <c r="D1608" s="177"/>
      <c r="E1608" s="80"/>
      <c r="F1608" s="80"/>
    </row>
    <row r="1609" spans="2:6" x14ac:dyDescent="0.3">
      <c r="B1609" s="176"/>
      <c r="C1609" s="177"/>
      <c r="D1609" s="177"/>
      <c r="E1609" s="80"/>
      <c r="F1609" s="80"/>
    </row>
    <row r="1610" spans="2:6" x14ac:dyDescent="0.3">
      <c r="B1610" s="176"/>
      <c r="C1610" s="177"/>
      <c r="D1610" s="177"/>
      <c r="E1610" s="80"/>
      <c r="F1610" s="80"/>
    </row>
    <row r="1611" spans="2:6" x14ac:dyDescent="0.3">
      <c r="B1611" s="176"/>
      <c r="C1611" s="177"/>
      <c r="D1611" s="177"/>
      <c r="E1611" s="80"/>
      <c r="F1611" s="80"/>
    </row>
    <row r="1612" spans="2:6" x14ac:dyDescent="0.3">
      <c r="B1612" s="176"/>
      <c r="C1612" s="177"/>
      <c r="D1612" s="177"/>
      <c r="E1612" s="80"/>
      <c r="F1612" s="80"/>
    </row>
    <row r="1613" spans="2:6" x14ac:dyDescent="0.3">
      <c r="B1613" s="176"/>
      <c r="C1613" s="177"/>
      <c r="D1613" s="177"/>
      <c r="E1613" s="80"/>
      <c r="F1613" s="80"/>
    </row>
    <row r="1614" spans="2:6" x14ac:dyDescent="0.3">
      <c r="B1614" s="176"/>
      <c r="C1614" s="177"/>
      <c r="D1614" s="177"/>
      <c r="E1614" s="80"/>
      <c r="F1614" s="80"/>
    </row>
    <row r="1615" spans="2:6" x14ac:dyDescent="0.3">
      <c r="B1615" s="176"/>
      <c r="C1615" s="177"/>
      <c r="D1615" s="177"/>
      <c r="E1615" s="80"/>
      <c r="F1615" s="80"/>
    </row>
    <row r="1616" spans="2:6" x14ac:dyDescent="0.3">
      <c r="B1616" s="176"/>
      <c r="C1616" s="177"/>
      <c r="D1616" s="177"/>
      <c r="E1616" s="80"/>
      <c r="F1616" s="80"/>
    </row>
    <row r="1617" spans="2:6" x14ac:dyDescent="0.3">
      <c r="B1617" s="176"/>
      <c r="C1617" s="177"/>
      <c r="D1617" s="177"/>
      <c r="E1617" s="80"/>
      <c r="F1617" s="80"/>
    </row>
    <row r="1618" spans="2:6" x14ac:dyDescent="0.3">
      <c r="B1618" s="176"/>
      <c r="C1618" s="177"/>
      <c r="D1618" s="177"/>
      <c r="E1618" s="80"/>
      <c r="F1618" s="80"/>
    </row>
    <row r="1619" spans="2:6" x14ac:dyDescent="0.3">
      <c r="B1619" s="176"/>
      <c r="C1619" s="177"/>
      <c r="D1619" s="177"/>
      <c r="E1619" s="80"/>
      <c r="F1619" s="80"/>
    </row>
    <row r="1620" spans="2:6" x14ac:dyDescent="0.3">
      <c r="B1620" s="176"/>
      <c r="C1620" s="177"/>
      <c r="D1620" s="177"/>
      <c r="E1620" s="80"/>
      <c r="F1620" s="80"/>
    </row>
    <row r="1621" spans="2:6" x14ac:dyDescent="0.3">
      <c r="B1621" s="176"/>
      <c r="C1621" s="177"/>
      <c r="D1621" s="177"/>
      <c r="E1621" s="80"/>
      <c r="F1621" s="80"/>
    </row>
    <row r="1622" spans="2:6" x14ac:dyDescent="0.3">
      <c r="B1622" s="176"/>
      <c r="C1622" s="177"/>
      <c r="D1622" s="177"/>
      <c r="E1622" s="80"/>
      <c r="F1622" s="80"/>
    </row>
    <row r="1623" spans="2:6" x14ac:dyDescent="0.3">
      <c r="B1623" s="176"/>
      <c r="C1623" s="177"/>
      <c r="D1623" s="177"/>
      <c r="E1623" s="80"/>
      <c r="F1623" s="80"/>
    </row>
    <row r="1624" spans="2:6" x14ac:dyDescent="0.3">
      <c r="B1624" s="176"/>
      <c r="C1624" s="177"/>
      <c r="D1624" s="177"/>
      <c r="E1624" s="80"/>
      <c r="F1624" s="80"/>
    </row>
    <row r="1625" spans="2:6" x14ac:dyDescent="0.3">
      <c r="B1625" s="176"/>
      <c r="C1625" s="177"/>
      <c r="D1625" s="177"/>
      <c r="E1625" s="80"/>
      <c r="F1625" s="80"/>
    </row>
    <row r="1626" spans="2:6" x14ac:dyDescent="0.3">
      <c r="B1626" s="176"/>
      <c r="C1626" s="177"/>
      <c r="D1626" s="177"/>
      <c r="E1626" s="80"/>
      <c r="F1626" s="80"/>
    </row>
    <row r="1627" spans="2:6" x14ac:dyDescent="0.3">
      <c r="B1627" s="176"/>
      <c r="C1627" s="177"/>
      <c r="D1627" s="177"/>
      <c r="E1627" s="80"/>
      <c r="F1627" s="80"/>
    </row>
    <row r="1628" spans="2:6" x14ac:dyDescent="0.3">
      <c r="B1628" s="176"/>
      <c r="C1628" s="177"/>
      <c r="D1628" s="177"/>
      <c r="E1628" s="80"/>
      <c r="F1628" s="80"/>
    </row>
    <row r="1629" spans="2:6" x14ac:dyDescent="0.3">
      <c r="B1629" s="176"/>
      <c r="C1629" s="177"/>
      <c r="D1629" s="177"/>
      <c r="E1629" s="80"/>
      <c r="F1629" s="80"/>
    </row>
    <row r="1630" spans="2:6" x14ac:dyDescent="0.3">
      <c r="B1630" s="176"/>
      <c r="C1630" s="177"/>
      <c r="D1630" s="177"/>
      <c r="E1630" s="80"/>
      <c r="F1630" s="80"/>
    </row>
    <row r="1631" spans="2:6" x14ac:dyDescent="0.3">
      <c r="B1631" s="176"/>
      <c r="C1631" s="177"/>
      <c r="D1631" s="177"/>
      <c r="E1631" s="80"/>
      <c r="F1631" s="80"/>
    </row>
    <row r="1632" spans="2:6" x14ac:dyDescent="0.3">
      <c r="B1632" s="176"/>
      <c r="C1632" s="177"/>
      <c r="D1632" s="177"/>
      <c r="E1632" s="80"/>
      <c r="F1632" s="80"/>
    </row>
    <row r="1633" spans="2:6" x14ac:dyDescent="0.3">
      <c r="B1633" s="176"/>
      <c r="C1633" s="177"/>
      <c r="D1633" s="177"/>
      <c r="E1633" s="80"/>
      <c r="F1633" s="80"/>
    </row>
    <row r="1634" spans="2:6" x14ac:dyDescent="0.3">
      <c r="B1634" s="176"/>
      <c r="C1634" s="177"/>
      <c r="D1634" s="177"/>
      <c r="E1634" s="80"/>
      <c r="F1634" s="80"/>
    </row>
    <row r="1635" spans="2:6" x14ac:dyDescent="0.3">
      <c r="B1635" s="176"/>
      <c r="C1635" s="177"/>
      <c r="D1635" s="177"/>
      <c r="E1635" s="80"/>
      <c r="F1635" s="80"/>
    </row>
    <row r="1636" spans="2:6" x14ac:dyDescent="0.3">
      <c r="B1636" s="176"/>
      <c r="C1636" s="177"/>
      <c r="D1636" s="177"/>
      <c r="E1636" s="80"/>
      <c r="F1636" s="80"/>
    </row>
    <row r="1637" spans="2:6" x14ac:dyDescent="0.3">
      <c r="B1637" s="176"/>
      <c r="C1637" s="177"/>
      <c r="D1637" s="177"/>
      <c r="E1637" s="80"/>
      <c r="F1637" s="80"/>
    </row>
    <row r="1638" spans="2:6" x14ac:dyDescent="0.3">
      <c r="B1638" s="176"/>
      <c r="C1638" s="177"/>
      <c r="D1638" s="177"/>
      <c r="E1638" s="80"/>
      <c r="F1638" s="80"/>
    </row>
    <row r="1639" spans="2:6" x14ac:dyDescent="0.3">
      <c r="B1639" s="176"/>
      <c r="C1639" s="177"/>
      <c r="D1639" s="177"/>
      <c r="E1639" s="80"/>
      <c r="F1639" s="80"/>
    </row>
    <row r="1640" spans="2:6" x14ac:dyDescent="0.3">
      <c r="B1640" s="176"/>
      <c r="C1640" s="177"/>
      <c r="D1640" s="177"/>
      <c r="E1640" s="80"/>
      <c r="F1640" s="80"/>
    </row>
    <row r="1641" spans="2:6" x14ac:dyDescent="0.3">
      <c r="B1641" s="176"/>
      <c r="C1641" s="177"/>
      <c r="D1641" s="177"/>
      <c r="E1641" s="80"/>
      <c r="F1641" s="80"/>
    </row>
    <row r="1642" spans="2:6" x14ac:dyDescent="0.3">
      <c r="B1642" s="176"/>
      <c r="C1642" s="177"/>
      <c r="D1642" s="177"/>
      <c r="E1642" s="80"/>
      <c r="F1642" s="80"/>
    </row>
    <row r="1643" spans="2:6" x14ac:dyDescent="0.3">
      <c r="B1643" s="176"/>
      <c r="C1643" s="177"/>
      <c r="D1643" s="177"/>
      <c r="E1643" s="80"/>
      <c r="F1643" s="80"/>
    </row>
    <row r="1644" spans="2:6" x14ac:dyDescent="0.3">
      <c r="B1644" s="176"/>
      <c r="C1644" s="177"/>
      <c r="D1644" s="177"/>
      <c r="E1644" s="80"/>
      <c r="F1644" s="80"/>
    </row>
    <row r="1645" spans="2:6" x14ac:dyDescent="0.3">
      <c r="B1645" s="176"/>
      <c r="C1645" s="177"/>
      <c r="D1645" s="177"/>
      <c r="E1645" s="80"/>
      <c r="F1645" s="80"/>
    </row>
    <row r="1646" spans="2:6" x14ac:dyDescent="0.3">
      <c r="B1646" s="176"/>
      <c r="C1646" s="177"/>
      <c r="D1646" s="177"/>
      <c r="E1646" s="80"/>
      <c r="F1646" s="80"/>
    </row>
    <row r="1647" spans="2:6" x14ac:dyDescent="0.3">
      <c r="B1647" s="176"/>
      <c r="C1647" s="177"/>
      <c r="D1647" s="177"/>
      <c r="E1647" s="80"/>
      <c r="F1647" s="80"/>
    </row>
    <row r="1648" spans="2:6" x14ac:dyDescent="0.3">
      <c r="B1648" s="176"/>
      <c r="C1648" s="177"/>
      <c r="D1648" s="177"/>
      <c r="E1648" s="80"/>
      <c r="F1648" s="80"/>
    </row>
    <row r="1649" spans="2:6" x14ac:dyDescent="0.3">
      <c r="B1649" s="176"/>
      <c r="C1649" s="177"/>
      <c r="D1649" s="177"/>
      <c r="E1649" s="80"/>
      <c r="F1649" s="80"/>
    </row>
    <row r="1650" spans="2:6" x14ac:dyDescent="0.3">
      <c r="B1650" s="176"/>
      <c r="C1650" s="177"/>
      <c r="D1650" s="177"/>
      <c r="E1650" s="80"/>
      <c r="F1650" s="80"/>
    </row>
    <row r="1651" spans="2:6" x14ac:dyDescent="0.3">
      <c r="B1651" s="176"/>
      <c r="C1651" s="177"/>
      <c r="D1651" s="177"/>
      <c r="E1651" s="80"/>
      <c r="F1651" s="80"/>
    </row>
    <row r="1652" spans="2:6" x14ac:dyDescent="0.3">
      <c r="B1652" s="176"/>
      <c r="C1652" s="177"/>
      <c r="D1652" s="177"/>
      <c r="E1652" s="80"/>
      <c r="F1652" s="80"/>
    </row>
    <row r="1653" spans="2:6" x14ac:dyDescent="0.3">
      <c r="B1653" s="176"/>
      <c r="C1653" s="177"/>
      <c r="D1653" s="177"/>
      <c r="E1653" s="80"/>
      <c r="F1653" s="80"/>
    </row>
    <row r="1654" spans="2:6" x14ac:dyDescent="0.3">
      <c r="B1654" s="176"/>
      <c r="C1654" s="177"/>
      <c r="D1654" s="177"/>
      <c r="E1654" s="80"/>
      <c r="F1654" s="80"/>
    </row>
    <row r="1655" spans="2:6" x14ac:dyDescent="0.3">
      <c r="B1655" s="176"/>
      <c r="C1655" s="177"/>
      <c r="D1655" s="177"/>
      <c r="E1655" s="80"/>
      <c r="F1655" s="80"/>
    </row>
    <row r="1656" spans="2:6" x14ac:dyDescent="0.3">
      <c r="B1656" s="176"/>
      <c r="C1656" s="177"/>
      <c r="D1656" s="177"/>
      <c r="E1656" s="80"/>
      <c r="F1656" s="80"/>
    </row>
    <row r="1657" spans="2:6" x14ac:dyDescent="0.3">
      <c r="B1657" s="176"/>
      <c r="C1657" s="177"/>
      <c r="D1657" s="177"/>
      <c r="E1657" s="80"/>
      <c r="F1657" s="80"/>
    </row>
    <row r="1658" spans="2:6" x14ac:dyDescent="0.3">
      <c r="B1658" s="176"/>
      <c r="C1658" s="177"/>
      <c r="D1658" s="177"/>
      <c r="E1658" s="80"/>
      <c r="F1658" s="80"/>
    </row>
    <row r="1659" spans="2:6" x14ac:dyDescent="0.3">
      <c r="B1659" s="176"/>
      <c r="C1659" s="177"/>
      <c r="D1659" s="177"/>
      <c r="E1659" s="80"/>
      <c r="F1659" s="80"/>
    </row>
    <row r="1660" spans="2:6" x14ac:dyDescent="0.3">
      <c r="B1660" s="176"/>
      <c r="C1660" s="177"/>
      <c r="D1660" s="177"/>
      <c r="E1660" s="80"/>
      <c r="F1660" s="80"/>
    </row>
    <row r="1661" spans="2:6" x14ac:dyDescent="0.3">
      <c r="B1661" s="176"/>
      <c r="C1661" s="177"/>
      <c r="D1661" s="177"/>
      <c r="E1661" s="80"/>
      <c r="F1661" s="80"/>
    </row>
    <row r="1662" spans="2:6" x14ac:dyDescent="0.3">
      <c r="B1662" s="176"/>
      <c r="C1662" s="177"/>
      <c r="D1662" s="177"/>
      <c r="E1662" s="80"/>
      <c r="F1662" s="80"/>
    </row>
    <row r="1663" spans="2:6" x14ac:dyDescent="0.3">
      <c r="B1663" s="176"/>
      <c r="C1663" s="177"/>
      <c r="D1663" s="177"/>
      <c r="E1663" s="80"/>
      <c r="F1663" s="80"/>
    </row>
    <row r="1664" spans="2:6" x14ac:dyDescent="0.3">
      <c r="B1664" s="176"/>
      <c r="C1664" s="177"/>
      <c r="D1664" s="177"/>
      <c r="E1664" s="80"/>
      <c r="F1664" s="80"/>
    </row>
    <row r="1665" spans="2:6" x14ac:dyDescent="0.3">
      <c r="B1665" s="176"/>
      <c r="C1665" s="177"/>
      <c r="D1665" s="177"/>
      <c r="E1665" s="80"/>
      <c r="F1665" s="80"/>
    </row>
    <row r="1666" spans="2:6" x14ac:dyDescent="0.3">
      <c r="B1666" s="176"/>
      <c r="C1666" s="177"/>
      <c r="D1666" s="177"/>
      <c r="E1666" s="80"/>
      <c r="F1666" s="80"/>
    </row>
    <row r="1667" spans="2:6" x14ac:dyDescent="0.3">
      <c r="B1667" s="176"/>
      <c r="C1667" s="177"/>
      <c r="D1667" s="177"/>
      <c r="E1667" s="80"/>
      <c r="F1667" s="80"/>
    </row>
    <row r="1668" spans="2:6" x14ac:dyDescent="0.3">
      <c r="B1668" s="176"/>
      <c r="C1668" s="177"/>
      <c r="D1668" s="177"/>
      <c r="E1668" s="80"/>
      <c r="F1668" s="80"/>
    </row>
    <row r="1669" spans="2:6" x14ac:dyDescent="0.3">
      <c r="B1669" s="176"/>
      <c r="C1669" s="177"/>
      <c r="D1669" s="177"/>
      <c r="E1669" s="80"/>
      <c r="F1669" s="80"/>
    </row>
    <row r="1670" spans="2:6" x14ac:dyDescent="0.3">
      <c r="B1670" s="176"/>
      <c r="C1670" s="177"/>
      <c r="D1670" s="177"/>
      <c r="E1670" s="80"/>
      <c r="F1670" s="80"/>
    </row>
    <row r="1671" spans="2:6" x14ac:dyDescent="0.3">
      <c r="B1671" s="176"/>
      <c r="C1671" s="177"/>
      <c r="D1671" s="177"/>
      <c r="E1671" s="80"/>
      <c r="F1671" s="80"/>
    </row>
    <row r="1672" spans="2:6" x14ac:dyDescent="0.3">
      <c r="B1672" s="176"/>
      <c r="C1672" s="177"/>
      <c r="D1672" s="177"/>
      <c r="E1672" s="80"/>
      <c r="F1672" s="80"/>
    </row>
    <row r="1673" spans="2:6" x14ac:dyDescent="0.3">
      <c r="B1673" s="176"/>
      <c r="C1673" s="177"/>
      <c r="D1673" s="177"/>
      <c r="E1673" s="80"/>
      <c r="F1673" s="80"/>
    </row>
    <row r="1674" spans="2:6" x14ac:dyDescent="0.3">
      <c r="B1674" s="176"/>
      <c r="C1674" s="177"/>
      <c r="D1674" s="177"/>
      <c r="E1674" s="80"/>
      <c r="F1674" s="80"/>
    </row>
    <row r="1675" spans="2:6" x14ac:dyDescent="0.3">
      <c r="B1675" s="176"/>
      <c r="C1675" s="177"/>
      <c r="D1675" s="177"/>
      <c r="E1675" s="80"/>
      <c r="F1675" s="80"/>
    </row>
    <row r="1676" spans="2:6" x14ac:dyDescent="0.3">
      <c r="B1676" s="176"/>
      <c r="C1676" s="177"/>
      <c r="D1676" s="177"/>
      <c r="E1676" s="80"/>
      <c r="F1676" s="80"/>
    </row>
    <row r="1677" spans="2:6" x14ac:dyDescent="0.3">
      <c r="B1677" s="176"/>
      <c r="C1677" s="177"/>
      <c r="D1677" s="177"/>
      <c r="E1677" s="80"/>
      <c r="F1677" s="80"/>
    </row>
    <row r="1678" spans="2:6" x14ac:dyDescent="0.3">
      <c r="B1678" s="176"/>
      <c r="C1678" s="177"/>
      <c r="D1678" s="177"/>
      <c r="E1678" s="80"/>
      <c r="F1678" s="80"/>
    </row>
    <row r="1679" spans="2:6" x14ac:dyDescent="0.3">
      <c r="B1679" s="176"/>
      <c r="C1679" s="177"/>
      <c r="D1679" s="177"/>
      <c r="E1679" s="80"/>
      <c r="F1679" s="80"/>
    </row>
    <row r="1680" spans="2:6" x14ac:dyDescent="0.3">
      <c r="B1680" s="176"/>
      <c r="C1680" s="177"/>
      <c r="D1680" s="177"/>
      <c r="E1680" s="80"/>
      <c r="F1680" s="80"/>
    </row>
    <row r="1681" spans="2:6" x14ac:dyDescent="0.3">
      <c r="B1681" s="176"/>
      <c r="C1681" s="177"/>
      <c r="D1681" s="177"/>
      <c r="E1681" s="80"/>
      <c r="F1681" s="80"/>
    </row>
    <row r="1682" spans="2:6" x14ac:dyDescent="0.3">
      <c r="B1682" s="176"/>
      <c r="C1682" s="177"/>
      <c r="D1682" s="177"/>
      <c r="E1682" s="80"/>
      <c r="F1682" s="80"/>
    </row>
    <row r="1683" spans="2:6" x14ac:dyDescent="0.3">
      <c r="B1683" s="176"/>
      <c r="C1683" s="177"/>
      <c r="D1683" s="177"/>
      <c r="E1683" s="80"/>
      <c r="F1683" s="80"/>
    </row>
    <row r="1684" spans="2:6" x14ac:dyDescent="0.3">
      <c r="B1684" s="176"/>
      <c r="C1684" s="177"/>
      <c r="D1684" s="177"/>
      <c r="E1684" s="80"/>
      <c r="F1684" s="80"/>
    </row>
    <row r="1685" spans="2:6" x14ac:dyDescent="0.3">
      <c r="B1685" s="176"/>
      <c r="C1685" s="177"/>
      <c r="D1685" s="177"/>
      <c r="E1685" s="80"/>
      <c r="F1685" s="80"/>
    </row>
    <row r="1686" spans="2:6" x14ac:dyDescent="0.3">
      <c r="B1686" s="176"/>
      <c r="C1686" s="177"/>
      <c r="D1686" s="177"/>
      <c r="E1686" s="80"/>
      <c r="F1686" s="80"/>
    </row>
    <row r="1687" spans="2:6" x14ac:dyDescent="0.3">
      <c r="B1687" s="176"/>
      <c r="C1687" s="177"/>
      <c r="D1687" s="177"/>
      <c r="E1687" s="80"/>
      <c r="F1687" s="80"/>
    </row>
    <row r="1688" spans="2:6" x14ac:dyDescent="0.3">
      <c r="B1688" s="176"/>
      <c r="C1688" s="177"/>
      <c r="D1688" s="177"/>
      <c r="E1688" s="80"/>
      <c r="F1688" s="80"/>
    </row>
    <row r="1689" spans="2:6" x14ac:dyDescent="0.3">
      <c r="B1689" s="176"/>
      <c r="C1689" s="177"/>
      <c r="D1689" s="177"/>
      <c r="E1689" s="80"/>
      <c r="F1689" s="80"/>
    </row>
    <row r="1690" spans="2:6" x14ac:dyDescent="0.3">
      <c r="B1690" s="176"/>
      <c r="C1690" s="177"/>
      <c r="D1690" s="177"/>
      <c r="E1690" s="80"/>
      <c r="F1690" s="80"/>
    </row>
    <row r="1691" spans="2:6" x14ac:dyDescent="0.3">
      <c r="B1691" s="176"/>
      <c r="C1691" s="177"/>
      <c r="D1691" s="177"/>
      <c r="E1691" s="80"/>
      <c r="F1691" s="80"/>
    </row>
    <row r="1692" spans="2:6" x14ac:dyDescent="0.3">
      <c r="B1692" s="176"/>
      <c r="C1692" s="177"/>
      <c r="D1692" s="177"/>
      <c r="E1692" s="80"/>
      <c r="F1692" s="80"/>
    </row>
    <row r="1693" spans="2:6" x14ac:dyDescent="0.3">
      <c r="B1693" s="176"/>
      <c r="C1693" s="177"/>
      <c r="D1693" s="177"/>
      <c r="E1693" s="80"/>
      <c r="F1693" s="80"/>
    </row>
    <row r="1694" spans="2:6" x14ac:dyDescent="0.3">
      <c r="B1694" s="176"/>
      <c r="C1694" s="177"/>
      <c r="D1694" s="177"/>
      <c r="E1694" s="80"/>
      <c r="F1694" s="80"/>
    </row>
    <row r="1695" spans="2:6" x14ac:dyDescent="0.3">
      <c r="B1695" s="176"/>
      <c r="C1695" s="177"/>
      <c r="D1695" s="177"/>
      <c r="E1695" s="80"/>
      <c r="F1695" s="80"/>
    </row>
    <row r="1696" spans="2:6" x14ac:dyDescent="0.3">
      <c r="B1696" s="176"/>
      <c r="C1696" s="177"/>
      <c r="D1696" s="177"/>
      <c r="E1696" s="80"/>
      <c r="F1696" s="80"/>
    </row>
    <row r="1697" spans="2:6" x14ac:dyDescent="0.3">
      <c r="B1697" s="176"/>
      <c r="C1697" s="177"/>
      <c r="D1697" s="177"/>
      <c r="E1697" s="80"/>
      <c r="F1697" s="80"/>
    </row>
    <row r="1698" spans="2:6" x14ac:dyDescent="0.3">
      <c r="B1698" s="176"/>
      <c r="C1698" s="177"/>
      <c r="D1698" s="177"/>
      <c r="E1698" s="80"/>
      <c r="F1698" s="80"/>
    </row>
    <row r="1699" spans="2:6" x14ac:dyDescent="0.3">
      <c r="B1699" s="176"/>
      <c r="C1699" s="177"/>
      <c r="D1699" s="177"/>
      <c r="E1699" s="80"/>
      <c r="F1699" s="80"/>
    </row>
    <row r="1700" spans="2:6" x14ac:dyDescent="0.3">
      <c r="B1700" s="176"/>
      <c r="C1700" s="177"/>
      <c r="D1700" s="177"/>
      <c r="E1700" s="80"/>
      <c r="F1700" s="80"/>
    </row>
    <row r="1701" spans="2:6" x14ac:dyDescent="0.3">
      <c r="B1701" s="176"/>
      <c r="C1701" s="177"/>
      <c r="D1701" s="177"/>
      <c r="E1701" s="80"/>
      <c r="F1701" s="80"/>
    </row>
    <row r="1702" spans="2:6" x14ac:dyDescent="0.3">
      <c r="B1702" s="176"/>
      <c r="C1702" s="177"/>
      <c r="D1702" s="177"/>
      <c r="E1702" s="80"/>
      <c r="F1702" s="80"/>
    </row>
    <row r="1703" spans="2:6" x14ac:dyDescent="0.3">
      <c r="B1703" s="176"/>
      <c r="C1703" s="177"/>
      <c r="D1703" s="177"/>
      <c r="E1703" s="80"/>
      <c r="F1703" s="80"/>
    </row>
    <row r="1704" spans="2:6" x14ac:dyDescent="0.3">
      <c r="B1704" s="176"/>
      <c r="C1704" s="177"/>
      <c r="D1704" s="177"/>
      <c r="E1704" s="80"/>
      <c r="F1704" s="80"/>
    </row>
    <row r="1705" spans="2:6" x14ac:dyDescent="0.3">
      <c r="B1705" s="176"/>
      <c r="C1705" s="177"/>
      <c r="D1705" s="177"/>
      <c r="E1705" s="80"/>
      <c r="F1705" s="80"/>
    </row>
    <row r="1706" spans="2:6" x14ac:dyDescent="0.3">
      <c r="B1706" s="176"/>
      <c r="C1706" s="177"/>
      <c r="D1706" s="177"/>
      <c r="E1706" s="80"/>
      <c r="F1706" s="80"/>
    </row>
    <row r="1707" spans="2:6" x14ac:dyDescent="0.3">
      <c r="B1707" s="176"/>
      <c r="C1707" s="177"/>
      <c r="D1707" s="177"/>
      <c r="E1707" s="80"/>
      <c r="F1707" s="80"/>
    </row>
    <row r="1708" spans="2:6" x14ac:dyDescent="0.3">
      <c r="B1708" s="176"/>
      <c r="C1708" s="177"/>
      <c r="D1708" s="177"/>
      <c r="E1708" s="80"/>
      <c r="F1708" s="80"/>
    </row>
    <row r="1709" spans="2:6" x14ac:dyDescent="0.3">
      <c r="B1709" s="176"/>
      <c r="C1709" s="177"/>
      <c r="D1709" s="177"/>
      <c r="E1709" s="80"/>
      <c r="F1709" s="80"/>
    </row>
    <row r="1710" spans="2:6" x14ac:dyDescent="0.3">
      <c r="B1710" s="176"/>
      <c r="C1710" s="177"/>
      <c r="D1710" s="177"/>
      <c r="E1710" s="80"/>
      <c r="F1710" s="80"/>
    </row>
    <row r="1711" spans="2:6" x14ac:dyDescent="0.3">
      <c r="B1711" s="176"/>
      <c r="C1711" s="177"/>
      <c r="D1711" s="177"/>
      <c r="E1711" s="80"/>
      <c r="F1711" s="80"/>
    </row>
    <row r="1712" spans="2:6" x14ac:dyDescent="0.3">
      <c r="B1712" s="176"/>
      <c r="C1712" s="177"/>
      <c r="D1712" s="177"/>
      <c r="E1712" s="80"/>
      <c r="F1712" s="80"/>
    </row>
    <row r="1713" spans="2:6" x14ac:dyDescent="0.3">
      <c r="B1713" s="176"/>
      <c r="C1713" s="177"/>
      <c r="D1713" s="177"/>
      <c r="E1713" s="80"/>
      <c r="F1713" s="80"/>
    </row>
    <row r="1714" spans="2:6" x14ac:dyDescent="0.3">
      <c r="B1714" s="176"/>
      <c r="C1714" s="177"/>
      <c r="D1714" s="177"/>
      <c r="E1714" s="80"/>
      <c r="F1714" s="80"/>
    </row>
    <row r="1715" spans="2:6" x14ac:dyDescent="0.3">
      <c r="B1715" s="176"/>
      <c r="C1715" s="177"/>
      <c r="D1715" s="177"/>
      <c r="E1715" s="80"/>
      <c r="F1715" s="80"/>
    </row>
    <row r="1716" spans="2:6" x14ac:dyDescent="0.3">
      <c r="B1716" s="176"/>
      <c r="C1716" s="177"/>
      <c r="D1716" s="177"/>
      <c r="E1716" s="80"/>
      <c r="F1716" s="80"/>
    </row>
    <row r="1717" spans="2:6" x14ac:dyDescent="0.3">
      <c r="B1717" s="176"/>
      <c r="C1717" s="177"/>
      <c r="D1717" s="177"/>
      <c r="E1717" s="80"/>
      <c r="F1717" s="80"/>
    </row>
    <row r="1718" spans="2:6" x14ac:dyDescent="0.3">
      <c r="B1718" s="176"/>
      <c r="C1718" s="177"/>
      <c r="D1718" s="177"/>
      <c r="E1718" s="80"/>
      <c r="F1718" s="80"/>
    </row>
    <row r="1719" spans="2:6" x14ac:dyDescent="0.3">
      <c r="B1719" s="176"/>
      <c r="C1719" s="177"/>
      <c r="D1719" s="177"/>
      <c r="E1719" s="80"/>
      <c r="F1719" s="80"/>
    </row>
    <row r="1720" spans="2:6" x14ac:dyDescent="0.3">
      <c r="B1720" s="176"/>
      <c r="C1720" s="177"/>
      <c r="D1720" s="177"/>
      <c r="E1720" s="80"/>
      <c r="F1720" s="80"/>
    </row>
    <row r="1721" spans="2:6" x14ac:dyDescent="0.3">
      <c r="B1721" s="176"/>
      <c r="C1721" s="177"/>
      <c r="D1721" s="177"/>
      <c r="E1721" s="80"/>
      <c r="F1721" s="80"/>
    </row>
    <row r="1722" spans="2:6" x14ac:dyDescent="0.3">
      <c r="B1722" s="176"/>
      <c r="C1722" s="177"/>
      <c r="D1722" s="177"/>
      <c r="E1722" s="80"/>
      <c r="F1722" s="80"/>
    </row>
    <row r="1723" spans="2:6" x14ac:dyDescent="0.3">
      <c r="B1723" s="176"/>
      <c r="C1723" s="177"/>
      <c r="D1723" s="177"/>
      <c r="E1723" s="80"/>
      <c r="F1723" s="80"/>
    </row>
    <row r="1724" spans="2:6" x14ac:dyDescent="0.3">
      <c r="B1724" s="176"/>
      <c r="C1724" s="177"/>
      <c r="D1724" s="177"/>
      <c r="E1724" s="80"/>
      <c r="F1724" s="80"/>
    </row>
    <row r="1725" spans="2:6" x14ac:dyDescent="0.3">
      <c r="B1725" s="176"/>
      <c r="C1725" s="177"/>
      <c r="D1725" s="177"/>
      <c r="E1725" s="80"/>
      <c r="F1725" s="80"/>
    </row>
    <row r="1726" spans="2:6" x14ac:dyDescent="0.3">
      <c r="B1726" s="176"/>
      <c r="C1726" s="177"/>
      <c r="D1726" s="177"/>
      <c r="E1726" s="80"/>
      <c r="F1726" s="80"/>
    </row>
    <row r="1727" spans="2:6" x14ac:dyDescent="0.3">
      <c r="B1727" s="176"/>
      <c r="C1727" s="177"/>
      <c r="D1727" s="177"/>
      <c r="E1727" s="80"/>
      <c r="F1727" s="80"/>
    </row>
    <row r="1728" spans="2:6" x14ac:dyDescent="0.3">
      <c r="B1728" s="176"/>
      <c r="C1728" s="177"/>
      <c r="D1728" s="177"/>
      <c r="E1728" s="80"/>
      <c r="F1728" s="80"/>
    </row>
    <row r="1729" spans="2:6" x14ac:dyDescent="0.3">
      <c r="B1729" s="176"/>
      <c r="C1729" s="177"/>
      <c r="D1729" s="177"/>
      <c r="E1729" s="80"/>
      <c r="F1729" s="80"/>
    </row>
    <row r="1730" spans="2:6" x14ac:dyDescent="0.3">
      <c r="B1730" s="176"/>
      <c r="C1730" s="177"/>
      <c r="D1730" s="177"/>
      <c r="E1730" s="80"/>
      <c r="F1730" s="80"/>
    </row>
    <row r="1731" spans="2:6" x14ac:dyDescent="0.3">
      <c r="B1731" s="176"/>
      <c r="C1731" s="177"/>
      <c r="D1731" s="177"/>
      <c r="E1731" s="80"/>
      <c r="F1731" s="80"/>
    </row>
    <row r="1732" spans="2:6" x14ac:dyDescent="0.3">
      <c r="B1732" s="176"/>
      <c r="C1732" s="177"/>
      <c r="D1732" s="177"/>
      <c r="E1732" s="80"/>
      <c r="F1732" s="80"/>
    </row>
    <row r="1733" spans="2:6" x14ac:dyDescent="0.3">
      <c r="B1733" s="176"/>
      <c r="C1733" s="177"/>
      <c r="D1733" s="177"/>
      <c r="E1733" s="80"/>
      <c r="F1733" s="80"/>
    </row>
    <row r="1734" spans="2:6" x14ac:dyDescent="0.3">
      <c r="B1734" s="176"/>
      <c r="C1734" s="177"/>
      <c r="D1734" s="177"/>
      <c r="E1734" s="80"/>
      <c r="F1734" s="80"/>
    </row>
    <row r="1735" spans="2:6" x14ac:dyDescent="0.3">
      <c r="B1735" s="176"/>
      <c r="C1735" s="177"/>
      <c r="D1735" s="177"/>
      <c r="E1735" s="80"/>
      <c r="F1735" s="80"/>
    </row>
    <row r="1736" spans="2:6" x14ac:dyDescent="0.3">
      <c r="B1736" s="176"/>
      <c r="C1736" s="177"/>
      <c r="D1736" s="177"/>
      <c r="E1736" s="80"/>
      <c r="F1736" s="80"/>
    </row>
    <row r="1737" spans="2:6" x14ac:dyDescent="0.3">
      <c r="B1737" s="176"/>
      <c r="C1737" s="177"/>
      <c r="D1737" s="177"/>
      <c r="E1737" s="80"/>
      <c r="F1737" s="80"/>
    </row>
    <row r="1738" spans="2:6" x14ac:dyDescent="0.3">
      <c r="B1738" s="176"/>
      <c r="C1738" s="177"/>
      <c r="D1738" s="177"/>
      <c r="E1738" s="80"/>
      <c r="F1738" s="80"/>
    </row>
    <row r="1739" spans="2:6" x14ac:dyDescent="0.3">
      <c r="B1739" s="176"/>
      <c r="C1739" s="177"/>
      <c r="D1739" s="177"/>
      <c r="E1739" s="80"/>
      <c r="F1739" s="80"/>
    </row>
    <row r="1740" spans="2:6" x14ac:dyDescent="0.3">
      <c r="B1740" s="176"/>
      <c r="C1740" s="177"/>
      <c r="D1740" s="177"/>
      <c r="E1740" s="80"/>
      <c r="F1740" s="80"/>
    </row>
    <row r="1741" spans="2:6" x14ac:dyDescent="0.3">
      <c r="B1741" s="176"/>
      <c r="C1741" s="177"/>
      <c r="D1741" s="177"/>
      <c r="E1741" s="80"/>
      <c r="F1741" s="80"/>
    </row>
    <row r="1742" spans="2:6" x14ac:dyDescent="0.3">
      <c r="B1742" s="176"/>
      <c r="C1742" s="177"/>
      <c r="D1742" s="177"/>
      <c r="E1742" s="80"/>
      <c r="F1742" s="80"/>
    </row>
    <row r="1743" spans="2:6" x14ac:dyDescent="0.3">
      <c r="B1743" s="176"/>
      <c r="C1743" s="177"/>
      <c r="D1743" s="177"/>
      <c r="E1743" s="80"/>
      <c r="F1743" s="80"/>
    </row>
    <row r="1744" spans="2:6" x14ac:dyDescent="0.3">
      <c r="B1744" s="176"/>
      <c r="C1744" s="177"/>
      <c r="D1744" s="177"/>
      <c r="E1744" s="80"/>
      <c r="F1744" s="80"/>
    </row>
    <row r="1745" spans="2:6" x14ac:dyDescent="0.3">
      <c r="B1745" s="176"/>
      <c r="C1745" s="177"/>
      <c r="D1745" s="177"/>
      <c r="E1745" s="80"/>
      <c r="F1745" s="80"/>
    </row>
    <row r="1746" spans="2:6" x14ac:dyDescent="0.3">
      <c r="B1746" s="176"/>
      <c r="C1746" s="177"/>
      <c r="D1746" s="177"/>
      <c r="E1746" s="80"/>
      <c r="F1746" s="80"/>
    </row>
    <row r="1747" spans="2:6" x14ac:dyDescent="0.3">
      <c r="B1747" s="176"/>
      <c r="C1747" s="177"/>
      <c r="D1747" s="177"/>
      <c r="E1747" s="80"/>
      <c r="F1747" s="80"/>
    </row>
    <row r="1748" spans="2:6" x14ac:dyDescent="0.3">
      <c r="B1748" s="176"/>
      <c r="C1748" s="177"/>
      <c r="D1748" s="177"/>
      <c r="E1748" s="80"/>
      <c r="F1748" s="80"/>
    </row>
    <row r="1749" spans="2:6" x14ac:dyDescent="0.3">
      <c r="B1749" s="176"/>
      <c r="C1749" s="177"/>
      <c r="D1749" s="177"/>
      <c r="E1749" s="80"/>
      <c r="F1749" s="80"/>
    </row>
    <row r="1750" spans="2:6" x14ac:dyDescent="0.3">
      <c r="B1750" s="176"/>
      <c r="C1750" s="177"/>
      <c r="D1750" s="177"/>
      <c r="E1750" s="80"/>
      <c r="F1750" s="80"/>
    </row>
    <row r="1751" spans="2:6" x14ac:dyDescent="0.3">
      <c r="B1751" s="176"/>
      <c r="C1751" s="177"/>
      <c r="D1751" s="177"/>
      <c r="E1751" s="80"/>
      <c r="F1751" s="80"/>
    </row>
    <row r="1752" spans="2:6" x14ac:dyDescent="0.3">
      <c r="B1752" s="176"/>
      <c r="C1752" s="177"/>
      <c r="D1752" s="177"/>
      <c r="E1752" s="80"/>
      <c r="F1752" s="80"/>
    </row>
    <row r="1753" spans="2:6" x14ac:dyDescent="0.3">
      <c r="B1753" s="176"/>
      <c r="C1753" s="177"/>
      <c r="D1753" s="177"/>
      <c r="E1753" s="80"/>
      <c r="F1753" s="80"/>
    </row>
    <row r="1754" spans="2:6" x14ac:dyDescent="0.3">
      <c r="B1754" s="176"/>
      <c r="C1754" s="177"/>
      <c r="D1754" s="177"/>
      <c r="E1754" s="80"/>
      <c r="F1754" s="80"/>
    </row>
    <row r="1755" spans="2:6" x14ac:dyDescent="0.3">
      <c r="B1755" s="176"/>
      <c r="C1755" s="177"/>
      <c r="D1755" s="177"/>
      <c r="E1755" s="80"/>
      <c r="F1755" s="80"/>
    </row>
    <row r="1756" spans="2:6" x14ac:dyDescent="0.3">
      <c r="B1756" s="176"/>
      <c r="C1756" s="177"/>
      <c r="D1756" s="177"/>
      <c r="E1756" s="80"/>
      <c r="F1756" s="80"/>
    </row>
    <row r="1757" spans="2:6" x14ac:dyDescent="0.3">
      <c r="B1757" s="176"/>
      <c r="C1757" s="177"/>
      <c r="D1757" s="177"/>
      <c r="E1757" s="80"/>
      <c r="F1757" s="80"/>
    </row>
    <row r="1758" spans="2:6" x14ac:dyDescent="0.3">
      <c r="B1758" s="176"/>
      <c r="C1758" s="177"/>
      <c r="D1758" s="177"/>
      <c r="E1758" s="80"/>
      <c r="F1758" s="80"/>
    </row>
    <row r="1759" spans="2:6" x14ac:dyDescent="0.3">
      <c r="B1759" s="176"/>
      <c r="C1759" s="177"/>
      <c r="D1759" s="177"/>
      <c r="E1759" s="80"/>
      <c r="F1759" s="80"/>
    </row>
    <row r="1760" spans="2:6" x14ac:dyDescent="0.3">
      <c r="B1760" s="176"/>
      <c r="C1760" s="177"/>
      <c r="D1760" s="177"/>
      <c r="E1760" s="80"/>
      <c r="F1760" s="80"/>
    </row>
    <row r="1761" spans="2:6" x14ac:dyDescent="0.3">
      <c r="B1761" s="176"/>
      <c r="C1761" s="177"/>
      <c r="D1761" s="177"/>
      <c r="E1761" s="80"/>
      <c r="F1761" s="80"/>
    </row>
    <row r="1762" spans="2:6" x14ac:dyDescent="0.3">
      <c r="B1762" s="176"/>
      <c r="C1762" s="177"/>
      <c r="D1762" s="177"/>
      <c r="E1762" s="80"/>
      <c r="F1762" s="80"/>
    </row>
    <row r="1763" spans="2:6" x14ac:dyDescent="0.3">
      <c r="B1763" s="176"/>
      <c r="C1763" s="177"/>
      <c r="D1763" s="177"/>
      <c r="E1763" s="80"/>
      <c r="F1763" s="80"/>
    </row>
    <row r="1764" spans="2:6" x14ac:dyDescent="0.3">
      <c r="B1764" s="176"/>
      <c r="C1764" s="177"/>
      <c r="D1764" s="177"/>
      <c r="E1764" s="80"/>
      <c r="F1764" s="80"/>
    </row>
    <row r="1765" spans="2:6" x14ac:dyDescent="0.3">
      <c r="B1765" s="176"/>
      <c r="C1765" s="177"/>
      <c r="D1765" s="177"/>
      <c r="E1765" s="80"/>
      <c r="F1765" s="80"/>
    </row>
    <row r="1766" spans="2:6" x14ac:dyDescent="0.3">
      <c r="B1766" s="176"/>
      <c r="C1766" s="177"/>
      <c r="D1766" s="177"/>
      <c r="E1766" s="80"/>
      <c r="F1766" s="80"/>
    </row>
    <row r="1767" spans="2:6" x14ac:dyDescent="0.3">
      <c r="B1767" s="176"/>
      <c r="C1767" s="177"/>
      <c r="D1767" s="177"/>
      <c r="E1767" s="80"/>
      <c r="F1767" s="80"/>
    </row>
    <row r="1768" spans="2:6" x14ac:dyDescent="0.3">
      <c r="B1768" s="176"/>
      <c r="C1768" s="177"/>
      <c r="D1768" s="177"/>
      <c r="E1768" s="80"/>
      <c r="F1768" s="80"/>
    </row>
    <row r="1769" spans="2:6" x14ac:dyDescent="0.3">
      <c r="B1769" s="176"/>
      <c r="C1769" s="177"/>
      <c r="D1769" s="177"/>
      <c r="E1769" s="80"/>
      <c r="F1769" s="80"/>
    </row>
    <row r="1770" spans="2:6" x14ac:dyDescent="0.3">
      <c r="B1770" s="176"/>
      <c r="C1770" s="177"/>
      <c r="D1770" s="177"/>
      <c r="E1770" s="80"/>
      <c r="F1770" s="80"/>
    </row>
    <row r="1771" spans="2:6" x14ac:dyDescent="0.3">
      <c r="B1771" s="176"/>
      <c r="C1771" s="177"/>
      <c r="D1771" s="177"/>
      <c r="E1771" s="80"/>
      <c r="F1771" s="80"/>
    </row>
    <row r="1772" spans="2:6" x14ac:dyDescent="0.3">
      <c r="B1772" s="176"/>
      <c r="C1772" s="177"/>
      <c r="D1772" s="177"/>
      <c r="E1772" s="80"/>
      <c r="F1772" s="80"/>
    </row>
    <row r="1773" spans="2:6" x14ac:dyDescent="0.3">
      <c r="B1773" s="176"/>
      <c r="C1773" s="177"/>
      <c r="D1773" s="177"/>
      <c r="E1773" s="80"/>
      <c r="F1773" s="80"/>
    </row>
    <row r="1774" spans="2:6" x14ac:dyDescent="0.3">
      <c r="B1774" s="176"/>
      <c r="C1774" s="177"/>
      <c r="D1774" s="177"/>
      <c r="E1774" s="80"/>
      <c r="F1774" s="80"/>
    </row>
    <row r="1775" spans="2:6" x14ac:dyDescent="0.3">
      <c r="B1775" s="176"/>
      <c r="C1775" s="177"/>
      <c r="D1775" s="177"/>
      <c r="E1775" s="80"/>
      <c r="F1775" s="80"/>
    </row>
    <row r="1776" spans="2:6" x14ac:dyDescent="0.3">
      <c r="B1776" s="176"/>
      <c r="C1776" s="177"/>
      <c r="D1776" s="177"/>
      <c r="E1776" s="80"/>
      <c r="F1776" s="80"/>
    </row>
    <row r="1777" spans="2:6" x14ac:dyDescent="0.3">
      <c r="B1777" s="176"/>
      <c r="C1777" s="177"/>
      <c r="D1777" s="177"/>
      <c r="E1777" s="80"/>
      <c r="F1777" s="80"/>
    </row>
    <row r="1778" spans="2:6" x14ac:dyDescent="0.3">
      <c r="B1778" s="176"/>
      <c r="C1778" s="177"/>
      <c r="D1778" s="177"/>
      <c r="E1778" s="80"/>
      <c r="F1778" s="80"/>
    </row>
    <row r="1779" spans="2:6" x14ac:dyDescent="0.3">
      <c r="B1779" s="176"/>
      <c r="C1779" s="177"/>
      <c r="D1779" s="177"/>
      <c r="E1779" s="80"/>
      <c r="F1779" s="80"/>
    </row>
    <row r="1780" spans="2:6" x14ac:dyDescent="0.3">
      <c r="B1780" s="176"/>
      <c r="C1780" s="177"/>
      <c r="D1780" s="177"/>
      <c r="E1780" s="80"/>
      <c r="F1780" s="80"/>
    </row>
    <row r="1781" spans="2:6" x14ac:dyDescent="0.3">
      <c r="B1781" s="176"/>
      <c r="C1781" s="177"/>
      <c r="D1781" s="177"/>
      <c r="E1781" s="80"/>
      <c r="F1781" s="80"/>
    </row>
    <row r="1782" spans="2:6" x14ac:dyDescent="0.3">
      <c r="B1782" s="176"/>
      <c r="C1782" s="177"/>
      <c r="D1782" s="177"/>
      <c r="E1782" s="80"/>
      <c r="F1782" s="80"/>
    </row>
    <row r="1783" spans="2:6" x14ac:dyDescent="0.3">
      <c r="B1783" s="176"/>
      <c r="C1783" s="177"/>
      <c r="D1783" s="177"/>
      <c r="E1783" s="80"/>
      <c r="F1783" s="80"/>
    </row>
    <row r="1784" spans="2:6" x14ac:dyDescent="0.3">
      <c r="B1784" s="176"/>
      <c r="C1784" s="177"/>
      <c r="D1784" s="177"/>
      <c r="E1784" s="80"/>
      <c r="F1784" s="80"/>
    </row>
    <row r="1785" spans="2:6" x14ac:dyDescent="0.3">
      <c r="B1785" s="176"/>
      <c r="C1785" s="177"/>
      <c r="D1785" s="177"/>
      <c r="E1785" s="80"/>
      <c r="F1785" s="80"/>
    </row>
    <row r="1786" spans="2:6" x14ac:dyDescent="0.3">
      <c r="B1786" s="176"/>
      <c r="C1786" s="177"/>
      <c r="D1786" s="177"/>
      <c r="E1786" s="80"/>
      <c r="F1786" s="80"/>
    </row>
    <row r="1787" spans="2:6" x14ac:dyDescent="0.3">
      <c r="B1787" s="176"/>
      <c r="C1787" s="177"/>
      <c r="D1787" s="177"/>
      <c r="E1787" s="80"/>
      <c r="F1787" s="80"/>
    </row>
    <row r="1788" spans="2:6" x14ac:dyDescent="0.3">
      <c r="B1788" s="176"/>
      <c r="C1788" s="177"/>
      <c r="D1788" s="177"/>
      <c r="E1788" s="80"/>
      <c r="F1788" s="80"/>
    </row>
    <row r="1789" spans="2:6" x14ac:dyDescent="0.3">
      <c r="B1789" s="176"/>
      <c r="C1789" s="177"/>
      <c r="D1789" s="177"/>
      <c r="E1789" s="80"/>
      <c r="F1789" s="80"/>
    </row>
    <row r="1790" spans="2:6" x14ac:dyDescent="0.3">
      <c r="B1790" s="176"/>
      <c r="C1790" s="177"/>
      <c r="D1790" s="177"/>
      <c r="E1790" s="80"/>
      <c r="F1790" s="80"/>
    </row>
    <row r="1791" spans="2:6" x14ac:dyDescent="0.3">
      <c r="B1791" s="176"/>
      <c r="C1791" s="177"/>
      <c r="D1791" s="177"/>
      <c r="E1791" s="80"/>
      <c r="F1791" s="80"/>
    </row>
    <row r="1792" spans="2:6" x14ac:dyDescent="0.3">
      <c r="B1792" s="176"/>
      <c r="C1792" s="177"/>
      <c r="D1792" s="177"/>
      <c r="E1792" s="80"/>
      <c r="F1792" s="80"/>
    </row>
    <row r="1793" spans="2:6" x14ac:dyDescent="0.3">
      <c r="B1793" s="176"/>
      <c r="C1793" s="177"/>
      <c r="D1793" s="177"/>
      <c r="E1793" s="80"/>
      <c r="F1793" s="80"/>
    </row>
    <row r="1794" spans="2:6" x14ac:dyDescent="0.3">
      <c r="B1794" s="176"/>
      <c r="C1794" s="177"/>
      <c r="D1794" s="177"/>
      <c r="E1794" s="80"/>
      <c r="F1794" s="80"/>
    </row>
    <row r="1795" spans="2:6" x14ac:dyDescent="0.3">
      <c r="B1795" s="176"/>
      <c r="C1795" s="177"/>
      <c r="D1795" s="177"/>
      <c r="E1795" s="80"/>
      <c r="F1795" s="80"/>
    </row>
    <row r="1796" spans="2:6" x14ac:dyDescent="0.3">
      <c r="B1796" s="176"/>
      <c r="C1796" s="177"/>
      <c r="D1796" s="177"/>
      <c r="E1796" s="80"/>
      <c r="F1796" s="80"/>
    </row>
    <row r="1797" spans="2:6" x14ac:dyDescent="0.3">
      <c r="B1797" s="176"/>
      <c r="C1797" s="177"/>
      <c r="D1797" s="177"/>
      <c r="E1797" s="80"/>
      <c r="F1797" s="80"/>
    </row>
    <row r="1798" spans="2:6" x14ac:dyDescent="0.3">
      <c r="B1798" s="176"/>
      <c r="C1798" s="177"/>
      <c r="D1798" s="177"/>
      <c r="E1798" s="80"/>
      <c r="F1798" s="80"/>
    </row>
    <row r="1799" spans="2:6" x14ac:dyDescent="0.3">
      <c r="B1799" s="176"/>
      <c r="C1799" s="177"/>
      <c r="D1799" s="177"/>
      <c r="E1799" s="80"/>
      <c r="F1799" s="80"/>
    </row>
    <row r="1800" spans="2:6" x14ac:dyDescent="0.3">
      <c r="B1800" s="176"/>
      <c r="C1800" s="177"/>
      <c r="D1800" s="177"/>
      <c r="E1800" s="80"/>
      <c r="F1800" s="80"/>
    </row>
    <row r="1801" spans="2:6" x14ac:dyDescent="0.3">
      <c r="B1801" s="176"/>
      <c r="C1801" s="177"/>
      <c r="D1801" s="177"/>
      <c r="E1801" s="80"/>
      <c r="F1801" s="80"/>
    </row>
    <row r="1802" spans="2:6" x14ac:dyDescent="0.3">
      <c r="B1802" s="176"/>
      <c r="C1802" s="177"/>
      <c r="D1802" s="177"/>
      <c r="E1802" s="80"/>
      <c r="F1802" s="80"/>
    </row>
    <row r="1803" spans="2:6" x14ac:dyDescent="0.3">
      <c r="B1803" s="176"/>
      <c r="C1803" s="177"/>
      <c r="D1803" s="177"/>
      <c r="E1803" s="80"/>
      <c r="F1803" s="80"/>
    </row>
    <row r="1804" spans="2:6" x14ac:dyDescent="0.3">
      <c r="B1804" s="176"/>
      <c r="C1804" s="177"/>
      <c r="D1804" s="177"/>
      <c r="E1804" s="80"/>
      <c r="F1804" s="80"/>
    </row>
    <row r="1805" spans="2:6" x14ac:dyDescent="0.3">
      <c r="B1805" s="176"/>
      <c r="C1805" s="177"/>
      <c r="D1805" s="177"/>
      <c r="E1805" s="80"/>
      <c r="F1805" s="80"/>
    </row>
    <row r="1806" spans="2:6" x14ac:dyDescent="0.3">
      <c r="B1806" s="176"/>
      <c r="C1806" s="177"/>
      <c r="D1806" s="177"/>
      <c r="E1806" s="80"/>
      <c r="F1806" s="80"/>
    </row>
    <row r="1807" spans="2:6" x14ac:dyDescent="0.3">
      <c r="B1807" s="176"/>
      <c r="C1807" s="177"/>
      <c r="D1807" s="177"/>
      <c r="E1807" s="80"/>
      <c r="F1807" s="80"/>
    </row>
    <row r="1808" spans="2:6" x14ac:dyDescent="0.3">
      <c r="B1808" s="176"/>
      <c r="C1808" s="177"/>
      <c r="D1808" s="177"/>
      <c r="E1808" s="80"/>
      <c r="F1808" s="80"/>
    </row>
    <row r="1809" spans="2:6" x14ac:dyDescent="0.3">
      <c r="B1809" s="176"/>
      <c r="C1809" s="177"/>
      <c r="D1809" s="177"/>
      <c r="E1809" s="80"/>
      <c r="F1809" s="80"/>
    </row>
    <row r="1810" spans="2:6" x14ac:dyDescent="0.3">
      <c r="B1810" s="176"/>
      <c r="C1810" s="177"/>
      <c r="D1810" s="177"/>
      <c r="E1810" s="80"/>
      <c r="F1810" s="80"/>
    </row>
    <row r="1811" spans="2:6" x14ac:dyDescent="0.3">
      <c r="B1811" s="176"/>
      <c r="C1811" s="177"/>
      <c r="D1811" s="177"/>
      <c r="E1811" s="80"/>
      <c r="F1811" s="80"/>
    </row>
    <row r="1812" spans="2:6" x14ac:dyDescent="0.3">
      <c r="B1812" s="176"/>
      <c r="C1812" s="177"/>
      <c r="D1812" s="177"/>
      <c r="E1812" s="80"/>
      <c r="F1812" s="80"/>
    </row>
    <row r="1813" spans="2:6" x14ac:dyDescent="0.3">
      <c r="B1813" s="176"/>
      <c r="C1813" s="177"/>
      <c r="D1813" s="177"/>
      <c r="E1813" s="80"/>
      <c r="F1813" s="80"/>
    </row>
    <row r="1814" spans="2:6" x14ac:dyDescent="0.3">
      <c r="B1814" s="176"/>
      <c r="C1814" s="177"/>
      <c r="D1814" s="177"/>
      <c r="E1814" s="80"/>
      <c r="F1814" s="80"/>
    </row>
    <row r="1815" spans="2:6" x14ac:dyDescent="0.3">
      <c r="B1815" s="176"/>
      <c r="C1815" s="177"/>
      <c r="D1815" s="177"/>
      <c r="E1815" s="80"/>
      <c r="F1815" s="80"/>
    </row>
    <row r="1816" spans="2:6" x14ac:dyDescent="0.3">
      <c r="B1816" s="176"/>
      <c r="C1816" s="177"/>
      <c r="D1816" s="177"/>
      <c r="E1816" s="80"/>
      <c r="F1816" s="80"/>
    </row>
    <row r="1817" spans="2:6" x14ac:dyDescent="0.3">
      <c r="B1817" s="176"/>
      <c r="C1817" s="177"/>
      <c r="D1817" s="177"/>
      <c r="E1817" s="80"/>
      <c r="F1817" s="80"/>
    </row>
    <row r="1818" spans="2:6" x14ac:dyDescent="0.3">
      <c r="B1818" s="176"/>
      <c r="C1818" s="177"/>
      <c r="D1818" s="177"/>
      <c r="E1818" s="80"/>
      <c r="F1818" s="80"/>
    </row>
    <row r="1819" spans="2:6" x14ac:dyDescent="0.3">
      <c r="B1819" s="176"/>
      <c r="C1819" s="177"/>
      <c r="D1819" s="177"/>
      <c r="E1819" s="80"/>
      <c r="F1819" s="80"/>
    </row>
    <row r="1820" spans="2:6" x14ac:dyDescent="0.3">
      <c r="B1820" s="176"/>
      <c r="C1820" s="177"/>
      <c r="D1820" s="177"/>
      <c r="E1820" s="80"/>
      <c r="F1820" s="80"/>
    </row>
    <row r="1821" spans="2:6" x14ac:dyDescent="0.3">
      <c r="B1821" s="176"/>
      <c r="C1821" s="177"/>
      <c r="D1821" s="177"/>
      <c r="E1821" s="80"/>
      <c r="F1821" s="80"/>
    </row>
    <row r="1822" spans="2:6" x14ac:dyDescent="0.3">
      <c r="B1822" s="176"/>
      <c r="C1822" s="177"/>
      <c r="D1822" s="177"/>
      <c r="E1822" s="80"/>
      <c r="F1822" s="80"/>
    </row>
    <row r="1823" spans="2:6" x14ac:dyDescent="0.3">
      <c r="B1823" s="176"/>
      <c r="C1823" s="177"/>
      <c r="D1823" s="177"/>
      <c r="E1823" s="80"/>
      <c r="F1823" s="80"/>
    </row>
    <row r="1824" spans="2:6" x14ac:dyDescent="0.3">
      <c r="B1824" s="176"/>
      <c r="C1824" s="177"/>
      <c r="D1824" s="177"/>
      <c r="E1824" s="80"/>
      <c r="F1824" s="80"/>
    </row>
    <row r="1825" spans="2:6" x14ac:dyDescent="0.3">
      <c r="B1825" s="176"/>
      <c r="C1825" s="177"/>
      <c r="D1825" s="177"/>
      <c r="E1825" s="80"/>
      <c r="F1825" s="80"/>
    </row>
    <row r="1826" spans="2:6" x14ac:dyDescent="0.3">
      <c r="B1826" s="176"/>
      <c r="C1826" s="177"/>
      <c r="D1826" s="177"/>
      <c r="E1826" s="80"/>
      <c r="F1826" s="80"/>
    </row>
    <row r="1827" spans="2:6" x14ac:dyDescent="0.3">
      <c r="B1827" s="176"/>
      <c r="C1827" s="177"/>
      <c r="D1827" s="177"/>
      <c r="E1827" s="80"/>
      <c r="F1827" s="80"/>
    </row>
    <row r="1828" spans="2:6" x14ac:dyDescent="0.3">
      <c r="B1828" s="176"/>
      <c r="C1828" s="177"/>
      <c r="D1828" s="177"/>
      <c r="E1828" s="80"/>
      <c r="F1828" s="80"/>
    </row>
    <row r="1829" spans="2:6" x14ac:dyDescent="0.3">
      <c r="B1829" s="176"/>
      <c r="C1829" s="177"/>
      <c r="D1829" s="177"/>
      <c r="E1829" s="80"/>
      <c r="F1829" s="80"/>
    </row>
    <row r="1830" spans="2:6" x14ac:dyDescent="0.3">
      <c r="B1830" s="176"/>
      <c r="C1830" s="177"/>
      <c r="D1830" s="177"/>
      <c r="E1830" s="80"/>
      <c r="F1830" s="80"/>
    </row>
    <row r="1831" spans="2:6" x14ac:dyDescent="0.3">
      <c r="B1831" s="176"/>
      <c r="C1831" s="177"/>
      <c r="D1831" s="177"/>
      <c r="E1831" s="80"/>
      <c r="F1831" s="80"/>
    </row>
    <row r="1832" spans="2:6" x14ac:dyDescent="0.3">
      <c r="B1832" s="176"/>
      <c r="C1832" s="177"/>
      <c r="D1832" s="177"/>
      <c r="E1832" s="80"/>
      <c r="F1832" s="80"/>
    </row>
    <row r="1833" spans="2:6" x14ac:dyDescent="0.3">
      <c r="B1833" s="176"/>
      <c r="C1833" s="177"/>
      <c r="D1833" s="177"/>
      <c r="E1833" s="80"/>
      <c r="F1833" s="80"/>
    </row>
    <row r="1834" spans="2:6" x14ac:dyDescent="0.3">
      <c r="B1834" s="176"/>
      <c r="C1834" s="177"/>
      <c r="D1834" s="177"/>
      <c r="E1834" s="80"/>
      <c r="F1834" s="80"/>
    </row>
    <row r="1835" spans="2:6" x14ac:dyDescent="0.3">
      <c r="B1835" s="176"/>
      <c r="C1835" s="177"/>
      <c r="D1835" s="177"/>
      <c r="E1835" s="80"/>
      <c r="F1835" s="80"/>
    </row>
    <row r="1836" spans="2:6" x14ac:dyDescent="0.3">
      <c r="B1836" s="176"/>
      <c r="C1836" s="177"/>
      <c r="D1836" s="177"/>
      <c r="E1836" s="80"/>
      <c r="F1836" s="80"/>
    </row>
    <row r="1837" spans="2:6" x14ac:dyDescent="0.3">
      <c r="B1837" s="176"/>
      <c r="C1837" s="177"/>
      <c r="D1837" s="177"/>
      <c r="E1837" s="80"/>
      <c r="F1837" s="80"/>
    </row>
    <row r="1838" spans="2:6" x14ac:dyDescent="0.3">
      <c r="B1838" s="176"/>
      <c r="C1838" s="177"/>
      <c r="D1838" s="177"/>
      <c r="E1838" s="80"/>
      <c r="F1838" s="80"/>
    </row>
    <row r="1839" spans="2:6" x14ac:dyDescent="0.3">
      <c r="B1839" s="176"/>
      <c r="C1839" s="177"/>
      <c r="D1839" s="177"/>
      <c r="E1839" s="80"/>
      <c r="F1839" s="80"/>
    </row>
    <row r="1840" spans="2:6" x14ac:dyDescent="0.3">
      <c r="B1840" s="176"/>
      <c r="C1840" s="177"/>
      <c r="D1840" s="177"/>
      <c r="E1840" s="80"/>
      <c r="F1840" s="80"/>
    </row>
    <row r="1841" spans="2:6" x14ac:dyDescent="0.3">
      <c r="B1841" s="176"/>
      <c r="C1841" s="177"/>
      <c r="D1841" s="177"/>
      <c r="E1841" s="80"/>
      <c r="F1841" s="80"/>
    </row>
    <row r="1842" spans="2:6" x14ac:dyDescent="0.3">
      <c r="B1842" s="176"/>
      <c r="C1842" s="177"/>
      <c r="D1842" s="177"/>
      <c r="E1842" s="80"/>
      <c r="F1842" s="80"/>
    </row>
    <row r="1843" spans="2:6" x14ac:dyDescent="0.3">
      <c r="B1843" s="176"/>
      <c r="C1843" s="177"/>
      <c r="D1843" s="177"/>
      <c r="E1843" s="80"/>
      <c r="F1843" s="80"/>
    </row>
    <row r="1844" spans="2:6" x14ac:dyDescent="0.3">
      <c r="B1844" s="176"/>
      <c r="C1844" s="177"/>
      <c r="D1844" s="177"/>
      <c r="E1844" s="80"/>
      <c r="F1844" s="80"/>
    </row>
    <row r="1845" spans="2:6" x14ac:dyDescent="0.3">
      <c r="B1845" s="176"/>
      <c r="C1845" s="177"/>
      <c r="D1845" s="177"/>
      <c r="E1845" s="80"/>
      <c r="F1845" s="80"/>
    </row>
    <row r="1846" spans="2:6" x14ac:dyDescent="0.3">
      <c r="B1846" s="176"/>
      <c r="C1846" s="177"/>
      <c r="D1846" s="177"/>
      <c r="E1846" s="80"/>
      <c r="F1846" s="80"/>
    </row>
    <row r="1847" spans="2:6" x14ac:dyDescent="0.3">
      <c r="B1847" s="176"/>
      <c r="C1847" s="177"/>
      <c r="D1847" s="177"/>
      <c r="E1847" s="80"/>
      <c r="F1847" s="80"/>
    </row>
    <row r="1848" spans="2:6" x14ac:dyDescent="0.3">
      <c r="B1848" s="176"/>
      <c r="C1848" s="177"/>
      <c r="D1848" s="177"/>
      <c r="E1848" s="80"/>
      <c r="F1848" s="80"/>
    </row>
    <row r="1849" spans="2:6" x14ac:dyDescent="0.3">
      <c r="B1849" s="176"/>
      <c r="C1849" s="177"/>
      <c r="D1849" s="177"/>
      <c r="E1849" s="80"/>
      <c r="F1849" s="80"/>
    </row>
    <row r="1850" spans="2:6" x14ac:dyDescent="0.3">
      <c r="B1850" s="176"/>
      <c r="C1850" s="177"/>
      <c r="D1850" s="177"/>
      <c r="E1850" s="80"/>
      <c r="F1850" s="80"/>
    </row>
    <row r="1851" spans="2:6" x14ac:dyDescent="0.3">
      <c r="B1851" s="176"/>
      <c r="C1851" s="177"/>
      <c r="D1851" s="177"/>
      <c r="E1851" s="80"/>
      <c r="F1851" s="80"/>
    </row>
    <row r="1852" spans="2:6" x14ac:dyDescent="0.3">
      <c r="B1852" s="176"/>
      <c r="C1852" s="177"/>
      <c r="D1852" s="177"/>
      <c r="E1852" s="80"/>
      <c r="F1852" s="80"/>
    </row>
    <row r="1853" spans="2:6" x14ac:dyDescent="0.3">
      <c r="B1853" s="176"/>
      <c r="C1853" s="177"/>
      <c r="D1853" s="177"/>
      <c r="E1853" s="80"/>
      <c r="F1853" s="80"/>
    </row>
    <row r="1854" spans="2:6" x14ac:dyDescent="0.3">
      <c r="B1854" s="176"/>
      <c r="C1854" s="177"/>
      <c r="D1854" s="177"/>
      <c r="E1854" s="80"/>
      <c r="F1854" s="80"/>
    </row>
    <row r="1855" spans="2:6" x14ac:dyDescent="0.3">
      <c r="B1855" s="176"/>
      <c r="C1855" s="177"/>
      <c r="D1855" s="177"/>
      <c r="E1855" s="80"/>
      <c r="F1855" s="80"/>
    </row>
    <row r="1856" spans="2:6" x14ac:dyDescent="0.3">
      <c r="B1856" s="176"/>
      <c r="C1856" s="177"/>
      <c r="D1856" s="177"/>
      <c r="E1856" s="80"/>
      <c r="F1856" s="80"/>
    </row>
    <row r="1857" spans="2:6" x14ac:dyDescent="0.3">
      <c r="B1857" s="176"/>
      <c r="C1857" s="177"/>
      <c r="D1857" s="177"/>
      <c r="E1857" s="80"/>
      <c r="F1857" s="80"/>
    </row>
    <row r="1858" spans="2:6" x14ac:dyDescent="0.3">
      <c r="B1858" s="176"/>
      <c r="C1858" s="177"/>
      <c r="D1858" s="177"/>
      <c r="E1858" s="80"/>
      <c r="F1858" s="80"/>
    </row>
    <row r="1859" spans="2:6" x14ac:dyDescent="0.3">
      <c r="B1859" s="176"/>
      <c r="C1859" s="177"/>
      <c r="D1859" s="177"/>
      <c r="E1859" s="80"/>
      <c r="F1859" s="80"/>
    </row>
    <row r="1860" spans="2:6" x14ac:dyDescent="0.3">
      <c r="B1860" s="176"/>
      <c r="C1860" s="177"/>
      <c r="D1860" s="177"/>
      <c r="E1860" s="80"/>
      <c r="F1860" s="80"/>
    </row>
    <row r="1861" spans="2:6" x14ac:dyDescent="0.3">
      <c r="B1861" s="176"/>
      <c r="C1861" s="177"/>
      <c r="D1861" s="177"/>
      <c r="E1861" s="80"/>
      <c r="F1861" s="80"/>
    </row>
    <row r="1862" spans="2:6" x14ac:dyDescent="0.3">
      <c r="B1862" s="176"/>
      <c r="C1862" s="177"/>
      <c r="D1862" s="177"/>
      <c r="E1862" s="80"/>
      <c r="F1862" s="80"/>
    </row>
    <row r="1863" spans="2:6" x14ac:dyDescent="0.3">
      <c r="B1863" s="176"/>
      <c r="C1863" s="177"/>
      <c r="D1863" s="177"/>
      <c r="E1863" s="80"/>
      <c r="F1863" s="80"/>
    </row>
    <row r="1864" spans="2:6" x14ac:dyDescent="0.3">
      <c r="B1864" s="176"/>
      <c r="C1864" s="177"/>
      <c r="D1864" s="177"/>
      <c r="E1864" s="80"/>
      <c r="F1864" s="80"/>
    </row>
    <row r="1865" spans="2:6" x14ac:dyDescent="0.3">
      <c r="B1865" s="176"/>
      <c r="C1865" s="177"/>
      <c r="D1865" s="177"/>
      <c r="E1865" s="80"/>
      <c r="F1865" s="80"/>
    </row>
    <row r="1866" spans="2:6" x14ac:dyDescent="0.3">
      <c r="B1866" s="176"/>
      <c r="C1866" s="177"/>
      <c r="D1866" s="177"/>
      <c r="E1866" s="80"/>
      <c r="F1866" s="80"/>
    </row>
    <row r="1867" spans="2:6" x14ac:dyDescent="0.3">
      <c r="B1867" s="176"/>
      <c r="C1867" s="177"/>
      <c r="D1867" s="177"/>
      <c r="E1867" s="80"/>
      <c r="F1867" s="80"/>
    </row>
    <row r="1868" spans="2:6" x14ac:dyDescent="0.3">
      <c r="B1868" s="176"/>
      <c r="C1868" s="177"/>
      <c r="D1868" s="177"/>
      <c r="E1868" s="80"/>
      <c r="F1868" s="80"/>
    </row>
    <row r="1869" spans="2:6" x14ac:dyDescent="0.3">
      <c r="B1869" s="176"/>
      <c r="C1869" s="177"/>
      <c r="D1869" s="177"/>
      <c r="E1869" s="80"/>
      <c r="F1869" s="80"/>
    </row>
    <row r="1870" spans="2:6" x14ac:dyDescent="0.3">
      <c r="B1870" s="176"/>
      <c r="C1870" s="177"/>
      <c r="D1870" s="177"/>
      <c r="E1870" s="80"/>
      <c r="F1870" s="80"/>
    </row>
    <row r="1871" spans="2:6" x14ac:dyDescent="0.3">
      <c r="B1871" s="176"/>
      <c r="C1871" s="177"/>
      <c r="D1871" s="177"/>
      <c r="E1871" s="80"/>
      <c r="F1871" s="80"/>
    </row>
    <row r="1872" spans="2:6" x14ac:dyDescent="0.3">
      <c r="B1872" s="176"/>
      <c r="C1872" s="177"/>
      <c r="D1872" s="177"/>
      <c r="E1872" s="80"/>
      <c r="F1872" s="80"/>
    </row>
    <row r="1873" spans="2:6" x14ac:dyDescent="0.3">
      <c r="B1873" s="176"/>
      <c r="C1873" s="177"/>
      <c r="D1873" s="177"/>
      <c r="E1873" s="80"/>
      <c r="F1873" s="80"/>
    </row>
    <row r="1874" spans="2:6" x14ac:dyDescent="0.3">
      <c r="B1874" s="176"/>
      <c r="C1874" s="177"/>
      <c r="D1874" s="177"/>
      <c r="E1874" s="80"/>
      <c r="F1874" s="80"/>
    </row>
    <row r="1875" spans="2:6" x14ac:dyDescent="0.3">
      <c r="B1875" s="176"/>
      <c r="C1875" s="177"/>
      <c r="D1875" s="177"/>
      <c r="E1875" s="80"/>
      <c r="F1875" s="80"/>
    </row>
    <row r="1876" spans="2:6" x14ac:dyDescent="0.3">
      <c r="B1876" s="176"/>
      <c r="C1876" s="177"/>
      <c r="D1876" s="177"/>
      <c r="E1876" s="80"/>
      <c r="F1876" s="80"/>
    </row>
    <row r="1877" spans="2:6" x14ac:dyDescent="0.3">
      <c r="B1877" s="176"/>
      <c r="C1877" s="177"/>
      <c r="D1877" s="177"/>
      <c r="E1877" s="80"/>
      <c r="F1877" s="80"/>
    </row>
    <row r="1878" spans="2:6" x14ac:dyDescent="0.3">
      <c r="B1878" s="176"/>
      <c r="C1878" s="177"/>
      <c r="D1878" s="177"/>
      <c r="E1878" s="80"/>
      <c r="F1878" s="80"/>
    </row>
    <row r="1879" spans="2:6" x14ac:dyDescent="0.3">
      <c r="B1879" s="176"/>
      <c r="C1879" s="177"/>
      <c r="D1879" s="177"/>
      <c r="E1879" s="80"/>
      <c r="F1879" s="80"/>
    </row>
    <row r="1880" spans="2:6" x14ac:dyDescent="0.3">
      <c r="B1880" s="176"/>
      <c r="C1880" s="177"/>
      <c r="D1880" s="177"/>
      <c r="E1880" s="80"/>
      <c r="F1880" s="80"/>
    </row>
    <row r="1881" spans="2:6" x14ac:dyDescent="0.3">
      <c r="B1881" s="176"/>
      <c r="C1881" s="177"/>
      <c r="D1881" s="177"/>
      <c r="E1881" s="80"/>
      <c r="F1881" s="80"/>
    </row>
    <row r="1882" spans="2:6" x14ac:dyDescent="0.3">
      <c r="B1882" s="176"/>
      <c r="C1882" s="177"/>
      <c r="D1882" s="177"/>
      <c r="E1882" s="80"/>
      <c r="F1882" s="80"/>
    </row>
    <row r="1883" spans="2:6" x14ac:dyDescent="0.3">
      <c r="B1883" s="176"/>
      <c r="C1883" s="177"/>
      <c r="D1883" s="177"/>
      <c r="E1883" s="80"/>
      <c r="F1883" s="80"/>
    </row>
    <row r="1884" spans="2:6" x14ac:dyDescent="0.3">
      <c r="B1884" s="176"/>
      <c r="C1884" s="177"/>
      <c r="D1884" s="177"/>
      <c r="E1884" s="80"/>
      <c r="F1884" s="80"/>
    </row>
    <row r="1885" spans="2:6" x14ac:dyDescent="0.3">
      <c r="B1885" s="176"/>
      <c r="C1885" s="177"/>
      <c r="D1885" s="177"/>
      <c r="E1885" s="80"/>
      <c r="F1885" s="80"/>
    </row>
    <row r="1886" spans="2:6" x14ac:dyDescent="0.3">
      <c r="B1886" s="176"/>
      <c r="C1886" s="177"/>
      <c r="D1886" s="177"/>
      <c r="E1886" s="80"/>
      <c r="F1886" s="80"/>
    </row>
    <row r="1887" spans="2:6" x14ac:dyDescent="0.3">
      <c r="B1887" s="176"/>
      <c r="C1887" s="177"/>
      <c r="D1887" s="177"/>
      <c r="E1887" s="80"/>
      <c r="F1887" s="80"/>
    </row>
    <row r="1888" spans="2:6" x14ac:dyDescent="0.3">
      <c r="B1888" s="176"/>
      <c r="C1888" s="177"/>
      <c r="D1888" s="177"/>
      <c r="E1888" s="80"/>
      <c r="F1888" s="80"/>
    </row>
    <row r="1889" spans="2:6" x14ac:dyDescent="0.3">
      <c r="B1889" s="176"/>
      <c r="C1889" s="177"/>
      <c r="D1889" s="177"/>
      <c r="E1889" s="80"/>
      <c r="F1889" s="80"/>
    </row>
    <row r="1890" spans="2:6" x14ac:dyDescent="0.3">
      <c r="B1890" s="176"/>
      <c r="C1890" s="177"/>
      <c r="D1890" s="177"/>
      <c r="E1890" s="80"/>
      <c r="F1890" s="80"/>
    </row>
    <row r="1891" spans="2:6" x14ac:dyDescent="0.3">
      <c r="B1891" s="176"/>
      <c r="C1891" s="177"/>
      <c r="D1891" s="177"/>
      <c r="E1891" s="80"/>
      <c r="F1891" s="80"/>
    </row>
    <row r="1892" spans="2:6" x14ac:dyDescent="0.3">
      <c r="B1892" s="176"/>
      <c r="C1892" s="177"/>
      <c r="D1892" s="177"/>
      <c r="E1892" s="80"/>
      <c r="F1892" s="80"/>
    </row>
    <row r="1893" spans="2:6" x14ac:dyDescent="0.3">
      <c r="B1893" s="176"/>
      <c r="C1893" s="177"/>
      <c r="D1893" s="177"/>
      <c r="E1893" s="80"/>
      <c r="F1893" s="80"/>
    </row>
    <row r="1894" spans="2:6" x14ac:dyDescent="0.3">
      <c r="B1894" s="176"/>
      <c r="C1894" s="177"/>
      <c r="D1894" s="177"/>
      <c r="E1894" s="80"/>
      <c r="F1894" s="80"/>
    </row>
    <row r="1895" spans="2:6" x14ac:dyDescent="0.3">
      <c r="B1895" s="176"/>
      <c r="C1895" s="177"/>
      <c r="D1895" s="177"/>
      <c r="E1895" s="80"/>
      <c r="F1895" s="80"/>
    </row>
    <row r="1896" spans="2:6" x14ac:dyDescent="0.3">
      <c r="B1896" s="176"/>
      <c r="C1896" s="177"/>
      <c r="D1896" s="177"/>
      <c r="E1896" s="80"/>
      <c r="F1896" s="80"/>
    </row>
    <row r="1897" spans="2:6" x14ac:dyDescent="0.3">
      <c r="B1897" s="176"/>
      <c r="C1897" s="177"/>
      <c r="D1897" s="177"/>
      <c r="E1897" s="80"/>
      <c r="F1897" s="80"/>
    </row>
    <row r="1898" spans="2:6" x14ac:dyDescent="0.3">
      <c r="B1898" s="176"/>
      <c r="C1898" s="177"/>
      <c r="D1898" s="177"/>
      <c r="E1898" s="80"/>
      <c r="F1898" s="80"/>
    </row>
    <row r="1899" spans="2:6" x14ac:dyDescent="0.3">
      <c r="B1899" s="176"/>
      <c r="C1899" s="177"/>
      <c r="D1899" s="177"/>
      <c r="E1899" s="80"/>
      <c r="F1899" s="80"/>
    </row>
    <row r="1900" spans="2:6" x14ac:dyDescent="0.3">
      <c r="B1900" s="176"/>
      <c r="C1900" s="177"/>
      <c r="D1900" s="177"/>
      <c r="E1900" s="80"/>
      <c r="F1900" s="80"/>
    </row>
    <row r="1901" spans="2:6" x14ac:dyDescent="0.3">
      <c r="B1901" s="176"/>
      <c r="C1901" s="177"/>
      <c r="D1901" s="177"/>
      <c r="E1901" s="80"/>
      <c r="F1901" s="80"/>
    </row>
    <row r="1902" spans="2:6" x14ac:dyDescent="0.3">
      <c r="B1902" s="176"/>
      <c r="C1902" s="177"/>
      <c r="D1902" s="177"/>
      <c r="E1902" s="80"/>
      <c r="F1902" s="80"/>
    </row>
    <row r="1903" spans="2:6" x14ac:dyDescent="0.3">
      <c r="B1903" s="176"/>
      <c r="C1903" s="177"/>
      <c r="D1903" s="177"/>
      <c r="E1903" s="80"/>
      <c r="F1903" s="80"/>
    </row>
    <row r="1904" spans="2:6" x14ac:dyDescent="0.3">
      <c r="B1904" s="176"/>
      <c r="C1904" s="177"/>
      <c r="D1904" s="177"/>
      <c r="E1904" s="80"/>
      <c r="F1904" s="80"/>
    </row>
    <row r="1905" spans="2:6" x14ac:dyDescent="0.3">
      <c r="B1905" s="176"/>
      <c r="C1905" s="177"/>
      <c r="D1905" s="177"/>
      <c r="E1905" s="80"/>
      <c r="F1905" s="80"/>
    </row>
    <row r="1906" spans="2:6" x14ac:dyDescent="0.3">
      <c r="B1906" s="176"/>
      <c r="C1906" s="177"/>
      <c r="D1906" s="177"/>
      <c r="E1906" s="80"/>
      <c r="F1906" s="80"/>
    </row>
    <row r="1907" spans="2:6" x14ac:dyDescent="0.3">
      <c r="B1907" s="176"/>
      <c r="C1907" s="177"/>
      <c r="D1907" s="177"/>
      <c r="E1907" s="80"/>
      <c r="F1907" s="80"/>
    </row>
    <row r="1908" spans="2:6" x14ac:dyDescent="0.3">
      <c r="B1908" s="176"/>
      <c r="C1908" s="177"/>
      <c r="D1908" s="177"/>
      <c r="E1908" s="80"/>
      <c r="F1908" s="80"/>
    </row>
    <row r="1909" spans="2:6" x14ac:dyDescent="0.3">
      <c r="B1909" s="176"/>
      <c r="C1909" s="177"/>
      <c r="D1909" s="177"/>
      <c r="E1909" s="80"/>
      <c r="F1909" s="80"/>
    </row>
    <row r="1910" spans="2:6" x14ac:dyDescent="0.3">
      <c r="B1910" s="176"/>
      <c r="C1910" s="177"/>
      <c r="D1910" s="177"/>
      <c r="E1910" s="80"/>
      <c r="F1910" s="80"/>
    </row>
    <row r="1911" spans="2:6" x14ac:dyDescent="0.3">
      <c r="B1911" s="176"/>
      <c r="C1911" s="177"/>
      <c r="D1911" s="177"/>
      <c r="E1911" s="80"/>
      <c r="F1911" s="80"/>
    </row>
    <row r="1912" spans="2:6" x14ac:dyDescent="0.3">
      <c r="B1912" s="176"/>
      <c r="C1912" s="177"/>
      <c r="D1912" s="177"/>
      <c r="E1912" s="80"/>
      <c r="F1912" s="80"/>
    </row>
    <row r="1913" spans="2:6" x14ac:dyDescent="0.3">
      <c r="B1913" s="176"/>
      <c r="C1913" s="177"/>
      <c r="D1913" s="177"/>
      <c r="E1913" s="80"/>
      <c r="F1913" s="80"/>
    </row>
    <row r="1914" spans="2:6" x14ac:dyDescent="0.3">
      <c r="B1914" s="176"/>
      <c r="C1914" s="177"/>
      <c r="D1914" s="177"/>
      <c r="E1914" s="80"/>
      <c r="F1914" s="80"/>
    </row>
    <row r="1915" spans="2:6" x14ac:dyDescent="0.3">
      <c r="B1915" s="176"/>
      <c r="C1915" s="177"/>
      <c r="D1915" s="177"/>
      <c r="E1915" s="80"/>
      <c r="F1915" s="80"/>
    </row>
    <row r="1916" spans="2:6" x14ac:dyDescent="0.3">
      <c r="B1916" s="176"/>
      <c r="C1916" s="177"/>
      <c r="D1916" s="177"/>
      <c r="E1916" s="80"/>
      <c r="F1916" s="80"/>
    </row>
    <row r="1917" spans="2:6" x14ac:dyDescent="0.3">
      <c r="B1917" s="176"/>
      <c r="C1917" s="177"/>
      <c r="D1917" s="177"/>
      <c r="E1917" s="80"/>
      <c r="F1917" s="80"/>
    </row>
    <row r="1918" spans="2:6" x14ac:dyDescent="0.3">
      <c r="B1918" s="176"/>
      <c r="C1918" s="177"/>
      <c r="D1918" s="177"/>
      <c r="E1918" s="80"/>
      <c r="F1918" s="80"/>
    </row>
    <row r="1919" spans="2:6" x14ac:dyDescent="0.3">
      <c r="B1919" s="176"/>
      <c r="C1919" s="177"/>
      <c r="D1919" s="177"/>
      <c r="E1919" s="80"/>
      <c r="F1919" s="80"/>
    </row>
    <row r="1920" spans="2:6" x14ac:dyDescent="0.3">
      <c r="B1920" s="176"/>
      <c r="C1920" s="177"/>
      <c r="D1920" s="177"/>
      <c r="E1920" s="80"/>
      <c r="F1920" s="80"/>
    </row>
    <row r="1921" spans="2:6" x14ac:dyDescent="0.3">
      <c r="B1921" s="176"/>
      <c r="C1921" s="177"/>
      <c r="D1921" s="177"/>
      <c r="E1921" s="80"/>
      <c r="F1921" s="80"/>
    </row>
    <row r="1922" spans="2:6" x14ac:dyDescent="0.3">
      <c r="B1922" s="176"/>
      <c r="C1922" s="177"/>
      <c r="D1922" s="177"/>
      <c r="E1922" s="80"/>
      <c r="F1922" s="80"/>
    </row>
    <row r="1923" spans="2:6" x14ac:dyDescent="0.3">
      <c r="B1923" s="176"/>
      <c r="C1923" s="177"/>
      <c r="D1923" s="177"/>
      <c r="E1923" s="80"/>
      <c r="F1923" s="80"/>
    </row>
    <row r="1924" spans="2:6" x14ac:dyDescent="0.3">
      <c r="B1924" s="176"/>
      <c r="C1924" s="177"/>
      <c r="D1924" s="177"/>
      <c r="E1924" s="80"/>
      <c r="F1924" s="80"/>
    </row>
    <row r="1925" spans="2:6" x14ac:dyDescent="0.3">
      <c r="B1925" s="176"/>
      <c r="C1925" s="177"/>
      <c r="D1925" s="177"/>
      <c r="E1925" s="80"/>
      <c r="F1925" s="80"/>
    </row>
    <row r="1926" spans="2:6" x14ac:dyDescent="0.3">
      <c r="B1926" s="176"/>
      <c r="C1926" s="177"/>
      <c r="D1926" s="177"/>
      <c r="E1926" s="80"/>
      <c r="F1926" s="80"/>
    </row>
    <row r="1927" spans="2:6" x14ac:dyDescent="0.3">
      <c r="B1927" s="176"/>
      <c r="C1927" s="177"/>
      <c r="D1927" s="177"/>
      <c r="E1927" s="80"/>
      <c r="F1927" s="80"/>
    </row>
    <row r="1928" spans="2:6" x14ac:dyDescent="0.3">
      <c r="B1928" s="176"/>
      <c r="C1928" s="177"/>
      <c r="D1928" s="177"/>
      <c r="E1928" s="80"/>
      <c r="F1928" s="80"/>
    </row>
    <row r="1929" spans="2:6" x14ac:dyDescent="0.3">
      <c r="B1929" s="176"/>
      <c r="C1929" s="177"/>
      <c r="D1929" s="177"/>
      <c r="E1929" s="80"/>
      <c r="F1929" s="80"/>
    </row>
    <row r="1930" spans="2:6" x14ac:dyDescent="0.3">
      <c r="B1930" s="176"/>
      <c r="C1930" s="177"/>
      <c r="D1930" s="177"/>
      <c r="E1930" s="80"/>
      <c r="F1930" s="80"/>
    </row>
    <row r="1931" spans="2:6" x14ac:dyDescent="0.3">
      <c r="B1931" s="176"/>
      <c r="C1931" s="177"/>
      <c r="D1931" s="177"/>
      <c r="E1931" s="80"/>
      <c r="F1931" s="80"/>
    </row>
    <row r="1932" spans="2:6" x14ac:dyDescent="0.3">
      <c r="B1932" s="176"/>
      <c r="C1932" s="177"/>
      <c r="D1932" s="177"/>
      <c r="E1932" s="80"/>
      <c r="F1932" s="80"/>
    </row>
    <row r="1933" spans="2:6" x14ac:dyDescent="0.3">
      <c r="B1933" s="176"/>
      <c r="C1933" s="177"/>
      <c r="D1933" s="177"/>
      <c r="E1933" s="80"/>
      <c r="F1933" s="80"/>
    </row>
    <row r="1934" spans="2:6" x14ac:dyDescent="0.3">
      <c r="B1934" s="176"/>
      <c r="C1934" s="177"/>
      <c r="D1934" s="177"/>
      <c r="E1934" s="80"/>
      <c r="F1934" s="80"/>
    </row>
    <row r="1935" spans="2:6" x14ac:dyDescent="0.3">
      <c r="B1935" s="176"/>
      <c r="C1935" s="177"/>
      <c r="D1935" s="177"/>
      <c r="E1935" s="80"/>
      <c r="F1935" s="80"/>
    </row>
    <row r="1936" spans="2:6" x14ac:dyDescent="0.3">
      <c r="B1936" s="176"/>
      <c r="C1936" s="177"/>
      <c r="D1936" s="177"/>
      <c r="E1936" s="80"/>
      <c r="F1936" s="80"/>
    </row>
    <row r="1937" spans="2:6" x14ac:dyDescent="0.3">
      <c r="B1937" s="176"/>
      <c r="C1937" s="177"/>
      <c r="D1937" s="177"/>
      <c r="E1937" s="80"/>
      <c r="F1937" s="80"/>
    </row>
    <row r="1938" spans="2:6" x14ac:dyDescent="0.3">
      <c r="B1938" s="176"/>
      <c r="C1938" s="177"/>
      <c r="D1938" s="177"/>
      <c r="E1938" s="80"/>
      <c r="F1938" s="80"/>
    </row>
    <row r="1939" spans="2:6" x14ac:dyDescent="0.3">
      <c r="B1939" s="176"/>
      <c r="C1939" s="177"/>
      <c r="D1939" s="177"/>
      <c r="E1939" s="80"/>
      <c r="F1939" s="80"/>
    </row>
    <row r="1940" spans="2:6" x14ac:dyDescent="0.3">
      <c r="B1940" s="176"/>
      <c r="C1940" s="177"/>
      <c r="D1940" s="177"/>
      <c r="E1940" s="80"/>
      <c r="F1940" s="80"/>
    </row>
    <row r="1941" spans="2:6" x14ac:dyDescent="0.3">
      <c r="B1941" s="176"/>
      <c r="C1941" s="177"/>
      <c r="D1941" s="177"/>
      <c r="E1941" s="80"/>
      <c r="F1941" s="80"/>
    </row>
    <row r="1942" spans="2:6" x14ac:dyDescent="0.3">
      <c r="B1942" s="176"/>
      <c r="C1942" s="177"/>
      <c r="D1942" s="177"/>
      <c r="E1942" s="80"/>
      <c r="F1942" s="80"/>
    </row>
    <row r="1943" spans="2:6" x14ac:dyDescent="0.3">
      <c r="B1943" s="176"/>
      <c r="C1943" s="177"/>
      <c r="D1943" s="177"/>
      <c r="E1943" s="80"/>
      <c r="F1943" s="80"/>
    </row>
    <row r="1944" spans="2:6" x14ac:dyDescent="0.3">
      <c r="B1944" s="176"/>
      <c r="C1944" s="177"/>
      <c r="D1944" s="177"/>
      <c r="E1944" s="80"/>
      <c r="F1944" s="80"/>
    </row>
    <row r="1945" spans="2:6" x14ac:dyDescent="0.3">
      <c r="B1945" s="176"/>
      <c r="C1945" s="177"/>
      <c r="D1945" s="177"/>
      <c r="E1945" s="80"/>
      <c r="F1945" s="80"/>
    </row>
    <row r="1946" spans="2:6" x14ac:dyDescent="0.3">
      <c r="B1946" s="176"/>
      <c r="C1946" s="177"/>
      <c r="D1946" s="177"/>
      <c r="E1946" s="80"/>
      <c r="F1946" s="80"/>
    </row>
    <row r="1947" spans="2:6" x14ac:dyDescent="0.3">
      <c r="B1947" s="176"/>
      <c r="C1947" s="177"/>
      <c r="D1947" s="177"/>
      <c r="E1947" s="80"/>
      <c r="F1947" s="80"/>
    </row>
    <row r="1948" spans="2:6" x14ac:dyDescent="0.3">
      <c r="B1948" s="176"/>
      <c r="C1948" s="177"/>
      <c r="D1948" s="177"/>
      <c r="E1948" s="80"/>
      <c r="F1948" s="80"/>
    </row>
    <row r="1949" spans="2:6" x14ac:dyDescent="0.3">
      <c r="B1949" s="176"/>
      <c r="C1949" s="177"/>
      <c r="D1949" s="177"/>
      <c r="E1949" s="80"/>
      <c r="F1949" s="80"/>
    </row>
    <row r="1950" spans="2:6" x14ac:dyDescent="0.3">
      <c r="B1950" s="176"/>
      <c r="C1950" s="177"/>
      <c r="D1950" s="177"/>
      <c r="E1950" s="80"/>
      <c r="F1950" s="80"/>
    </row>
    <row r="1951" spans="2:6" x14ac:dyDescent="0.3">
      <c r="B1951" s="176"/>
      <c r="C1951" s="177"/>
      <c r="D1951" s="177"/>
      <c r="E1951" s="80"/>
      <c r="F1951" s="80"/>
    </row>
    <row r="1952" spans="2:6" x14ac:dyDescent="0.3">
      <c r="B1952" s="176"/>
      <c r="C1952" s="177"/>
      <c r="D1952" s="177"/>
      <c r="E1952" s="80"/>
      <c r="F1952" s="80"/>
    </row>
    <row r="1953" spans="2:6" x14ac:dyDescent="0.3">
      <c r="B1953" s="176"/>
      <c r="C1953" s="177"/>
      <c r="D1953" s="177"/>
      <c r="E1953" s="80"/>
      <c r="F1953" s="80"/>
    </row>
    <row r="1954" spans="2:6" x14ac:dyDescent="0.3">
      <c r="B1954" s="176"/>
      <c r="C1954" s="177"/>
      <c r="D1954" s="177"/>
      <c r="E1954" s="80"/>
      <c r="F1954" s="80"/>
    </row>
    <row r="1955" spans="2:6" x14ac:dyDescent="0.3">
      <c r="B1955" s="176"/>
      <c r="C1955" s="177"/>
      <c r="D1955" s="177"/>
      <c r="E1955" s="80"/>
      <c r="F1955" s="80"/>
    </row>
    <row r="1956" spans="2:6" x14ac:dyDescent="0.3">
      <c r="B1956" s="176"/>
      <c r="C1956" s="177"/>
      <c r="D1956" s="177"/>
      <c r="E1956" s="80"/>
      <c r="F1956" s="80"/>
    </row>
    <row r="1957" spans="2:6" x14ac:dyDescent="0.3">
      <c r="B1957" s="176"/>
      <c r="C1957" s="177"/>
      <c r="D1957" s="177"/>
      <c r="E1957" s="80"/>
      <c r="F1957" s="80"/>
    </row>
    <row r="1958" spans="2:6" x14ac:dyDescent="0.3">
      <c r="B1958" s="176"/>
      <c r="C1958" s="177"/>
      <c r="D1958" s="177"/>
      <c r="E1958" s="80"/>
      <c r="F1958" s="80"/>
    </row>
    <row r="1959" spans="2:6" x14ac:dyDescent="0.3">
      <c r="B1959" s="176"/>
      <c r="C1959" s="177"/>
      <c r="D1959" s="177"/>
      <c r="E1959" s="80"/>
      <c r="F1959" s="80"/>
    </row>
    <row r="1960" spans="2:6" x14ac:dyDescent="0.3">
      <c r="B1960" s="176"/>
      <c r="C1960" s="177"/>
      <c r="D1960" s="177"/>
      <c r="E1960" s="80"/>
      <c r="F1960" s="80"/>
    </row>
    <row r="1961" spans="2:6" x14ac:dyDescent="0.3">
      <c r="B1961" s="176"/>
      <c r="C1961" s="177"/>
      <c r="D1961" s="177"/>
      <c r="E1961" s="80"/>
      <c r="F1961" s="80"/>
    </row>
    <row r="1962" spans="2:6" x14ac:dyDescent="0.3">
      <c r="B1962" s="176"/>
      <c r="C1962" s="177"/>
      <c r="D1962" s="177"/>
      <c r="E1962" s="80"/>
      <c r="F1962" s="80"/>
    </row>
    <row r="1963" spans="2:6" x14ac:dyDescent="0.3">
      <c r="B1963" s="176"/>
      <c r="C1963" s="177"/>
      <c r="D1963" s="177"/>
      <c r="E1963" s="80"/>
      <c r="F1963" s="80"/>
    </row>
    <row r="1964" spans="2:6" x14ac:dyDescent="0.3">
      <c r="B1964" s="176"/>
      <c r="C1964" s="177"/>
      <c r="D1964" s="177"/>
      <c r="E1964" s="80"/>
      <c r="F1964" s="80"/>
    </row>
    <row r="1965" spans="2:6" x14ac:dyDescent="0.3">
      <c r="B1965" s="176"/>
      <c r="C1965" s="177"/>
      <c r="D1965" s="177"/>
      <c r="E1965" s="80"/>
      <c r="F1965" s="80"/>
    </row>
  </sheetData>
  <mergeCells count="3">
    <mergeCell ref="B2:E3"/>
    <mergeCell ref="G6:H6"/>
    <mergeCell ref="G7:H7"/>
  </mergeCells>
  <phoneticPr fontId="23" type="noConversion"/>
  <conditionalFormatting sqref="E9:E1965">
    <cfRule type="cellIs" dxfId="275" priority="10" operator="lessThan">
      <formula>#REF!</formula>
    </cfRule>
    <cfRule type="cellIs" dxfId="274" priority="11" operator="between">
      <formula>#REF!</formula>
      <formula>#REF!</formula>
    </cfRule>
    <cfRule type="cellIs" dxfId="273" priority="12" operator="greaterThanOrEqual">
      <formula>#REF!</formula>
    </cfRule>
  </conditionalFormatting>
  <conditionalFormatting sqref="F9:F23">
    <cfRule type="cellIs" dxfId="272" priority="7" operator="lessThan">
      <formula>#REF!</formula>
    </cfRule>
    <cfRule type="cellIs" dxfId="271" priority="8" operator="between">
      <formula>#REF!</formula>
      <formula>#REF!</formula>
    </cfRule>
    <cfRule type="cellIs" dxfId="270" priority="9" operator="greaterThanOrEqual">
      <formula>#REF!</formula>
    </cfRule>
  </conditionalFormatting>
  <conditionalFormatting sqref="F24:F1965">
    <cfRule type="cellIs" dxfId="269" priority="1" operator="lessThan">
      <formula>#REF!</formula>
    </cfRule>
    <cfRule type="cellIs" dxfId="268" priority="2" operator="between">
      <formula>#REF!</formula>
      <formula>#REF!</formula>
    </cfRule>
    <cfRule type="cellIs" dxfId="267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A1:P1478"/>
  <sheetViews>
    <sheetView showGridLines="0" topLeftCell="A2" zoomScale="92" zoomScaleNormal="74" workbookViewId="0">
      <selection activeCell="E7" sqref="E7"/>
    </sheetView>
  </sheetViews>
  <sheetFormatPr baseColWidth="10" defaultColWidth="11.44140625" defaultRowHeight="14.4" x14ac:dyDescent="0.3"/>
  <cols>
    <col min="1" max="1" width="24.44140625" style="135" customWidth="1"/>
    <col min="2" max="2" width="16.5546875" style="135" customWidth="1"/>
    <col min="3" max="3" width="36.44140625" style="135" customWidth="1"/>
    <col min="4" max="4" width="23.5546875" style="135" customWidth="1"/>
    <col min="5" max="5" width="32.44140625" style="135" customWidth="1"/>
    <col min="6" max="6" width="33.6640625" style="135" customWidth="1"/>
    <col min="7" max="16384" width="11.44140625" style="135"/>
  </cols>
  <sheetData>
    <row r="1" spans="1:16" ht="31.5" customHeight="1" x14ac:dyDescent="0.3"/>
    <row r="2" spans="1:16" ht="20.25" customHeight="1" x14ac:dyDescent="0.3">
      <c r="B2" s="324" t="s">
        <v>129</v>
      </c>
      <c r="C2" s="325"/>
      <c r="D2" s="325"/>
      <c r="E2" s="326"/>
      <c r="F2" s="59"/>
    </row>
    <row r="3" spans="1:16" ht="15" customHeight="1" x14ac:dyDescent="0.3">
      <c r="B3" s="327"/>
      <c r="C3" s="328"/>
      <c r="D3" s="328"/>
      <c r="E3" s="329"/>
      <c r="F3" s="59"/>
    </row>
    <row r="4" spans="1:16" ht="15" customHeight="1" x14ac:dyDescent="0.3">
      <c r="B4" s="59"/>
      <c r="C4" s="59"/>
      <c r="D4" s="59"/>
      <c r="E4" s="59"/>
      <c r="F4" s="59"/>
    </row>
    <row r="5" spans="1:16" x14ac:dyDescent="0.3">
      <c r="A5" s="311" t="s">
        <v>134</v>
      </c>
      <c r="B5" s="312"/>
      <c r="C5" s="59"/>
      <c r="D5" s="59"/>
      <c r="E5" s="59"/>
      <c r="F5" s="59"/>
    </row>
    <row r="6" spans="1:16" ht="41.4" x14ac:dyDescent="0.3">
      <c r="B6" s="7" t="s">
        <v>103</v>
      </c>
      <c r="C6" s="59"/>
      <c r="D6" s="59"/>
      <c r="E6" s="59"/>
      <c r="F6" s="59"/>
      <c r="G6" s="332" t="s">
        <v>120</v>
      </c>
      <c r="H6" s="332"/>
      <c r="I6" s="313">
        <f>IFERROR(AVERAGE(E9:E20),0)</f>
        <v>0</v>
      </c>
    </row>
    <row r="7" spans="1:16" ht="51.75" customHeight="1" x14ac:dyDescent="0.3">
      <c r="B7" s="267" t="s">
        <v>165</v>
      </c>
      <c r="C7" s="268" t="s">
        <v>164</v>
      </c>
      <c r="D7" s="268" t="s">
        <v>164</v>
      </c>
      <c r="E7" s="59"/>
      <c r="F7" s="59"/>
      <c r="G7" s="333"/>
      <c r="H7" s="333"/>
      <c r="I7" s="136"/>
      <c r="J7" s="137"/>
      <c r="K7" s="137"/>
      <c r="L7" s="137"/>
      <c r="M7" s="137"/>
      <c r="N7" s="137"/>
      <c r="O7" s="137"/>
      <c r="P7" s="137"/>
    </row>
    <row r="8" spans="1:16" ht="25.2" x14ac:dyDescent="0.3">
      <c r="B8" s="188" t="s">
        <v>16</v>
      </c>
      <c r="C8" s="189" t="s">
        <v>167</v>
      </c>
      <c r="D8" s="189" t="s">
        <v>168</v>
      </c>
      <c r="E8" s="190" t="s">
        <v>155</v>
      </c>
      <c r="F8" s="191" t="s">
        <v>156</v>
      </c>
    </row>
    <row r="9" spans="1:16" x14ac:dyDescent="0.3">
      <c r="B9" s="186"/>
      <c r="C9" s="246"/>
      <c r="D9" s="246"/>
      <c r="E9" s="46" t="str">
        <f>IFERROR(C9/D9,"")</f>
        <v/>
      </c>
      <c r="F9" s="187"/>
    </row>
    <row r="10" spans="1:16" x14ac:dyDescent="0.3">
      <c r="B10" s="186"/>
      <c r="C10" s="246"/>
      <c r="D10" s="246"/>
      <c r="E10" s="46" t="str">
        <f t="shared" ref="E10:E21" si="0">IFERROR(C10/D10,"")</f>
        <v/>
      </c>
      <c r="F10" s="187"/>
    </row>
    <row r="11" spans="1:16" x14ac:dyDescent="0.3">
      <c r="B11" s="186"/>
      <c r="C11" s="246"/>
      <c r="D11" s="246"/>
      <c r="E11" s="46" t="str">
        <f>IFERROR(C11/D11,"")</f>
        <v/>
      </c>
      <c r="F11" s="187"/>
    </row>
    <row r="12" spans="1:16" x14ac:dyDescent="0.3">
      <c r="B12" s="186"/>
      <c r="C12" s="246"/>
      <c r="D12" s="246"/>
      <c r="E12" s="46" t="str">
        <f t="shared" si="0"/>
        <v/>
      </c>
      <c r="F12" s="187"/>
    </row>
    <row r="13" spans="1:16" x14ac:dyDescent="0.3">
      <c r="B13" s="186"/>
      <c r="C13" s="246"/>
      <c r="D13" s="246"/>
      <c r="E13" s="46" t="str">
        <f t="shared" si="0"/>
        <v/>
      </c>
      <c r="F13" s="187"/>
    </row>
    <row r="14" spans="1:16" x14ac:dyDescent="0.3">
      <c r="B14" s="186"/>
      <c r="C14" s="246"/>
      <c r="D14" s="246"/>
      <c r="E14" s="46" t="str">
        <f t="shared" si="0"/>
        <v/>
      </c>
      <c r="F14" s="187"/>
    </row>
    <row r="15" spans="1:16" x14ac:dyDescent="0.3">
      <c r="B15" s="186"/>
      <c r="C15" s="246"/>
      <c r="D15" s="246"/>
      <c r="E15" s="46" t="str">
        <f t="shared" si="0"/>
        <v/>
      </c>
      <c r="F15" s="187"/>
    </row>
    <row r="16" spans="1:16" x14ac:dyDescent="0.3">
      <c r="B16" s="186"/>
      <c r="C16" s="246"/>
      <c r="D16" s="246"/>
      <c r="E16" s="46" t="str">
        <f t="shared" si="0"/>
        <v/>
      </c>
      <c r="F16" s="187"/>
    </row>
    <row r="17" spans="2:6" x14ac:dyDescent="0.3">
      <c r="B17" s="186"/>
      <c r="C17" s="246"/>
      <c r="D17" s="246"/>
      <c r="E17" s="46" t="str">
        <f t="shared" si="0"/>
        <v/>
      </c>
      <c r="F17" s="187"/>
    </row>
    <row r="18" spans="2:6" x14ac:dyDescent="0.3">
      <c r="B18" s="186"/>
      <c r="C18" s="246"/>
      <c r="D18" s="246"/>
      <c r="E18" s="46" t="str">
        <f t="shared" si="0"/>
        <v/>
      </c>
      <c r="F18" s="187"/>
    </row>
    <row r="19" spans="2:6" x14ac:dyDescent="0.3">
      <c r="B19" s="186"/>
      <c r="C19" s="246"/>
      <c r="D19" s="246"/>
      <c r="E19" s="46" t="str">
        <f t="shared" si="0"/>
        <v/>
      </c>
      <c r="F19" s="187"/>
    </row>
    <row r="20" spans="2:6" x14ac:dyDescent="0.3">
      <c r="B20" s="186"/>
      <c r="C20" s="266"/>
      <c r="D20" s="266"/>
      <c r="E20" s="178" t="str">
        <f t="shared" si="0"/>
        <v/>
      </c>
      <c r="F20" s="187"/>
    </row>
    <row r="21" spans="2:6" x14ac:dyDescent="0.3">
      <c r="B21" s="192"/>
      <c r="C21" s="248"/>
      <c r="D21" s="248"/>
      <c r="E21" s="175" t="str">
        <f t="shared" si="0"/>
        <v/>
      </c>
      <c r="F21" s="193">
        <f>IFERROR(AVERAGE(E9:E20),0)</f>
        <v>0</v>
      </c>
    </row>
    <row r="22" spans="2:6" x14ac:dyDescent="0.3">
      <c r="B22" s="192"/>
      <c r="C22" s="248"/>
      <c r="D22" s="248"/>
      <c r="E22" s="175" t="str">
        <f t="shared" ref="E22:E23" si="1">IFERROR(C22/D22,"")</f>
        <v/>
      </c>
      <c r="F22" s="193">
        <f t="shared" ref="F22:F23" si="2">IFERROR(AVERAGE(E10:E21),0)</f>
        <v>0</v>
      </c>
    </row>
    <row r="23" spans="2:6" x14ac:dyDescent="0.3">
      <c r="B23" s="192"/>
      <c r="C23" s="248"/>
      <c r="D23" s="248"/>
      <c r="E23" s="175" t="str">
        <f t="shared" si="1"/>
        <v/>
      </c>
      <c r="F23" s="193">
        <f t="shared" si="2"/>
        <v>0</v>
      </c>
    </row>
    <row r="24" spans="2:6" x14ac:dyDescent="0.3">
      <c r="B24" s="176"/>
      <c r="C24" s="177"/>
      <c r="D24" s="177"/>
      <c r="E24" s="80"/>
      <c r="F24" s="80"/>
    </row>
    <row r="25" spans="2:6" x14ac:dyDescent="0.3">
      <c r="B25" s="176"/>
      <c r="C25" s="177"/>
      <c r="D25" s="177"/>
      <c r="E25" s="80"/>
      <c r="F25" s="80"/>
    </row>
    <row r="26" spans="2:6" x14ac:dyDescent="0.3">
      <c r="B26" s="176"/>
      <c r="C26" s="177"/>
      <c r="D26" s="177"/>
      <c r="E26" s="80"/>
      <c r="F26" s="80"/>
    </row>
    <row r="27" spans="2:6" x14ac:dyDescent="0.3">
      <c r="B27" s="176"/>
      <c r="C27" s="177"/>
      <c r="D27" s="177"/>
      <c r="E27" s="80"/>
      <c r="F27" s="80"/>
    </row>
    <row r="28" spans="2:6" x14ac:dyDescent="0.3">
      <c r="B28" s="176"/>
      <c r="C28" s="177"/>
      <c r="D28" s="177"/>
      <c r="E28" s="80"/>
      <c r="F28" s="80"/>
    </row>
    <row r="29" spans="2:6" x14ac:dyDescent="0.3">
      <c r="B29" s="176"/>
      <c r="C29" s="177"/>
      <c r="D29" s="177"/>
      <c r="E29" s="80"/>
      <c r="F29" s="80"/>
    </row>
    <row r="30" spans="2:6" x14ac:dyDescent="0.3">
      <c r="B30" s="176"/>
      <c r="C30" s="177"/>
      <c r="D30" s="177"/>
      <c r="E30" s="80"/>
      <c r="F30" s="80"/>
    </row>
    <row r="31" spans="2:6" x14ac:dyDescent="0.3">
      <c r="B31" s="176"/>
      <c r="C31" s="177"/>
      <c r="D31" s="177"/>
      <c r="E31" s="80"/>
      <c r="F31" s="80"/>
    </row>
    <row r="32" spans="2:6" x14ac:dyDescent="0.3">
      <c r="B32" s="176"/>
      <c r="C32" s="177"/>
      <c r="D32" s="177"/>
      <c r="E32" s="80"/>
      <c r="F32" s="80"/>
    </row>
    <row r="33" spans="2:6" x14ac:dyDescent="0.3">
      <c r="B33" s="176"/>
      <c r="C33" s="177"/>
      <c r="D33" s="177"/>
      <c r="E33" s="80"/>
      <c r="F33" s="80"/>
    </row>
    <row r="34" spans="2:6" x14ac:dyDescent="0.3">
      <c r="B34" s="176"/>
      <c r="C34" s="177"/>
      <c r="D34" s="177"/>
      <c r="E34" s="80"/>
      <c r="F34" s="80"/>
    </row>
    <row r="35" spans="2:6" x14ac:dyDescent="0.3">
      <c r="B35" s="176"/>
      <c r="C35" s="177"/>
      <c r="D35" s="177"/>
      <c r="E35" s="80"/>
      <c r="F35" s="80"/>
    </row>
    <row r="36" spans="2:6" x14ac:dyDescent="0.3">
      <c r="B36" s="176"/>
      <c r="C36" s="177"/>
      <c r="D36" s="177"/>
      <c r="E36" s="80"/>
      <c r="F36" s="80"/>
    </row>
    <row r="37" spans="2:6" x14ac:dyDescent="0.3">
      <c r="B37" s="176"/>
      <c r="C37" s="177"/>
      <c r="D37" s="177"/>
      <c r="E37" s="80"/>
      <c r="F37" s="80"/>
    </row>
    <row r="38" spans="2:6" x14ac:dyDescent="0.3">
      <c r="B38" s="176"/>
      <c r="C38" s="177"/>
      <c r="D38" s="177"/>
      <c r="E38" s="80"/>
      <c r="F38" s="80"/>
    </row>
    <row r="39" spans="2:6" x14ac:dyDescent="0.3">
      <c r="B39" s="176"/>
      <c r="C39" s="177"/>
      <c r="D39" s="177"/>
      <c r="E39" s="80"/>
      <c r="F39" s="80"/>
    </row>
    <row r="40" spans="2:6" x14ac:dyDescent="0.3">
      <c r="B40" s="176"/>
      <c r="C40" s="177"/>
      <c r="D40" s="177"/>
      <c r="E40" s="80"/>
      <c r="F40" s="80"/>
    </row>
    <row r="41" spans="2:6" x14ac:dyDescent="0.3">
      <c r="B41" s="176"/>
      <c r="C41" s="177"/>
      <c r="D41" s="177"/>
      <c r="E41" s="80"/>
      <c r="F41" s="80"/>
    </row>
    <row r="42" spans="2:6" x14ac:dyDescent="0.3">
      <c r="B42" s="176"/>
      <c r="C42" s="177"/>
      <c r="D42" s="177"/>
      <c r="E42" s="80"/>
      <c r="F42" s="80"/>
    </row>
    <row r="43" spans="2:6" x14ac:dyDescent="0.3">
      <c r="B43" s="176"/>
      <c r="C43" s="177"/>
      <c r="D43" s="177"/>
      <c r="E43" s="80"/>
      <c r="F43" s="80"/>
    </row>
    <row r="44" spans="2:6" x14ac:dyDescent="0.3">
      <c r="B44" s="176"/>
      <c r="C44" s="177"/>
      <c r="D44" s="177"/>
      <c r="E44" s="80"/>
      <c r="F44" s="80"/>
    </row>
    <row r="45" spans="2:6" x14ac:dyDescent="0.3">
      <c r="B45" s="176"/>
      <c r="C45" s="177"/>
      <c r="D45" s="177"/>
      <c r="E45" s="80"/>
      <c r="F45" s="80"/>
    </row>
    <row r="46" spans="2:6" x14ac:dyDescent="0.3">
      <c r="B46" s="176"/>
      <c r="C46" s="177"/>
      <c r="D46" s="177"/>
      <c r="E46" s="80"/>
      <c r="F46" s="80"/>
    </row>
    <row r="47" spans="2:6" x14ac:dyDescent="0.3">
      <c r="B47" s="176"/>
      <c r="C47" s="177"/>
      <c r="D47" s="177"/>
      <c r="E47" s="80"/>
      <c r="F47" s="80"/>
    </row>
    <row r="48" spans="2:6" x14ac:dyDescent="0.3">
      <c r="B48" s="176"/>
      <c r="C48" s="177"/>
      <c r="D48" s="177"/>
      <c r="E48" s="80"/>
      <c r="F48" s="80"/>
    </row>
    <row r="49" spans="2:6" x14ac:dyDescent="0.3">
      <c r="B49" s="176"/>
      <c r="C49" s="177"/>
      <c r="D49" s="177"/>
      <c r="E49" s="80"/>
      <c r="F49" s="80"/>
    </row>
    <row r="50" spans="2:6" x14ac:dyDescent="0.3">
      <c r="B50" s="176"/>
      <c r="C50" s="177"/>
      <c r="D50" s="177"/>
      <c r="E50" s="80"/>
      <c r="F50" s="80"/>
    </row>
    <row r="51" spans="2:6" x14ac:dyDescent="0.3">
      <c r="B51" s="176"/>
      <c r="C51" s="177"/>
      <c r="D51" s="177"/>
      <c r="E51" s="80"/>
      <c r="F51" s="80"/>
    </row>
    <row r="52" spans="2:6" x14ac:dyDescent="0.3">
      <c r="B52" s="176"/>
      <c r="C52" s="177"/>
      <c r="D52" s="177"/>
      <c r="E52" s="80"/>
      <c r="F52" s="80"/>
    </row>
    <row r="53" spans="2:6" x14ac:dyDescent="0.3">
      <c r="B53" s="176"/>
      <c r="C53" s="177"/>
      <c r="D53" s="177"/>
      <c r="E53" s="80"/>
      <c r="F53" s="80"/>
    </row>
    <row r="54" spans="2:6" x14ac:dyDescent="0.3">
      <c r="B54" s="176"/>
      <c r="C54" s="177"/>
      <c r="D54" s="177"/>
      <c r="E54" s="80"/>
      <c r="F54" s="80"/>
    </row>
    <row r="55" spans="2:6" x14ac:dyDescent="0.3">
      <c r="B55" s="176"/>
      <c r="C55" s="177"/>
      <c r="D55" s="177"/>
      <c r="E55" s="80"/>
      <c r="F55" s="80"/>
    </row>
    <row r="56" spans="2:6" x14ac:dyDescent="0.3">
      <c r="B56" s="176"/>
      <c r="C56" s="177"/>
      <c r="D56" s="177"/>
      <c r="E56" s="80"/>
      <c r="F56" s="80"/>
    </row>
    <row r="57" spans="2:6" x14ac:dyDescent="0.3">
      <c r="B57" s="176"/>
      <c r="C57" s="177"/>
      <c r="D57" s="177"/>
      <c r="E57" s="80"/>
      <c r="F57" s="80"/>
    </row>
    <row r="58" spans="2:6" x14ac:dyDescent="0.3">
      <c r="B58" s="176"/>
      <c r="C58" s="177"/>
      <c r="D58" s="177"/>
      <c r="E58" s="80"/>
      <c r="F58" s="80"/>
    </row>
    <row r="59" spans="2:6" x14ac:dyDescent="0.3">
      <c r="B59" s="176"/>
      <c r="C59" s="177"/>
      <c r="D59" s="177"/>
      <c r="E59" s="80"/>
      <c r="F59" s="80"/>
    </row>
    <row r="60" spans="2:6" x14ac:dyDescent="0.3">
      <c r="B60" s="176"/>
      <c r="C60" s="177"/>
      <c r="D60" s="177"/>
      <c r="E60" s="80"/>
      <c r="F60" s="80"/>
    </row>
    <row r="61" spans="2:6" x14ac:dyDescent="0.3">
      <c r="B61" s="176"/>
      <c r="C61" s="177"/>
      <c r="D61" s="177"/>
      <c r="E61" s="80"/>
      <c r="F61" s="80"/>
    </row>
    <row r="62" spans="2:6" x14ac:dyDescent="0.3">
      <c r="B62" s="176"/>
      <c r="C62" s="177"/>
      <c r="D62" s="177"/>
      <c r="E62" s="80"/>
      <c r="F62" s="80"/>
    </row>
    <row r="63" spans="2:6" x14ac:dyDescent="0.3">
      <c r="B63" s="176"/>
      <c r="C63" s="177"/>
      <c r="D63" s="177"/>
      <c r="E63" s="80"/>
      <c r="F63" s="80"/>
    </row>
    <row r="64" spans="2:6" x14ac:dyDescent="0.3">
      <c r="B64" s="176"/>
      <c r="C64" s="177"/>
      <c r="D64" s="177"/>
      <c r="E64" s="80"/>
      <c r="F64" s="80"/>
    </row>
    <row r="65" spans="2:6" x14ac:dyDescent="0.3">
      <c r="B65" s="176"/>
      <c r="C65" s="177"/>
      <c r="D65" s="177"/>
      <c r="E65" s="80"/>
      <c r="F65" s="80"/>
    </row>
    <row r="66" spans="2:6" x14ac:dyDescent="0.3">
      <c r="B66" s="176"/>
      <c r="C66" s="177"/>
      <c r="D66" s="177"/>
      <c r="E66" s="80"/>
      <c r="F66" s="80"/>
    </row>
    <row r="67" spans="2:6" x14ac:dyDescent="0.3">
      <c r="B67" s="176"/>
      <c r="C67" s="177"/>
      <c r="D67" s="177"/>
      <c r="E67" s="80"/>
      <c r="F67" s="80"/>
    </row>
    <row r="68" spans="2:6" x14ac:dyDescent="0.3">
      <c r="B68" s="176"/>
      <c r="C68" s="177"/>
      <c r="D68" s="177"/>
      <c r="E68" s="80"/>
      <c r="F68" s="80"/>
    </row>
    <row r="69" spans="2:6" x14ac:dyDescent="0.3">
      <c r="B69" s="176"/>
      <c r="C69" s="177"/>
      <c r="D69" s="177"/>
      <c r="E69" s="80"/>
      <c r="F69" s="80"/>
    </row>
    <row r="70" spans="2:6" x14ac:dyDescent="0.3">
      <c r="B70" s="176"/>
      <c r="C70" s="177"/>
      <c r="D70" s="177"/>
      <c r="E70" s="80"/>
      <c r="F70" s="80"/>
    </row>
    <row r="71" spans="2:6" x14ac:dyDescent="0.3">
      <c r="B71" s="176"/>
      <c r="C71" s="177"/>
      <c r="D71" s="177"/>
      <c r="E71" s="80"/>
      <c r="F71" s="80"/>
    </row>
    <row r="72" spans="2:6" x14ac:dyDescent="0.3">
      <c r="B72" s="176"/>
      <c r="C72" s="177"/>
      <c r="D72" s="177"/>
      <c r="E72" s="80"/>
      <c r="F72" s="80"/>
    </row>
    <row r="73" spans="2:6" x14ac:dyDescent="0.3">
      <c r="B73" s="176"/>
      <c r="C73" s="177"/>
      <c r="D73" s="177"/>
      <c r="E73" s="80"/>
      <c r="F73" s="80"/>
    </row>
    <row r="74" spans="2:6" x14ac:dyDescent="0.3">
      <c r="B74" s="176"/>
      <c r="C74" s="177"/>
      <c r="D74" s="177"/>
      <c r="E74" s="80"/>
      <c r="F74" s="80"/>
    </row>
    <row r="75" spans="2:6" x14ac:dyDescent="0.3">
      <c r="B75" s="176"/>
      <c r="C75" s="177"/>
      <c r="D75" s="177"/>
      <c r="E75" s="80"/>
      <c r="F75" s="80"/>
    </row>
    <row r="76" spans="2:6" x14ac:dyDescent="0.3">
      <c r="B76" s="176"/>
      <c r="C76" s="177"/>
      <c r="D76" s="177"/>
      <c r="E76" s="80"/>
      <c r="F76" s="80"/>
    </row>
    <row r="77" spans="2:6" x14ac:dyDescent="0.3">
      <c r="B77" s="176"/>
      <c r="C77" s="177"/>
      <c r="D77" s="177"/>
      <c r="E77" s="80"/>
      <c r="F77" s="80"/>
    </row>
    <row r="78" spans="2:6" x14ac:dyDescent="0.3">
      <c r="B78" s="176"/>
      <c r="C78" s="177"/>
      <c r="D78" s="177"/>
      <c r="E78" s="80"/>
      <c r="F78" s="80"/>
    </row>
    <row r="79" spans="2:6" x14ac:dyDescent="0.3">
      <c r="B79" s="176"/>
      <c r="C79" s="177"/>
      <c r="D79" s="177"/>
      <c r="E79" s="80"/>
      <c r="F79" s="80"/>
    </row>
    <row r="80" spans="2:6" x14ac:dyDescent="0.3">
      <c r="B80" s="176"/>
      <c r="C80" s="177"/>
      <c r="D80" s="177"/>
      <c r="E80" s="80"/>
      <c r="F80" s="80"/>
    </row>
    <row r="81" spans="2:6" x14ac:dyDescent="0.3">
      <c r="B81" s="176"/>
      <c r="C81" s="177"/>
      <c r="D81" s="177"/>
      <c r="E81" s="80"/>
      <c r="F81" s="80"/>
    </row>
    <row r="82" spans="2:6" x14ac:dyDescent="0.3">
      <c r="B82" s="176"/>
      <c r="C82" s="177"/>
      <c r="D82" s="177"/>
      <c r="E82" s="80"/>
      <c r="F82" s="80"/>
    </row>
    <row r="83" spans="2:6" x14ac:dyDescent="0.3">
      <c r="B83" s="176"/>
      <c r="C83" s="177"/>
      <c r="D83" s="177"/>
      <c r="E83" s="80"/>
      <c r="F83" s="80"/>
    </row>
    <row r="84" spans="2:6" x14ac:dyDescent="0.3">
      <c r="B84" s="176"/>
      <c r="C84" s="177"/>
      <c r="D84" s="177"/>
      <c r="E84" s="80"/>
      <c r="F84" s="80"/>
    </row>
    <row r="85" spans="2:6" x14ac:dyDescent="0.3">
      <c r="B85" s="176"/>
      <c r="C85" s="177"/>
      <c r="D85" s="177"/>
      <c r="E85" s="80"/>
      <c r="F85" s="80"/>
    </row>
    <row r="86" spans="2:6" x14ac:dyDescent="0.3">
      <c r="B86" s="176"/>
      <c r="C86" s="177"/>
      <c r="D86" s="177"/>
      <c r="E86" s="80"/>
      <c r="F86" s="80"/>
    </row>
    <row r="87" spans="2:6" x14ac:dyDescent="0.3">
      <c r="B87" s="176"/>
      <c r="C87" s="177"/>
      <c r="D87" s="177"/>
      <c r="E87" s="80"/>
      <c r="F87" s="80"/>
    </row>
    <row r="88" spans="2:6" x14ac:dyDescent="0.3">
      <c r="B88" s="176"/>
      <c r="C88" s="177"/>
      <c r="D88" s="177"/>
      <c r="E88" s="80"/>
      <c r="F88" s="80"/>
    </row>
    <row r="89" spans="2:6" x14ac:dyDescent="0.3">
      <c r="B89" s="176"/>
      <c r="C89" s="177"/>
      <c r="D89" s="177"/>
      <c r="E89" s="80"/>
      <c r="F89" s="80"/>
    </row>
    <row r="90" spans="2:6" x14ac:dyDescent="0.3">
      <c r="B90" s="176"/>
      <c r="C90" s="177"/>
      <c r="D90" s="177"/>
      <c r="E90" s="80"/>
      <c r="F90" s="80"/>
    </row>
    <row r="91" spans="2:6" x14ac:dyDescent="0.3">
      <c r="B91" s="176"/>
      <c r="C91" s="177"/>
      <c r="D91" s="177"/>
      <c r="E91" s="80"/>
      <c r="F91" s="80"/>
    </row>
    <row r="92" spans="2:6" x14ac:dyDescent="0.3">
      <c r="B92" s="176"/>
      <c r="C92" s="177"/>
      <c r="D92" s="177"/>
      <c r="E92" s="80"/>
      <c r="F92" s="80"/>
    </row>
    <row r="93" spans="2:6" x14ac:dyDescent="0.3">
      <c r="B93" s="176"/>
      <c r="C93" s="177"/>
      <c r="D93" s="177"/>
      <c r="E93" s="80"/>
      <c r="F93" s="80"/>
    </row>
    <row r="94" spans="2:6" x14ac:dyDescent="0.3">
      <c r="B94" s="176"/>
      <c r="C94" s="177"/>
      <c r="D94" s="177"/>
      <c r="E94" s="80"/>
      <c r="F94" s="80"/>
    </row>
    <row r="95" spans="2:6" x14ac:dyDescent="0.3">
      <c r="B95" s="176"/>
      <c r="C95" s="177"/>
      <c r="D95" s="177"/>
      <c r="E95" s="80"/>
      <c r="F95" s="80"/>
    </row>
    <row r="96" spans="2:6" x14ac:dyDescent="0.3">
      <c r="B96" s="176"/>
      <c r="C96" s="177"/>
      <c r="D96" s="177"/>
      <c r="E96" s="80"/>
      <c r="F96" s="80"/>
    </row>
    <row r="97" spans="2:6" x14ac:dyDescent="0.3">
      <c r="B97" s="176"/>
      <c r="C97" s="177"/>
      <c r="D97" s="177"/>
      <c r="E97" s="80"/>
      <c r="F97" s="80"/>
    </row>
    <row r="98" spans="2:6" x14ac:dyDescent="0.3">
      <c r="B98" s="176"/>
      <c r="C98" s="177"/>
      <c r="D98" s="177"/>
      <c r="E98" s="80"/>
      <c r="F98" s="80"/>
    </row>
    <row r="99" spans="2:6" x14ac:dyDescent="0.3">
      <c r="B99" s="176"/>
      <c r="C99" s="177"/>
      <c r="D99" s="177"/>
      <c r="E99" s="80"/>
      <c r="F99" s="80"/>
    </row>
    <row r="100" spans="2:6" x14ac:dyDescent="0.3">
      <c r="B100" s="176"/>
      <c r="C100" s="177"/>
      <c r="D100" s="177"/>
      <c r="E100" s="80"/>
      <c r="F100" s="80"/>
    </row>
    <row r="101" spans="2:6" x14ac:dyDescent="0.3">
      <c r="B101" s="176"/>
      <c r="C101" s="177"/>
      <c r="D101" s="177"/>
      <c r="E101" s="80"/>
      <c r="F101" s="80"/>
    </row>
    <row r="102" spans="2:6" x14ac:dyDescent="0.3">
      <c r="B102" s="176"/>
      <c r="C102" s="177"/>
      <c r="D102" s="177"/>
      <c r="E102" s="80"/>
      <c r="F102" s="80"/>
    </row>
    <row r="103" spans="2:6" x14ac:dyDescent="0.3">
      <c r="B103" s="176"/>
      <c r="C103" s="177"/>
      <c r="D103" s="177"/>
      <c r="E103" s="80"/>
      <c r="F103" s="80"/>
    </row>
    <row r="104" spans="2:6" x14ac:dyDescent="0.3">
      <c r="B104" s="176"/>
      <c r="C104" s="177"/>
      <c r="D104" s="177"/>
      <c r="E104" s="80"/>
      <c r="F104" s="80"/>
    </row>
    <row r="105" spans="2:6" x14ac:dyDescent="0.3">
      <c r="B105" s="176"/>
      <c r="C105" s="177"/>
      <c r="D105" s="177"/>
      <c r="E105" s="80"/>
      <c r="F105" s="80"/>
    </row>
    <row r="106" spans="2:6" x14ac:dyDescent="0.3">
      <c r="B106" s="176"/>
      <c r="C106" s="177"/>
      <c r="D106" s="177"/>
      <c r="E106" s="80"/>
      <c r="F106" s="80"/>
    </row>
    <row r="107" spans="2:6" x14ac:dyDescent="0.3">
      <c r="B107" s="176"/>
      <c r="C107" s="177"/>
      <c r="D107" s="177"/>
      <c r="E107" s="80"/>
      <c r="F107" s="80"/>
    </row>
    <row r="108" spans="2:6" x14ac:dyDescent="0.3">
      <c r="B108" s="176"/>
      <c r="C108" s="177"/>
      <c r="D108" s="177"/>
      <c r="E108" s="80"/>
      <c r="F108" s="80"/>
    </row>
    <row r="109" spans="2:6" x14ac:dyDescent="0.3">
      <c r="B109" s="176"/>
      <c r="C109" s="177"/>
      <c r="D109" s="177"/>
      <c r="E109" s="80"/>
      <c r="F109" s="80"/>
    </row>
    <row r="110" spans="2:6" x14ac:dyDescent="0.3">
      <c r="B110" s="176"/>
      <c r="C110" s="177"/>
      <c r="D110" s="177"/>
      <c r="E110" s="80"/>
      <c r="F110" s="80"/>
    </row>
    <row r="111" spans="2:6" x14ac:dyDescent="0.3">
      <c r="B111" s="176"/>
      <c r="C111" s="177"/>
      <c r="D111" s="177"/>
      <c r="E111" s="80"/>
      <c r="F111" s="80"/>
    </row>
    <row r="112" spans="2:6" x14ac:dyDescent="0.3">
      <c r="B112" s="176"/>
      <c r="C112" s="177"/>
      <c r="D112" s="177"/>
      <c r="E112" s="80"/>
      <c r="F112" s="80"/>
    </row>
    <row r="113" spans="2:6" x14ac:dyDescent="0.3">
      <c r="B113" s="176"/>
      <c r="C113" s="177"/>
      <c r="D113" s="177"/>
      <c r="E113" s="80"/>
      <c r="F113" s="80"/>
    </row>
    <row r="114" spans="2:6" x14ac:dyDescent="0.3">
      <c r="B114" s="176"/>
      <c r="C114" s="177"/>
      <c r="D114" s="177"/>
      <c r="E114" s="80"/>
      <c r="F114" s="80"/>
    </row>
    <row r="115" spans="2:6" x14ac:dyDescent="0.3">
      <c r="B115" s="176"/>
      <c r="C115" s="177"/>
      <c r="D115" s="177"/>
      <c r="E115" s="80"/>
      <c r="F115" s="80"/>
    </row>
    <row r="116" spans="2:6" x14ac:dyDescent="0.3">
      <c r="B116" s="176"/>
      <c r="C116" s="177"/>
      <c r="D116" s="177"/>
      <c r="E116" s="80"/>
      <c r="F116" s="80"/>
    </row>
    <row r="117" spans="2:6" x14ac:dyDescent="0.3">
      <c r="B117" s="176"/>
      <c r="C117" s="177"/>
      <c r="D117" s="177"/>
      <c r="E117" s="80"/>
      <c r="F117" s="80"/>
    </row>
    <row r="118" spans="2:6" x14ac:dyDescent="0.3">
      <c r="B118" s="176"/>
      <c r="C118" s="177"/>
      <c r="D118" s="177"/>
      <c r="E118" s="80"/>
      <c r="F118" s="80"/>
    </row>
    <row r="119" spans="2:6" x14ac:dyDescent="0.3">
      <c r="B119" s="176"/>
      <c r="C119" s="177"/>
      <c r="D119" s="177"/>
      <c r="E119" s="80"/>
      <c r="F119" s="80"/>
    </row>
    <row r="120" spans="2:6" x14ac:dyDescent="0.3">
      <c r="B120" s="176"/>
      <c r="C120" s="177"/>
      <c r="D120" s="177"/>
      <c r="E120" s="80"/>
      <c r="F120" s="80"/>
    </row>
    <row r="121" spans="2:6" x14ac:dyDescent="0.3">
      <c r="B121" s="176"/>
      <c r="C121" s="177"/>
      <c r="D121" s="177"/>
      <c r="E121" s="80"/>
      <c r="F121" s="80"/>
    </row>
    <row r="122" spans="2:6" x14ac:dyDescent="0.3">
      <c r="B122" s="176"/>
      <c r="C122" s="177"/>
      <c r="D122" s="177"/>
      <c r="E122" s="80"/>
      <c r="F122" s="80"/>
    </row>
    <row r="123" spans="2:6" x14ac:dyDescent="0.3">
      <c r="B123" s="176"/>
      <c r="C123" s="177"/>
      <c r="D123" s="177"/>
      <c r="E123" s="80"/>
      <c r="F123" s="80"/>
    </row>
    <row r="124" spans="2:6" x14ac:dyDescent="0.3">
      <c r="B124" s="176"/>
      <c r="C124" s="177"/>
      <c r="D124" s="177"/>
      <c r="E124" s="80"/>
      <c r="F124" s="80"/>
    </row>
    <row r="125" spans="2:6" x14ac:dyDescent="0.3">
      <c r="B125" s="176"/>
      <c r="C125" s="177"/>
      <c r="D125" s="177"/>
      <c r="E125" s="80"/>
      <c r="F125" s="80"/>
    </row>
    <row r="126" spans="2:6" x14ac:dyDescent="0.3">
      <c r="B126" s="176"/>
      <c r="C126" s="177"/>
      <c r="D126" s="177"/>
      <c r="E126" s="80"/>
      <c r="F126" s="80"/>
    </row>
    <row r="127" spans="2:6" x14ac:dyDescent="0.3">
      <c r="B127" s="176"/>
      <c r="C127" s="177"/>
      <c r="D127" s="177"/>
      <c r="E127" s="80"/>
      <c r="F127" s="80"/>
    </row>
    <row r="128" spans="2:6" x14ac:dyDescent="0.3">
      <c r="B128" s="176"/>
      <c r="C128" s="177"/>
      <c r="D128" s="177"/>
      <c r="E128" s="80"/>
      <c r="F128" s="80"/>
    </row>
    <row r="129" spans="2:6" x14ac:dyDescent="0.3">
      <c r="B129" s="176"/>
      <c r="C129" s="177"/>
      <c r="D129" s="177"/>
      <c r="E129" s="80"/>
      <c r="F129" s="80"/>
    </row>
    <row r="130" spans="2:6" x14ac:dyDescent="0.3">
      <c r="B130" s="176"/>
      <c r="C130" s="177"/>
      <c r="D130" s="177"/>
      <c r="E130" s="80"/>
      <c r="F130" s="80"/>
    </row>
    <row r="131" spans="2:6" x14ac:dyDescent="0.3">
      <c r="B131" s="176"/>
      <c r="C131" s="177"/>
      <c r="D131" s="177"/>
      <c r="E131" s="80"/>
      <c r="F131" s="80"/>
    </row>
    <row r="132" spans="2:6" x14ac:dyDescent="0.3">
      <c r="B132" s="176"/>
      <c r="C132" s="177"/>
      <c r="D132" s="177"/>
      <c r="E132" s="80"/>
      <c r="F132" s="80"/>
    </row>
    <row r="133" spans="2:6" x14ac:dyDescent="0.3">
      <c r="B133" s="176"/>
      <c r="C133" s="177"/>
      <c r="D133" s="177"/>
      <c r="E133" s="80"/>
      <c r="F133" s="80"/>
    </row>
    <row r="134" spans="2:6" x14ac:dyDescent="0.3">
      <c r="B134" s="176"/>
      <c r="C134" s="177"/>
      <c r="D134" s="177"/>
      <c r="E134" s="80"/>
      <c r="F134" s="80"/>
    </row>
    <row r="135" spans="2:6" x14ac:dyDescent="0.3">
      <c r="B135" s="176"/>
      <c r="C135" s="177"/>
      <c r="D135" s="177"/>
      <c r="E135" s="80"/>
      <c r="F135" s="80"/>
    </row>
    <row r="136" spans="2:6" x14ac:dyDescent="0.3">
      <c r="B136" s="176"/>
      <c r="C136" s="177"/>
      <c r="D136" s="177"/>
      <c r="E136" s="80"/>
      <c r="F136" s="80"/>
    </row>
    <row r="137" spans="2:6" x14ac:dyDescent="0.3">
      <c r="B137" s="176"/>
      <c r="C137" s="177"/>
      <c r="D137" s="177"/>
      <c r="E137" s="80"/>
      <c r="F137" s="80"/>
    </row>
    <row r="138" spans="2:6" x14ac:dyDescent="0.3">
      <c r="B138" s="176"/>
      <c r="C138" s="177"/>
      <c r="D138" s="177"/>
      <c r="E138" s="80"/>
      <c r="F138" s="80"/>
    </row>
    <row r="139" spans="2:6" x14ac:dyDescent="0.3">
      <c r="B139" s="176"/>
      <c r="C139" s="177"/>
      <c r="D139" s="177"/>
      <c r="E139" s="80"/>
      <c r="F139" s="80"/>
    </row>
    <row r="140" spans="2:6" x14ac:dyDescent="0.3">
      <c r="B140" s="176"/>
      <c r="C140" s="177"/>
      <c r="D140" s="177"/>
      <c r="E140" s="80"/>
      <c r="F140" s="80"/>
    </row>
    <row r="141" spans="2:6" x14ac:dyDescent="0.3">
      <c r="B141" s="176"/>
      <c r="C141" s="177"/>
      <c r="D141" s="177"/>
      <c r="E141" s="80"/>
      <c r="F141" s="80"/>
    </row>
    <row r="142" spans="2:6" x14ac:dyDescent="0.3">
      <c r="B142" s="176"/>
      <c r="C142" s="177"/>
      <c r="D142" s="177"/>
      <c r="E142" s="80"/>
      <c r="F142" s="80"/>
    </row>
    <row r="143" spans="2:6" x14ac:dyDescent="0.3">
      <c r="B143" s="176"/>
      <c r="C143" s="177"/>
      <c r="D143" s="177"/>
      <c r="E143" s="80"/>
      <c r="F143" s="80"/>
    </row>
    <row r="144" spans="2:6" x14ac:dyDescent="0.3">
      <c r="B144" s="176"/>
      <c r="C144" s="177"/>
      <c r="D144" s="177"/>
      <c r="E144" s="80"/>
      <c r="F144" s="80"/>
    </row>
    <row r="145" spans="2:6" x14ac:dyDescent="0.3">
      <c r="B145" s="176"/>
      <c r="C145" s="177"/>
      <c r="D145" s="177"/>
      <c r="E145" s="80"/>
      <c r="F145" s="80"/>
    </row>
    <row r="146" spans="2:6" x14ac:dyDescent="0.3">
      <c r="B146" s="176"/>
      <c r="C146" s="177"/>
      <c r="D146" s="177"/>
      <c r="E146" s="80"/>
      <c r="F146" s="80"/>
    </row>
    <row r="147" spans="2:6" x14ac:dyDescent="0.3">
      <c r="B147" s="176"/>
      <c r="C147" s="177"/>
      <c r="D147" s="177"/>
      <c r="E147" s="80"/>
      <c r="F147" s="80"/>
    </row>
    <row r="148" spans="2:6" x14ac:dyDescent="0.3">
      <c r="B148" s="176"/>
      <c r="C148" s="177"/>
      <c r="D148" s="177"/>
      <c r="E148" s="80"/>
      <c r="F148" s="80"/>
    </row>
    <row r="149" spans="2:6" x14ac:dyDescent="0.3">
      <c r="B149" s="176"/>
      <c r="C149" s="177"/>
      <c r="D149" s="177"/>
      <c r="E149" s="80"/>
      <c r="F149" s="80"/>
    </row>
    <row r="150" spans="2:6" x14ac:dyDescent="0.3">
      <c r="B150" s="176"/>
      <c r="C150" s="177"/>
      <c r="D150" s="177"/>
      <c r="E150" s="80"/>
      <c r="F150" s="80"/>
    </row>
    <row r="151" spans="2:6" x14ac:dyDescent="0.3">
      <c r="B151" s="176"/>
      <c r="C151" s="177"/>
      <c r="D151" s="177"/>
      <c r="E151" s="80"/>
      <c r="F151" s="80"/>
    </row>
    <row r="152" spans="2:6" x14ac:dyDescent="0.3">
      <c r="B152" s="176"/>
      <c r="C152" s="177"/>
      <c r="D152" s="177"/>
      <c r="E152" s="80"/>
      <c r="F152" s="80"/>
    </row>
    <row r="153" spans="2:6" x14ac:dyDescent="0.3">
      <c r="B153" s="176"/>
      <c r="C153" s="177"/>
      <c r="D153" s="177"/>
      <c r="E153" s="80"/>
      <c r="F153" s="80"/>
    </row>
    <row r="154" spans="2:6" x14ac:dyDescent="0.3">
      <c r="B154" s="176"/>
      <c r="C154" s="177"/>
      <c r="D154" s="177"/>
      <c r="E154" s="80"/>
      <c r="F154" s="80"/>
    </row>
    <row r="155" spans="2:6" x14ac:dyDescent="0.3">
      <c r="B155" s="176"/>
      <c r="C155" s="177"/>
      <c r="D155" s="177"/>
      <c r="E155" s="80"/>
      <c r="F155" s="80"/>
    </row>
    <row r="156" spans="2:6" x14ac:dyDescent="0.3">
      <c r="B156" s="176"/>
      <c r="C156" s="177"/>
      <c r="D156" s="177"/>
      <c r="E156" s="80"/>
      <c r="F156" s="80"/>
    </row>
    <row r="157" spans="2:6" x14ac:dyDescent="0.3">
      <c r="B157" s="176"/>
      <c r="C157" s="177"/>
      <c r="D157" s="177"/>
      <c r="E157" s="80"/>
      <c r="F157" s="80"/>
    </row>
    <row r="158" spans="2:6" x14ac:dyDescent="0.3">
      <c r="B158" s="176"/>
      <c r="C158" s="177"/>
      <c r="D158" s="177"/>
      <c r="E158" s="80"/>
      <c r="F158" s="80"/>
    </row>
    <row r="159" spans="2:6" x14ac:dyDescent="0.3">
      <c r="B159" s="176"/>
      <c r="C159" s="177"/>
      <c r="D159" s="177"/>
      <c r="E159" s="80"/>
      <c r="F159" s="80"/>
    </row>
    <row r="160" spans="2:6" x14ac:dyDescent="0.3">
      <c r="B160" s="176"/>
      <c r="C160" s="177"/>
      <c r="D160" s="177"/>
      <c r="E160" s="80"/>
      <c r="F160" s="80"/>
    </row>
    <row r="161" spans="2:6" x14ac:dyDescent="0.3">
      <c r="B161" s="176"/>
      <c r="C161" s="177"/>
      <c r="D161" s="177"/>
      <c r="E161" s="80"/>
      <c r="F161" s="80"/>
    </row>
    <row r="162" spans="2:6" x14ac:dyDescent="0.3">
      <c r="B162" s="176"/>
      <c r="C162" s="177"/>
      <c r="D162" s="177"/>
      <c r="E162" s="80"/>
      <c r="F162" s="80"/>
    </row>
    <row r="163" spans="2:6" x14ac:dyDescent="0.3">
      <c r="B163" s="176"/>
      <c r="C163" s="177"/>
      <c r="D163" s="177"/>
      <c r="E163" s="80"/>
      <c r="F163" s="80"/>
    </row>
    <row r="164" spans="2:6" x14ac:dyDescent="0.3">
      <c r="B164" s="176"/>
      <c r="C164" s="177"/>
      <c r="D164" s="177"/>
      <c r="E164" s="80"/>
      <c r="F164" s="80"/>
    </row>
    <row r="165" spans="2:6" x14ac:dyDescent="0.3">
      <c r="B165" s="176"/>
      <c r="C165" s="177"/>
      <c r="D165" s="177"/>
      <c r="E165" s="80"/>
      <c r="F165" s="80"/>
    </row>
    <row r="166" spans="2:6" x14ac:dyDescent="0.3">
      <c r="B166" s="176"/>
      <c r="C166" s="177"/>
      <c r="D166" s="177"/>
      <c r="E166" s="80"/>
      <c r="F166" s="80"/>
    </row>
    <row r="167" spans="2:6" x14ac:dyDescent="0.3">
      <c r="B167" s="176"/>
      <c r="C167" s="177"/>
      <c r="D167" s="177"/>
      <c r="E167" s="80"/>
      <c r="F167" s="80"/>
    </row>
    <row r="168" spans="2:6" x14ac:dyDescent="0.3">
      <c r="B168" s="176"/>
      <c r="C168" s="177"/>
      <c r="D168" s="177"/>
      <c r="E168" s="80"/>
      <c r="F168" s="80"/>
    </row>
    <row r="169" spans="2:6" x14ac:dyDescent="0.3">
      <c r="B169" s="176"/>
      <c r="C169" s="177"/>
      <c r="D169" s="177"/>
      <c r="E169" s="80"/>
      <c r="F169" s="80"/>
    </row>
    <row r="170" spans="2:6" x14ac:dyDescent="0.3">
      <c r="B170" s="176"/>
      <c r="C170" s="177"/>
      <c r="D170" s="177"/>
      <c r="E170" s="80"/>
      <c r="F170" s="80"/>
    </row>
    <row r="171" spans="2:6" x14ac:dyDescent="0.3">
      <c r="B171" s="176"/>
      <c r="C171" s="177"/>
      <c r="D171" s="177"/>
      <c r="E171" s="80"/>
      <c r="F171" s="80"/>
    </row>
    <row r="172" spans="2:6" x14ac:dyDescent="0.3">
      <c r="B172" s="176"/>
      <c r="C172" s="177"/>
      <c r="D172" s="177"/>
      <c r="E172" s="80"/>
      <c r="F172" s="80"/>
    </row>
    <row r="173" spans="2:6" x14ac:dyDescent="0.3">
      <c r="B173" s="176"/>
      <c r="C173" s="177"/>
      <c r="D173" s="177"/>
      <c r="E173" s="80"/>
      <c r="F173" s="80"/>
    </row>
    <row r="174" spans="2:6" x14ac:dyDescent="0.3">
      <c r="B174" s="176"/>
      <c r="C174" s="177"/>
      <c r="D174" s="177"/>
      <c r="E174" s="80"/>
      <c r="F174" s="80"/>
    </row>
    <row r="175" spans="2:6" x14ac:dyDescent="0.3">
      <c r="B175" s="176"/>
      <c r="C175" s="177"/>
      <c r="D175" s="177"/>
      <c r="E175" s="80"/>
      <c r="F175" s="80"/>
    </row>
    <row r="176" spans="2:6" x14ac:dyDescent="0.3">
      <c r="B176" s="176"/>
      <c r="C176" s="177"/>
      <c r="D176" s="177"/>
      <c r="E176" s="80"/>
      <c r="F176" s="80"/>
    </row>
    <row r="177" spans="2:6" x14ac:dyDescent="0.3">
      <c r="B177" s="176"/>
      <c r="C177" s="177"/>
      <c r="D177" s="177"/>
      <c r="E177" s="80"/>
      <c r="F177" s="80"/>
    </row>
    <row r="178" spans="2:6" x14ac:dyDescent="0.3">
      <c r="B178" s="176"/>
      <c r="C178" s="177"/>
      <c r="D178" s="177"/>
      <c r="E178" s="80"/>
      <c r="F178" s="80"/>
    </row>
    <row r="179" spans="2:6" x14ac:dyDescent="0.3">
      <c r="B179" s="176"/>
      <c r="C179" s="177"/>
      <c r="D179" s="177"/>
      <c r="E179" s="80"/>
      <c r="F179" s="80"/>
    </row>
    <row r="180" spans="2:6" x14ac:dyDescent="0.3">
      <c r="B180" s="176"/>
      <c r="C180" s="177"/>
      <c r="D180" s="177"/>
      <c r="E180" s="80"/>
      <c r="F180" s="80"/>
    </row>
    <row r="181" spans="2:6" x14ac:dyDescent="0.3">
      <c r="B181" s="176"/>
      <c r="C181" s="177"/>
      <c r="D181" s="177"/>
      <c r="E181" s="80"/>
      <c r="F181" s="80"/>
    </row>
    <row r="182" spans="2:6" x14ac:dyDescent="0.3">
      <c r="B182" s="176"/>
      <c r="C182" s="177"/>
      <c r="D182" s="177"/>
      <c r="E182" s="80"/>
      <c r="F182" s="80"/>
    </row>
    <row r="183" spans="2:6" x14ac:dyDescent="0.3">
      <c r="B183" s="176"/>
      <c r="C183" s="177"/>
      <c r="D183" s="177"/>
      <c r="E183" s="80"/>
      <c r="F183" s="80"/>
    </row>
    <row r="184" spans="2:6" x14ac:dyDescent="0.3">
      <c r="B184" s="176"/>
      <c r="C184" s="177"/>
      <c r="D184" s="177"/>
      <c r="E184" s="80"/>
      <c r="F184" s="80"/>
    </row>
    <row r="185" spans="2:6" x14ac:dyDescent="0.3">
      <c r="B185" s="176"/>
      <c r="C185" s="177"/>
      <c r="D185" s="177"/>
      <c r="E185" s="80"/>
      <c r="F185" s="80"/>
    </row>
    <row r="186" spans="2:6" x14ac:dyDescent="0.3">
      <c r="B186" s="176"/>
      <c r="C186" s="177"/>
      <c r="D186" s="177"/>
      <c r="E186" s="80"/>
      <c r="F186" s="80"/>
    </row>
    <row r="187" spans="2:6" x14ac:dyDescent="0.3">
      <c r="B187" s="176"/>
      <c r="C187" s="177"/>
      <c r="D187" s="177"/>
      <c r="E187" s="80"/>
      <c r="F187" s="80"/>
    </row>
    <row r="188" spans="2:6" x14ac:dyDescent="0.3">
      <c r="B188" s="176"/>
      <c r="C188" s="177"/>
      <c r="D188" s="177"/>
      <c r="E188" s="80"/>
      <c r="F188" s="80"/>
    </row>
    <row r="189" spans="2:6" x14ac:dyDescent="0.3">
      <c r="B189" s="176"/>
      <c r="C189" s="177"/>
      <c r="D189" s="177"/>
      <c r="E189" s="80"/>
      <c r="F189" s="80"/>
    </row>
    <row r="190" spans="2:6" x14ac:dyDescent="0.3">
      <c r="B190" s="176"/>
      <c r="C190" s="177"/>
      <c r="D190" s="177"/>
      <c r="E190" s="80"/>
      <c r="F190" s="80"/>
    </row>
    <row r="191" spans="2:6" x14ac:dyDescent="0.3">
      <c r="B191" s="176"/>
      <c r="C191" s="177"/>
      <c r="D191" s="177"/>
      <c r="E191" s="80"/>
      <c r="F191" s="80"/>
    </row>
    <row r="192" spans="2:6" x14ac:dyDescent="0.3">
      <c r="B192" s="176"/>
      <c r="C192" s="177"/>
      <c r="D192" s="177"/>
      <c r="E192" s="80"/>
      <c r="F192" s="80"/>
    </row>
    <row r="193" spans="2:6" x14ac:dyDescent="0.3">
      <c r="B193" s="176"/>
      <c r="C193" s="177"/>
      <c r="D193" s="177"/>
      <c r="E193" s="80"/>
      <c r="F193" s="80"/>
    </row>
    <row r="194" spans="2:6" x14ac:dyDescent="0.3">
      <c r="B194" s="176"/>
      <c r="C194" s="177"/>
      <c r="D194" s="177"/>
      <c r="E194" s="80"/>
      <c r="F194" s="80"/>
    </row>
    <row r="195" spans="2:6" x14ac:dyDescent="0.3">
      <c r="B195" s="176"/>
      <c r="C195" s="177"/>
      <c r="D195" s="177"/>
      <c r="E195" s="80"/>
      <c r="F195" s="80"/>
    </row>
    <row r="196" spans="2:6" x14ac:dyDescent="0.3">
      <c r="B196" s="176"/>
      <c r="C196" s="177"/>
      <c r="D196" s="177"/>
      <c r="E196" s="80"/>
      <c r="F196" s="80"/>
    </row>
    <row r="197" spans="2:6" x14ac:dyDescent="0.3">
      <c r="B197" s="176"/>
      <c r="C197" s="177"/>
      <c r="D197" s="177"/>
      <c r="E197" s="80"/>
      <c r="F197" s="80"/>
    </row>
    <row r="198" spans="2:6" x14ac:dyDescent="0.3">
      <c r="B198" s="176"/>
      <c r="C198" s="177"/>
      <c r="D198" s="177"/>
      <c r="E198" s="80"/>
      <c r="F198" s="80"/>
    </row>
    <row r="199" spans="2:6" x14ac:dyDescent="0.3">
      <c r="B199" s="176"/>
      <c r="C199" s="177"/>
      <c r="D199" s="177"/>
      <c r="E199" s="80"/>
      <c r="F199" s="80"/>
    </row>
    <row r="200" spans="2:6" x14ac:dyDescent="0.3">
      <c r="B200" s="176"/>
      <c r="C200" s="177"/>
      <c r="D200" s="177"/>
      <c r="E200" s="80"/>
      <c r="F200" s="80"/>
    </row>
    <row r="201" spans="2:6" x14ac:dyDescent="0.3">
      <c r="B201" s="176"/>
      <c r="C201" s="177"/>
      <c r="D201" s="177"/>
      <c r="E201" s="80"/>
      <c r="F201" s="80"/>
    </row>
    <row r="202" spans="2:6" x14ac:dyDescent="0.3">
      <c r="B202" s="176"/>
      <c r="C202" s="177"/>
      <c r="D202" s="177"/>
      <c r="E202" s="80"/>
      <c r="F202" s="80"/>
    </row>
    <row r="203" spans="2:6" x14ac:dyDescent="0.3">
      <c r="B203" s="176"/>
      <c r="C203" s="177"/>
      <c r="D203" s="177"/>
      <c r="E203" s="80"/>
      <c r="F203" s="80"/>
    </row>
    <row r="204" spans="2:6" x14ac:dyDescent="0.3">
      <c r="B204" s="176"/>
      <c r="C204" s="177"/>
      <c r="D204" s="177"/>
      <c r="E204" s="80"/>
      <c r="F204" s="80"/>
    </row>
    <row r="205" spans="2:6" x14ac:dyDescent="0.3">
      <c r="B205" s="176"/>
      <c r="C205" s="177"/>
      <c r="D205" s="177"/>
      <c r="E205" s="80"/>
      <c r="F205" s="80"/>
    </row>
    <row r="206" spans="2:6" x14ac:dyDescent="0.3">
      <c r="B206" s="176"/>
      <c r="C206" s="177"/>
      <c r="D206" s="177"/>
      <c r="E206" s="80"/>
      <c r="F206" s="80"/>
    </row>
    <row r="207" spans="2:6" x14ac:dyDescent="0.3">
      <c r="B207" s="176"/>
      <c r="C207" s="177"/>
      <c r="D207" s="177"/>
      <c r="E207" s="80"/>
      <c r="F207" s="80"/>
    </row>
    <row r="208" spans="2:6" x14ac:dyDescent="0.3">
      <c r="B208" s="176"/>
      <c r="C208" s="177"/>
      <c r="D208" s="177"/>
      <c r="E208" s="80"/>
      <c r="F208" s="80"/>
    </row>
    <row r="209" spans="2:6" x14ac:dyDescent="0.3">
      <c r="B209" s="176"/>
      <c r="C209" s="177"/>
      <c r="D209" s="177"/>
      <c r="E209" s="80"/>
      <c r="F209" s="80"/>
    </row>
    <row r="210" spans="2:6" x14ac:dyDescent="0.3">
      <c r="B210" s="176"/>
      <c r="C210" s="177"/>
      <c r="D210" s="177"/>
      <c r="E210" s="80"/>
      <c r="F210" s="80"/>
    </row>
    <row r="211" spans="2:6" x14ac:dyDescent="0.3">
      <c r="B211" s="176"/>
      <c r="C211" s="177"/>
      <c r="D211" s="177"/>
      <c r="E211" s="80"/>
      <c r="F211" s="80"/>
    </row>
    <row r="212" spans="2:6" x14ac:dyDescent="0.3">
      <c r="B212" s="176"/>
      <c r="C212" s="177"/>
      <c r="D212" s="177"/>
      <c r="E212" s="80"/>
      <c r="F212" s="80"/>
    </row>
    <row r="213" spans="2:6" x14ac:dyDescent="0.3">
      <c r="B213" s="176"/>
      <c r="C213" s="177"/>
      <c r="D213" s="177"/>
      <c r="E213" s="80"/>
      <c r="F213" s="80"/>
    </row>
    <row r="214" spans="2:6" x14ac:dyDescent="0.3">
      <c r="B214" s="176"/>
      <c r="C214" s="177"/>
      <c r="D214" s="177"/>
      <c r="E214" s="80"/>
      <c r="F214" s="80"/>
    </row>
    <row r="215" spans="2:6" x14ac:dyDescent="0.3">
      <c r="B215" s="176"/>
      <c r="C215" s="177"/>
      <c r="D215" s="177"/>
      <c r="E215" s="80"/>
      <c r="F215" s="80"/>
    </row>
    <row r="216" spans="2:6" x14ac:dyDescent="0.3">
      <c r="B216" s="176"/>
      <c r="C216" s="177"/>
      <c r="D216" s="177"/>
      <c r="E216" s="80"/>
      <c r="F216" s="80"/>
    </row>
    <row r="217" spans="2:6" x14ac:dyDescent="0.3">
      <c r="B217" s="176"/>
      <c r="C217" s="177"/>
      <c r="D217" s="177"/>
      <c r="E217" s="80"/>
      <c r="F217" s="80"/>
    </row>
    <row r="218" spans="2:6" x14ac:dyDescent="0.3">
      <c r="B218" s="176"/>
      <c r="C218" s="177"/>
      <c r="D218" s="177"/>
      <c r="E218" s="80"/>
      <c r="F218" s="80"/>
    </row>
    <row r="219" spans="2:6" x14ac:dyDescent="0.3">
      <c r="B219" s="176"/>
      <c r="C219" s="177"/>
      <c r="D219" s="177"/>
      <c r="E219" s="80"/>
      <c r="F219" s="80"/>
    </row>
    <row r="220" spans="2:6" x14ac:dyDescent="0.3">
      <c r="B220" s="176"/>
      <c r="C220" s="177"/>
      <c r="D220" s="177"/>
      <c r="E220" s="80"/>
      <c r="F220" s="80"/>
    </row>
    <row r="221" spans="2:6" x14ac:dyDescent="0.3">
      <c r="B221" s="176"/>
      <c r="C221" s="177"/>
      <c r="D221" s="177"/>
      <c r="E221" s="80"/>
      <c r="F221" s="80"/>
    </row>
    <row r="222" spans="2:6" x14ac:dyDescent="0.3">
      <c r="B222" s="176"/>
      <c r="C222" s="177"/>
      <c r="D222" s="177"/>
      <c r="E222" s="80"/>
      <c r="F222" s="80"/>
    </row>
    <row r="223" spans="2:6" x14ac:dyDescent="0.3">
      <c r="B223" s="176"/>
      <c r="C223" s="177"/>
      <c r="D223" s="177"/>
      <c r="E223" s="80"/>
      <c r="F223" s="80"/>
    </row>
    <row r="224" spans="2:6" x14ac:dyDescent="0.3">
      <c r="B224" s="176"/>
      <c r="C224" s="177"/>
      <c r="D224" s="177"/>
      <c r="E224" s="80"/>
      <c r="F224" s="80"/>
    </row>
    <row r="225" spans="2:6" x14ac:dyDescent="0.3">
      <c r="B225" s="176"/>
      <c r="C225" s="177"/>
      <c r="D225" s="177"/>
      <c r="E225" s="80"/>
      <c r="F225" s="80"/>
    </row>
    <row r="226" spans="2:6" x14ac:dyDescent="0.3">
      <c r="B226" s="176"/>
      <c r="C226" s="177"/>
      <c r="D226" s="177"/>
      <c r="E226" s="80"/>
      <c r="F226" s="80"/>
    </row>
    <row r="227" spans="2:6" x14ac:dyDescent="0.3">
      <c r="B227" s="176"/>
      <c r="C227" s="177"/>
      <c r="D227" s="177"/>
      <c r="E227" s="80"/>
      <c r="F227" s="80"/>
    </row>
    <row r="228" spans="2:6" x14ac:dyDescent="0.3">
      <c r="B228" s="176"/>
      <c r="C228" s="177"/>
      <c r="D228" s="177"/>
      <c r="E228" s="80"/>
      <c r="F228" s="80"/>
    </row>
    <row r="229" spans="2:6" x14ac:dyDescent="0.3">
      <c r="B229" s="176"/>
      <c r="C229" s="177"/>
      <c r="D229" s="177"/>
      <c r="E229" s="80"/>
      <c r="F229" s="80"/>
    </row>
    <row r="230" spans="2:6" x14ac:dyDescent="0.3">
      <c r="B230" s="176"/>
      <c r="C230" s="177"/>
      <c r="D230" s="177"/>
      <c r="E230" s="80"/>
      <c r="F230" s="80"/>
    </row>
    <row r="231" spans="2:6" x14ac:dyDescent="0.3">
      <c r="B231" s="176"/>
      <c r="C231" s="177"/>
      <c r="D231" s="177"/>
      <c r="E231" s="80"/>
      <c r="F231" s="80"/>
    </row>
    <row r="232" spans="2:6" x14ac:dyDescent="0.3">
      <c r="B232" s="176"/>
      <c r="C232" s="177"/>
      <c r="D232" s="177"/>
      <c r="E232" s="80"/>
      <c r="F232" s="80"/>
    </row>
    <row r="233" spans="2:6" x14ac:dyDescent="0.3">
      <c r="B233" s="176"/>
      <c r="C233" s="177"/>
      <c r="D233" s="177"/>
      <c r="E233" s="80"/>
      <c r="F233" s="80"/>
    </row>
    <row r="234" spans="2:6" x14ac:dyDescent="0.3">
      <c r="B234" s="176"/>
      <c r="C234" s="177"/>
      <c r="D234" s="177"/>
      <c r="E234" s="80"/>
      <c r="F234" s="80"/>
    </row>
    <row r="235" spans="2:6" x14ac:dyDescent="0.3">
      <c r="B235" s="176"/>
      <c r="C235" s="177"/>
      <c r="D235" s="177"/>
      <c r="E235" s="80"/>
      <c r="F235" s="80"/>
    </row>
    <row r="236" spans="2:6" x14ac:dyDescent="0.3">
      <c r="B236" s="176"/>
      <c r="C236" s="177"/>
      <c r="D236" s="177"/>
      <c r="E236" s="80"/>
      <c r="F236" s="80"/>
    </row>
    <row r="237" spans="2:6" x14ac:dyDescent="0.3">
      <c r="B237" s="176"/>
      <c r="C237" s="177"/>
      <c r="D237" s="177"/>
      <c r="E237" s="80"/>
      <c r="F237" s="80"/>
    </row>
    <row r="238" spans="2:6" x14ac:dyDescent="0.3">
      <c r="B238" s="176"/>
      <c r="C238" s="177"/>
      <c r="D238" s="177"/>
      <c r="E238" s="80"/>
      <c r="F238" s="80"/>
    </row>
    <row r="239" spans="2:6" x14ac:dyDescent="0.3">
      <c r="B239" s="176"/>
      <c r="C239" s="177"/>
      <c r="D239" s="177"/>
      <c r="E239" s="80"/>
      <c r="F239" s="80"/>
    </row>
    <row r="240" spans="2:6" x14ac:dyDescent="0.3">
      <c r="B240" s="176"/>
      <c r="C240" s="177"/>
      <c r="D240" s="177"/>
      <c r="E240" s="80"/>
      <c r="F240" s="80"/>
    </row>
    <row r="241" spans="2:6" x14ac:dyDescent="0.3">
      <c r="B241" s="176"/>
      <c r="C241" s="177"/>
      <c r="D241" s="177"/>
      <c r="E241" s="80"/>
      <c r="F241" s="80"/>
    </row>
    <row r="242" spans="2:6" x14ac:dyDescent="0.3">
      <c r="B242" s="176"/>
      <c r="C242" s="177"/>
      <c r="D242" s="177"/>
      <c r="E242" s="80"/>
      <c r="F242" s="80"/>
    </row>
    <row r="243" spans="2:6" x14ac:dyDescent="0.3">
      <c r="B243" s="176"/>
      <c r="C243" s="177"/>
      <c r="D243" s="177"/>
      <c r="E243" s="80"/>
      <c r="F243" s="80"/>
    </row>
    <row r="244" spans="2:6" x14ac:dyDescent="0.3">
      <c r="B244" s="176"/>
      <c r="C244" s="177"/>
      <c r="D244" s="177"/>
      <c r="E244" s="80"/>
      <c r="F244" s="80"/>
    </row>
    <row r="245" spans="2:6" x14ac:dyDescent="0.3">
      <c r="B245" s="176"/>
      <c r="C245" s="177"/>
      <c r="D245" s="177"/>
      <c r="E245" s="80"/>
      <c r="F245" s="80"/>
    </row>
    <row r="246" spans="2:6" x14ac:dyDescent="0.3">
      <c r="B246" s="176"/>
      <c r="C246" s="177"/>
      <c r="D246" s="177"/>
      <c r="E246" s="80"/>
      <c r="F246" s="80"/>
    </row>
    <row r="247" spans="2:6" x14ac:dyDescent="0.3">
      <c r="B247" s="176"/>
      <c r="C247" s="177"/>
      <c r="D247" s="177"/>
      <c r="E247" s="80"/>
      <c r="F247" s="80"/>
    </row>
    <row r="248" spans="2:6" x14ac:dyDescent="0.3">
      <c r="B248" s="176"/>
      <c r="C248" s="177"/>
      <c r="D248" s="177"/>
      <c r="E248" s="80"/>
      <c r="F248" s="80"/>
    </row>
    <row r="249" spans="2:6" x14ac:dyDescent="0.3">
      <c r="B249" s="176"/>
      <c r="C249" s="177"/>
      <c r="D249" s="177"/>
      <c r="E249" s="80"/>
      <c r="F249" s="80"/>
    </row>
    <row r="250" spans="2:6" x14ac:dyDescent="0.3">
      <c r="B250" s="176"/>
      <c r="C250" s="177"/>
      <c r="D250" s="177"/>
      <c r="E250" s="80"/>
      <c r="F250" s="80"/>
    </row>
    <row r="251" spans="2:6" x14ac:dyDescent="0.3">
      <c r="B251" s="176"/>
      <c r="C251" s="177"/>
      <c r="D251" s="177"/>
      <c r="E251" s="80"/>
      <c r="F251" s="80"/>
    </row>
    <row r="252" spans="2:6" x14ac:dyDescent="0.3">
      <c r="B252" s="176"/>
      <c r="C252" s="177"/>
      <c r="D252" s="177"/>
      <c r="E252" s="80"/>
      <c r="F252" s="80"/>
    </row>
    <row r="253" spans="2:6" x14ac:dyDescent="0.3">
      <c r="B253" s="176"/>
      <c r="C253" s="177"/>
      <c r="D253" s="177"/>
      <c r="E253" s="80"/>
      <c r="F253" s="80"/>
    </row>
    <row r="254" spans="2:6" x14ac:dyDescent="0.3">
      <c r="B254" s="176"/>
      <c r="C254" s="177"/>
      <c r="D254" s="177"/>
      <c r="E254" s="80"/>
      <c r="F254" s="80"/>
    </row>
    <row r="255" spans="2:6" x14ac:dyDescent="0.3">
      <c r="B255" s="176"/>
      <c r="C255" s="177"/>
      <c r="D255" s="177"/>
      <c r="E255" s="80"/>
      <c r="F255" s="80"/>
    </row>
    <row r="256" spans="2:6" x14ac:dyDescent="0.3">
      <c r="B256" s="176"/>
      <c r="C256" s="177"/>
      <c r="D256" s="177"/>
      <c r="E256" s="80"/>
      <c r="F256" s="80"/>
    </row>
    <row r="257" spans="2:6" x14ac:dyDescent="0.3">
      <c r="B257" s="176"/>
      <c r="C257" s="177"/>
      <c r="D257" s="177"/>
      <c r="E257" s="80"/>
      <c r="F257" s="80"/>
    </row>
    <row r="258" spans="2:6" x14ac:dyDescent="0.3">
      <c r="B258" s="176"/>
      <c r="C258" s="177"/>
      <c r="D258" s="177"/>
      <c r="E258" s="80"/>
      <c r="F258" s="80"/>
    </row>
    <row r="259" spans="2:6" x14ac:dyDescent="0.3">
      <c r="B259" s="176"/>
      <c r="C259" s="177"/>
      <c r="D259" s="177"/>
      <c r="E259" s="80"/>
      <c r="F259" s="80"/>
    </row>
    <row r="260" spans="2:6" x14ac:dyDescent="0.3">
      <c r="B260" s="176"/>
      <c r="C260" s="177"/>
      <c r="D260" s="177"/>
      <c r="E260" s="80"/>
      <c r="F260" s="80"/>
    </row>
    <row r="261" spans="2:6" x14ac:dyDescent="0.3">
      <c r="B261" s="176"/>
      <c r="C261" s="177"/>
      <c r="D261" s="177"/>
      <c r="E261" s="80"/>
      <c r="F261" s="80"/>
    </row>
    <row r="262" spans="2:6" x14ac:dyDescent="0.3">
      <c r="B262" s="176"/>
      <c r="C262" s="177"/>
      <c r="D262" s="177"/>
      <c r="E262" s="80"/>
      <c r="F262" s="80"/>
    </row>
    <row r="263" spans="2:6" x14ac:dyDescent="0.3">
      <c r="B263" s="176"/>
      <c r="C263" s="177"/>
      <c r="D263" s="177"/>
      <c r="E263" s="80"/>
      <c r="F263" s="80"/>
    </row>
    <row r="264" spans="2:6" x14ac:dyDescent="0.3">
      <c r="B264" s="176"/>
      <c r="C264" s="177"/>
      <c r="D264" s="177"/>
      <c r="E264" s="80"/>
      <c r="F264" s="80"/>
    </row>
    <row r="265" spans="2:6" x14ac:dyDescent="0.3">
      <c r="B265" s="176"/>
      <c r="C265" s="177"/>
      <c r="D265" s="177"/>
      <c r="E265" s="80"/>
      <c r="F265" s="80"/>
    </row>
    <row r="266" spans="2:6" x14ac:dyDescent="0.3">
      <c r="B266" s="176"/>
      <c r="C266" s="177"/>
      <c r="D266" s="177"/>
      <c r="E266" s="80"/>
      <c r="F266" s="80"/>
    </row>
    <row r="267" spans="2:6" x14ac:dyDescent="0.3">
      <c r="B267" s="176"/>
      <c r="C267" s="177"/>
      <c r="D267" s="177"/>
      <c r="E267" s="80"/>
      <c r="F267" s="80"/>
    </row>
    <row r="268" spans="2:6" x14ac:dyDescent="0.3">
      <c r="B268" s="176"/>
      <c r="C268" s="177"/>
      <c r="D268" s="177"/>
      <c r="E268" s="80"/>
      <c r="F268" s="80"/>
    </row>
    <row r="269" spans="2:6" x14ac:dyDescent="0.3">
      <c r="B269" s="176"/>
      <c r="C269" s="177"/>
      <c r="D269" s="177"/>
      <c r="E269" s="80"/>
      <c r="F269" s="80"/>
    </row>
    <row r="270" spans="2:6" x14ac:dyDescent="0.3">
      <c r="B270" s="176"/>
      <c r="C270" s="177"/>
      <c r="D270" s="177"/>
      <c r="E270" s="80"/>
      <c r="F270" s="80"/>
    </row>
    <row r="271" spans="2:6" x14ac:dyDescent="0.3">
      <c r="B271" s="176"/>
      <c r="C271" s="177"/>
      <c r="D271" s="177"/>
      <c r="E271" s="80"/>
      <c r="F271" s="80"/>
    </row>
    <row r="272" spans="2:6" x14ac:dyDescent="0.3">
      <c r="B272" s="176"/>
      <c r="C272" s="177"/>
      <c r="D272" s="177"/>
      <c r="E272" s="80"/>
      <c r="F272" s="80"/>
    </row>
    <row r="273" spans="2:6" x14ac:dyDescent="0.3">
      <c r="B273" s="176"/>
      <c r="C273" s="177"/>
      <c r="D273" s="177"/>
      <c r="E273" s="80"/>
      <c r="F273" s="80"/>
    </row>
    <row r="274" spans="2:6" x14ac:dyDescent="0.3">
      <c r="B274" s="176"/>
      <c r="C274" s="177"/>
      <c r="D274" s="177"/>
      <c r="E274" s="80"/>
      <c r="F274" s="80"/>
    </row>
    <row r="275" spans="2:6" x14ac:dyDescent="0.3">
      <c r="B275" s="176"/>
      <c r="C275" s="177"/>
      <c r="D275" s="177"/>
      <c r="E275" s="80"/>
      <c r="F275" s="80"/>
    </row>
    <row r="276" spans="2:6" x14ac:dyDescent="0.3">
      <c r="B276" s="176"/>
      <c r="C276" s="177"/>
      <c r="D276" s="177"/>
      <c r="E276" s="80"/>
      <c r="F276" s="80"/>
    </row>
    <row r="277" spans="2:6" x14ac:dyDescent="0.3">
      <c r="B277" s="176"/>
      <c r="C277" s="177"/>
      <c r="D277" s="177"/>
      <c r="E277" s="80"/>
      <c r="F277" s="80"/>
    </row>
    <row r="278" spans="2:6" x14ac:dyDescent="0.3">
      <c r="B278" s="176"/>
      <c r="C278" s="177"/>
      <c r="D278" s="177"/>
      <c r="E278" s="80"/>
      <c r="F278" s="80"/>
    </row>
    <row r="279" spans="2:6" x14ac:dyDescent="0.3">
      <c r="B279" s="176"/>
      <c r="C279" s="177"/>
      <c r="D279" s="177"/>
      <c r="E279" s="80"/>
      <c r="F279" s="80"/>
    </row>
    <row r="280" spans="2:6" x14ac:dyDescent="0.3">
      <c r="B280" s="176"/>
      <c r="C280" s="177"/>
      <c r="D280" s="177"/>
      <c r="E280" s="80"/>
      <c r="F280" s="80"/>
    </row>
    <row r="281" spans="2:6" x14ac:dyDescent="0.3">
      <c r="B281" s="176"/>
      <c r="C281" s="177"/>
      <c r="D281" s="177"/>
      <c r="E281" s="80"/>
      <c r="F281" s="80"/>
    </row>
    <row r="282" spans="2:6" x14ac:dyDescent="0.3">
      <c r="B282" s="176"/>
      <c r="C282" s="177"/>
      <c r="D282" s="177"/>
      <c r="E282" s="80"/>
      <c r="F282" s="80"/>
    </row>
    <row r="283" spans="2:6" x14ac:dyDescent="0.3">
      <c r="B283" s="176"/>
      <c r="C283" s="177"/>
      <c r="D283" s="177"/>
      <c r="E283" s="80"/>
      <c r="F283" s="80"/>
    </row>
    <row r="284" spans="2:6" x14ac:dyDescent="0.3">
      <c r="B284" s="176"/>
      <c r="C284" s="177"/>
      <c r="D284" s="177"/>
      <c r="E284" s="80"/>
      <c r="F284" s="80"/>
    </row>
    <row r="285" spans="2:6" x14ac:dyDescent="0.3">
      <c r="B285" s="176"/>
      <c r="C285" s="177"/>
      <c r="D285" s="177"/>
      <c r="E285" s="80"/>
      <c r="F285" s="80"/>
    </row>
    <row r="286" spans="2:6" x14ac:dyDescent="0.3">
      <c r="B286" s="176"/>
      <c r="C286" s="177"/>
      <c r="D286" s="177"/>
      <c r="E286" s="80"/>
      <c r="F286" s="80"/>
    </row>
    <row r="287" spans="2:6" x14ac:dyDescent="0.3">
      <c r="B287" s="176"/>
      <c r="C287" s="177"/>
      <c r="D287" s="177"/>
      <c r="E287" s="80"/>
      <c r="F287" s="80"/>
    </row>
    <row r="288" spans="2:6" x14ac:dyDescent="0.3">
      <c r="B288" s="176"/>
      <c r="C288" s="177"/>
      <c r="D288" s="177"/>
      <c r="E288" s="80"/>
      <c r="F288" s="80"/>
    </row>
    <row r="289" spans="2:6" x14ac:dyDescent="0.3">
      <c r="B289" s="176"/>
      <c r="C289" s="177"/>
      <c r="D289" s="177"/>
      <c r="E289" s="80"/>
      <c r="F289" s="80"/>
    </row>
    <row r="290" spans="2:6" x14ac:dyDescent="0.3">
      <c r="B290" s="176"/>
      <c r="C290" s="177"/>
      <c r="D290" s="177"/>
      <c r="E290" s="80"/>
      <c r="F290" s="80"/>
    </row>
    <row r="291" spans="2:6" x14ac:dyDescent="0.3">
      <c r="B291" s="176"/>
      <c r="C291" s="177"/>
      <c r="D291" s="177"/>
      <c r="E291" s="80"/>
      <c r="F291" s="80"/>
    </row>
    <row r="292" spans="2:6" x14ac:dyDescent="0.3">
      <c r="B292" s="176"/>
      <c r="C292" s="177"/>
      <c r="D292" s="177"/>
      <c r="E292" s="80"/>
      <c r="F292" s="80"/>
    </row>
    <row r="293" spans="2:6" x14ac:dyDescent="0.3">
      <c r="B293" s="176"/>
      <c r="C293" s="177"/>
      <c r="D293" s="177"/>
      <c r="E293" s="80"/>
      <c r="F293" s="80"/>
    </row>
    <row r="294" spans="2:6" x14ac:dyDescent="0.3">
      <c r="B294" s="176"/>
      <c r="C294" s="177"/>
      <c r="D294" s="177"/>
      <c r="E294" s="80"/>
      <c r="F294" s="80"/>
    </row>
    <row r="295" spans="2:6" x14ac:dyDescent="0.3">
      <c r="B295" s="176"/>
      <c r="C295" s="177"/>
      <c r="D295" s="177"/>
      <c r="E295" s="80"/>
      <c r="F295" s="80"/>
    </row>
    <row r="296" spans="2:6" x14ac:dyDescent="0.3">
      <c r="B296" s="176"/>
      <c r="C296" s="177"/>
      <c r="D296" s="177"/>
      <c r="E296" s="80"/>
      <c r="F296" s="80"/>
    </row>
    <row r="297" spans="2:6" x14ac:dyDescent="0.3">
      <c r="B297" s="176"/>
      <c r="C297" s="177"/>
      <c r="D297" s="177"/>
      <c r="E297" s="80"/>
      <c r="F297" s="80"/>
    </row>
    <row r="298" spans="2:6" x14ac:dyDescent="0.3">
      <c r="B298" s="176"/>
      <c r="C298" s="177"/>
      <c r="D298" s="177"/>
      <c r="E298" s="80"/>
      <c r="F298" s="80"/>
    </row>
    <row r="299" spans="2:6" x14ac:dyDescent="0.3">
      <c r="B299" s="176"/>
      <c r="C299" s="177"/>
      <c r="D299" s="177"/>
      <c r="E299" s="80"/>
      <c r="F299" s="80"/>
    </row>
    <row r="300" spans="2:6" x14ac:dyDescent="0.3">
      <c r="B300" s="176"/>
      <c r="C300" s="177"/>
      <c r="D300" s="177"/>
      <c r="E300" s="80"/>
      <c r="F300" s="80"/>
    </row>
    <row r="301" spans="2:6" x14ac:dyDescent="0.3">
      <c r="B301" s="176"/>
      <c r="C301" s="177"/>
      <c r="D301" s="177"/>
      <c r="E301" s="80"/>
      <c r="F301" s="80"/>
    </row>
    <row r="302" spans="2:6" x14ac:dyDescent="0.3">
      <c r="B302" s="176"/>
      <c r="C302" s="177"/>
      <c r="D302" s="177"/>
      <c r="E302" s="80"/>
      <c r="F302" s="80"/>
    </row>
    <row r="303" spans="2:6" x14ac:dyDescent="0.3">
      <c r="B303" s="176"/>
      <c r="C303" s="177"/>
      <c r="D303" s="177"/>
      <c r="E303" s="80"/>
      <c r="F303" s="80"/>
    </row>
    <row r="304" spans="2:6" x14ac:dyDescent="0.3">
      <c r="B304" s="176"/>
      <c r="C304" s="177"/>
      <c r="D304" s="177"/>
      <c r="E304" s="80"/>
      <c r="F304" s="80"/>
    </row>
    <row r="305" spans="2:6" x14ac:dyDescent="0.3">
      <c r="B305" s="176"/>
      <c r="C305" s="177"/>
      <c r="D305" s="177"/>
      <c r="E305" s="80"/>
      <c r="F305" s="80"/>
    </row>
    <row r="306" spans="2:6" x14ac:dyDescent="0.3">
      <c r="B306" s="176"/>
      <c r="C306" s="177"/>
      <c r="D306" s="177"/>
      <c r="E306" s="80"/>
      <c r="F306" s="80"/>
    </row>
    <row r="307" spans="2:6" x14ac:dyDescent="0.3">
      <c r="B307" s="176"/>
      <c r="C307" s="177"/>
      <c r="D307" s="177"/>
      <c r="E307" s="80"/>
      <c r="F307" s="80"/>
    </row>
    <row r="308" spans="2:6" x14ac:dyDescent="0.3">
      <c r="B308" s="176"/>
      <c r="C308" s="177"/>
      <c r="D308" s="177"/>
      <c r="E308" s="80"/>
      <c r="F308" s="80"/>
    </row>
    <row r="309" spans="2:6" x14ac:dyDescent="0.3">
      <c r="B309" s="176"/>
      <c r="C309" s="177"/>
      <c r="D309" s="177"/>
      <c r="E309" s="80"/>
      <c r="F309" s="80"/>
    </row>
    <row r="310" spans="2:6" x14ac:dyDescent="0.3">
      <c r="B310" s="176"/>
      <c r="C310" s="177"/>
      <c r="D310" s="177"/>
      <c r="E310" s="80"/>
      <c r="F310" s="80"/>
    </row>
    <row r="311" spans="2:6" x14ac:dyDescent="0.3">
      <c r="B311" s="176"/>
      <c r="C311" s="177"/>
      <c r="D311" s="177"/>
      <c r="E311" s="80"/>
      <c r="F311" s="80"/>
    </row>
    <row r="312" spans="2:6" x14ac:dyDescent="0.3">
      <c r="B312" s="176"/>
      <c r="C312" s="177"/>
      <c r="D312" s="177"/>
      <c r="E312" s="80"/>
      <c r="F312" s="80"/>
    </row>
    <row r="313" spans="2:6" x14ac:dyDescent="0.3">
      <c r="B313" s="176"/>
      <c r="C313" s="177"/>
      <c r="D313" s="177"/>
      <c r="E313" s="80"/>
      <c r="F313" s="80"/>
    </row>
    <row r="314" spans="2:6" x14ac:dyDescent="0.3">
      <c r="B314" s="176"/>
      <c r="C314" s="177"/>
      <c r="D314" s="177"/>
      <c r="E314" s="80"/>
      <c r="F314" s="80"/>
    </row>
    <row r="315" spans="2:6" x14ac:dyDescent="0.3">
      <c r="B315" s="176"/>
      <c r="C315" s="177"/>
      <c r="D315" s="177"/>
      <c r="E315" s="80"/>
      <c r="F315" s="80"/>
    </row>
    <row r="316" spans="2:6" x14ac:dyDescent="0.3">
      <c r="B316" s="176"/>
      <c r="C316" s="177"/>
      <c r="D316" s="177"/>
      <c r="E316" s="80"/>
      <c r="F316" s="80"/>
    </row>
    <row r="317" spans="2:6" x14ac:dyDescent="0.3">
      <c r="B317" s="176"/>
      <c r="C317" s="177"/>
      <c r="D317" s="177"/>
      <c r="E317" s="80"/>
      <c r="F317" s="80"/>
    </row>
    <row r="318" spans="2:6" x14ac:dyDescent="0.3">
      <c r="B318" s="176"/>
      <c r="C318" s="177"/>
      <c r="D318" s="177"/>
      <c r="E318" s="80"/>
      <c r="F318" s="80"/>
    </row>
    <row r="319" spans="2:6" x14ac:dyDescent="0.3">
      <c r="B319" s="176"/>
      <c r="C319" s="177"/>
      <c r="D319" s="177"/>
      <c r="E319" s="80"/>
      <c r="F319" s="80"/>
    </row>
    <row r="320" spans="2:6" x14ac:dyDescent="0.3">
      <c r="B320" s="176"/>
      <c r="C320" s="177"/>
      <c r="D320" s="177"/>
      <c r="E320" s="80"/>
      <c r="F320" s="80"/>
    </row>
    <row r="321" spans="2:6" x14ac:dyDescent="0.3">
      <c r="B321" s="176"/>
      <c r="C321" s="177"/>
      <c r="D321" s="177"/>
      <c r="E321" s="80"/>
      <c r="F321" s="80"/>
    </row>
    <row r="322" spans="2:6" x14ac:dyDescent="0.3">
      <c r="B322" s="176"/>
      <c r="C322" s="177"/>
      <c r="D322" s="177"/>
      <c r="E322" s="80"/>
      <c r="F322" s="80"/>
    </row>
    <row r="323" spans="2:6" x14ac:dyDescent="0.3">
      <c r="B323" s="176"/>
      <c r="C323" s="177"/>
      <c r="D323" s="177"/>
      <c r="E323" s="80"/>
      <c r="F323" s="80"/>
    </row>
    <row r="324" spans="2:6" x14ac:dyDescent="0.3">
      <c r="B324" s="176"/>
      <c r="C324" s="177"/>
      <c r="D324" s="177"/>
      <c r="E324" s="80"/>
      <c r="F324" s="80"/>
    </row>
    <row r="325" spans="2:6" x14ac:dyDescent="0.3">
      <c r="B325" s="176"/>
      <c r="C325" s="177"/>
      <c r="D325" s="177"/>
      <c r="E325" s="80"/>
      <c r="F325" s="80"/>
    </row>
    <row r="326" spans="2:6" x14ac:dyDescent="0.3">
      <c r="B326" s="176"/>
      <c r="C326" s="177"/>
      <c r="D326" s="177"/>
      <c r="E326" s="80"/>
      <c r="F326" s="80"/>
    </row>
    <row r="327" spans="2:6" x14ac:dyDescent="0.3">
      <c r="B327" s="176"/>
      <c r="C327" s="177"/>
      <c r="D327" s="177"/>
      <c r="E327" s="80"/>
      <c r="F327" s="80"/>
    </row>
    <row r="328" spans="2:6" x14ac:dyDescent="0.3">
      <c r="B328" s="176"/>
      <c r="C328" s="177"/>
      <c r="D328" s="177"/>
      <c r="E328" s="80"/>
      <c r="F328" s="80"/>
    </row>
    <row r="329" spans="2:6" x14ac:dyDescent="0.3">
      <c r="B329" s="176"/>
      <c r="C329" s="177"/>
      <c r="D329" s="177"/>
      <c r="E329" s="80"/>
      <c r="F329" s="80"/>
    </row>
    <row r="330" spans="2:6" x14ac:dyDescent="0.3">
      <c r="B330" s="176"/>
      <c r="C330" s="177"/>
      <c r="D330" s="177"/>
      <c r="E330" s="80"/>
      <c r="F330" s="80"/>
    </row>
    <row r="331" spans="2:6" x14ac:dyDescent="0.3">
      <c r="B331" s="176"/>
      <c r="C331" s="177"/>
      <c r="D331" s="177"/>
      <c r="E331" s="80"/>
      <c r="F331" s="80"/>
    </row>
    <row r="332" spans="2:6" x14ac:dyDescent="0.3">
      <c r="B332" s="176"/>
      <c r="C332" s="177"/>
      <c r="D332" s="177"/>
      <c r="E332" s="80"/>
      <c r="F332" s="80"/>
    </row>
    <row r="333" spans="2:6" x14ac:dyDescent="0.3">
      <c r="B333" s="176"/>
      <c r="C333" s="177"/>
      <c r="D333" s="177"/>
      <c r="E333" s="80"/>
      <c r="F333" s="80"/>
    </row>
    <row r="334" spans="2:6" x14ac:dyDescent="0.3">
      <c r="B334" s="176"/>
      <c r="C334" s="177"/>
      <c r="D334" s="177"/>
      <c r="E334" s="80"/>
      <c r="F334" s="80"/>
    </row>
    <row r="335" spans="2:6" x14ac:dyDescent="0.3">
      <c r="B335" s="176"/>
      <c r="C335" s="177"/>
      <c r="D335" s="177"/>
      <c r="E335" s="80"/>
      <c r="F335" s="80"/>
    </row>
    <row r="336" spans="2:6" x14ac:dyDescent="0.3">
      <c r="B336" s="176"/>
      <c r="C336" s="177"/>
      <c r="D336" s="177"/>
      <c r="E336" s="80"/>
      <c r="F336" s="80"/>
    </row>
    <row r="337" spans="2:6" x14ac:dyDescent="0.3">
      <c r="B337" s="176"/>
      <c r="C337" s="177"/>
      <c r="D337" s="177"/>
      <c r="E337" s="80"/>
      <c r="F337" s="80"/>
    </row>
    <row r="338" spans="2:6" x14ac:dyDescent="0.3">
      <c r="B338" s="176"/>
      <c r="C338" s="177"/>
      <c r="D338" s="177"/>
      <c r="E338" s="80"/>
      <c r="F338" s="80"/>
    </row>
    <row r="339" spans="2:6" x14ac:dyDescent="0.3">
      <c r="B339" s="176"/>
      <c r="C339" s="177"/>
      <c r="D339" s="177"/>
      <c r="E339" s="80"/>
      <c r="F339" s="80"/>
    </row>
    <row r="340" spans="2:6" x14ac:dyDescent="0.3">
      <c r="B340" s="176"/>
      <c r="C340" s="177"/>
      <c r="D340" s="177"/>
      <c r="E340" s="80"/>
      <c r="F340" s="80"/>
    </row>
    <row r="341" spans="2:6" x14ac:dyDescent="0.3">
      <c r="B341" s="176"/>
      <c r="C341" s="177"/>
      <c r="D341" s="177"/>
      <c r="E341" s="80"/>
      <c r="F341" s="80"/>
    </row>
    <row r="342" spans="2:6" x14ac:dyDescent="0.3">
      <c r="B342" s="176"/>
      <c r="C342" s="177"/>
      <c r="D342" s="177"/>
      <c r="E342" s="80"/>
      <c r="F342" s="80"/>
    </row>
    <row r="343" spans="2:6" x14ac:dyDescent="0.3">
      <c r="B343" s="176"/>
      <c r="C343" s="177"/>
      <c r="D343" s="177"/>
      <c r="E343" s="80"/>
      <c r="F343" s="80"/>
    </row>
    <row r="344" spans="2:6" x14ac:dyDescent="0.3">
      <c r="B344" s="176"/>
      <c r="C344" s="177"/>
      <c r="D344" s="177"/>
      <c r="E344" s="80"/>
      <c r="F344" s="80"/>
    </row>
    <row r="345" spans="2:6" x14ac:dyDescent="0.3">
      <c r="B345" s="176"/>
      <c r="C345" s="177"/>
      <c r="D345" s="177"/>
      <c r="E345" s="80"/>
      <c r="F345" s="80"/>
    </row>
    <row r="346" spans="2:6" x14ac:dyDescent="0.3">
      <c r="B346" s="176"/>
      <c r="C346" s="177"/>
      <c r="D346" s="177"/>
      <c r="E346" s="80"/>
      <c r="F346" s="80"/>
    </row>
    <row r="347" spans="2:6" x14ac:dyDescent="0.3">
      <c r="B347" s="176"/>
      <c r="C347" s="177"/>
      <c r="D347" s="177"/>
      <c r="E347" s="80"/>
      <c r="F347" s="80"/>
    </row>
    <row r="348" spans="2:6" x14ac:dyDescent="0.3">
      <c r="B348" s="176"/>
      <c r="C348" s="177"/>
      <c r="D348" s="177"/>
      <c r="E348" s="80"/>
      <c r="F348" s="80"/>
    </row>
    <row r="349" spans="2:6" x14ac:dyDescent="0.3">
      <c r="B349" s="176"/>
      <c r="C349" s="177"/>
      <c r="D349" s="177"/>
      <c r="E349" s="80"/>
      <c r="F349" s="80"/>
    </row>
    <row r="350" spans="2:6" x14ac:dyDescent="0.3">
      <c r="B350" s="176"/>
      <c r="C350" s="177"/>
      <c r="D350" s="177"/>
      <c r="E350" s="80"/>
      <c r="F350" s="80"/>
    </row>
    <row r="351" spans="2:6" x14ac:dyDescent="0.3">
      <c r="B351" s="176"/>
      <c r="C351" s="177"/>
      <c r="D351" s="177"/>
      <c r="E351" s="80"/>
      <c r="F351" s="80"/>
    </row>
    <row r="352" spans="2:6" x14ac:dyDescent="0.3">
      <c r="B352" s="176"/>
      <c r="C352" s="177"/>
      <c r="D352" s="177"/>
      <c r="E352" s="80"/>
      <c r="F352" s="80"/>
    </row>
    <row r="353" spans="2:6" x14ac:dyDescent="0.3">
      <c r="B353" s="176"/>
      <c r="C353" s="177"/>
      <c r="D353" s="177"/>
      <c r="E353" s="80"/>
      <c r="F353" s="80"/>
    </row>
    <row r="354" spans="2:6" x14ac:dyDescent="0.3">
      <c r="B354" s="176"/>
      <c r="C354" s="177"/>
      <c r="D354" s="177"/>
      <c r="E354" s="80"/>
      <c r="F354" s="80"/>
    </row>
    <row r="355" spans="2:6" x14ac:dyDescent="0.3">
      <c r="B355" s="176"/>
      <c r="C355" s="177"/>
      <c r="D355" s="177"/>
      <c r="E355" s="80"/>
      <c r="F355" s="80"/>
    </row>
    <row r="356" spans="2:6" x14ac:dyDescent="0.3">
      <c r="B356" s="176"/>
      <c r="C356" s="177"/>
      <c r="D356" s="177"/>
      <c r="E356" s="80"/>
      <c r="F356" s="80"/>
    </row>
    <row r="357" spans="2:6" x14ac:dyDescent="0.3">
      <c r="B357" s="176"/>
      <c r="C357" s="177"/>
      <c r="D357" s="177"/>
      <c r="E357" s="80"/>
      <c r="F357" s="80"/>
    </row>
    <row r="358" spans="2:6" x14ac:dyDescent="0.3">
      <c r="B358" s="176"/>
      <c r="C358" s="177"/>
      <c r="D358" s="177"/>
      <c r="E358" s="80"/>
      <c r="F358" s="80"/>
    </row>
    <row r="359" spans="2:6" x14ac:dyDescent="0.3">
      <c r="B359" s="176"/>
      <c r="C359" s="177"/>
      <c r="D359" s="177"/>
      <c r="E359" s="80"/>
      <c r="F359" s="80"/>
    </row>
    <row r="360" spans="2:6" x14ac:dyDescent="0.3">
      <c r="B360" s="176"/>
      <c r="C360" s="177"/>
      <c r="D360" s="177"/>
      <c r="E360" s="80"/>
      <c r="F360" s="80"/>
    </row>
    <row r="361" spans="2:6" x14ac:dyDescent="0.3">
      <c r="B361" s="176"/>
      <c r="C361" s="177"/>
      <c r="D361" s="177"/>
      <c r="E361" s="80"/>
      <c r="F361" s="80"/>
    </row>
    <row r="362" spans="2:6" x14ac:dyDescent="0.3">
      <c r="B362" s="176"/>
      <c r="C362" s="177"/>
      <c r="D362" s="177"/>
      <c r="E362" s="80"/>
      <c r="F362" s="80"/>
    </row>
    <row r="363" spans="2:6" x14ac:dyDescent="0.3">
      <c r="B363" s="176"/>
      <c r="C363" s="177"/>
      <c r="D363" s="177"/>
      <c r="E363" s="80"/>
      <c r="F363" s="80"/>
    </row>
    <row r="364" spans="2:6" x14ac:dyDescent="0.3">
      <c r="B364" s="176"/>
      <c r="C364" s="177"/>
      <c r="D364" s="177"/>
      <c r="E364" s="80"/>
      <c r="F364" s="80"/>
    </row>
    <row r="365" spans="2:6" x14ac:dyDescent="0.3">
      <c r="B365" s="176"/>
      <c r="C365" s="177"/>
      <c r="D365" s="177"/>
      <c r="E365" s="80"/>
      <c r="F365" s="80"/>
    </row>
    <row r="366" spans="2:6" x14ac:dyDescent="0.3">
      <c r="B366" s="176"/>
      <c r="C366" s="177"/>
      <c r="D366" s="177"/>
      <c r="E366" s="80"/>
      <c r="F366" s="80"/>
    </row>
    <row r="367" spans="2:6" x14ac:dyDescent="0.3">
      <c r="B367" s="176"/>
      <c r="C367" s="177"/>
      <c r="D367" s="177"/>
      <c r="E367" s="80"/>
      <c r="F367" s="80"/>
    </row>
    <row r="368" spans="2:6" x14ac:dyDescent="0.3">
      <c r="B368" s="176"/>
      <c r="C368" s="177"/>
      <c r="D368" s="177"/>
      <c r="E368" s="80"/>
      <c r="F368" s="80"/>
    </row>
    <row r="369" spans="2:6" x14ac:dyDescent="0.3">
      <c r="B369" s="176"/>
      <c r="C369" s="177"/>
      <c r="D369" s="177"/>
      <c r="E369" s="80"/>
      <c r="F369" s="80"/>
    </row>
    <row r="370" spans="2:6" x14ac:dyDescent="0.3">
      <c r="B370" s="176"/>
      <c r="C370" s="177"/>
      <c r="D370" s="177"/>
      <c r="E370" s="80"/>
      <c r="F370" s="80"/>
    </row>
    <row r="371" spans="2:6" x14ac:dyDescent="0.3">
      <c r="B371" s="176"/>
      <c r="C371" s="177"/>
      <c r="D371" s="177"/>
      <c r="E371" s="80"/>
      <c r="F371" s="80"/>
    </row>
    <row r="372" spans="2:6" x14ac:dyDescent="0.3">
      <c r="B372" s="176"/>
      <c r="C372" s="177"/>
      <c r="D372" s="177"/>
      <c r="E372" s="80"/>
      <c r="F372" s="80"/>
    </row>
    <row r="373" spans="2:6" x14ac:dyDescent="0.3">
      <c r="B373" s="176"/>
      <c r="C373" s="177"/>
      <c r="D373" s="177"/>
      <c r="E373" s="80"/>
      <c r="F373" s="80"/>
    </row>
    <row r="374" spans="2:6" x14ac:dyDescent="0.3">
      <c r="B374" s="176"/>
      <c r="C374" s="177"/>
      <c r="D374" s="177"/>
      <c r="E374" s="80"/>
      <c r="F374" s="80"/>
    </row>
    <row r="375" spans="2:6" x14ac:dyDescent="0.3">
      <c r="B375" s="176"/>
      <c r="C375" s="177"/>
      <c r="D375" s="177"/>
      <c r="E375" s="80"/>
      <c r="F375" s="80"/>
    </row>
    <row r="376" spans="2:6" x14ac:dyDescent="0.3">
      <c r="B376" s="176"/>
      <c r="C376" s="177"/>
      <c r="D376" s="177"/>
      <c r="E376" s="80"/>
      <c r="F376" s="80"/>
    </row>
    <row r="377" spans="2:6" x14ac:dyDescent="0.3">
      <c r="B377" s="176"/>
      <c r="C377" s="177"/>
      <c r="D377" s="177"/>
      <c r="E377" s="80"/>
      <c r="F377" s="80"/>
    </row>
    <row r="378" spans="2:6" x14ac:dyDescent="0.3">
      <c r="B378" s="176"/>
      <c r="C378" s="177"/>
      <c r="D378" s="177"/>
      <c r="E378" s="80"/>
      <c r="F378" s="80"/>
    </row>
    <row r="379" spans="2:6" x14ac:dyDescent="0.3">
      <c r="B379" s="176"/>
      <c r="C379" s="177"/>
      <c r="D379" s="177"/>
      <c r="E379" s="80"/>
      <c r="F379" s="80"/>
    </row>
    <row r="380" spans="2:6" x14ac:dyDescent="0.3">
      <c r="B380" s="176"/>
      <c r="C380" s="177"/>
      <c r="D380" s="177"/>
      <c r="E380" s="80"/>
      <c r="F380" s="80"/>
    </row>
    <row r="381" spans="2:6" x14ac:dyDescent="0.3">
      <c r="B381" s="176"/>
      <c r="C381" s="177"/>
      <c r="D381" s="177"/>
      <c r="E381" s="80"/>
      <c r="F381" s="80"/>
    </row>
    <row r="382" spans="2:6" x14ac:dyDescent="0.3">
      <c r="B382" s="176"/>
      <c r="C382" s="177"/>
      <c r="D382" s="177"/>
      <c r="E382" s="80"/>
      <c r="F382" s="80"/>
    </row>
    <row r="383" spans="2:6" x14ac:dyDescent="0.3">
      <c r="B383" s="176"/>
      <c r="C383" s="177"/>
      <c r="D383" s="177"/>
      <c r="E383" s="80"/>
      <c r="F383" s="80"/>
    </row>
    <row r="384" spans="2:6" x14ac:dyDescent="0.3">
      <c r="B384" s="176"/>
      <c r="C384" s="177"/>
      <c r="D384" s="177"/>
      <c r="E384" s="80"/>
      <c r="F384" s="80"/>
    </row>
    <row r="385" spans="2:6" x14ac:dyDescent="0.3">
      <c r="B385" s="176"/>
      <c r="C385" s="177"/>
      <c r="D385" s="177"/>
      <c r="E385" s="80"/>
      <c r="F385" s="80"/>
    </row>
    <row r="386" spans="2:6" x14ac:dyDescent="0.3">
      <c r="B386" s="176"/>
      <c r="C386" s="177"/>
      <c r="D386" s="177"/>
      <c r="E386" s="80"/>
      <c r="F386" s="80"/>
    </row>
    <row r="387" spans="2:6" x14ac:dyDescent="0.3">
      <c r="B387" s="176"/>
      <c r="C387" s="177"/>
      <c r="D387" s="177"/>
      <c r="E387" s="80"/>
      <c r="F387" s="80"/>
    </row>
    <row r="388" spans="2:6" x14ac:dyDescent="0.3">
      <c r="B388" s="176"/>
      <c r="C388" s="177"/>
      <c r="D388" s="177"/>
      <c r="E388" s="80"/>
      <c r="F388" s="80"/>
    </row>
    <row r="389" spans="2:6" x14ac:dyDescent="0.3">
      <c r="B389" s="176"/>
      <c r="C389" s="177"/>
      <c r="D389" s="177"/>
      <c r="E389" s="80"/>
      <c r="F389" s="80"/>
    </row>
    <row r="390" spans="2:6" x14ac:dyDescent="0.3">
      <c r="B390" s="176"/>
      <c r="C390" s="177"/>
      <c r="D390" s="177"/>
      <c r="E390" s="80"/>
      <c r="F390" s="80"/>
    </row>
    <row r="391" spans="2:6" x14ac:dyDescent="0.3">
      <c r="B391" s="176"/>
      <c r="C391" s="177"/>
      <c r="D391" s="177"/>
      <c r="E391" s="80"/>
      <c r="F391" s="80"/>
    </row>
    <row r="392" spans="2:6" x14ac:dyDescent="0.3">
      <c r="B392" s="176"/>
      <c r="C392" s="177"/>
      <c r="D392" s="177"/>
      <c r="E392" s="80"/>
      <c r="F392" s="80"/>
    </row>
    <row r="393" spans="2:6" x14ac:dyDescent="0.3">
      <c r="B393" s="176"/>
      <c r="C393" s="177"/>
      <c r="D393" s="177"/>
      <c r="E393" s="80"/>
      <c r="F393" s="80"/>
    </row>
    <row r="394" spans="2:6" x14ac:dyDescent="0.3">
      <c r="B394" s="176"/>
      <c r="C394" s="177"/>
      <c r="D394" s="177"/>
      <c r="E394" s="80"/>
      <c r="F394" s="80"/>
    </row>
    <row r="395" spans="2:6" x14ac:dyDescent="0.3">
      <c r="B395" s="176"/>
      <c r="C395" s="177"/>
      <c r="D395" s="177"/>
      <c r="E395" s="80"/>
      <c r="F395" s="80"/>
    </row>
    <row r="396" spans="2:6" x14ac:dyDescent="0.3">
      <c r="B396" s="176"/>
      <c r="C396" s="177"/>
      <c r="D396" s="177"/>
      <c r="E396" s="80"/>
      <c r="F396" s="80"/>
    </row>
    <row r="397" spans="2:6" x14ac:dyDescent="0.3">
      <c r="B397" s="176"/>
      <c r="C397" s="177"/>
      <c r="D397" s="177"/>
      <c r="E397" s="80"/>
      <c r="F397" s="80"/>
    </row>
    <row r="398" spans="2:6" x14ac:dyDescent="0.3">
      <c r="B398" s="176"/>
      <c r="C398" s="177"/>
      <c r="D398" s="177"/>
      <c r="E398" s="80"/>
      <c r="F398" s="80"/>
    </row>
    <row r="399" spans="2:6" x14ac:dyDescent="0.3">
      <c r="B399" s="176"/>
      <c r="C399" s="177"/>
      <c r="D399" s="177"/>
      <c r="E399" s="80"/>
      <c r="F399" s="80"/>
    </row>
    <row r="400" spans="2:6" x14ac:dyDescent="0.3">
      <c r="B400" s="176"/>
      <c r="C400" s="177"/>
      <c r="D400" s="177"/>
      <c r="E400" s="80"/>
      <c r="F400" s="80"/>
    </row>
    <row r="401" spans="2:6" x14ac:dyDescent="0.3">
      <c r="B401" s="176"/>
      <c r="C401" s="177"/>
      <c r="D401" s="177"/>
      <c r="E401" s="80"/>
      <c r="F401" s="80"/>
    </row>
    <row r="402" spans="2:6" x14ac:dyDescent="0.3">
      <c r="B402" s="176"/>
      <c r="C402" s="177"/>
      <c r="D402" s="177"/>
      <c r="E402" s="80"/>
      <c r="F402" s="80"/>
    </row>
    <row r="403" spans="2:6" x14ac:dyDescent="0.3">
      <c r="B403" s="176"/>
      <c r="C403" s="177"/>
      <c r="D403" s="177"/>
      <c r="E403" s="80"/>
      <c r="F403" s="80"/>
    </row>
    <row r="404" spans="2:6" x14ac:dyDescent="0.3">
      <c r="B404" s="176"/>
      <c r="C404" s="177"/>
      <c r="D404" s="177"/>
      <c r="E404" s="80"/>
      <c r="F404" s="80"/>
    </row>
    <row r="405" spans="2:6" x14ac:dyDescent="0.3">
      <c r="B405" s="176"/>
      <c r="C405" s="177"/>
      <c r="D405" s="177"/>
      <c r="E405" s="80"/>
      <c r="F405" s="80"/>
    </row>
    <row r="406" spans="2:6" x14ac:dyDescent="0.3">
      <c r="B406" s="176"/>
      <c r="C406" s="177"/>
      <c r="D406" s="177"/>
      <c r="E406" s="80"/>
      <c r="F406" s="80"/>
    </row>
    <row r="407" spans="2:6" x14ac:dyDescent="0.3">
      <c r="B407" s="176"/>
      <c r="C407" s="177"/>
      <c r="D407" s="177"/>
      <c r="E407" s="80"/>
      <c r="F407" s="80"/>
    </row>
    <row r="408" spans="2:6" x14ac:dyDescent="0.3">
      <c r="B408" s="176"/>
      <c r="C408" s="177"/>
      <c r="D408" s="177"/>
      <c r="E408" s="80"/>
      <c r="F408" s="80"/>
    </row>
    <row r="409" spans="2:6" x14ac:dyDescent="0.3">
      <c r="B409" s="176"/>
      <c r="C409" s="177"/>
      <c r="D409" s="177"/>
      <c r="E409" s="80"/>
      <c r="F409" s="80"/>
    </row>
    <row r="410" spans="2:6" x14ac:dyDescent="0.3">
      <c r="B410" s="176"/>
      <c r="C410" s="177"/>
      <c r="D410" s="177"/>
      <c r="E410" s="80"/>
      <c r="F410" s="80"/>
    </row>
    <row r="411" spans="2:6" x14ac:dyDescent="0.3">
      <c r="B411" s="176"/>
      <c r="C411" s="177"/>
      <c r="D411" s="177"/>
      <c r="E411" s="80"/>
      <c r="F411" s="80"/>
    </row>
    <row r="412" spans="2:6" x14ac:dyDescent="0.3">
      <c r="B412" s="176"/>
      <c r="C412" s="177"/>
      <c r="D412" s="177"/>
      <c r="E412" s="80"/>
      <c r="F412" s="80"/>
    </row>
    <row r="413" spans="2:6" x14ac:dyDescent="0.3">
      <c r="B413" s="176"/>
      <c r="C413" s="177"/>
      <c r="D413" s="177"/>
      <c r="E413" s="80"/>
      <c r="F413" s="80"/>
    </row>
    <row r="414" spans="2:6" x14ac:dyDescent="0.3">
      <c r="B414" s="176"/>
      <c r="C414" s="177"/>
      <c r="D414" s="177"/>
      <c r="E414" s="80"/>
      <c r="F414" s="80"/>
    </row>
    <row r="415" spans="2:6" x14ac:dyDescent="0.3">
      <c r="B415" s="176"/>
      <c r="C415" s="177"/>
      <c r="D415" s="177"/>
      <c r="E415" s="80"/>
      <c r="F415" s="80"/>
    </row>
    <row r="416" spans="2:6" x14ac:dyDescent="0.3">
      <c r="B416" s="176"/>
      <c r="C416" s="177"/>
      <c r="D416" s="177"/>
      <c r="E416" s="80"/>
      <c r="F416" s="80"/>
    </row>
    <row r="417" spans="2:6" x14ac:dyDescent="0.3">
      <c r="B417" s="176"/>
      <c r="C417" s="177"/>
      <c r="D417" s="177"/>
      <c r="E417" s="80"/>
      <c r="F417" s="80"/>
    </row>
    <row r="418" spans="2:6" x14ac:dyDescent="0.3">
      <c r="B418" s="176"/>
      <c r="C418" s="177"/>
      <c r="D418" s="177"/>
      <c r="E418" s="80"/>
      <c r="F418" s="80"/>
    </row>
    <row r="419" spans="2:6" x14ac:dyDescent="0.3">
      <c r="B419" s="176"/>
      <c r="C419" s="177"/>
      <c r="D419" s="177"/>
      <c r="E419" s="80"/>
      <c r="F419" s="80"/>
    </row>
    <row r="420" spans="2:6" x14ac:dyDescent="0.3">
      <c r="B420" s="176"/>
      <c r="C420" s="177"/>
      <c r="D420" s="177"/>
      <c r="E420" s="80"/>
      <c r="F420" s="80"/>
    </row>
    <row r="421" spans="2:6" x14ac:dyDescent="0.3">
      <c r="B421" s="176"/>
      <c r="C421" s="177"/>
      <c r="D421" s="177"/>
      <c r="E421" s="80"/>
      <c r="F421" s="80"/>
    </row>
    <row r="422" spans="2:6" x14ac:dyDescent="0.3">
      <c r="B422" s="176"/>
      <c r="C422" s="177"/>
      <c r="D422" s="177"/>
      <c r="E422" s="80"/>
      <c r="F422" s="80"/>
    </row>
    <row r="423" spans="2:6" x14ac:dyDescent="0.3">
      <c r="B423" s="176"/>
      <c r="C423" s="177"/>
      <c r="D423" s="177"/>
      <c r="E423" s="80"/>
      <c r="F423" s="80"/>
    </row>
    <row r="424" spans="2:6" x14ac:dyDescent="0.3">
      <c r="B424" s="176"/>
      <c r="C424" s="177"/>
      <c r="D424" s="177"/>
      <c r="E424" s="80"/>
      <c r="F424" s="80"/>
    </row>
    <row r="425" spans="2:6" x14ac:dyDescent="0.3">
      <c r="B425" s="176"/>
      <c r="C425" s="177"/>
      <c r="D425" s="177"/>
      <c r="E425" s="80"/>
      <c r="F425" s="80"/>
    </row>
    <row r="426" spans="2:6" x14ac:dyDescent="0.3">
      <c r="B426" s="176"/>
      <c r="C426" s="177"/>
      <c r="D426" s="177"/>
      <c r="E426" s="80"/>
      <c r="F426" s="80"/>
    </row>
    <row r="427" spans="2:6" x14ac:dyDescent="0.3">
      <c r="B427" s="176"/>
      <c r="C427" s="177"/>
      <c r="D427" s="177"/>
      <c r="E427" s="80"/>
      <c r="F427" s="80"/>
    </row>
    <row r="428" spans="2:6" x14ac:dyDescent="0.3">
      <c r="B428" s="176"/>
      <c r="C428" s="177"/>
      <c r="D428" s="177"/>
      <c r="E428" s="80"/>
      <c r="F428" s="80"/>
    </row>
    <row r="429" spans="2:6" x14ac:dyDescent="0.3">
      <c r="B429" s="176"/>
      <c r="C429" s="177"/>
      <c r="D429" s="177"/>
      <c r="E429" s="80"/>
      <c r="F429" s="80"/>
    </row>
    <row r="430" spans="2:6" x14ac:dyDescent="0.3">
      <c r="B430" s="176"/>
      <c r="C430" s="177"/>
      <c r="D430" s="177"/>
      <c r="E430" s="80"/>
      <c r="F430" s="80"/>
    </row>
    <row r="431" spans="2:6" x14ac:dyDescent="0.3">
      <c r="B431" s="176"/>
      <c r="C431" s="177"/>
      <c r="D431" s="177"/>
      <c r="E431" s="80"/>
      <c r="F431" s="80"/>
    </row>
    <row r="432" spans="2:6" x14ac:dyDescent="0.3">
      <c r="B432" s="176"/>
      <c r="C432" s="177"/>
      <c r="D432" s="177"/>
      <c r="E432" s="80"/>
      <c r="F432" s="80"/>
    </row>
    <row r="433" spans="2:6" x14ac:dyDescent="0.3">
      <c r="B433" s="176"/>
      <c r="C433" s="177"/>
      <c r="D433" s="177"/>
      <c r="E433" s="80"/>
      <c r="F433" s="80"/>
    </row>
    <row r="434" spans="2:6" x14ac:dyDescent="0.3">
      <c r="B434" s="176"/>
      <c r="C434" s="177"/>
      <c r="D434" s="177"/>
      <c r="E434" s="80"/>
      <c r="F434" s="80"/>
    </row>
    <row r="435" spans="2:6" x14ac:dyDescent="0.3">
      <c r="B435" s="176"/>
      <c r="C435" s="177"/>
      <c r="D435" s="177"/>
      <c r="E435" s="80"/>
      <c r="F435" s="80"/>
    </row>
    <row r="436" spans="2:6" x14ac:dyDescent="0.3">
      <c r="B436" s="176"/>
      <c r="C436" s="177"/>
      <c r="D436" s="177"/>
      <c r="E436" s="80"/>
      <c r="F436" s="80"/>
    </row>
    <row r="437" spans="2:6" x14ac:dyDescent="0.3">
      <c r="B437" s="176"/>
      <c r="C437" s="177"/>
      <c r="D437" s="177"/>
      <c r="E437" s="80"/>
      <c r="F437" s="80"/>
    </row>
    <row r="438" spans="2:6" x14ac:dyDescent="0.3">
      <c r="B438" s="176"/>
      <c r="C438" s="177"/>
      <c r="D438" s="177"/>
      <c r="E438" s="80"/>
      <c r="F438" s="80"/>
    </row>
    <row r="439" spans="2:6" x14ac:dyDescent="0.3">
      <c r="B439" s="176"/>
      <c r="C439" s="177"/>
      <c r="D439" s="177"/>
      <c r="E439" s="80"/>
      <c r="F439" s="80"/>
    </row>
    <row r="440" spans="2:6" x14ac:dyDescent="0.3">
      <c r="B440" s="176"/>
      <c r="C440" s="177"/>
      <c r="D440" s="177"/>
      <c r="E440" s="80"/>
      <c r="F440" s="80"/>
    </row>
    <row r="441" spans="2:6" x14ac:dyDescent="0.3">
      <c r="B441" s="176"/>
      <c r="C441" s="177"/>
      <c r="D441" s="177"/>
      <c r="E441" s="80"/>
      <c r="F441" s="80"/>
    </row>
    <row r="442" spans="2:6" x14ac:dyDescent="0.3">
      <c r="B442" s="176"/>
      <c r="C442" s="177"/>
      <c r="D442" s="177"/>
      <c r="E442" s="80"/>
      <c r="F442" s="80"/>
    </row>
    <row r="443" spans="2:6" x14ac:dyDescent="0.3">
      <c r="B443" s="176"/>
      <c r="C443" s="177"/>
      <c r="D443" s="177"/>
      <c r="E443" s="80"/>
      <c r="F443" s="80"/>
    </row>
    <row r="444" spans="2:6" x14ac:dyDescent="0.3">
      <c r="B444" s="176"/>
      <c r="C444" s="177"/>
      <c r="D444" s="177"/>
      <c r="E444" s="80"/>
      <c r="F444" s="80"/>
    </row>
    <row r="445" spans="2:6" x14ac:dyDescent="0.3">
      <c r="B445" s="176"/>
      <c r="C445" s="177"/>
      <c r="D445" s="177"/>
      <c r="E445" s="80"/>
      <c r="F445" s="80"/>
    </row>
    <row r="446" spans="2:6" x14ac:dyDescent="0.3">
      <c r="B446" s="176"/>
      <c r="C446" s="177"/>
      <c r="D446" s="177"/>
      <c r="E446" s="80"/>
      <c r="F446" s="80"/>
    </row>
    <row r="447" spans="2:6" x14ac:dyDescent="0.3">
      <c r="B447" s="176"/>
      <c r="C447" s="177"/>
      <c r="D447" s="177"/>
      <c r="E447" s="80"/>
      <c r="F447" s="80"/>
    </row>
    <row r="448" spans="2:6" x14ac:dyDescent="0.3">
      <c r="B448" s="176"/>
      <c r="C448" s="177"/>
      <c r="D448" s="177"/>
      <c r="E448" s="80"/>
      <c r="F448" s="80"/>
    </row>
    <row r="449" spans="2:6" x14ac:dyDescent="0.3">
      <c r="B449" s="176"/>
      <c r="C449" s="177"/>
      <c r="D449" s="177"/>
      <c r="E449" s="80"/>
      <c r="F449" s="80"/>
    </row>
    <row r="450" spans="2:6" x14ac:dyDescent="0.3">
      <c r="B450" s="176"/>
      <c r="C450" s="177"/>
      <c r="D450" s="177"/>
      <c r="E450" s="80"/>
      <c r="F450" s="80"/>
    </row>
    <row r="451" spans="2:6" x14ac:dyDescent="0.3">
      <c r="B451" s="176"/>
      <c r="C451" s="177"/>
      <c r="D451" s="177"/>
      <c r="E451" s="80"/>
      <c r="F451" s="80"/>
    </row>
    <row r="452" spans="2:6" x14ac:dyDescent="0.3">
      <c r="B452" s="176"/>
      <c r="C452" s="177"/>
      <c r="D452" s="177"/>
      <c r="E452" s="80"/>
      <c r="F452" s="80"/>
    </row>
    <row r="453" spans="2:6" x14ac:dyDescent="0.3">
      <c r="B453" s="176"/>
      <c r="C453" s="177"/>
      <c r="D453" s="177"/>
      <c r="E453" s="80"/>
      <c r="F453" s="80"/>
    </row>
    <row r="454" spans="2:6" x14ac:dyDescent="0.3">
      <c r="B454" s="176"/>
      <c r="C454" s="177"/>
      <c r="D454" s="177"/>
      <c r="E454" s="80"/>
      <c r="F454" s="80"/>
    </row>
    <row r="455" spans="2:6" x14ac:dyDescent="0.3">
      <c r="B455" s="176"/>
      <c r="C455" s="177"/>
      <c r="D455" s="177"/>
      <c r="E455" s="80"/>
      <c r="F455" s="80"/>
    </row>
    <row r="456" spans="2:6" x14ac:dyDescent="0.3">
      <c r="B456" s="176"/>
      <c r="C456" s="177"/>
      <c r="D456" s="177"/>
      <c r="E456" s="80"/>
      <c r="F456" s="80"/>
    </row>
    <row r="457" spans="2:6" x14ac:dyDescent="0.3">
      <c r="B457" s="176"/>
      <c r="C457" s="177"/>
      <c r="D457" s="177"/>
      <c r="E457" s="80"/>
      <c r="F457" s="80"/>
    </row>
    <row r="458" spans="2:6" x14ac:dyDescent="0.3">
      <c r="B458" s="176"/>
      <c r="C458" s="177"/>
      <c r="D458" s="177"/>
      <c r="E458" s="80"/>
      <c r="F458" s="80"/>
    </row>
    <row r="459" spans="2:6" x14ac:dyDescent="0.3">
      <c r="B459" s="176"/>
      <c r="C459" s="177"/>
      <c r="D459" s="177"/>
      <c r="E459" s="80"/>
      <c r="F459" s="80"/>
    </row>
    <row r="460" spans="2:6" x14ac:dyDescent="0.3">
      <c r="B460" s="176"/>
      <c r="C460" s="177"/>
      <c r="D460" s="177"/>
      <c r="E460" s="80"/>
      <c r="F460" s="80"/>
    </row>
    <row r="461" spans="2:6" x14ac:dyDescent="0.3">
      <c r="B461" s="176"/>
      <c r="C461" s="177"/>
      <c r="D461" s="177"/>
      <c r="E461" s="80"/>
      <c r="F461" s="80"/>
    </row>
    <row r="462" spans="2:6" x14ac:dyDescent="0.3">
      <c r="B462" s="176"/>
      <c r="C462" s="177"/>
      <c r="D462" s="177"/>
      <c r="E462" s="80"/>
      <c r="F462" s="80"/>
    </row>
    <row r="463" spans="2:6" x14ac:dyDescent="0.3">
      <c r="B463" s="176"/>
      <c r="C463" s="177"/>
      <c r="D463" s="177"/>
      <c r="E463" s="80"/>
      <c r="F463" s="80"/>
    </row>
    <row r="464" spans="2:6" x14ac:dyDescent="0.3">
      <c r="B464" s="176"/>
      <c r="C464" s="177"/>
      <c r="D464" s="177"/>
      <c r="E464" s="80"/>
      <c r="F464" s="80"/>
    </row>
    <row r="465" spans="2:6" x14ac:dyDescent="0.3">
      <c r="B465" s="176"/>
      <c r="C465" s="177"/>
      <c r="D465" s="177"/>
      <c r="E465" s="80"/>
      <c r="F465" s="80"/>
    </row>
    <row r="466" spans="2:6" x14ac:dyDescent="0.3">
      <c r="B466" s="176"/>
      <c r="C466" s="177"/>
      <c r="D466" s="177"/>
      <c r="E466" s="80"/>
      <c r="F466" s="80"/>
    </row>
    <row r="467" spans="2:6" x14ac:dyDescent="0.3">
      <c r="B467" s="176"/>
      <c r="C467" s="177"/>
      <c r="D467" s="177"/>
      <c r="E467" s="80"/>
      <c r="F467" s="80"/>
    </row>
    <row r="468" spans="2:6" x14ac:dyDescent="0.3">
      <c r="B468" s="176"/>
      <c r="C468" s="177"/>
      <c r="D468" s="177"/>
      <c r="E468" s="80"/>
      <c r="F468" s="80"/>
    </row>
    <row r="469" spans="2:6" x14ac:dyDescent="0.3">
      <c r="B469" s="176"/>
      <c r="C469" s="177"/>
      <c r="D469" s="177"/>
      <c r="E469" s="80"/>
      <c r="F469" s="80"/>
    </row>
    <row r="470" spans="2:6" x14ac:dyDescent="0.3">
      <c r="B470" s="176"/>
      <c r="C470" s="177"/>
      <c r="D470" s="177"/>
      <c r="E470" s="80"/>
      <c r="F470" s="80"/>
    </row>
    <row r="471" spans="2:6" x14ac:dyDescent="0.3">
      <c r="B471" s="176"/>
      <c r="C471" s="177"/>
      <c r="D471" s="177"/>
      <c r="E471" s="80"/>
      <c r="F471" s="80"/>
    </row>
    <row r="472" spans="2:6" x14ac:dyDescent="0.3">
      <c r="B472" s="176"/>
      <c r="C472" s="177"/>
      <c r="D472" s="177"/>
      <c r="E472" s="80"/>
      <c r="F472" s="80"/>
    </row>
    <row r="473" spans="2:6" x14ac:dyDescent="0.3">
      <c r="B473" s="176"/>
      <c r="C473" s="177"/>
      <c r="D473" s="177"/>
      <c r="E473" s="80"/>
      <c r="F473" s="80"/>
    </row>
    <row r="474" spans="2:6" x14ac:dyDescent="0.3">
      <c r="B474" s="176"/>
      <c r="C474" s="177"/>
      <c r="D474" s="177"/>
      <c r="E474" s="80"/>
      <c r="F474" s="80"/>
    </row>
    <row r="475" spans="2:6" x14ac:dyDescent="0.3">
      <c r="B475" s="176"/>
      <c r="C475" s="177"/>
      <c r="D475" s="177"/>
      <c r="E475" s="80"/>
      <c r="F475" s="80"/>
    </row>
    <row r="476" spans="2:6" x14ac:dyDescent="0.3">
      <c r="B476" s="176"/>
      <c r="C476" s="177"/>
      <c r="D476" s="177"/>
      <c r="E476" s="80"/>
      <c r="F476" s="80"/>
    </row>
    <row r="477" spans="2:6" x14ac:dyDescent="0.3">
      <c r="B477" s="176"/>
      <c r="C477" s="177"/>
      <c r="D477" s="177"/>
      <c r="E477" s="80"/>
      <c r="F477" s="80"/>
    </row>
    <row r="478" spans="2:6" x14ac:dyDescent="0.3">
      <c r="B478" s="176"/>
      <c r="C478" s="177"/>
      <c r="D478" s="177"/>
      <c r="E478" s="80"/>
      <c r="F478" s="80"/>
    </row>
    <row r="479" spans="2:6" x14ac:dyDescent="0.3">
      <c r="B479" s="176"/>
      <c r="C479" s="177"/>
      <c r="D479" s="177"/>
      <c r="E479" s="80"/>
      <c r="F479" s="80"/>
    </row>
    <row r="480" spans="2:6" x14ac:dyDescent="0.3">
      <c r="B480" s="176"/>
      <c r="C480" s="177"/>
      <c r="D480" s="177"/>
      <c r="E480" s="80"/>
      <c r="F480" s="80"/>
    </row>
    <row r="481" spans="2:6" x14ac:dyDescent="0.3">
      <c r="B481" s="176"/>
      <c r="C481" s="177"/>
      <c r="D481" s="177"/>
      <c r="E481" s="80"/>
      <c r="F481" s="80"/>
    </row>
    <row r="482" spans="2:6" x14ac:dyDescent="0.3">
      <c r="B482" s="176"/>
      <c r="C482" s="177"/>
      <c r="D482" s="177"/>
      <c r="E482" s="80"/>
      <c r="F482" s="80"/>
    </row>
    <row r="483" spans="2:6" x14ac:dyDescent="0.3">
      <c r="B483" s="176"/>
      <c r="C483" s="177"/>
      <c r="D483" s="177"/>
      <c r="E483" s="80"/>
      <c r="F483" s="80"/>
    </row>
    <row r="484" spans="2:6" x14ac:dyDescent="0.3">
      <c r="B484" s="176"/>
      <c r="C484" s="177"/>
      <c r="D484" s="177"/>
      <c r="E484" s="80"/>
      <c r="F484" s="80"/>
    </row>
    <row r="485" spans="2:6" x14ac:dyDescent="0.3">
      <c r="B485" s="176"/>
      <c r="C485" s="177"/>
      <c r="D485" s="177"/>
      <c r="E485" s="80"/>
      <c r="F485" s="80"/>
    </row>
    <row r="486" spans="2:6" x14ac:dyDescent="0.3">
      <c r="B486" s="176"/>
      <c r="C486" s="177"/>
      <c r="D486" s="177"/>
      <c r="E486" s="80"/>
      <c r="F486" s="80"/>
    </row>
    <row r="487" spans="2:6" x14ac:dyDescent="0.3">
      <c r="B487" s="176"/>
      <c r="C487" s="177"/>
      <c r="D487" s="177"/>
      <c r="E487" s="80"/>
      <c r="F487" s="80"/>
    </row>
    <row r="488" spans="2:6" x14ac:dyDescent="0.3">
      <c r="B488" s="176"/>
      <c r="C488" s="177"/>
      <c r="D488" s="177"/>
      <c r="E488" s="80"/>
      <c r="F488" s="80"/>
    </row>
    <row r="489" spans="2:6" x14ac:dyDescent="0.3">
      <c r="B489" s="176"/>
      <c r="C489" s="177"/>
      <c r="D489" s="177"/>
      <c r="E489" s="80"/>
      <c r="F489" s="80"/>
    </row>
    <row r="490" spans="2:6" x14ac:dyDescent="0.3">
      <c r="B490" s="176"/>
      <c r="C490" s="177"/>
      <c r="D490" s="177"/>
      <c r="E490" s="80"/>
      <c r="F490" s="80"/>
    </row>
    <row r="491" spans="2:6" x14ac:dyDescent="0.3">
      <c r="B491" s="176"/>
      <c r="C491" s="177"/>
      <c r="D491" s="177"/>
      <c r="E491" s="80"/>
      <c r="F491" s="80"/>
    </row>
    <row r="492" spans="2:6" x14ac:dyDescent="0.3">
      <c r="B492" s="176"/>
      <c r="C492" s="177"/>
      <c r="D492" s="177"/>
      <c r="E492" s="80"/>
      <c r="F492" s="80"/>
    </row>
    <row r="493" spans="2:6" x14ac:dyDescent="0.3">
      <c r="B493" s="176"/>
      <c r="C493" s="177"/>
      <c r="D493" s="177"/>
      <c r="E493" s="80"/>
      <c r="F493" s="80"/>
    </row>
    <row r="494" spans="2:6" x14ac:dyDescent="0.3">
      <c r="B494" s="176"/>
      <c r="C494" s="177"/>
      <c r="D494" s="177"/>
      <c r="E494" s="80"/>
      <c r="F494" s="80"/>
    </row>
    <row r="495" spans="2:6" x14ac:dyDescent="0.3">
      <c r="B495" s="176"/>
      <c r="C495" s="177"/>
      <c r="D495" s="177"/>
      <c r="E495" s="80"/>
      <c r="F495" s="80"/>
    </row>
    <row r="496" spans="2:6" x14ac:dyDescent="0.3">
      <c r="B496" s="176"/>
      <c r="C496" s="177"/>
      <c r="D496" s="177"/>
      <c r="E496" s="80"/>
      <c r="F496" s="80"/>
    </row>
    <row r="497" spans="2:6" x14ac:dyDescent="0.3">
      <c r="B497" s="176"/>
      <c r="C497" s="177"/>
      <c r="D497" s="177"/>
      <c r="E497" s="80"/>
      <c r="F497" s="80"/>
    </row>
    <row r="498" spans="2:6" x14ac:dyDescent="0.3">
      <c r="B498" s="176"/>
      <c r="C498" s="177"/>
      <c r="D498" s="177"/>
      <c r="E498" s="80"/>
      <c r="F498" s="80"/>
    </row>
    <row r="499" spans="2:6" x14ac:dyDescent="0.3">
      <c r="B499" s="176"/>
      <c r="C499" s="177"/>
      <c r="D499" s="177"/>
      <c r="E499" s="80"/>
      <c r="F499" s="80"/>
    </row>
    <row r="500" spans="2:6" x14ac:dyDescent="0.3">
      <c r="B500" s="176"/>
      <c r="C500" s="177"/>
      <c r="D500" s="177"/>
      <c r="E500" s="80"/>
      <c r="F500" s="80"/>
    </row>
    <row r="501" spans="2:6" x14ac:dyDescent="0.3">
      <c r="B501" s="176"/>
      <c r="C501" s="177"/>
      <c r="D501" s="177"/>
      <c r="E501" s="80"/>
      <c r="F501" s="80"/>
    </row>
    <row r="502" spans="2:6" x14ac:dyDescent="0.3">
      <c r="B502" s="176"/>
      <c r="C502" s="177"/>
      <c r="D502" s="177"/>
      <c r="E502" s="80"/>
      <c r="F502" s="80"/>
    </row>
    <row r="503" spans="2:6" x14ac:dyDescent="0.3">
      <c r="B503" s="176"/>
      <c r="C503" s="177"/>
      <c r="D503" s="177"/>
      <c r="E503" s="80"/>
      <c r="F503" s="80"/>
    </row>
    <row r="504" spans="2:6" x14ac:dyDescent="0.3">
      <c r="B504" s="176"/>
      <c r="C504" s="177"/>
      <c r="D504" s="177"/>
      <c r="E504" s="80"/>
      <c r="F504" s="80"/>
    </row>
    <row r="505" spans="2:6" x14ac:dyDescent="0.3">
      <c r="B505" s="176"/>
      <c r="C505" s="177"/>
      <c r="D505" s="177"/>
      <c r="E505" s="80"/>
      <c r="F505" s="80"/>
    </row>
    <row r="506" spans="2:6" x14ac:dyDescent="0.3">
      <c r="B506" s="176"/>
      <c r="C506" s="177"/>
      <c r="D506" s="177"/>
      <c r="E506" s="80"/>
      <c r="F506" s="80"/>
    </row>
    <row r="507" spans="2:6" x14ac:dyDescent="0.3">
      <c r="B507" s="176"/>
      <c r="C507" s="177"/>
      <c r="D507" s="177"/>
      <c r="E507" s="80"/>
      <c r="F507" s="80"/>
    </row>
    <row r="508" spans="2:6" x14ac:dyDescent="0.3">
      <c r="B508" s="176"/>
      <c r="C508" s="177"/>
      <c r="D508" s="177"/>
      <c r="E508" s="80"/>
      <c r="F508" s="80"/>
    </row>
    <row r="509" spans="2:6" x14ac:dyDescent="0.3">
      <c r="B509" s="176"/>
      <c r="C509" s="177"/>
      <c r="D509" s="177"/>
      <c r="E509" s="80"/>
      <c r="F509" s="80"/>
    </row>
    <row r="510" spans="2:6" x14ac:dyDescent="0.3">
      <c r="B510" s="176"/>
      <c r="C510" s="177"/>
      <c r="D510" s="177"/>
      <c r="E510" s="80"/>
      <c r="F510" s="80"/>
    </row>
    <row r="511" spans="2:6" x14ac:dyDescent="0.3">
      <c r="B511" s="176"/>
      <c r="C511" s="177"/>
      <c r="D511" s="177"/>
      <c r="E511" s="80"/>
      <c r="F511" s="80"/>
    </row>
    <row r="512" spans="2:6" x14ac:dyDescent="0.3">
      <c r="B512" s="176"/>
      <c r="C512" s="177"/>
      <c r="D512" s="177"/>
      <c r="E512" s="80"/>
      <c r="F512" s="80"/>
    </row>
    <row r="513" spans="2:6" x14ac:dyDescent="0.3">
      <c r="B513" s="176"/>
      <c r="C513" s="177"/>
      <c r="D513" s="177"/>
      <c r="E513" s="80"/>
      <c r="F513" s="80"/>
    </row>
    <row r="514" spans="2:6" x14ac:dyDescent="0.3">
      <c r="B514" s="176"/>
      <c r="C514" s="177"/>
      <c r="D514" s="177"/>
      <c r="E514" s="80"/>
      <c r="F514" s="80"/>
    </row>
    <row r="515" spans="2:6" x14ac:dyDescent="0.3">
      <c r="B515" s="176"/>
      <c r="C515" s="177"/>
      <c r="D515" s="177"/>
      <c r="E515" s="80"/>
      <c r="F515" s="80"/>
    </row>
    <row r="516" spans="2:6" x14ac:dyDescent="0.3">
      <c r="B516" s="176"/>
      <c r="C516" s="177"/>
      <c r="D516" s="177"/>
      <c r="E516" s="80"/>
      <c r="F516" s="80"/>
    </row>
    <row r="517" spans="2:6" x14ac:dyDescent="0.3">
      <c r="B517" s="176"/>
      <c r="C517" s="177"/>
      <c r="D517" s="177"/>
      <c r="E517" s="80"/>
      <c r="F517" s="80"/>
    </row>
    <row r="518" spans="2:6" x14ac:dyDescent="0.3">
      <c r="B518" s="176"/>
      <c r="C518" s="177"/>
      <c r="D518" s="177"/>
      <c r="E518" s="80"/>
      <c r="F518" s="80"/>
    </row>
    <row r="519" spans="2:6" x14ac:dyDescent="0.3">
      <c r="B519" s="176"/>
      <c r="C519" s="177"/>
      <c r="D519" s="177"/>
      <c r="E519" s="80"/>
      <c r="F519" s="80"/>
    </row>
    <row r="520" spans="2:6" x14ac:dyDescent="0.3">
      <c r="B520" s="176"/>
      <c r="C520" s="177"/>
      <c r="D520" s="177"/>
      <c r="E520" s="80"/>
      <c r="F520" s="80"/>
    </row>
    <row r="521" spans="2:6" x14ac:dyDescent="0.3">
      <c r="B521" s="176"/>
      <c r="C521" s="177"/>
      <c r="D521" s="177"/>
      <c r="E521" s="80"/>
      <c r="F521" s="80"/>
    </row>
    <row r="522" spans="2:6" x14ac:dyDescent="0.3">
      <c r="B522" s="176"/>
      <c r="C522" s="177"/>
      <c r="D522" s="177"/>
      <c r="E522" s="80"/>
      <c r="F522" s="80"/>
    </row>
    <row r="523" spans="2:6" x14ac:dyDescent="0.3">
      <c r="B523" s="176"/>
      <c r="C523" s="177"/>
      <c r="D523" s="177"/>
      <c r="E523" s="80"/>
      <c r="F523" s="80"/>
    </row>
    <row r="524" spans="2:6" x14ac:dyDescent="0.3">
      <c r="B524" s="176"/>
      <c r="C524" s="177"/>
      <c r="D524" s="177"/>
      <c r="E524" s="80"/>
      <c r="F524" s="80"/>
    </row>
    <row r="525" spans="2:6" x14ac:dyDescent="0.3">
      <c r="B525" s="176"/>
      <c r="C525" s="177"/>
      <c r="D525" s="177"/>
      <c r="E525" s="80"/>
      <c r="F525" s="80"/>
    </row>
    <row r="526" spans="2:6" x14ac:dyDescent="0.3">
      <c r="B526" s="176"/>
      <c r="C526" s="177"/>
      <c r="D526" s="177"/>
      <c r="E526" s="80"/>
      <c r="F526" s="80"/>
    </row>
    <row r="527" spans="2:6" x14ac:dyDescent="0.3">
      <c r="B527" s="176"/>
      <c r="C527" s="177"/>
      <c r="D527" s="177"/>
      <c r="E527" s="80"/>
      <c r="F527" s="80"/>
    </row>
    <row r="528" spans="2:6" x14ac:dyDescent="0.3">
      <c r="B528" s="176"/>
      <c r="C528" s="177"/>
      <c r="D528" s="177"/>
      <c r="E528" s="80"/>
      <c r="F528" s="80"/>
    </row>
    <row r="529" spans="2:6" x14ac:dyDescent="0.3">
      <c r="B529" s="176"/>
      <c r="C529" s="177"/>
      <c r="D529" s="177"/>
      <c r="E529" s="80"/>
      <c r="F529" s="80"/>
    </row>
    <row r="530" spans="2:6" x14ac:dyDescent="0.3">
      <c r="B530" s="176"/>
      <c r="C530" s="177"/>
      <c r="D530" s="177"/>
      <c r="E530" s="80"/>
      <c r="F530" s="80"/>
    </row>
    <row r="531" spans="2:6" x14ac:dyDescent="0.3">
      <c r="B531" s="176"/>
      <c r="C531" s="177"/>
      <c r="D531" s="177"/>
      <c r="E531" s="80"/>
      <c r="F531" s="80"/>
    </row>
    <row r="532" spans="2:6" x14ac:dyDescent="0.3">
      <c r="B532" s="176"/>
      <c r="C532" s="177"/>
      <c r="D532" s="177"/>
      <c r="E532" s="80"/>
      <c r="F532" s="80"/>
    </row>
    <row r="533" spans="2:6" x14ac:dyDescent="0.3">
      <c r="B533" s="176"/>
      <c r="C533" s="177"/>
      <c r="D533" s="177"/>
      <c r="E533" s="80"/>
      <c r="F533" s="80"/>
    </row>
    <row r="534" spans="2:6" x14ac:dyDescent="0.3">
      <c r="B534" s="176"/>
      <c r="C534" s="177"/>
      <c r="D534" s="177"/>
      <c r="E534" s="80"/>
      <c r="F534" s="80"/>
    </row>
    <row r="535" spans="2:6" x14ac:dyDescent="0.3">
      <c r="B535" s="176"/>
      <c r="C535" s="177"/>
      <c r="D535" s="177"/>
      <c r="E535" s="80"/>
      <c r="F535" s="80"/>
    </row>
    <row r="536" spans="2:6" x14ac:dyDescent="0.3">
      <c r="B536" s="176"/>
      <c r="C536" s="177"/>
      <c r="D536" s="177"/>
      <c r="E536" s="80"/>
      <c r="F536" s="80"/>
    </row>
    <row r="537" spans="2:6" x14ac:dyDescent="0.3">
      <c r="B537" s="176"/>
      <c r="C537" s="177"/>
      <c r="D537" s="177"/>
      <c r="E537" s="80"/>
      <c r="F537" s="80"/>
    </row>
    <row r="538" spans="2:6" x14ac:dyDescent="0.3">
      <c r="B538" s="176"/>
      <c r="C538" s="177"/>
      <c r="D538" s="177"/>
      <c r="E538" s="80"/>
      <c r="F538" s="80"/>
    </row>
    <row r="539" spans="2:6" x14ac:dyDescent="0.3">
      <c r="B539" s="176"/>
      <c r="C539" s="177"/>
      <c r="D539" s="177"/>
      <c r="E539" s="80"/>
      <c r="F539" s="80"/>
    </row>
    <row r="540" spans="2:6" x14ac:dyDescent="0.3">
      <c r="B540" s="176"/>
      <c r="C540" s="177"/>
      <c r="D540" s="177"/>
      <c r="E540" s="80"/>
      <c r="F540" s="80"/>
    </row>
    <row r="541" spans="2:6" x14ac:dyDescent="0.3">
      <c r="B541" s="176"/>
      <c r="C541" s="177"/>
      <c r="D541" s="177"/>
      <c r="E541" s="80"/>
      <c r="F541" s="80"/>
    </row>
    <row r="542" spans="2:6" x14ac:dyDescent="0.3">
      <c r="B542" s="176"/>
      <c r="C542" s="177"/>
      <c r="D542" s="177"/>
      <c r="E542" s="80"/>
      <c r="F542" s="80"/>
    </row>
    <row r="543" spans="2:6" x14ac:dyDescent="0.3">
      <c r="B543" s="176"/>
      <c r="C543" s="177"/>
      <c r="D543" s="177"/>
      <c r="E543" s="80"/>
      <c r="F543" s="80"/>
    </row>
    <row r="544" spans="2:6" x14ac:dyDescent="0.3">
      <c r="B544" s="176"/>
      <c r="C544" s="177"/>
      <c r="D544" s="177"/>
      <c r="E544" s="80"/>
      <c r="F544" s="80"/>
    </row>
    <row r="545" spans="2:6" x14ac:dyDescent="0.3">
      <c r="B545" s="176"/>
      <c r="C545" s="177"/>
      <c r="D545" s="177"/>
      <c r="E545" s="80"/>
      <c r="F545" s="80"/>
    </row>
    <row r="546" spans="2:6" x14ac:dyDescent="0.3">
      <c r="B546" s="176"/>
      <c r="C546" s="177"/>
      <c r="D546" s="177"/>
      <c r="E546" s="80"/>
      <c r="F546" s="80"/>
    </row>
    <row r="547" spans="2:6" x14ac:dyDescent="0.3">
      <c r="B547" s="176"/>
      <c r="C547" s="177"/>
      <c r="D547" s="177"/>
      <c r="E547" s="80"/>
      <c r="F547" s="80"/>
    </row>
    <row r="548" spans="2:6" x14ac:dyDescent="0.3">
      <c r="B548" s="176"/>
      <c r="C548" s="177"/>
      <c r="D548" s="177"/>
      <c r="E548" s="80"/>
      <c r="F548" s="80"/>
    </row>
    <row r="549" spans="2:6" x14ac:dyDescent="0.3">
      <c r="B549" s="176"/>
      <c r="C549" s="177"/>
      <c r="D549" s="177"/>
      <c r="E549" s="80"/>
      <c r="F549" s="80"/>
    </row>
    <row r="550" spans="2:6" x14ac:dyDescent="0.3">
      <c r="B550" s="176"/>
      <c r="C550" s="177"/>
      <c r="D550" s="177"/>
      <c r="E550" s="80"/>
      <c r="F550" s="80"/>
    </row>
    <row r="551" spans="2:6" x14ac:dyDescent="0.3">
      <c r="B551" s="176"/>
      <c r="C551" s="177"/>
      <c r="D551" s="177"/>
      <c r="E551" s="80"/>
      <c r="F551" s="80"/>
    </row>
    <row r="552" spans="2:6" x14ac:dyDescent="0.3">
      <c r="B552" s="176"/>
      <c r="C552" s="177"/>
      <c r="D552" s="177"/>
      <c r="E552" s="80"/>
      <c r="F552" s="80"/>
    </row>
    <row r="553" spans="2:6" x14ac:dyDescent="0.3">
      <c r="B553" s="176"/>
      <c r="C553" s="177"/>
      <c r="D553" s="177"/>
      <c r="E553" s="80"/>
      <c r="F553" s="80"/>
    </row>
    <row r="554" spans="2:6" x14ac:dyDescent="0.3">
      <c r="B554" s="176"/>
      <c r="C554" s="177"/>
      <c r="D554" s="177"/>
      <c r="E554" s="80"/>
      <c r="F554" s="80"/>
    </row>
    <row r="555" spans="2:6" x14ac:dyDescent="0.3">
      <c r="B555" s="176"/>
      <c r="C555" s="177"/>
      <c r="D555" s="177"/>
      <c r="E555" s="80"/>
      <c r="F555" s="80"/>
    </row>
    <row r="556" spans="2:6" x14ac:dyDescent="0.3">
      <c r="B556" s="176"/>
      <c r="C556" s="177"/>
      <c r="D556" s="177"/>
      <c r="E556" s="80"/>
      <c r="F556" s="80"/>
    </row>
    <row r="557" spans="2:6" x14ac:dyDescent="0.3">
      <c r="B557" s="176"/>
      <c r="C557" s="177"/>
      <c r="D557" s="177"/>
      <c r="E557" s="80"/>
      <c r="F557" s="80"/>
    </row>
    <row r="558" spans="2:6" x14ac:dyDescent="0.3">
      <c r="B558" s="176"/>
      <c r="C558" s="177"/>
      <c r="D558" s="177"/>
      <c r="E558" s="80"/>
      <c r="F558" s="80"/>
    </row>
    <row r="559" spans="2:6" x14ac:dyDescent="0.3">
      <c r="B559" s="176"/>
      <c r="C559" s="177"/>
      <c r="D559" s="177"/>
      <c r="E559" s="80"/>
      <c r="F559" s="80"/>
    </row>
    <row r="560" spans="2:6" x14ac:dyDescent="0.3">
      <c r="B560" s="176"/>
      <c r="C560" s="177"/>
      <c r="D560" s="177"/>
      <c r="E560" s="80"/>
      <c r="F560" s="80"/>
    </row>
    <row r="561" spans="2:6" x14ac:dyDescent="0.3">
      <c r="B561" s="176"/>
      <c r="C561" s="177"/>
      <c r="D561" s="177"/>
      <c r="E561" s="80"/>
      <c r="F561" s="80"/>
    </row>
    <row r="562" spans="2:6" x14ac:dyDescent="0.3">
      <c r="B562" s="176"/>
      <c r="C562" s="177"/>
      <c r="D562" s="177"/>
      <c r="E562" s="80"/>
      <c r="F562" s="80"/>
    </row>
    <row r="563" spans="2:6" x14ac:dyDescent="0.3">
      <c r="B563" s="176"/>
      <c r="C563" s="177"/>
      <c r="D563" s="177"/>
      <c r="E563" s="80"/>
      <c r="F563" s="80"/>
    </row>
    <row r="564" spans="2:6" x14ac:dyDescent="0.3">
      <c r="B564" s="176"/>
      <c r="C564" s="177"/>
      <c r="D564" s="177"/>
      <c r="E564" s="80"/>
      <c r="F564" s="80"/>
    </row>
    <row r="565" spans="2:6" x14ac:dyDescent="0.3">
      <c r="B565" s="176"/>
      <c r="C565" s="177"/>
      <c r="D565" s="177"/>
      <c r="E565" s="80"/>
      <c r="F565" s="80"/>
    </row>
    <row r="566" spans="2:6" x14ac:dyDescent="0.3">
      <c r="B566" s="176"/>
      <c r="C566" s="177"/>
      <c r="D566" s="177"/>
      <c r="E566" s="80"/>
      <c r="F566" s="80"/>
    </row>
    <row r="567" spans="2:6" x14ac:dyDescent="0.3">
      <c r="B567" s="176"/>
      <c r="C567" s="177"/>
      <c r="D567" s="177"/>
      <c r="E567" s="80"/>
      <c r="F567" s="80"/>
    </row>
    <row r="568" spans="2:6" x14ac:dyDescent="0.3">
      <c r="B568" s="176"/>
      <c r="C568" s="177"/>
      <c r="D568" s="177"/>
      <c r="E568" s="80"/>
      <c r="F568" s="80"/>
    </row>
    <row r="569" spans="2:6" x14ac:dyDescent="0.3">
      <c r="B569" s="176"/>
      <c r="C569" s="177"/>
      <c r="D569" s="177"/>
      <c r="E569" s="80"/>
      <c r="F569" s="80"/>
    </row>
    <row r="570" spans="2:6" x14ac:dyDescent="0.3">
      <c r="B570" s="176"/>
      <c r="C570" s="177"/>
      <c r="D570" s="177"/>
      <c r="E570" s="80"/>
      <c r="F570" s="80"/>
    </row>
    <row r="571" spans="2:6" x14ac:dyDescent="0.3">
      <c r="B571" s="176"/>
      <c r="C571" s="177"/>
      <c r="D571" s="177"/>
      <c r="E571" s="80"/>
      <c r="F571" s="80"/>
    </row>
    <row r="572" spans="2:6" x14ac:dyDescent="0.3">
      <c r="B572" s="176"/>
      <c r="C572" s="177"/>
      <c r="D572" s="177"/>
      <c r="E572" s="80"/>
      <c r="F572" s="80"/>
    </row>
    <row r="573" spans="2:6" x14ac:dyDescent="0.3">
      <c r="B573" s="176"/>
      <c r="C573" s="177"/>
      <c r="D573" s="177"/>
      <c r="E573" s="80"/>
      <c r="F573" s="80"/>
    </row>
    <row r="574" spans="2:6" x14ac:dyDescent="0.3">
      <c r="B574" s="176"/>
      <c r="C574" s="177"/>
      <c r="D574" s="177"/>
      <c r="E574" s="80"/>
      <c r="F574" s="80"/>
    </row>
    <row r="575" spans="2:6" x14ac:dyDescent="0.3">
      <c r="B575" s="176"/>
      <c r="C575" s="177"/>
      <c r="D575" s="177"/>
      <c r="E575" s="80"/>
      <c r="F575" s="80"/>
    </row>
    <row r="576" spans="2:6" x14ac:dyDescent="0.3">
      <c r="B576" s="176"/>
      <c r="C576" s="177"/>
      <c r="D576" s="177"/>
      <c r="E576" s="80"/>
      <c r="F576" s="80"/>
    </row>
    <row r="577" spans="2:6" x14ac:dyDescent="0.3">
      <c r="B577" s="176"/>
      <c r="C577" s="177"/>
      <c r="D577" s="177"/>
      <c r="E577" s="80"/>
      <c r="F577" s="80"/>
    </row>
    <row r="578" spans="2:6" x14ac:dyDescent="0.3">
      <c r="B578" s="176"/>
      <c r="C578" s="177"/>
      <c r="D578" s="177"/>
      <c r="E578" s="80"/>
      <c r="F578" s="80"/>
    </row>
    <row r="579" spans="2:6" x14ac:dyDescent="0.3">
      <c r="B579" s="176"/>
      <c r="C579" s="177"/>
      <c r="D579" s="177"/>
      <c r="E579" s="80"/>
      <c r="F579" s="80"/>
    </row>
    <row r="580" spans="2:6" x14ac:dyDescent="0.3">
      <c r="B580" s="176"/>
      <c r="C580" s="177"/>
      <c r="D580" s="177"/>
      <c r="E580" s="80"/>
      <c r="F580" s="80"/>
    </row>
    <row r="581" spans="2:6" x14ac:dyDescent="0.3">
      <c r="B581" s="176"/>
      <c r="C581" s="177"/>
      <c r="D581" s="177"/>
      <c r="E581" s="80"/>
      <c r="F581" s="80"/>
    </row>
    <row r="582" spans="2:6" x14ac:dyDescent="0.3">
      <c r="B582" s="176"/>
      <c r="C582" s="177"/>
      <c r="D582" s="177"/>
      <c r="E582" s="80"/>
      <c r="F582" s="80"/>
    </row>
    <row r="583" spans="2:6" x14ac:dyDescent="0.3">
      <c r="B583" s="176"/>
      <c r="C583" s="177"/>
      <c r="D583" s="177"/>
      <c r="E583" s="80"/>
      <c r="F583" s="80"/>
    </row>
    <row r="584" spans="2:6" x14ac:dyDescent="0.3">
      <c r="B584" s="176"/>
      <c r="C584" s="177"/>
      <c r="D584" s="177"/>
      <c r="E584" s="80"/>
      <c r="F584" s="80"/>
    </row>
    <row r="585" spans="2:6" x14ac:dyDescent="0.3">
      <c r="B585" s="176"/>
      <c r="C585" s="177"/>
      <c r="D585" s="177"/>
      <c r="E585" s="80"/>
      <c r="F585" s="80"/>
    </row>
    <row r="586" spans="2:6" x14ac:dyDescent="0.3">
      <c r="B586" s="176"/>
      <c r="C586" s="177"/>
      <c r="D586" s="177"/>
      <c r="E586" s="80"/>
      <c r="F586" s="80"/>
    </row>
    <row r="587" spans="2:6" x14ac:dyDescent="0.3">
      <c r="B587" s="176"/>
      <c r="C587" s="177"/>
      <c r="D587" s="177"/>
      <c r="E587" s="80"/>
      <c r="F587" s="80"/>
    </row>
    <row r="588" spans="2:6" x14ac:dyDescent="0.3">
      <c r="B588" s="176"/>
      <c r="C588" s="177"/>
      <c r="D588" s="177"/>
      <c r="E588" s="80"/>
      <c r="F588" s="80"/>
    </row>
    <row r="589" spans="2:6" x14ac:dyDescent="0.3">
      <c r="B589" s="176"/>
      <c r="C589" s="177"/>
      <c r="D589" s="177"/>
      <c r="E589" s="80"/>
      <c r="F589" s="80"/>
    </row>
    <row r="590" spans="2:6" x14ac:dyDescent="0.3">
      <c r="B590" s="176"/>
      <c r="C590" s="177"/>
      <c r="D590" s="177"/>
      <c r="E590" s="80"/>
      <c r="F590" s="80"/>
    </row>
    <row r="591" spans="2:6" x14ac:dyDescent="0.3">
      <c r="B591" s="176"/>
      <c r="C591" s="177"/>
      <c r="D591" s="177"/>
      <c r="E591" s="80"/>
      <c r="F591" s="80"/>
    </row>
    <row r="592" spans="2:6" x14ac:dyDescent="0.3">
      <c r="B592" s="176"/>
      <c r="C592" s="177"/>
      <c r="D592" s="177"/>
      <c r="E592" s="80"/>
      <c r="F592" s="80"/>
    </row>
    <row r="593" spans="2:6" x14ac:dyDescent="0.3">
      <c r="B593" s="176"/>
      <c r="C593" s="177"/>
      <c r="D593" s="177"/>
      <c r="E593" s="80"/>
      <c r="F593" s="80"/>
    </row>
    <row r="594" spans="2:6" x14ac:dyDescent="0.3">
      <c r="B594" s="176"/>
      <c r="C594" s="177"/>
      <c r="D594" s="177"/>
      <c r="E594" s="80"/>
      <c r="F594" s="80"/>
    </row>
    <row r="595" spans="2:6" x14ac:dyDescent="0.3">
      <c r="B595" s="176"/>
      <c r="C595" s="177"/>
      <c r="D595" s="177"/>
      <c r="E595" s="80"/>
      <c r="F595" s="80"/>
    </row>
    <row r="596" spans="2:6" x14ac:dyDescent="0.3">
      <c r="B596" s="176"/>
      <c r="C596" s="177"/>
      <c r="D596" s="177"/>
      <c r="E596" s="80"/>
      <c r="F596" s="80"/>
    </row>
    <row r="597" spans="2:6" x14ac:dyDescent="0.3">
      <c r="B597" s="176"/>
      <c r="C597" s="177"/>
      <c r="D597" s="177"/>
      <c r="E597" s="80"/>
      <c r="F597" s="80"/>
    </row>
    <row r="598" spans="2:6" x14ac:dyDescent="0.3">
      <c r="B598" s="176"/>
      <c r="C598" s="177"/>
      <c r="D598" s="177"/>
      <c r="E598" s="80"/>
      <c r="F598" s="80"/>
    </row>
    <row r="599" spans="2:6" x14ac:dyDescent="0.3">
      <c r="B599" s="176"/>
      <c r="C599" s="177"/>
      <c r="D599" s="177"/>
      <c r="E599" s="80"/>
      <c r="F599" s="80"/>
    </row>
    <row r="600" spans="2:6" x14ac:dyDescent="0.3">
      <c r="B600" s="176"/>
      <c r="C600" s="177"/>
      <c r="D600" s="177"/>
      <c r="E600" s="80"/>
      <c r="F600" s="80"/>
    </row>
    <row r="601" spans="2:6" x14ac:dyDescent="0.3">
      <c r="B601" s="176"/>
      <c r="C601" s="177"/>
      <c r="D601" s="177"/>
      <c r="E601" s="80"/>
      <c r="F601" s="80"/>
    </row>
    <row r="602" spans="2:6" x14ac:dyDescent="0.3">
      <c r="B602" s="176"/>
      <c r="C602" s="177"/>
      <c r="D602" s="177"/>
      <c r="E602" s="80"/>
      <c r="F602" s="80"/>
    </row>
    <row r="603" spans="2:6" x14ac:dyDescent="0.3">
      <c r="B603" s="176"/>
      <c r="C603" s="177"/>
      <c r="D603" s="177"/>
      <c r="E603" s="80"/>
      <c r="F603" s="80"/>
    </row>
    <row r="604" spans="2:6" x14ac:dyDescent="0.3">
      <c r="B604" s="176"/>
      <c r="C604" s="177"/>
      <c r="D604" s="177"/>
      <c r="E604" s="80"/>
      <c r="F604" s="80"/>
    </row>
    <row r="605" spans="2:6" x14ac:dyDescent="0.3">
      <c r="B605" s="176"/>
      <c r="C605" s="177"/>
      <c r="D605" s="177"/>
      <c r="E605" s="80"/>
      <c r="F605" s="80"/>
    </row>
    <row r="606" spans="2:6" x14ac:dyDescent="0.3">
      <c r="B606" s="176"/>
      <c r="C606" s="177"/>
      <c r="D606" s="177"/>
      <c r="E606" s="80"/>
      <c r="F606" s="80"/>
    </row>
    <row r="607" spans="2:6" x14ac:dyDescent="0.3">
      <c r="B607" s="176"/>
      <c r="C607" s="177"/>
      <c r="D607" s="177"/>
      <c r="E607" s="80"/>
      <c r="F607" s="80"/>
    </row>
    <row r="608" spans="2:6" x14ac:dyDescent="0.3">
      <c r="B608" s="176"/>
      <c r="C608" s="177"/>
      <c r="D608" s="177"/>
      <c r="E608" s="80"/>
      <c r="F608" s="80"/>
    </row>
    <row r="609" spans="2:6" x14ac:dyDescent="0.3">
      <c r="B609" s="176"/>
      <c r="C609" s="177"/>
      <c r="D609" s="177"/>
      <c r="E609" s="80"/>
      <c r="F609" s="80"/>
    </row>
    <row r="610" spans="2:6" x14ac:dyDescent="0.3">
      <c r="B610" s="176"/>
      <c r="C610" s="177"/>
      <c r="D610" s="177"/>
      <c r="E610" s="80"/>
      <c r="F610" s="80"/>
    </row>
    <row r="611" spans="2:6" x14ac:dyDescent="0.3">
      <c r="B611" s="176"/>
      <c r="C611" s="177"/>
      <c r="D611" s="177"/>
      <c r="E611" s="80"/>
      <c r="F611" s="80"/>
    </row>
    <row r="612" spans="2:6" x14ac:dyDescent="0.3">
      <c r="B612" s="176"/>
      <c r="C612" s="177"/>
      <c r="D612" s="177"/>
      <c r="E612" s="80"/>
      <c r="F612" s="80"/>
    </row>
    <row r="613" spans="2:6" x14ac:dyDescent="0.3">
      <c r="B613" s="176"/>
      <c r="C613" s="177"/>
      <c r="D613" s="177"/>
      <c r="E613" s="80"/>
      <c r="F613" s="80"/>
    </row>
    <row r="614" spans="2:6" x14ac:dyDescent="0.3">
      <c r="B614" s="176"/>
      <c r="C614" s="177"/>
      <c r="D614" s="177"/>
      <c r="E614" s="80"/>
      <c r="F614" s="80"/>
    </row>
    <row r="615" spans="2:6" x14ac:dyDescent="0.3">
      <c r="B615" s="176"/>
      <c r="C615" s="177"/>
      <c r="D615" s="177"/>
      <c r="E615" s="80"/>
      <c r="F615" s="80"/>
    </row>
    <row r="616" spans="2:6" x14ac:dyDescent="0.3">
      <c r="B616" s="176"/>
      <c r="C616" s="177"/>
      <c r="D616" s="177"/>
      <c r="E616" s="80"/>
      <c r="F616" s="80"/>
    </row>
    <row r="617" spans="2:6" x14ac:dyDescent="0.3">
      <c r="B617" s="176"/>
      <c r="C617" s="177"/>
      <c r="D617" s="177"/>
      <c r="E617" s="80"/>
      <c r="F617" s="80"/>
    </row>
    <row r="618" spans="2:6" x14ac:dyDescent="0.3">
      <c r="B618" s="176"/>
      <c r="C618" s="177"/>
      <c r="D618" s="177"/>
      <c r="E618" s="80"/>
      <c r="F618" s="80"/>
    </row>
    <row r="619" spans="2:6" x14ac:dyDescent="0.3">
      <c r="B619" s="176"/>
      <c r="C619" s="177"/>
      <c r="D619" s="177"/>
      <c r="E619" s="80"/>
      <c r="F619" s="80"/>
    </row>
    <row r="620" spans="2:6" x14ac:dyDescent="0.3">
      <c r="B620" s="176"/>
      <c r="C620" s="177"/>
      <c r="D620" s="177"/>
      <c r="E620" s="80"/>
      <c r="F620" s="80"/>
    </row>
    <row r="621" spans="2:6" x14ac:dyDescent="0.3">
      <c r="B621" s="176"/>
      <c r="C621" s="177"/>
      <c r="D621" s="177"/>
      <c r="E621" s="80"/>
      <c r="F621" s="80"/>
    </row>
    <row r="622" spans="2:6" x14ac:dyDescent="0.3">
      <c r="B622" s="176"/>
      <c r="C622" s="177"/>
      <c r="D622" s="177"/>
      <c r="E622" s="80"/>
      <c r="F622" s="80"/>
    </row>
    <row r="623" spans="2:6" x14ac:dyDescent="0.3">
      <c r="B623" s="176"/>
      <c r="C623" s="177"/>
      <c r="D623" s="177"/>
      <c r="E623" s="80"/>
      <c r="F623" s="80"/>
    </row>
    <row r="624" spans="2:6" x14ac:dyDescent="0.3">
      <c r="B624" s="176"/>
      <c r="C624" s="177"/>
      <c r="D624" s="177"/>
      <c r="E624" s="80"/>
      <c r="F624" s="80"/>
    </row>
    <row r="625" spans="2:6" x14ac:dyDescent="0.3">
      <c r="B625" s="176"/>
      <c r="C625" s="177"/>
      <c r="D625" s="177"/>
      <c r="E625" s="80"/>
      <c r="F625" s="80"/>
    </row>
    <row r="626" spans="2:6" x14ac:dyDescent="0.3">
      <c r="B626" s="176"/>
      <c r="C626" s="177"/>
      <c r="D626" s="177"/>
      <c r="E626" s="80"/>
      <c r="F626" s="80"/>
    </row>
    <row r="627" spans="2:6" x14ac:dyDescent="0.3">
      <c r="B627" s="176"/>
      <c r="C627" s="177"/>
      <c r="D627" s="177"/>
      <c r="E627" s="80"/>
      <c r="F627" s="80"/>
    </row>
    <row r="628" spans="2:6" x14ac:dyDescent="0.3">
      <c r="B628" s="176"/>
      <c r="C628" s="177"/>
      <c r="D628" s="177"/>
      <c r="E628" s="80"/>
      <c r="F628" s="80"/>
    </row>
    <row r="629" spans="2:6" x14ac:dyDescent="0.3">
      <c r="B629" s="176"/>
      <c r="C629" s="177"/>
      <c r="D629" s="177"/>
      <c r="E629" s="80"/>
      <c r="F629" s="80"/>
    </row>
    <row r="630" spans="2:6" x14ac:dyDescent="0.3">
      <c r="B630" s="176"/>
      <c r="C630" s="177"/>
      <c r="D630" s="177"/>
      <c r="E630" s="80"/>
      <c r="F630" s="80"/>
    </row>
    <row r="631" spans="2:6" x14ac:dyDescent="0.3">
      <c r="B631" s="176"/>
      <c r="C631" s="177"/>
      <c r="D631" s="177"/>
      <c r="E631" s="80"/>
      <c r="F631" s="80"/>
    </row>
    <row r="632" spans="2:6" x14ac:dyDescent="0.3">
      <c r="B632" s="176"/>
      <c r="C632" s="177"/>
      <c r="D632" s="177"/>
      <c r="E632" s="80"/>
      <c r="F632" s="80"/>
    </row>
    <row r="633" spans="2:6" x14ac:dyDescent="0.3">
      <c r="B633" s="176"/>
      <c r="C633" s="177"/>
      <c r="D633" s="177"/>
      <c r="E633" s="80"/>
      <c r="F633" s="80"/>
    </row>
    <row r="634" spans="2:6" x14ac:dyDescent="0.3">
      <c r="B634" s="176"/>
      <c r="C634" s="177"/>
      <c r="D634" s="177"/>
      <c r="E634" s="80"/>
      <c r="F634" s="80"/>
    </row>
    <row r="635" spans="2:6" x14ac:dyDescent="0.3">
      <c r="B635" s="176"/>
      <c r="C635" s="177"/>
      <c r="D635" s="177"/>
      <c r="E635" s="80"/>
      <c r="F635" s="80"/>
    </row>
    <row r="636" spans="2:6" x14ac:dyDescent="0.3">
      <c r="B636" s="176"/>
      <c r="C636" s="177"/>
      <c r="D636" s="177"/>
      <c r="E636" s="80"/>
      <c r="F636" s="80"/>
    </row>
    <row r="637" spans="2:6" x14ac:dyDescent="0.3">
      <c r="B637" s="176"/>
      <c r="C637" s="177"/>
      <c r="D637" s="177"/>
      <c r="E637" s="80"/>
      <c r="F637" s="80"/>
    </row>
    <row r="638" spans="2:6" x14ac:dyDescent="0.3">
      <c r="B638" s="176"/>
      <c r="C638" s="177"/>
      <c r="D638" s="177"/>
      <c r="E638" s="80"/>
      <c r="F638" s="80"/>
    </row>
    <row r="639" spans="2:6" x14ac:dyDescent="0.3">
      <c r="B639" s="176"/>
      <c r="C639" s="177"/>
      <c r="D639" s="177"/>
      <c r="E639" s="80"/>
      <c r="F639" s="80"/>
    </row>
    <row r="640" spans="2:6" x14ac:dyDescent="0.3">
      <c r="B640" s="176"/>
      <c r="C640" s="177"/>
      <c r="D640" s="177"/>
      <c r="E640" s="80"/>
      <c r="F640" s="80"/>
    </row>
    <row r="641" spans="2:6" x14ac:dyDescent="0.3">
      <c r="B641" s="176"/>
      <c r="C641" s="177"/>
      <c r="D641" s="177"/>
      <c r="E641" s="80"/>
      <c r="F641" s="80"/>
    </row>
    <row r="642" spans="2:6" x14ac:dyDescent="0.3">
      <c r="B642" s="176"/>
      <c r="C642" s="177"/>
      <c r="D642" s="177"/>
      <c r="E642" s="80"/>
      <c r="F642" s="80"/>
    </row>
    <row r="643" spans="2:6" x14ac:dyDescent="0.3">
      <c r="B643" s="176"/>
      <c r="C643" s="177"/>
      <c r="D643" s="177"/>
      <c r="E643" s="80"/>
      <c r="F643" s="80"/>
    </row>
    <row r="644" spans="2:6" x14ac:dyDescent="0.3">
      <c r="B644" s="176"/>
      <c r="C644" s="177"/>
      <c r="D644" s="177"/>
      <c r="E644" s="80"/>
      <c r="F644" s="80"/>
    </row>
    <row r="645" spans="2:6" x14ac:dyDescent="0.3">
      <c r="B645" s="176"/>
      <c r="C645" s="177"/>
      <c r="D645" s="177"/>
      <c r="E645" s="80"/>
      <c r="F645" s="80"/>
    </row>
    <row r="646" spans="2:6" x14ac:dyDescent="0.3">
      <c r="B646" s="176"/>
      <c r="C646" s="177"/>
      <c r="D646" s="177"/>
      <c r="E646" s="80"/>
      <c r="F646" s="80"/>
    </row>
    <row r="647" spans="2:6" x14ac:dyDescent="0.3">
      <c r="B647" s="176"/>
      <c r="C647" s="177"/>
      <c r="D647" s="177"/>
      <c r="E647" s="80"/>
      <c r="F647" s="80"/>
    </row>
    <row r="648" spans="2:6" x14ac:dyDescent="0.3">
      <c r="B648" s="176"/>
      <c r="C648" s="177"/>
      <c r="D648" s="177"/>
      <c r="E648" s="80"/>
      <c r="F648" s="80"/>
    </row>
    <row r="649" spans="2:6" x14ac:dyDescent="0.3">
      <c r="B649" s="176"/>
      <c r="C649" s="177"/>
      <c r="D649" s="177"/>
      <c r="E649" s="80"/>
      <c r="F649" s="80"/>
    </row>
    <row r="650" spans="2:6" x14ac:dyDescent="0.3">
      <c r="B650" s="176"/>
      <c r="C650" s="177"/>
      <c r="D650" s="177"/>
      <c r="E650" s="80"/>
      <c r="F650" s="80"/>
    </row>
    <row r="651" spans="2:6" x14ac:dyDescent="0.3">
      <c r="B651" s="176"/>
      <c r="C651" s="177"/>
      <c r="D651" s="177"/>
      <c r="E651" s="80"/>
      <c r="F651" s="80"/>
    </row>
    <row r="652" spans="2:6" x14ac:dyDescent="0.3">
      <c r="B652" s="176"/>
      <c r="C652" s="177"/>
      <c r="D652" s="177"/>
      <c r="E652" s="80"/>
      <c r="F652" s="80"/>
    </row>
    <row r="653" spans="2:6" x14ac:dyDescent="0.3">
      <c r="B653" s="176"/>
      <c r="C653" s="177"/>
      <c r="D653" s="177"/>
      <c r="E653" s="80"/>
      <c r="F653" s="80"/>
    </row>
    <row r="654" spans="2:6" x14ac:dyDescent="0.3">
      <c r="B654" s="176"/>
      <c r="C654" s="177"/>
      <c r="D654" s="177"/>
      <c r="E654" s="80"/>
      <c r="F654" s="80"/>
    </row>
    <row r="655" spans="2:6" x14ac:dyDescent="0.3">
      <c r="B655" s="176"/>
      <c r="C655" s="177"/>
      <c r="D655" s="177"/>
      <c r="E655" s="80"/>
      <c r="F655" s="80"/>
    </row>
    <row r="656" spans="2:6" x14ac:dyDescent="0.3">
      <c r="B656" s="176"/>
      <c r="C656" s="177"/>
      <c r="D656" s="177"/>
      <c r="E656" s="80"/>
      <c r="F656" s="80"/>
    </row>
    <row r="657" spans="2:6" x14ac:dyDescent="0.3">
      <c r="B657" s="176"/>
      <c r="C657" s="177"/>
      <c r="D657" s="177"/>
      <c r="E657" s="80"/>
      <c r="F657" s="80"/>
    </row>
    <row r="658" spans="2:6" x14ac:dyDescent="0.3">
      <c r="B658" s="176"/>
      <c r="C658" s="177"/>
      <c r="D658" s="177"/>
      <c r="E658" s="80"/>
      <c r="F658" s="80"/>
    </row>
    <row r="659" spans="2:6" x14ac:dyDescent="0.3">
      <c r="B659" s="176"/>
      <c r="C659" s="177"/>
      <c r="D659" s="177"/>
      <c r="E659" s="80"/>
      <c r="F659" s="80"/>
    </row>
    <row r="660" spans="2:6" x14ac:dyDescent="0.3">
      <c r="B660" s="176"/>
      <c r="C660" s="177"/>
      <c r="D660" s="177"/>
      <c r="E660" s="80"/>
      <c r="F660" s="80"/>
    </row>
    <row r="661" spans="2:6" x14ac:dyDescent="0.3">
      <c r="B661" s="176"/>
      <c r="C661" s="177"/>
      <c r="D661" s="177"/>
      <c r="E661" s="80"/>
      <c r="F661" s="80"/>
    </row>
    <row r="662" spans="2:6" x14ac:dyDescent="0.3">
      <c r="B662" s="176"/>
      <c r="C662" s="177"/>
      <c r="D662" s="177"/>
      <c r="E662" s="80"/>
      <c r="F662" s="80"/>
    </row>
    <row r="663" spans="2:6" x14ac:dyDescent="0.3">
      <c r="B663" s="176"/>
      <c r="C663" s="177"/>
      <c r="D663" s="177"/>
      <c r="E663" s="80"/>
      <c r="F663" s="80"/>
    </row>
    <row r="664" spans="2:6" x14ac:dyDescent="0.3">
      <c r="B664" s="176"/>
      <c r="C664" s="177"/>
      <c r="D664" s="177"/>
      <c r="E664" s="80"/>
      <c r="F664" s="80"/>
    </row>
    <row r="665" spans="2:6" x14ac:dyDescent="0.3">
      <c r="B665" s="176"/>
      <c r="C665" s="177"/>
      <c r="D665" s="177"/>
      <c r="E665" s="80"/>
      <c r="F665" s="80"/>
    </row>
    <row r="666" spans="2:6" x14ac:dyDescent="0.3">
      <c r="B666" s="176"/>
      <c r="C666" s="177"/>
      <c r="D666" s="177"/>
      <c r="E666" s="80"/>
      <c r="F666" s="80"/>
    </row>
    <row r="667" spans="2:6" x14ac:dyDescent="0.3">
      <c r="B667" s="176"/>
      <c r="C667" s="177"/>
      <c r="D667" s="177"/>
      <c r="E667" s="80"/>
      <c r="F667" s="80"/>
    </row>
    <row r="668" spans="2:6" x14ac:dyDescent="0.3">
      <c r="B668" s="176"/>
      <c r="C668" s="177"/>
      <c r="D668" s="177"/>
      <c r="E668" s="80"/>
      <c r="F668" s="80"/>
    </row>
    <row r="669" spans="2:6" x14ac:dyDescent="0.3">
      <c r="B669" s="176"/>
      <c r="C669" s="177"/>
      <c r="D669" s="177"/>
      <c r="E669" s="80"/>
      <c r="F669" s="80"/>
    </row>
    <row r="670" spans="2:6" x14ac:dyDescent="0.3">
      <c r="B670" s="176"/>
      <c r="C670" s="177"/>
      <c r="D670" s="177"/>
      <c r="E670" s="80"/>
      <c r="F670" s="80"/>
    </row>
    <row r="671" spans="2:6" x14ac:dyDescent="0.3">
      <c r="B671" s="176"/>
      <c r="C671" s="177"/>
      <c r="D671" s="177"/>
      <c r="E671" s="80"/>
      <c r="F671" s="80"/>
    </row>
    <row r="672" spans="2:6" x14ac:dyDescent="0.3">
      <c r="B672" s="176"/>
      <c r="C672" s="177"/>
      <c r="D672" s="177"/>
      <c r="E672" s="80"/>
      <c r="F672" s="80"/>
    </row>
    <row r="673" spans="2:6" x14ac:dyDescent="0.3">
      <c r="B673" s="176"/>
      <c r="C673" s="177"/>
      <c r="D673" s="177"/>
      <c r="E673" s="80"/>
      <c r="F673" s="80"/>
    </row>
    <row r="674" spans="2:6" x14ac:dyDescent="0.3">
      <c r="B674" s="176"/>
      <c r="C674" s="177"/>
      <c r="D674" s="177"/>
      <c r="E674" s="80"/>
      <c r="F674" s="80"/>
    </row>
    <row r="675" spans="2:6" x14ac:dyDescent="0.3">
      <c r="B675" s="176"/>
      <c r="C675" s="177"/>
      <c r="D675" s="177"/>
      <c r="E675" s="80"/>
      <c r="F675" s="80"/>
    </row>
    <row r="676" spans="2:6" x14ac:dyDescent="0.3">
      <c r="B676" s="176"/>
      <c r="C676" s="177"/>
      <c r="D676" s="177"/>
      <c r="E676" s="80"/>
      <c r="F676" s="80"/>
    </row>
    <row r="677" spans="2:6" x14ac:dyDescent="0.3">
      <c r="B677" s="176"/>
      <c r="C677" s="177"/>
      <c r="D677" s="177"/>
      <c r="E677" s="80"/>
      <c r="F677" s="80"/>
    </row>
    <row r="678" spans="2:6" x14ac:dyDescent="0.3">
      <c r="B678" s="176"/>
      <c r="C678" s="177"/>
      <c r="D678" s="177"/>
      <c r="E678" s="80"/>
      <c r="F678" s="80"/>
    </row>
    <row r="679" spans="2:6" x14ac:dyDescent="0.3">
      <c r="B679" s="176"/>
      <c r="C679" s="177"/>
      <c r="D679" s="177"/>
      <c r="E679" s="80"/>
      <c r="F679" s="80"/>
    </row>
    <row r="680" spans="2:6" x14ac:dyDescent="0.3">
      <c r="B680" s="176"/>
      <c r="C680" s="177"/>
      <c r="D680" s="177"/>
      <c r="E680" s="80"/>
      <c r="F680" s="80"/>
    </row>
    <row r="681" spans="2:6" x14ac:dyDescent="0.3">
      <c r="B681" s="176"/>
      <c r="C681" s="177"/>
      <c r="D681" s="177"/>
      <c r="E681" s="80"/>
      <c r="F681" s="80"/>
    </row>
    <row r="682" spans="2:6" x14ac:dyDescent="0.3">
      <c r="B682" s="176"/>
      <c r="C682" s="177"/>
      <c r="D682" s="177"/>
      <c r="E682" s="80"/>
      <c r="F682" s="80"/>
    </row>
    <row r="683" spans="2:6" x14ac:dyDescent="0.3">
      <c r="B683" s="176"/>
      <c r="C683" s="177"/>
      <c r="D683" s="177"/>
      <c r="E683" s="80"/>
      <c r="F683" s="80"/>
    </row>
    <row r="684" spans="2:6" x14ac:dyDescent="0.3">
      <c r="B684" s="176"/>
      <c r="C684" s="177"/>
      <c r="D684" s="177"/>
      <c r="E684" s="80"/>
      <c r="F684" s="80"/>
    </row>
    <row r="685" spans="2:6" x14ac:dyDescent="0.3">
      <c r="B685" s="176"/>
      <c r="C685" s="177"/>
      <c r="D685" s="177"/>
      <c r="E685" s="80"/>
      <c r="F685" s="80"/>
    </row>
    <row r="686" spans="2:6" x14ac:dyDescent="0.3">
      <c r="B686" s="176"/>
      <c r="C686" s="177"/>
      <c r="D686" s="177"/>
      <c r="E686" s="80"/>
      <c r="F686" s="80"/>
    </row>
    <row r="687" spans="2:6" x14ac:dyDescent="0.3">
      <c r="B687" s="176"/>
      <c r="C687" s="177"/>
      <c r="D687" s="177"/>
      <c r="E687" s="80"/>
      <c r="F687" s="80"/>
    </row>
    <row r="688" spans="2:6" x14ac:dyDescent="0.3">
      <c r="B688" s="176"/>
      <c r="C688" s="177"/>
      <c r="D688" s="177"/>
      <c r="E688" s="80"/>
      <c r="F688" s="80"/>
    </row>
    <row r="689" spans="2:6" x14ac:dyDescent="0.3">
      <c r="B689" s="176"/>
      <c r="C689" s="177"/>
      <c r="D689" s="177"/>
      <c r="E689" s="80"/>
      <c r="F689" s="80"/>
    </row>
    <row r="690" spans="2:6" x14ac:dyDescent="0.3">
      <c r="B690" s="176"/>
      <c r="C690" s="177"/>
      <c r="D690" s="177"/>
      <c r="E690" s="80"/>
      <c r="F690" s="80"/>
    </row>
    <row r="691" spans="2:6" x14ac:dyDescent="0.3">
      <c r="B691" s="176"/>
      <c r="C691" s="177"/>
      <c r="D691" s="177"/>
      <c r="E691" s="80"/>
      <c r="F691" s="80"/>
    </row>
    <row r="692" spans="2:6" x14ac:dyDescent="0.3">
      <c r="B692" s="176"/>
      <c r="C692" s="177"/>
      <c r="D692" s="177"/>
      <c r="E692" s="80"/>
      <c r="F692" s="80"/>
    </row>
    <row r="693" spans="2:6" x14ac:dyDescent="0.3">
      <c r="B693" s="176"/>
      <c r="C693" s="177"/>
      <c r="D693" s="177"/>
      <c r="E693" s="80"/>
      <c r="F693" s="80"/>
    </row>
    <row r="694" spans="2:6" x14ac:dyDescent="0.3">
      <c r="B694" s="176"/>
      <c r="C694" s="177"/>
      <c r="D694" s="177"/>
      <c r="E694" s="80"/>
      <c r="F694" s="80"/>
    </row>
    <row r="695" spans="2:6" x14ac:dyDescent="0.3">
      <c r="B695" s="176"/>
      <c r="C695" s="177"/>
      <c r="D695" s="177"/>
      <c r="E695" s="80"/>
      <c r="F695" s="80"/>
    </row>
    <row r="696" spans="2:6" x14ac:dyDescent="0.3">
      <c r="B696" s="176"/>
      <c r="C696" s="177"/>
      <c r="D696" s="177"/>
      <c r="E696" s="80"/>
      <c r="F696" s="80"/>
    </row>
    <row r="697" spans="2:6" x14ac:dyDescent="0.3">
      <c r="B697" s="176"/>
      <c r="C697" s="177"/>
      <c r="D697" s="177"/>
      <c r="E697" s="80"/>
      <c r="F697" s="80"/>
    </row>
    <row r="698" spans="2:6" x14ac:dyDescent="0.3">
      <c r="B698" s="176"/>
      <c r="C698" s="177"/>
      <c r="D698" s="177"/>
      <c r="E698" s="80"/>
      <c r="F698" s="80"/>
    </row>
    <row r="699" spans="2:6" x14ac:dyDescent="0.3">
      <c r="B699" s="176"/>
      <c r="C699" s="177"/>
      <c r="D699" s="177"/>
      <c r="E699" s="80"/>
      <c r="F699" s="80"/>
    </row>
    <row r="700" spans="2:6" x14ac:dyDescent="0.3">
      <c r="B700" s="176"/>
      <c r="C700" s="177"/>
      <c r="D700" s="177"/>
      <c r="E700" s="80"/>
      <c r="F700" s="80"/>
    </row>
    <row r="701" spans="2:6" x14ac:dyDescent="0.3">
      <c r="B701" s="176"/>
      <c r="C701" s="177"/>
      <c r="D701" s="177"/>
      <c r="E701" s="80"/>
      <c r="F701" s="80"/>
    </row>
    <row r="702" spans="2:6" x14ac:dyDescent="0.3">
      <c r="B702" s="176"/>
      <c r="C702" s="177"/>
      <c r="D702" s="177"/>
      <c r="E702" s="80"/>
      <c r="F702" s="80"/>
    </row>
    <row r="703" spans="2:6" x14ac:dyDescent="0.3">
      <c r="B703" s="176"/>
      <c r="C703" s="177"/>
      <c r="D703" s="177"/>
      <c r="E703" s="80"/>
      <c r="F703" s="80"/>
    </row>
    <row r="704" spans="2:6" x14ac:dyDescent="0.3">
      <c r="B704" s="176"/>
      <c r="C704" s="177"/>
      <c r="D704" s="177"/>
      <c r="E704" s="80"/>
      <c r="F704" s="80"/>
    </row>
    <row r="705" spans="2:6" x14ac:dyDescent="0.3">
      <c r="B705" s="176"/>
      <c r="C705" s="177"/>
      <c r="D705" s="177"/>
      <c r="E705" s="80"/>
      <c r="F705" s="80"/>
    </row>
    <row r="706" spans="2:6" x14ac:dyDescent="0.3">
      <c r="B706" s="176"/>
      <c r="C706" s="177"/>
      <c r="D706" s="177"/>
      <c r="E706" s="80"/>
      <c r="F706" s="80"/>
    </row>
    <row r="707" spans="2:6" x14ac:dyDescent="0.3">
      <c r="B707" s="176"/>
      <c r="C707" s="177"/>
      <c r="D707" s="177"/>
      <c r="E707" s="80"/>
      <c r="F707" s="80"/>
    </row>
    <row r="708" spans="2:6" x14ac:dyDescent="0.3">
      <c r="B708" s="176"/>
      <c r="C708" s="177"/>
      <c r="D708" s="177"/>
      <c r="E708" s="80"/>
      <c r="F708" s="80"/>
    </row>
    <row r="709" spans="2:6" x14ac:dyDescent="0.3">
      <c r="B709" s="176"/>
      <c r="C709" s="177"/>
      <c r="D709" s="177"/>
      <c r="E709" s="80"/>
      <c r="F709" s="80"/>
    </row>
    <row r="710" spans="2:6" x14ac:dyDescent="0.3">
      <c r="B710" s="176"/>
      <c r="C710" s="177"/>
      <c r="D710" s="177"/>
      <c r="E710" s="80"/>
      <c r="F710" s="80"/>
    </row>
    <row r="711" spans="2:6" x14ac:dyDescent="0.3">
      <c r="B711" s="176"/>
      <c r="C711" s="177"/>
      <c r="D711" s="177"/>
      <c r="E711" s="80"/>
      <c r="F711" s="80"/>
    </row>
    <row r="712" spans="2:6" x14ac:dyDescent="0.3">
      <c r="B712" s="176"/>
      <c r="C712" s="177"/>
      <c r="D712" s="177"/>
      <c r="E712" s="80"/>
      <c r="F712" s="80"/>
    </row>
    <row r="713" spans="2:6" x14ac:dyDescent="0.3">
      <c r="B713" s="176"/>
      <c r="C713" s="177"/>
      <c r="D713" s="177"/>
      <c r="E713" s="80"/>
      <c r="F713" s="80"/>
    </row>
    <row r="714" spans="2:6" x14ac:dyDescent="0.3">
      <c r="B714" s="176"/>
      <c r="C714" s="177"/>
      <c r="D714" s="177"/>
      <c r="E714" s="80"/>
      <c r="F714" s="80"/>
    </row>
    <row r="715" spans="2:6" x14ac:dyDescent="0.3">
      <c r="B715" s="176"/>
      <c r="C715" s="177"/>
      <c r="D715" s="177"/>
      <c r="E715" s="80"/>
      <c r="F715" s="80"/>
    </row>
    <row r="716" spans="2:6" x14ac:dyDescent="0.3">
      <c r="B716" s="176"/>
      <c r="C716" s="177"/>
      <c r="D716" s="177"/>
      <c r="E716" s="80"/>
      <c r="F716" s="80"/>
    </row>
    <row r="717" spans="2:6" x14ac:dyDescent="0.3">
      <c r="B717" s="176"/>
      <c r="C717" s="177"/>
      <c r="D717" s="177"/>
      <c r="E717" s="80"/>
      <c r="F717" s="80"/>
    </row>
    <row r="718" spans="2:6" x14ac:dyDescent="0.3">
      <c r="B718" s="176"/>
      <c r="C718" s="177"/>
      <c r="D718" s="177"/>
      <c r="E718" s="80"/>
      <c r="F718" s="80"/>
    </row>
    <row r="719" spans="2:6" x14ac:dyDescent="0.3">
      <c r="B719" s="176"/>
      <c r="C719" s="177"/>
      <c r="D719" s="177"/>
      <c r="E719" s="80"/>
      <c r="F719" s="80"/>
    </row>
    <row r="720" spans="2:6" x14ac:dyDescent="0.3">
      <c r="B720" s="176"/>
      <c r="C720" s="177"/>
      <c r="D720" s="177"/>
      <c r="E720" s="80"/>
      <c r="F720" s="80"/>
    </row>
    <row r="721" spans="2:6" x14ac:dyDescent="0.3">
      <c r="B721" s="176"/>
      <c r="C721" s="177"/>
      <c r="D721" s="177"/>
      <c r="E721" s="80"/>
      <c r="F721" s="80"/>
    </row>
    <row r="722" spans="2:6" x14ac:dyDescent="0.3">
      <c r="B722" s="176"/>
      <c r="C722" s="177"/>
      <c r="D722" s="177"/>
      <c r="E722" s="80"/>
      <c r="F722" s="80"/>
    </row>
    <row r="723" spans="2:6" x14ac:dyDescent="0.3">
      <c r="B723" s="176"/>
      <c r="C723" s="177"/>
      <c r="D723" s="177"/>
      <c r="E723" s="80"/>
      <c r="F723" s="80"/>
    </row>
    <row r="724" spans="2:6" x14ac:dyDescent="0.3">
      <c r="B724" s="176"/>
      <c r="C724" s="177"/>
      <c r="D724" s="177"/>
      <c r="E724" s="80"/>
      <c r="F724" s="80"/>
    </row>
    <row r="725" spans="2:6" x14ac:dyDescent="0.3">
      <c r="B725" s="176"/>
      <c r="C725" s="177"/>
      <c r="D725" s="177"/>
      <c r="E725" s="80"/>
      <c r="F725" s="80"/>
    </row>
    <row r="726" spans="2:6" x14ac:dyDescent="0.3">
      <c r="B726" s="176"/>
      <c r="C726" s="177"/>
      <c r="D726" s="177"/>
      <c r="E726" s="80"/>
      <c r="F726" s="80"/>
    </row>
    <row r="727" spans="2:6" x14ac:dyDescent="0.3">
      <c r="B727" s="176"/>
      <c r="C727" s="177"/>
      <c r="D727" s="177"/>
      <c r="E727" s="80"/>
      <c r="F727" s="80"/>
    </row>
    <row r="728" spans="2:6" x14ac:dyDescent="0.3">
      <c r="B728" s="176"/>
      <c r="C728" s="177"/>
      <c r="D728" s="177"/>
      <c r="E728" s="80"/>
      <c r="F728" s="80"/>
    </row>
    <row r="729" spans="2:6" x14ac:dyDescent="0.3">
      <c r="B729" s="176"/>
      <c r="C729" s="177"/>
      <c r="D729" s="177"/>
      <c r="E729" s="80"/>
      <c r="F729" s="80"/>
    </row>
    <row r="730" spans="2:6" x14ac:dyDescent="0.3">
      <c r="B730" s="176"/>
      <c r="C730" s="177"/>
      <c r="D730" s="177"/>
      <c r="E730" s="80"/>
      <c r="F730" s="80"/>
    </row>
    <row r="731" spans="2:6" x14ac:dyDescent="0.3">
      <c r="B731" s="176"/>
      <c r="C731" s="177"/>
      <c r="D731" s="177"/>
      <c r="E731" s="80"/>
      <c r="F731" s="80"/>
    </row>
    <row r="732" spans="2:6" x14ac:dyDescent="0.3">
      <c r="B732" s="176"/>
      <c r="C732" s="177"/>
      <c r="D732" s="177"/>
      <c r="E732" s="80"/>
      <c r="F732" s="80"/>
    </row>
    <row r="733" spans="2:6" x14ac:dyDescent="0.3">
      <c r="B733" s="176"/>
      <c r="C733" s="177"/>
      <c r="D733" s="177"/>
      <c r="E733" s="80"/>
      <c r="F733" s="80"/>
    </row>
    <row r="734" spans="2:6" x14ac:dyDescent="0.3">
      <c r="B734" s="176"/>
      <c r="C734" s="177"/>
      <c r="D734" s="177"/>
      <c r="E734" s="80"/>
      <c r="F734" s="80"/>
    </row>
    <row r="735" spans="2:6" x14ac:dyDescent="0.3">
      <c r="B735" s="176"/>
      <c r="C735" s="177"/>
      <c r="D735" s="177"/>
      <c r="E735" s="80"/>
      <c r="F735" s="80"/>
    </row>
    <row r="736" spans="2:6" x14ac:dyDescent="0.3">
      <c r="B736" s="176"/>
      <c r="C736" s="177"/>
      <c r="D736" s="177"/>
      <c r="E736" s="80"/>
      <c r="F736" s="80"/>
    </row>
    <row r="737" spans="2:6" x14ac:dyDescent="0.3">
      <c r="B737" s="176"/>
      <c r="C737" s="177"/>
      <c r="D737" s="177"/>
      <c r="E737" s="80"/>
      <c r="F737" s="80"/>
    </row>
    <row r="738" spans="2:6" x14ac:dyDescent="0.3">
      <c r="B738" s="176"/>
      <c r="C738" s="177"/>
      <c r="D738" s="177"/>
      <c r="E738" s="80"/>
      <c r="F738" s="80"/>
    </row>
    <row r="739" spans="2:6" x14ac:dyDescent="0.3">
      <c r="B739" s="176"/>
      <c r="C739" s="177"/>
      <c r="D739" s="177"/>
      <c r="E739" s="80"/>
      <c r="F739" s="80"/>
    </row>
    <row r="740" spans="2:6" x14ac:dyDescent="0.3">
      <c r="B740" s="176"/>
      <c r="C740" s="177"/>
      <c r="D740" s="177"/>
      <c r="E740" s="80"/>
      <c r="F740" s="80"/>
    </row>
    <row r="741" spans="2:6" x14ac:dyDescent="0.3">
      <c r="B741" s="176"/>
      <c r="C741" s="177"/>
      <c r="D741" s="177"/>
      <c r="E741" s="80"/>
      <c r="F741" s="80"/>
    </row>
    <row r="742" spans="2:6" x14ac:dyDescent="0.3">
      <c r="B742" s="176"/>
      <c r="C742" s="177"/>
      <c r="D742" s="177"/>
      <c r="E742" s="80"/>
      <c r="F742" s="80"/>
    </row>
    <row r="743" spans="2:6" x14ac:dyDescent="0.3">
      <c r="B743" s="176"/>
      <c r="C743" s="177"/>
      <c r="D743" s="177"/>
      <c r="E743" s="80"/>
      <c r="F743" s="80"/>
    </row>
    <row r="744" spans="2:6" x14ac:dyDescent="0.3">
      <c r="B744" s="176"/>
      <c r="C744" s="177"/>
      <c r="D744" s="177"/>
      <c r="E744" s="80"/>
      <c r="F744" s="80"/>
    </row>
    <row r="745" spans="2:6" x14ac:dyDescent="0.3">
      <c r="B745" s="176"/>
      <c r="C745" s="177"/>
      <c r="D745" s="177"/>
      <c r="E745" s="80"/>
      <c r="F745" s="80"/>
    </row>
    <row r="746" spans="2:6" x14ac:dyDescent="0.3">
      <c r="B746" s="176"/>
      <c r="C746" s="177"/>
      <c r="D746" s="177"/>
      <c r="E746" s="80"/>
      <c r="F746" s="80"/>
    </row>
    <row r="747" spans="2:6" x14ac:dyDescent="0.3">
      <c r="B747" s="176"/>
      <c r="C747" s="177"/>
      <c r="D747" s="177"/>
      <c r="E747" s="80"/>
      <c r="F747" s="80"/>
    </row>
    <row r="748" spans="2:6" x14ac:dyDescent="0.3">
      <c r="B748" s="176"/>
      <c r="C748" s="177"/>
      <c r="D748" s="177"/>
      <c r="E748" s="80"/>
      <c r="F748" s="80"/>
    </row>
    <row r="749" spans="2:6" x14ac:dyDescent="0.3">
      <c r="B749" s="176"/>
      <c r="C749" s="177"/>
      <c r="D749" s="177"/>
      <c r="E749" s="80"/>
      <c r="F749" s="80"/>
    </row>
    <row r="750" spans="2:6" x14ac:dyDescent="0.3">
      <c r="B750" s="176"/>
      <c r="C750" s="177"/>
      <c r="D750" s="177"/>
      <c r="E750" s="80"/>
      <c r="F750" s="80"/>
    </row>
    <row r="751" spans="2:6" x14ac:dyDescent="0.3">
      <c r="B751" s="176"/>
      <c r="C751" s="177"/>
      <c r="D751" s="177"/>
      <c r="E751" s="80"/>
      <c r="F751" s="80"/>
    </row>
    <row r="752" spans="2:6" x14ac:dyDescent="0.3">
      <c r="B752" s="176"/>
      <c r="C752" s="177"/>
      <c r="D752" s="177"/>
      <c r="E752" s="80"/>
      <c r="F752" s="80"/>
    </row>
    <row r="753" spans="2:6" x14ac:dyDescent="0.3">
      <c r="B753" s="176"/>
      <c r="C753" s="177"/>
      <c r="D753" s="177"/>
      <c r="E753" s="80"/>
      <c r="F753" s="80"/>
    </row>
    <row r="754" spans="2:6" x14ac:dyDescent="0.3">
      <c r="B754" s="176"/>
      <c r="C754" s="177"/>
      <c r="D754" s="177"/>
      <c r="E754" s="80"/>
      <c r="F754" s="80"/>
    </row>
    <row r="755" spans="2:6" x14ac:dyDescent="0.3">
      <c r="B755" s="176"/>
      <c r="C755" s="177"/>
      <c r="D755" s="177"/>
      <c r="E755" s="80"/>
      <c r="F755" s="80"/>
    </row>
    <row r="756" spans="2:6" x14ac:dyDescent="0.3">
      <c r="B756" s="176"/>
      <c r="C756" s="177"/>
      <c r="D756" s="177"/>
      <c r="E756" s="80"/>
      <c r="F756" s="80"/>
    </row>
    <row r="757" spans="2:6" x14ac:dyDescent="0.3">
      <c r="B757" s="176"/>
      <c r="C757" s="177"/>
      <c r="D757" s="177"/>
      <c r="E757" s="80"/>
      <c r="F757" s="80"/>
    </row>
    <row r="758" spans="2:6" x14ac:dyDescent="0.3">
      <c r="B758" s="176"/>
      <c r="C758" s="177"/>
      <c r="D758" s="177"/>
      <c r="E758" s="80"/>
      <c r="F758" s="80"/>
    </row>
    <row r="759" spans="2:6" x14ac:dyDescent="0.3">
      <c r="B759" s="176"/>
      <c r="C759" s="177"/>
      <c r="D759" s="177"/>
      <c r="E759" s="80"/>
      <c r="F759" s="80"/>
    </row>
    <row r="760" spans="2:6" x14ac:dyDescent="0.3">
      <c r="B760" s="176"/>
      <c r="C760" s="177"/>
      <c r="D760" s="177"/>
      <c r="E760" s="80"/>
      <c r="F760" s="80"/>
    </row>
    <row r="761" spans="2:6" x14ac:dyDescent="0.3">
      <c r="B761" s="176"/>
      <c r="C761" s="177"/>
      <c r="D761" s="177"/>
      <c r="E761" s="80"/>
      <c r="F761" s="80"/>
    </row>
    <row r="762" spans="2:6" x14ac:dyDescent="0.3">
      <c r="B762" s="176"/>
      <c r="C762" s="177"/>
      <c r="D762" s="177"/>
      <c r="E762" s="80"/>
      <c r="F762" s="80"/>
    </row>
    <row r="763" spans="2:6" x14ac:dyDescent="0.3">
      <c r="B763" s="176"/>
      <c r="C763" s="177"/>
      <c r="D763" s="177"/>
      <c r="E763" s="80"/>
      <c r="F763" s="80"/>
    </row>
    <row r="764" spans="2:6" x14ac:dyDescent="0.3">
      <c r="B764" s="176"/>
      <c r="C764" s="177"/>
      <c r="D764" s="177"/>
      <c r="E764" s="80"/>
      <c r="F764" s="80"/>
    </row>
    <row r="765" spans="2:6" x14ac:dyDescent="0.3">
      <c r="B765" s="176"/>
      <c r="C765" s="177"/>
      <c r="D765" s="177"/>
      <c r="E765" s="80"/>
      <c r="F765" s="80"/>
    </row>
    <row r="766" spans="2:6" x14ac:dyDescent="0.3">
      <c r="B766" s="176"/>
      <c r="C766" s="177"/>
      <c r="D766" s="177"/>
      <c r="E766" s="80"/>
      <c r="F766" s="80"/>
    </row>
    <row r="767" spans="2:6" x14ac:dyDescent="0.3">
      <c r="B767" s="176"/>
      <c r="C767" s="177"/>
      <c r="D767" s="177"/>
      <c r="E767" s="80"/>
      <c r="F767" s="80"/>
    </row>
    <row r="768" spans="2:6" x14ac:dyDescent="0.3">
      <c r="B768" s="176"/>
      <c r="C768" s="177"/>
      <c r="D768" s="177"/>
      <c r="E768" s="80"/>
      <c r="F768" s="80"/>
    </row>
    <row r="769" spans="2:6" x14ac:dyDescent="0.3">
      <c r="B769" s="176"/>
      <c r="C769" s="177"/>
      <c r="D769" s="177"/>
      <c r="E769" s="80"/>
      <c r="F769" s="80"/>
    </row>
    <row r="770" spans="2:6" x14ac:dyDescent="0.3">
      <c r="B770" s="176"/>
      <c r="C770" s="177"/>
      <c r="D770" s="177"/>
      <c r="E770" s="80"/>
      <c r="F770" s="80"/>
    </row>
    <row r="771" spans="2:6" x14ac:dyDescent="0.3">
      <c r="B771" s="176"/>
      <c r="C771" s="177"/>
      <c r="D771" s="177"/>
      <c r="E771" s="80"/>
      <c r="F771" s="80"/>
    </row>
    <row r="772" spans="2:6" x14ac:dyDescent="0.3">
      <c r="B772" s="176"/>
      <c r="C772" s="177"/>
      <c r="D772" s="177"/>
      <c r="E772" s="80"/>
      <c r="F772" s="80"/>
    </row>
    <row r="773" spans="2:6" x14ac:dyDescent="0.3">
      <c r="B773" s="176"/>
      <c r="C773" s="177"/>
      <c r="D773" s="177"/>
      <c r="E773" s="80"/>
      <c r="F773" s="80"/>
    </row>
    <row r="774" spans="2:6" x14ac:dyDescent="0.3">
      <c r="B774" s="176"/>
      <c r="C774" s="177"/>
      <c r="D774" s="177"/>
      <c r="E774" s="80"/>
      <c r="F774" s="80"/>
    </row>
    <row r="775" spans="2:6" x14ac:dyDescent="0.3">
      <c r="B775" s="176"/>
      <c r="C775" s="177"/>
      <c r="D775" s="177"/>
      <c r="E775" s="80"/>
      <c r="F775" s="80"/>
    </row>
    <row r="776" spans="2:6" x14ac:dyDescent="0.3">
      <c r="B776" s="176"/>
      <c r="C776" s="177"/>
      <c r="D776" s="177"/>
      <c r="E776" s="80"/>
      <c r="F776" s="80"/>
    </row>
    <row r="777" spans="2:6" x14ac:dyDescent="0.3">
      <c r="B777" s="176"/>
      <c r="C777" s="177"/>
      <c r="D777" s="177"/>
      <c r="E777" s="80"/>
      <c r="F777" s="80"/>
    </row>
    <row r="778" spans="2:6" x14ac:dyDescent="0.3">
      <c r="B778" s="176"/>
      <c r="C778" s="177"/>
      <c r="D778" s="177"/>
      <c r="E778" s="80"/>
      <c r="F778" s="80"/>
    </row>
    <row r="779" spans="2:6" x14ac:dyDescent="0.3">
      <c r="B779" s="176"/>
      <c r="C779" s="177"/>
      <c r="D779" s="177"/>
      <c r="E779" s="80"/>
      <c r="F779" s="80"/>
    </row>
    <row r="780" spans="2:6" x14ac:dyDescent="0.3">
      <c r="B780" s="176"/>
      <c r="C780" s="177"/>
      <c r="D780" s="177"/>
      <c r="E780" s="80"/>
      <c r="F780" s="80"/>
    </row>
    <row r="781" spans="2:6" x14ac:dyDescent="0.3">
      <c r="B781" s="176"/>
      <c r="C781" s="177"/>
      <c r="D781" s="177"/>
      <c r="E781" s="80"/>
      <c r="F781" s="80"/>
    </row>
    <row r="782" spans="2:6" x14ac:dyDescent="0.3">
      <c r="B782" s="176"/>
      <c r="C782" s="177"/>
      <c r="D782" s="177"/>
      <c r="E782" s="80"/>
      <c r="F782" s="80"/>
    </row>
    <row r="783" spans="2:6" x14ac:dyDescent="0.3">
      <c r="B783" s="176"/>
      <c r="C783" s="177"/>
      <c r="D783" s="177"/>
      <c r="E783" s="80"/>
      <c r="F783" s="80"/>
    </row>
    <row r="784" spans="2:6" x14ac:dyDescent="0.3">
      <c r="B784" s="176"/>
      <c r="C784" s="177"/>
      <c r="D784" s="177"/>
      <c r="E784" s="80"/>
      <c r="F784" s="80"/>
    </row>
    <row r="785" spans="2:6" x14ac:dyDescent="0.3">
      <c r="B785" s="176"/>
      <c r="C785" s="177"/>
      <c r="D785" s="177"/>
      <c r="E785" s="80"/>
      <c r="F785" s="80"/>
    </row>
    <row r="786" spans="2:6" x14ac:dyDescent="0.3">
      <c r="B786" s="176"/>
      <c r="C786" s="177"/>
      <c r="D786" s="177"/>
      <c r="E786" s="80"/>
      <c r="F786" s="80"/>
    </row>
    <row r="787" spans="2:6" x14ac:dyDescent="0.3">
      <c r="B787" s="176"/>
      <c r="C787" s="177"/>
      <c r="D787" s="177"/>
      <c r="E787" s="80"/>
      <c r="F787" s="80"/>
    </row>
    <row r="788" spans="2:6" x14ac:dyDescent="0.3">
      <c r="B788" s="176"/>
      <c r="C788" s="177"/>
      <c r="D788" s="177"/>
      <c r="E788" s="80"/>
      <c r="F788" s="80"/>
    </row>
    <row r="789" spans="2:6" x14ac:dyDescent="0.3">
      <c r="B789" s="176"/>
      <c r="C789" s="177"/>
      <c r="D789" s="177"/>
      <c r="E789" s="80"/>
      <c r="F789" s="80"/>
    </row>
    <row r="790" spans="2:6" x14ac:dyDescent="0.3">
      <c r="B790" s="176"/>
      <c r="C790" s="177"/>
      <c r="D790" s="177"/>
      <c r="E790" s="80"/>
      <c r="F790" s="80"/>
    </row>
    <row r="791" spans="2:6" x14ac:dyDescent="0.3">
      <c r="B791" s="176"/>
      <c r="C791" s="177"/>
      <c r="D791" s="177"/>
      <c r="E791" s="80"/>
      <c r="F791" s="80"/>
    </row>
    <row r="792" spans="2:6" x14ac:dyDescent="0.3">
      <c r="B792" s="176"/>
      <c r="C792" s="177"/>
      <c r="D792" s="177"/>
      <c r="E792" s="80"/>
      <c r="F792" s="80"/>
    </row>
    <row r="793" spans="2:6" x14ac:dyDescent="0.3">
      <c r="B793" s="176"/>
      <c r="C793" s="177"/>
      <c r="D793" s="177"/>
      <c r="E793" s="80"/>
      <c r="F793" s="80"/>
    </row>
    <row r="794" spans="2:6" x14ac:dyDescent="0.3">
      <c r="B794" s="176"/>
      <c r="C794" s="177"/>
      <c r="D794" s="177"/>
      <c r="E794" s="80"/>
      <c r="F794" s="80"/>
    </row>
    <row r="795" spans="2:6" x14ac:dyDescent="0.3">
      <c r="B795" s="176"/>
      <c r="C795" s="177"/>
      <c r="D795" s="177"/>
      <c r="E795" s="80"/>
      <c r="F795" s="80"/>
    </row>
    <row r="796" spans="2:6" x14ac:dyDescent="0.3">
      <c r="B796" s="176"/>
      <c r="C796" s="177"/>
      <c r="D796" s="177"/>
      <c r="E796" s="80"/>
      <c r="F796" s="80"/>
    </row>
    <row r="797" spans="2:6" x14ac:dyDescent="0.3">
      <c r="B797" s="176"/>
      <c r="C797" s="177"/>
      <c r="D797" s="177"/>
      <c r="E797" s="80"/>
      <c r="F797" s="80"/>
    </row>
    <row r="798" spans="2:6" x14ac:dyDescent="0.3">
      <c r="B798" s="176"/>
      <c r="C798" s="177"/>
      <c r="D798" s="177"/>
      <c r="E798" s="80"/>
      <c r="F798" s="80"/>
    </row>
    <row r="799" spans="2:6" x14ac:dyDescent="0.3">
      <c r="B799" s="176"/>
      <c r="C799" s="177"/>
      <c r="D799" s="177"/>
      <c r="E799" s="80"/>
      <c r="F799" s="80"/>
    </row>
    <row r="800" spans="2:6" x14ac:dyDescent="0.3">
      <c r="B800" s="176"/>
      <c r="C800" s="177"/>
      <c r="D800" s="177"/>
      <c r="E800" s="80"/>
      <c r="F800" s="80"/>
    </row>
    <row r="801" spans="2:6" x14ac:dyDescent="0.3">
      <c r="B801" s="176"/>
      <c r="C801" s="177"/>
      <c r="D801" s="177"/>
      <c r="E801" s="80"/>
      <c r="F801" s="80"/>
    </row>
    <row r="802" spans="2:6" x14ac:dyDescent="0.3">
      <c r="B802" s="176"/>
      <c r="C802" s="177"/>
      <c r="D802" s="177"/>
      <c r="E802" s="80"/>
      <c r="F802" s="80"/>
    </row>
    <row r="803" spans="2:6" x14ac:dyDescent="0.3">
      <c r="B803" s="176"/>
      <c r="C803" s="177"/>
      <c r="D803" s="177"/>
      <c r="E803" s="80"/>
      <c r="F803" s="80"/>
    </row>
    <row r="804" spans="2:6" x14ac:dyDescent="0.3">
      <c r="B804" s="176"/>
      <c r="C804" s="177"/>
      <c r="D804" s="177"/>
      <c r="E804" s="80"/>
      <c r="F804" s="80"/>
    </row>
    <row r="805" spans="2:6" x14ac:dyDescent="0.3">
      <c r="B805" s="176"/>
      <c r="C805" s="177"/>
      <c r="D805" s="177"/>
      <c r="E805" s="80"/>
      <c r="F805" s="80"/>
    </row>
    <row r="806" spans="2:6" x14ac:dyDescent="0.3">
      <c r="B806" s="176"/>
      <c r="C806" s="177"/>
      <c r="D806" s="177"/>
      <c r="E806" s="80"/>
      <c r="F806" s="80"/>
    </row>
    <row r="807" spans="2:6" x14ac:dyDescent="0.3">
      <c r="B807" s="176"/>
      <c r="C807" s="177"/>
      <c r="D807" s="177"/>
      <c r="E807" s="80"/>
      <c r="F807" s="80"/>
    </row>
    <row r="808" spans="2:6" x14ac:dyDescent="0.3">
      <c r="B808" s="176"/>
      <c r="C808" s="177"/>
      <c r="D808" s="177"/>
      <c r="E808" s="80"/>
      <c r="F808" s="80"/>
    </row>
    <row r="809" spans="2:6" x14ac:dyDescent="0.3">
      <c r="B809" s="176"/>
      <c r="C809" s="177"/>
      <c r="D809" s="177"/>
      <c r="E809" s="80"/>
      <c r="F809" s="80"/>
    </row>
    <row r="810" spans="2:6" x14ac:dyDescent="0.3">
      <c r="B810" s="176"/>
      <c r="C810" s="177"/>
      <c r="D810" s="177"/>
      <c r="E810" s="80"/>
      <c r="F810" s="80"/>
    </row>
    <row r="811" spans="2:6" x14ac:dyDescent="0.3">
      <c r="B811" s="176"/>
      <c r="C811" s="177"/>
      <c r="D811" s="177"/>
      <c r="E811" s="80"/>
      <c r="F811" s="80"/>
    </row>
    <row r="812" spans="2:6" x14ac:dyDescent="0.3">
      <c r="B812" s="176"/>
      <c r="C812" s="177"/>
      <c r="D812" s="177"/>
      <c r="E812" s="80"/>
      <c r="F812" s="80"/>
    </row>
    <row r="813" spans="2:6" x14ac:dyDescent="0.3">
      <c r="B813" s="176"/>
      <c r="C813" s="177"/>
      <c r="D813" s="177"/>
      <c r="E813" s="80"/>
      <c r="F813" s="80"/>
    </row>
    <row r="814" spans="2:6" x14ac:dyDescent="0.3">
      <c r="B814" s="176"/>
      <c r="C814" s="177"/>
      <c r="D814" s="177"/>
      <c r="E814" s="80"/>
      <c r="F814" s="80"/>
    </row>
    <row r="815" spans="2:6" x14ac:dyDescent="0.3">
      <c r="B815" s="176"/>
      <c r="C815" s="177"/>
      <c r="D815" s="177"/>
      <c r="E815" s="80"/>
      <c r="F815" s="80"/>
    </row>
    <row r="816" spans="2:6" x14ac:dyDescent="0.3">
      <c r="B816" s="176"/>
      <c r="C816" s="177"/>
      <c r="D816" s="177"/>
      <c r="E816" s="80"/>
      <c r="F816" s="80"/>
    </row>
    <row r="817" spans="2:6" x14ac:dyDescent="0.3">
      <c r="B817" s="176"/>
      <c r="C817" s="177"/>
      <c r="D817" s="177"/>
      <c r="E817" s="80"/>
      <c r="F817" s="80"/>
    </row>
    <row r="818" spans="2:6" x14ac:dyDescent="0.3">
      <c r="B818" s="176"/>
      <c r="C818" s="177"/>
      <c r="D818" s="177"/>
      <c r="E818" s="80"/>
      <c r="F818" s="80"/>
    </row>
    <row r="819" spans="2:6" x14ac:dyDescent="0.3">
      <c r="B819" s="176"/>
      <c r="C819" s="177"/>
      <c r="D819" s="177"/>
      <c r="E819" s="80"/>
      <c r="F819" s="80"/>
    </row>
    <row r="820" spans="2:6" x14ac:dyDescent="0.3">
      <c r="B820" s="176"/>
      <c r="C820" s="177"/>
      <c r="D820" s="177"/>
      <c r="E820" s="80"/>
      <c r="F820" s="80"/>
    </row>
    <row r="821" spans="2:6" x14ac:dyDescent="0.3">
      <c r="B821" s="176"/>
      <c r="C821" s="177"/>
      <c r="D821" s="177"/>
      <c r="E821" s="80"/>
      <c r="F821" s="80"/>
    </row>
    <row r="822" spans="2:6" x14ac:dyDescent="0.3">
      <c r="B822" s="176"/>
      <c r="C822" s="177"/>
      <c r="D822" s="177"/>
      <c r="E822" s="80"/>
      <c r="F822" s="80"/>
    </row>
    <row r="823" spans="2:6" x14ac:dyDescent="0.3">
      <c r="B823" s="176"/>
      <c r="C823" s="177"/>
      <c r="D823" s="177"/>
      <c r="E823" s="80"/>
      <c r="F823" s="80"/>
    </row>
    <row r="824" spans="2:6" x14ac:dyDescent="0.3">
      <c r="B824" s="176"/>
      <c r="C824" s="177"/>
      <c r="D824" s="177"/>
      <c r="E824" s="80"/>
      <c r="F824" s="80"/>
    </row>
    <row r="825" spans="2:6" x14ac:dyDescent="0.3">
      <c r="B825" s="176"/>
      <c r="C825" s="177"/>
      <c r="D825" s="177"/>
      <c r="E825" s="80"/>
      <c r="F825" s="80"/>
    </row>
    <row r="826" spans="2:6" x14ac:dyDescent="0.3">
      <c r="B826" s="176"/>
      <c r="C826" s="177"/>
      <c r="D826" s="177"/>
      <c r="E826" s="80"/>
      <c r="F826" s="80"/>
    </row>
    <row r="827" spans="2:6" x14ac:dyDescent="0.3">
      <c r="B827" s="176"/>
      <c r="C827" s="177"/>
      <c r="D827" s="177"/>
      <c r="E827" s="80"/>
      <c r="F827" s="80"/>
    </row>
    <row r="828" spans="2:6" x14ac:dyDescent="0.3">
      <c r="B828" s="176"/>
      <c r="C828" s="177"/>
      <c r="D828" s="177"/>
      <c r="E828" s="80"/>
      <c r="F828" s="80"/>
    </row>
    <row r="829" spans="2:6" x14ac:dyDescent="0.3">
      <c r="B829" s="176"/>
      <c r="C829" s="177"/>
      <c r="D829" s="177"/>
      <c r="E829" s="80"/>
      <c r="F829" s="80"/>
    </row>
    <row r="830" spans="2:6" x14ac:dyDescent="0.3">
      <c r="B830" s="176"/>
      <c r="C830" s="177"/>
      <c r="D830" s="177"/>
      <c r="E830" s="80"/>
      <c r="F830" s="80"/>
    </row>
    <row r="831" spans="2:6" x14ac:dyDescent="0.3">
      <c r="B831" s="176"/>
      <c r="C831" s="177"/>
      <c r="D831" s="177"/>
      <c r="E831" s="80"/>
      <c r="F831" s="80"/>
    </row>
    <row r="832" spans="2:6" x14ac:dyDescent="0.3">
      <c r="B832" s="176"/>
      <c r="C832" s="177"/>
      <c r="D832" s="177"/>
      <c r="E832" s="80"/>
      <c r="F832" s="80"/>
    </row>
    <row r="833" spans="2:6" x14ac:dyDescent="0.3">
      <c r="B833" s="176"/>
      <c r="C833" s="177"/>
      <c r="D833" s="177"/>
      <c r="E833" s="80"/>
      <c r="F833" s="80"/>
    </row>
    <row r="834" spans="2:6" x14ac:dyDescent="0.3">
      <c r="B834" s="176"/>
      <c r="C834" s="177"/>
      <c r="D834" s="177"/>
      <c r="E834" s="80"/>
      <c r="F834" s="80"/>
    </row>
    <row r="835" spans="2:6" x14ac:dyDescent="0.3">
      <c r="B835" s="176"/>
      <c r="C835" s="177"/>
      <c r="D835" s="177"/>
      <c r="E835" s="80"/>
      <c r="F835" s="80"/>
    </row>
    <row r="836" spans="2:6" x14ac:dyDescent="0.3">
      <c r="B836" s="176"/>
      <c r="C836" s="177"/>
      <c r="D836" s="177"/>
      <c r="E836" s="80"/>
      <c r="F836" s="80"/>
    </row>
    <row r="837" spans="2:6" x14ac:dyDescent="0.3">
      <c r="B837" s="176"/>
      <c r="C837" s="177"/>
      <c r="D837" s="177"/>
      <c r="E837" s="80"/>
      <c r="F837" s="80"/>
    </row>
    <row r="838" spans="2:6" x14ac:dyDescent="0.3">
      <c r="B838" s="176"/>
      <c r="C838" s="177"/>
      <c r="D838" s="177"/>
      <c r="E838" s="80"/>
      <c r="F838" s="80"/>
    </row>
    <row r="839" spans="2:6" x14ac:dyDescent="0.3">
      <c r="B839" s="176"/>
      <c r="C839" s="177"/>
      <c r="D839" s="177"/>
      <c r="E839" s="80"/>
      <c r="F839" s="80"/>
    </row>
    <row r="840" spans="2:6" x14ac:dyDescent="0.3">
      <c r="B840" s="176"/>
      <c r="C840" s="177"/>
      <c r="D840" s="177"/>
      <c r="E840" s="80"/>
      <c r="F840" s="80"/>
    </row>
    <row r="841" spans="2:6" x14ac:dyDescent="0.3">
      <c r="B841" s="176"/>
      <c r="C841" s="177"/>
      <c r="D841" s="177"/>
      <c r="E841" s="80"/>
      <c r="F841" s="80"/>
    </row>
    <row r="842" spans="2:6" x14ac:dyDescent="0.3">
      <c r="B842" s="176"/>
      <c r="C842" s="177"/>
      <c r="D842" s="177"/>
      <c r="E842" s="80"/>
      <c r="F842" s="80"/>
    </row>
    <row r="843" spans="2:6" x14ac:dyDescent="0.3">
      <c r="B843" s="176"/>
      <c r="C843" s="177"/>
      <c r="D843" s="177"/>
      <c r="E843" s="80"/>
      <c r="F843" s="80"/>
    </row>
    <row r="844" spans="2:6" x14ac:dyDescent="0.3">
      <c r="B844" s="176"/>
      <c r="C844" s="177"/>
      <c r="D844" s="177"/>
      <c r="E844" s="80"/>
      <c r="F844" s="80"/>
    </row>
    <row r="845" spans="2:6" x14ac:dyDescent="0.3">
      <c r="B845" s="176"/>
      <c r="C845" s="177"/>
      <c r="D845" s="177"/>
      <c r="E845" s="80"/>
      <c r="F845" s="80"/>
    </row>
    <row r="846" spans="2:6" x14ac:dyDescent="0.3">
      <c r="B846" s="176"/>
      <c r="C846" s="177"/>
      <c r="D846" s="177"/>
      <c r="E846" s="80"/>
      <c r="F846" s="80"/>
    </row>
    <row r="847" spans="2:6" x14ac:dyDescent="0.3">
      <c r="B847" s="176"/>
      <c r="C847" s="177"/>
      <c r="D847" s="177"/>
      <c r="E847" s="80"/>
      <c r="F847" s="80"/>
    </row>
    <row r="848" spans="2:6" x14ac:dyDescent="0.3">
      <c r="B848" s="176"/>
      <c r="C848" s="177"/>
      <c r="D848" s="177"/>
      <c r="E848" s="80"/>
      <c r="F848" s="80"/>
    </row>
    <row r="849" spans="2:6" x14ac:dyDescent="0.3">
      <c r="B849" s="176"/>
      <c r="C849" s="177"/>
      <c r="D849" s="177"/>
      <c r="E849" s="80"/>
      <c r="F849" s="80"/>
    </row>
    <row r="850" spans="2:6" x14ac:dyDescent="0.3">
      <c r="B850" s="176"/>
      <c r="C850" s="177"/>
      <c r="D850" s="177"/>
      <c r="E850" s="80"/>
      <c r="F850" s="80"/>
    </row>
    <row r="851" spans="2:6" x14ac:dyDescent="0.3">
      <c r="B851" s="176"/>
      <c r="C851" s="177"/>
      <c r="D851" s="177"/>
      <c r="E851" s="80"/>
      <c r="F851" s="80"/>
    </row>
    <row r="852" spans="2:6" x14ac:dyDescent="0.3">
      <c r="B852" s="176"/>
      <c r="C852" s="177"/>
      <c r="D852" s="177"/>
      <c r="E852" s="80"/>
      <c r="F852" s="80"/>
    </row>
    <row r="853" spans="2:6" x14ac:dyDescent="0.3">
      <c r="B853" s="176"/>
      <c r="C853" s="177"/>
      <c r="D853" s="177"/>
      <c r="E853" s="80"/>
      <c r="F853" s="80"/>
    </row>
    <row r="854" spans="2:6" x14ac:dyDescent="0.3">
      <c r="B854" s="176"/>
      <c r="C854" s="177"/>
      <c r="D854" s="177"/>
      <c r="E854" s="80"/>
      <c r="F854" s="80"/>
    </row>
    <row r="855" spans="2:6" x14ac:dyDescent="0.3">
      <c r="B855" s="176"/>
      <c r="C855" s="177"/>
      <c r="D855" s="177"/>
      <c r="E855" s="80"/>
      <c r="F855" s="80"/>
    </row>
    <row r="856" spans="2:6" x14ac:dyDescent="0.3">
      <c r="B856" s="176"/>
      <c r="C856" s="177"/>
      <c r="D856" s="177"/>
      <c r="E856" s="80"/>
      <c r="F856" s="80"/>
    </row>
    <row r="857" spans="2:6" x14ac:dyDescent="0.3">
      <c r="B857" s="176"/>
      <c r="C857" s="177"/>
      <c r="D857" s="177"/>
      <c r="E857" s="80"/>
      <c r="F857" s="80"/>
    </row>
    <row r="858" spans="2:6" x14ac:dyDescent="0.3">
      <c r="B858" s="176"/>
      <c r="C858" s="177"/>
      <c r="D858" s="177"/>
      <c r="E858" s="80"/>
      <c r="F858" s="80"/>
    </row>
    <row r="859" spans="2:6" x14ac:dyDescent="0.3">
      <c r="B859" s="176"/>
      <c r="C859" s="177"/>
      <c r="D859" s="177"/>
      <c r="E859" s="80"/>
      <c r="F859" s="80"/>
    </row>
    <row r="860" spans="2:6" x14ac:dyDescent="0.3">
      <c r="B860" s="176"/>
      <c r="C860" s="177"/>
      <c r="D860" s="177"/>
      <c r="E860" s="80"/>
      <c r="F860" s="80"/>
    </row>
    <row r="861" spans="2:6" x14ac:dyDescent="0.3">
      <c r="B861" s="176"/>
      <c r="C861" s="177"/>
      <c r="D861" s="177"/>
      <c r="E861" s="80"/>
      <c r="F861" s="80"/>
    </row>
    <row r="862" spans="2:6" x14ac:dyDescent="0.3">
      <c r="B862" s="176"/>
      <c r="C862" s="177"/>
      <c r="D862" s="177"/>
      <c r="E862" s="80"/>
      <c r="F862" s="80"/>
    </row>
    <row r="863" spans="2:6" x14ac:dyDescent="0.3">
      <c r="B863" s="176"/>
      <c r="C863" s="177"/>
      <c r="D863" s="177"/>
      <c r="E863" s="80"/>
      <c r="F863" s="80"/>
    </row>
    <row r="864" spans="2:6" x14ac:dyDescent="0.3">
      <c r="B864" s="176"/>
      <c r="C864" s="177"/>
      <c r="D864" s="177"/>
      <c r="E864" s="80"/>
      <c r="F864" s="80"/>
    </row>
    <row r="865" spans="2:6" x14ac:dyDescent="0.3">
      <c r="B865" s="176"/>
      <c r="C865" s="177"/>
      <c r="D865" s="177"/>
      <c r="E865" s="80"/>
      <c r="F865" s="80"/>
    </row>
    <row r="866" spans="2:6" x14ac:dyDescent="0.3">
      <c r="B866" s="176"/>
      <c r="C866" s="177"/>
      <c r="D866" s="177"/>
      <c r="E866" s="80"/>
      <c r="F866" s="80"/>
    </row>
    <row r="867" spans="2:6" x14ac:dyDescent="0.3">
      <c r="B867" s="176"/>
      <c r="C867" s="177"/>
      <c r="D867" s="177"/>
      <c r="E867" s="80"/>
      <c r="F867" s="80"/>
    </row>
    <row r="868" spans="2:6" x14ac:dyDescent="0.3">
      <c r="B868" s="176"/>
      <c r="C868" s="177"/>
      <c r="D868" s="177"/>
      <c r="E868" s="80"/>
      <c r="F868" s="80"/>
    </row>
    <row r="869" spans="2:6" x14ac:dyDescent="0.3">
      <c r="B869" s="176"/>
      <c r="C869" s="177"/>
      <c r="D869" s="177"/>
      <c r="E869" s="80"/>
      <c r="F869" s="80"/>
    </row>
    <row r="870" spans="2:6" x14ac:dyDescent="0.3">
      <c r="B870" s="176"/>
      <c r="C870" s="177"/>
      <c r="D870" s="177"/>
      <c r="E870" s="80"/>
      <c r="F870" s="80"/>
    </row>
    <row r="871" spans="2:6" x14ac:dyDescent="0.3">
      <c r="B871" s="176"/>
      <c r="C871" s="177"/>
      <c r="D871" s="177"/>
      <c r="E871" s="80"/>
      <c r="F871" s="80"/>
    </row>
    <row r="872" spans="2:6" x14ac:dyDescent="0.3">
      <c r="B872" s="176"/>
      <c r="C872" s="177"/>
      <c r="D872" s="177"/>
      <c r="E872" s="80"/>
      <c r="F872" s="80"/>
    </row>
    <row r="873" spans="2:6" x14ac:dyDescent="0.3">
      <c r="B873" s="176"/>
      <c r="C873" s="177"/>
      <c r="D873" s="177"/>
      <c r="E873" s="80"/>
      <c r="F873" s="80"/>
    </row>
    <row r="874" spans="2:6" x14ac:dyDescent="0.3">
      <c r="B874" s="176"/>
      <c r="C874" s="177"/>
      <c r="D874" s="177"/>
      <c r="E874" s="80"/>
      <c r="F874" s="80"/>
    </row>
    <row r="875" spans="2:6" x14ac:dyDescent="0.3">
      <c r="B875" s="176"/>
      <c r="C875" s="177"/>
      <c r="D875" s="177"/>
      <c r="E875" s="80"/>
      <c r="F875" s="80"/>
    </row>
    <row r="876" spans="2:6" x14ac:dyDescent="0.3">
      <c r="B876" s="176"/>
      <c r="C876" s="177"/>
      <c r="D876" s="177"/>
      <c r="E876" s="80"/>
      <c r="F876" s="80"/>
    </row>
    <row r="877" spans="2:6" x14ac:dyDescent="0.3">
      <c r="B877" s="176"/>
      <c r="C877" s="177"/>
      <c r="D877" s="177"/>
      <c r="E877" s="80"/>
      <c r="F877" s="80"/>
    </row>
    <row r="878" spans="2:6" x14ac:dyDescent="0.3">
      <c r="B878" s="176"/>
      <c r="C878" s="177"/>
      <c r="D878" s="177"/>
      <c r="E878" s="80"/>
      <c r="F878" s="80"/>
    </row>
    <row r="879" spans="2:6" x14ac:dyDescent="0.3">
      <c r="B879" s="176"/>
      <c r="C879" s="177"/>
      <c r="D879" s="177"/>
      <c r="E879" s="80"/>
      <c r="F879" s="80"/>
    </row>
    <row r="880" spans="2:6" x14ac:dyDescent="0.3">
      <c r="B880" s="176"/>
      <c r="C880" s="177"/>
      <c r="D880" s="177"/>
      <c r="E880" s="80"/>
      <c r="F880" s="80"/>
    </row>
    <row r="881" spans="2:6" x14ac:dyDescent="0.3">
      <c r="B881" s="176"/>
      <c r="C881" s="177"/>
      <c r="D881" s="177"/>
      <c r="E881" s="80"/>
      <c r="F881" s="80"/>
    </row>
    <row r="882" spans="2:6" x14ac:dyDescent="0.3">
      <c r="B882" s="176"/>
      <c r="C882" s="177"/>
      <c r="D882" s="177"/>
      <c r="E882" s="80"/>
      <c r="F882" s="80"/>
    </row>
    <row r="883" spans="2:6" x14ac:dyDescent="0.3">
      <c r="B883" s="176"/>
      <c r="C883" s="177"/>
      <c r="D883" s="177"/>
      <c r="E883" s="80"/>
      <c r="F883" s="80"/>
    </row>
    <row r="884" spans="2:6" x14ac:dyDescent="0.3">
      <c r="B884" s="176"/>
      <c r="C884" s="177"/>
      <c r="D884" s="177"/>
      <c r="E884" s="80"/>
      <c r="F884" s="80"/>
    </row>
    <row r="885" spans="2:6" x14ac:dyDescent="0.3">
      <c r="B885" s="176"/>
      <c r="C885" s="177"/>
      <c r="D885" s="177"/>
      <c r="E885" s="80"/>
      <c r="F885" s="80"/>
    </row>
    <row r="886" spans="2:6" x14ac:dyDescent="0.3">
      <c r="B886" s="176"/>
      <c r="C886" s="177"/>
      <c r="D886" s="177"/>
      <c r="E886" s="80"/>
      <c r="F886" s="80"/>
    </row>
    <row r="887" spans="2:6" x14ac:dyDescent="0.3">
      <c r="B887" s="176"/>
      <c r="C887" s="177"/>
      <c r="D887" s="177"/>
      <c r="E887" s="80"/>
      <c r="F887" s="80"/>
    </row>
    <row r="888" spans="2:6" x14ac:dyDescent="0.3">
      <c r="B888" s="176"/>
      <c r="C888" s="177"/>
      <c r="D888" s="177"/>
      <c r="E888" s="80"/>
      <c r="F888" s="80"/>
    </row>
    <row r="889" spans="2:6" x14ac:dyDescent="0.3">
      <c r="B889" s="176"/>
      <c r="C889" s="177"/>
      <c r="D889" s="177"/>
      <c r="E889" s="80"/>
      <c r="F889" s="80"/>
    </row>
    <row r="890" spans="2:6" x14ac:dyDescent="0.3">
      <c r="B890" s="176"/>
      <c r="C890" s="177"/>
      <c r="D890" s="177"/>
      <c r="E890" s="80"/>
      <c r="F890" s="80"/>
    </row>
    <row r="891" spans="2:6" x14ac:dyDescent="0.3">
      <c r="B891" s="176"/>
      <c r="C891" s="177"/>
      <c r="D891" s="177"/>
      <c r="E891" s="80"/>
      <c r="F891" s="80"/>
    </row>
    <row r="892" spans="2:6" x14ac:dyDescent="0.3">
      <c r="B892" s="176"/>
      <c r="C892" s="177"/>
      <c r="D892" s="177"/>
      <c r="E892" s="80"/>
      <c r="F892" s="80"/>
    </row>
    <row r="893" spans="2:6" x14ac:dyDescent="0.3">
      <c r="B893" s="176"/>
      <c r="C893" s="177"/>
      <c r="D893" s="177"/>
      <c r="E893" s="80"/>
      <c r="F893" s="80"/>
    </row>
    <row r="894" spans="2:6" x14ac:dyDescent="0.3">
      <c r="B894" s="176"/>
      <c r="C894" s="177"/>
      <c r="D894" s="177"/>
      <c r="E894" s="80"/>
      <c r="F894" s="80"/>
    </row>
    <row r="895" spans="2:6" x14ac:dyDescent="0.3">
      <c r="B895" s="176"/>
      <c r="C895" s="177"/>
      <c r="D895" s="177"/>
      <c r="E895" s="80"/>
      <c r="F895" s="80"/>
    </row>
    <row r="896" spans="2:6" x14ac:dyDescent="0.3">
      <c r="B896" s="176"/>
      <c r="C896" s="177"/>
      <c r="D896" s="177"/>
      <c r="E896" s="80"/>
      <c r="F896" s="80"/>
    </row>
    <row r="897" spans="2:6" x14ac:dyDescent="0.3">
      <c r="B897" s="176"/>
      <c r="C897" s="177"/>
      <c r="D897" s="177"/>
      <c r="E897" s="80"/>
      <c r="F897" s="80"/>
    </row>
    <row r="898" spans="2:6" x14ac:dyDescent="0.3">
      <c r="B898" s="176"/>
      <c r="C898" s="177"/>
      <c r="D898" s="177"/>
      <c r="E898" s="80"/>
      <c r="F898" s="80"/>
    </row>
    <row r="899" spans="2:6" x14ac:dyDescent="0.3">
      <c r="B899" s="176"/>
      <c r="C899" s="177"/>
      <c r="D899" s="177"/>
      <c r="E899" s="80"/>
      <c r="F899" s="80"/>
    </row>
    <row r="900" spans="2:6" x14ac:dyDescent="0.3">
      <c r="B900" s="176"/>
      <c r="C900" s="177"/>
      <c r="D900" s="177"/>
      <c r="E900" s="80"/>
      <c r="F900" s="80"/>
    </row>
    <row r="901" spans="2:6" x14ac:dyDescent="0.3">
      <c r="B901" s="176"/>
      <c r="C901" s="177"/>
      <c r="D901" s="177"/>
      <c r="E901" s="80"/>
      <c r="F901" s="80"/>
    </row>
    <row r="902" spans="2:6" x14ac:dyDescent="0.3">
      <c r="B902" s="176"/>
      <c r="C902" s="177"/>
      <c r="D902" s="177"/>
      <c r="E902" s="80"/>
      <c r="F902" s="80"/>
    </row>
    <row r="903" spans="2:6" x14ac:dyDescent="0.3">
      <c r="B903" s="176"/>
      <c r="C903" s="177"/>
      <c r="D903" s="177"/>
      <c r="E903" s="80"/>
      <c r="F903" s="80"/>
    </row>
    <row r="904" spans="2:6" x14ac:dyDescent="0.3">
      <c r="B904" s="176"/>
      <c r="C904" s="177"/>
      <c r="D904" s="177"/>
      <c r="E904" s="80"/>
      <c r="F904" s="80"/>
    </row>
    <row r="905" spans="2:6" x14ac:dyDescent="0.3">
      <c r="B905" s="176"/>
      <c r="C905" s="177"/>
      <c r="D905" s="177"/>
      <c r="E905" s="80"/>
      <c r="F905" s="80"/>
    </row>
    <row r="906" spans="2:6" x14ac:dyDescent="0.3">
      <c r="B906" s="176"/>
      <c r="C906" s="177"/>
      <c r="D906" s="177"/>
      <c r="E906" s="80"/>
      <c r="F906" s="80"/>
    </row>
    <row r="907" spans="2:6" x14ac:dyDescent="0.3">
      <c r="B907" s="176"/>
      <c r="C907" s="177"/>
      <c r="D907" s="177"/>
      <c r="E907" s="80"/>
      <c r="F907" s="80"/>
    </row>
    <row r="908" spans="2:6" x14ac:dyDescent="0.3">
      <c r="B908" s="176"/>
      <c r="C908" s="177"/>
      <c r="D908" s="177"/>
      <c r="E908" s="80"/>
      <c r="F908" s="80"/>
    </row>
    <row r="909" spans="2:6" x14ac:dyDescent="0.3">
      <c r="B909" s="176"/>
      <c r="C909" s="177"/>
      <c r="D909" s="177"/>
      <c r="E909" s="80"/>
      <c r="F909" s="80"/>
    </row>
    <row r="910" spans="2:6" x14ac:dyDescent="0.3">
      <c r="B910" s="176"/>
      <c r="C910" s="177"/>
      <c r="D910" s="177"/>
      <c r="E910" s="80"/>
      <c r="F910" s="80"/>
    </row>
    <row r="911" spans="2:6" x14ac:dyDescent="0.3">
      <c r="B911" s="176"/>
      <c r="C911" s="177"/>
      <c r="D911" s="177"/>
      <c r="E911" s="80"/>
      <c r="F911" s="80"/>
    </row>
    <row r="912" spans="2:6" x14ac:dyDescent="0.3">
      <c r="B912" s="176"/>
      <c r="C912" s="177"/>
      <c r="D912" s="177"/>
      <c r="E912" s="80"/>
      <c r="F912" s="80"/>
    </row>
    <row r="913" spans="2:6" x14ac:dyDescent="0.3">
      <c r="B913" s="176"/>
      <c r="C913" s="177"/>
      <c r="D913" s="177"/>
      <c r="E913" s="80"/>
      <c r="F913" s="80"/>
    </row>
    <row r="914" spans="2:6" x14ac:dyDescent="0.3">
      <c r="B914" s="176"/>
      <c r="C914" s="177"/>
      <c r="D914" s="177"/>
      <c r="E914" s="80"/>
      <c r="F914" s="80"/>
    </row>
    <row r="915" spans="2:6" x14ac:dyDescent="0.3">
      <c r="B915" s="176"/>
      <c r="C915" s="177"/>
      <c r="D915" s="177"/>
      <c r="E915" s="80"/>
      <c r="F915" s="80"/>
    </row>
    <row r="916" spans="2:6" x14ac:dyDescent="0.3">
      <c r="B916" s="176"/>
      <c r="C916" s="177"/>
      <c r="D916" s="177"/>
      <c r="E916" s="80"/>
      <c r="F916" s="80"/>
    </row>
    <row r="917" spans="2:6" x14ac:dyDescent="0.3">
      <c r="B917" s="176"/>
      <c r="C917" s="177"/>
      <c r="D917" s="177"/>
      <c r="E917" s="80"/>
      <c r="F917" s="80"/>
    </row>
    <row r="918" spans="2:6" x14ac:dyDescent="0.3">
      <c r="B918" s="176"/>
      <c r="C918" s="177"/>
      <c r="D918" s="177"/>
      <c r="E918" s="80"/>
      <c r="F918" s="80"/>
    </row>
    <row r="919" spans="2:6" x14ac:dyDescent="0.3">
      <c r="B919" s="176"/>
      <c r="C919" s="177"/>
      <c r="D919" s="177"/>
      <c r="E919" s="80"/>
      <c r="F919" s="80"/>
    </row>
    <row r="920" spans="2:6" x14ac:dyDescent="0.3">
      <c r="B920" s="176"/>
      <c r="C920" s="177"/>
      <c r="D920" s="177"/>
      <c r="E920" s="80"/>
      <c r="F920" s="80"/>
    </row>
    <row r="921" spans="2:6" x14ac:dyDescent="0.3">
      <c r="B921" s="176"/>
      <c r="C921" s="177"/>
      <c r="D921" s="177"/>
      <c r="E921" s="80"/>
      <c r="F921" s="80"/>
    </row>
    <row r="922" spans="2:6" x14ac:dyDescent="0.3">
      <c r="B922" s="176"/>
      <c r="C922" s="177"/>
      <c r="D922" s="177"/>
      <c r="E922" s="80"/>
      <c r="F922" s="80"/>
    </row>
    <row r="923" spans="2:6" x14ac:dyDescent="0.3">
      <c r="B923" s="176"/>
      <c r="C923" s="177"/>
      <c r="D923" s="177"/>
      <c r="E923" s="80"/>
      <c r="F923" s="80"/>
    </row>
    <row r="924" spans="2:6" x14ac:dyDescent="0.3">
      <c r="B924" s="176"/>
      <c r="C924" s="177"/>
      <c r="D924" s="177"/>
      <c r="E924" s="80"/>
      <c r="F924" s="80"/>
    </row>
    <row r="925" spans="2:6" x14ac:dyDescent="0.3">
      <c r="B925" s="176"/>
      <c r="C925" s="177"/>
      <c r="D925" s="177"/>
      <c r="E925" s="80"/>
      <c r="F925" s="80"/>
    </row>
    <row r="926" spans="2:6" x14ac:dyDescent="0.3">
      <c r="B926" s="176"/>
      <c r="C926" s="177"/>
      <c r="D926" s="177"/>
      <c r="E926" s="80"/>
      <c r="F926" s="80"/>
    </row>
    <row r="927" spans="2:6" x14ac:dyDescent="0.3">
      <c r="B927" s="176"/>
      <c r="C927" s="177"/>
      <c r="D927" s="177"/>
      <c r="E927" s="80"/>
      <c r="F927" s="80"/>
    </row>
    <row r="928" spans="2:6" x14ac:dyDescent="0.3">
      <c r="B928" s="176"/>
      <c r="C928" s="177"/>
      <c r="D928" s="177"/>
      <c r="E928" s="80"/>
      <c r="F928" s="80"/>
    </row>
    <row r="929" spans="2:6" x14ac:dyDescent="0.3">
      <c r="B929" s="176"/>
      <c r="C929" s="177"/>
      <c r="D929" s="177"/>
      <c r="E929" s="80"/>
      <c r="F929" s="80"/>
    </row>
    <row r="930" spans="2:6" x14ac:dyDescent="0.3">
      <c r="B930" s="176"/>
      <c r="C930" s="177"/>
      <c r="D930" s="177"/>
      <c r="E930" s="80"/>
      <c r="F930" s="80"/>
    </row>
    <row r="931" spans="2:6" x14ac:dyDescent="0.3">
      <c r="B931" s="176"/>
      <c r="C931" s="177"/>
      <c r="D931" s="177"/>
      <c r="E931" s="80"/>
      <c r="F931" s="80"/>
    </row>
    <row r="932" spans="2:6" x14ac:dyDescent="0.3">
      <c r="B932" s="176"/>
      <c r="C932" s="177"/>
      <c r="D932" s="177"/>
      <c r="E932" s="80"/>
      <c r="F932" s="80"/>
    </row>
    <row r="933" spans="2:6" x14ac:dyDescent="0.3">
      <c r="B933" s="176"/>
      <c r="C933" s="177"/>
      <c r="D933" s="177"/>
      <c r="E933" s="80"/>
      <c r="F933" s="80"/>
    </row>
    <row r="934" spans="2:6" x14ac:dyDescent="0.3">
      <c r="B934" s="176"/>
      <c r="C934" s="177"/>
      <c r="D934" s="177"/>
      <c r="E934" s="80"/>
      <c r="F934" s="80"/>
    </row>
    <row r="935" spans="2:6" x14ac:dyDescent="0.3">
      <c r="B935" s="176"/>
      <c r="C935" s="177"/>
      <c r="D935" s="177"/>
      <c r="E935" s="80"/>
      <c r="F935" s="80"/>
    </row>
    <row r="936" spans="2:6" x14ac:dyDescent="0.3">
      <c r="B936" s="176"/>
      <c r="C936" s="177"/>
      <c r="D936" s="177"/>
      <c r="E936" s="80"/>
      <c r="F936" s="80"/>
    </row>
    <row r="937" spans="2:6" x14ac:dyDescent="0.3">
      <c r="B937" s="176"/>
      <c r="C937" s="177"/>
      <c r="D937" s="177"/>
      <c r="E937" s="80"/>
      <c r="F937" s="80"/>
    </row>
    <row r="938" spans="2:6" x14ac:dyDescent="0.3">
      <c r="B938" s="176"/>
      <c r="C938" s="177"/>
      <c r="D938" s="177"/>
      <c r="E938" s="80"/>
      <c r="F938" s="80"/>
    </row>
    <row r="939" spans="2:6" x14ac:dyDescent="0.3">
      <c r="B939" s="176"/>
      <c r="C939" s="177"/>
      <c r="D939" s="177"/>
      <c r="E939" s="80"/>
      <c r="F939" s="80"/>
    </row>
    <row r="940" spans="2:6" x14ac:dyDescent="0.3">
      <c r="B940" s="176"/>
      <c r="C940" s="177"/>
      <c r="D940" s="177"/>
      <c r="E940" s="80"/>
      <c r="F940" s="80"/>
    </row>
    <row r="941" spans="2:6" x14ac:dyDescent="0.3">
      <c r="B941" s="176"/>
      <c r="C941" s="177"/>
      <c r="D941" s="177"/>
      <c r="E941" s="80"/>
      <c r="F941" s="80"/>
    </row>
    <row r="942" spans="2:6" x14ac:dyDescent="0.3">
      <c r="B942" s="176"/>
      <c r="C942" s="177"/>
      <c r="D942" s="177"/>
      <c r="E942" s="80"/>
      <c r="F942" s="80"/>
    </row>
    <row r="943" spans="2:6" x14ac:dyDescent="0.3">
      <c r="B943" s="176"/>
      <c r="C943" s="177"/>
      <c r="D943" s="177"/>
      <c r="E943" s="80"/>
      <c r="F943" s="80"/>
    </row>
    <row r="944" spans="2:6" x14ac:dyDescent="0.3">
      <c r="B944" s="176"/>
      <c r="C944" s="177"/>
      <c r="D944" s="177"/>
      <c r="E944" s="80"/>
      <c r="F944" s="80"/>
    </row>
    <row r="945" spans="2:6" x14ac:dyDescent="0.3">
      <c r="B945" s="176"/>
      <c r="C945" s="177"/>
      <c r="D945" s="177"/>
      <c r="E945" s="80"/>
      <c r="F945" s="80"/>
    </row>
    <row r="946" spans="2:6" x14ac:dyDescent="0.3">
      <c r="B946" s="176"/>
      <c r="C946" s="177"/>
      <c r="D946" s="177"/>
      <c r="E946" s="80"/>
      <c r="F946" s="80"/>
    </row>
    <row r="947" spans="2:6" x14ac:dyDescent="0.3">
      <c r="B947" s="176"/>
      <c r="C947" s="177"/>
      <c r="D947" s="177"/>
      <c r="E947" s="80"/>
      <c r="F947" s="80"/>
    </row>
    <row r="948" spans="2:6" x14ac:dyDescent="0.3">
      <c r="B948" s="176"/>
      <c r="C948" s="177"/>
      <c r="D948" s="177"/>
      <c r="E948" s="80"/>
      <c r="F948" s="80"/>
    </row>
    <row r="949" spans="2:6" x14ac:dyDescent="0.3">
      <c r="B949" s="176"/>
      <c r="C949" s="177"/>
      <c r="D949" s="177"/>
      <c r="E949" s="80"/>
      <c r="F949" s="80"/>
    </row>
    <row r="950" spans="2:6" x14ac:dyDescent="0.3">
      <c r="B950" s="176"/>
      <c r="C950" s="177"/>
      <c r="D950" s="177"/>
      <c r="E950" s="80"/>
      <c r="F950" s="80"/>
    </row>
    <row r="951" spans="2:6" x14ac:dyDescent="0.3">
      <c r="B951" s="176"/>
      <c r="C951" s="177"/>
      <c r="D951" s="177"/>
      <c r="E951" s="80"/>
      <c r="F951" s="80"/>
    </row>
    <row r="952" spans="2:6" x14ac:dyDescent="0.3">
      <c r="B952" s="176"/>
      <c r="C952" s="177"/>
      <c r="D952" s="177"/>
      <c r="E952" s="80"/>
      <c r="F952" s="80"/>
    </row>
    <row r="953" spans="2:6" x14ac:dyDescent="0.3">
      <c r="B953" s="176"/>
      <c r="C953" s="177"/>
      <c r="D953" s="177"/>
      <c r="E953" s="80"/>
      <c r="F953" s="80"/>
    </row>
    <row r="954" spans="2:6" x14ac:dyDescent="0.3">
      <c r="B954" s="176"/>
      <c r="C954" s="177"/>
      <c r="D954" s="177"/>
      <c r="E954" s="80"/>
      <c r="F954" s="80"/>
    </row>
    <row r="955" spans="2:6" x14ac:dyDescent="0.3">
      <c r="B955" s="176"/>
      <c r="C955" s="177"/>
      <c r="D955" s="177"/>
      <c r="E955" s="80"/>
      <c r="F955" s="80"/>
    </row>
    <row r="956" spans="2:6" x14ac:dyDescent="0.3">
      <c r="B956" s="176"/>
      <c r="C956" s="177"/>
      <c r="D956" s="177"/>
      <c r="E956" s="80"/>
      <c r="F956" s="80"/>
    </row>
    <row r="957" spans="2:6" x14ac:dyDescent="0.3">
      <c r="B957" s="176"/>
      <c r="C957" s="177"/>
      <c r="D957" s="177"/>
      <c r="E957" s="80"/>
      <c r="F957" s="80"/>
    </row>
    <row r="958" spans="2:6" x14ac:dyDescent="0.3">
      <c r="B958" s="176"/>
      <c r="C958" s="177"/>
      <c r="D958" s="177"/>
      <c r="E958" s="80"/>
      <c r="F958" s="80"/>
    </row>
    <row r="959" spans="2:6" x14ac:dyDescent="0.3">
      <c r="B959" s="176"/>
      <c r="C959" s="177"/>
      <c r="D959" s="177"/>
      <c r="E959" s="80"/>
      <c r="F959" s="80"/>
    </row>
    <row r="960" spans="2:6" x14ac:dyDescent="0.3">
      <c r="B960" s="176"/>
      <c r="C960" s="177"/>
      <c r="D960" s="177"/>
      <c r="E960" s="80"/>
      <c r="F960" s="80"/>
    </row>
    <row r="961" spans="2:6" x14ac:dyDescent="0.3">
      <c r="B961" s="176"/>
      <c r="C961" s="177"/>
      <c r="D961" s="177"/>
      <c r="E961" s="80"/>
      <c r="F961" s="80"/>
    </row>
    <row r="962" spans="2:6" x14ac:dyDescent="0.3">
      <c r="B962" s="176"/>
      <c r="C962" s="177"/>
      <c r="D962" s="177"/>
      <c r="E962" s="80"/>
      <c r="F962" s="80"/>
    </row>
    <row r="963" spans="2:6" x14ac:dyDescent="0.3">
      <c r="B963" s="176"/>
      <c r="C963" s="177"/>
      <c r="D963" s="177"/>
      <c r="E963" s="80"/>
      <c r="F963" s="80"/>
    </row>
    <row r="964" spans="2:6" x14ac:dyDescent="0.3">
      <c r="B964" s="176"/>
      <c r="C964" s="177"/>
      <c r="D964" s="177"/>
      <c r="E964" s="80"/>
      <c r="F964" s="80"/>
    </row>
    <row r="965" spans="2:6" x14ac:dyDescent="0.3">
      <c r="B965" s="176"/>
      <c r="C965" s="177"/>
      <c r="D965" s="177"/>
      <c r="E965" s="80"/>
      <c r="F965" s="80"/>
    </row>
    <row r="966" spans="2:6" x14ac:dyDescent="0.3">
      <c r="B966" s="176"/>
      <c r="C966" s="177"/>
      <c r="D966" s="177"/>
      <c r="E966" s="80"/>
      <c r="F966" s="80"/>
    </row>
    <row r="967" spans="2:6" x14ac:dyDescent="0.3">
      <c r="B967" s="176"/>
      <c r="C967" s="177"/>
      <c r="D967" s="177"/>
      <c r="E967" s="80"/>
      <c r="F967" s="80"/>
    </row>
    <row r="968" spans="2:6" x14ac:dyDescent="0.3">
      <c r="B968" s="176"/>
      <c r="C968" s="177"/>
      <c r="D968" s="177"/>
      <c r="E968" s="80"/>
      <c r="F968" s="80"/>
    </row>
    <row r="969" spans="2:6" x14ac:dyDescent="0.3">
      <c r="B969" s="176"/>
      <c r="C969" s="177"/>
      <c r="D969" s="177"/>
      <c r="E969" s="80"/>
      <c r="F969" s="80"/>
    </row>
    <row r="970" spans="2:6" x14ac:dyDescent="0.3">
      <c r="B970" s="176"/>
      <c r="C970" s="177"/>
      <c r="D970" s="177"/>
      <c r="E970" s="80"/>
      <c r="F970" s="80"/>
    </row>
    <row r="971" spans="2:6" x14ac:dyDescent="0.3">
      <c r="B971" s="176"/>
      <c r="C971" s="177"/>
      <c r="D971" s="177"/>
      <c r="E971" s="80"/>
      <c r="F971" s="80"/>
    </row>
    <row r="972" spans="2:6" x14ac:dyDescent="0.3">
      <c r="B972" s="176"/>
      <c r="C972" s="177"/>
      <c r="D972" s="177"/>
      <c r="E972" s="80"/>
      <c r="F972" s="80"/>
    </row>
    <row r="973" spans="2:6" x14ac:dyDescent="0.3">
      <c r="B973" s="176"/>
      <c r="C973" s="177"/>
      <c r="D973" s="177"/>
      <c r="E973" s="80"/>
      <c r="F973" s="80"/>
    </row>
    <row r="974" spans="2:6" x14ac:dyDescent="0.3">
      <c r="B974" s="176"/>
      <c r="C974" s="177"/>
      <c r="D974" s="177"/>
      <c r="E974" s="80"/>
      <c r="F974" s="80"/>
    </row>
    <row r="975" spans="2:6" x14ac:dyDescent="0.3">
      <c r="B975" s="176"/>
      <c r="C975" s="177"/>
      <c r="D975" s="177"/>
      <c r="E975" s="80"/>
      <c r="F975" s="80"/>
    </row>
    <row r="976" spans="2:6" x14ac:dyDescent="0.3">
      <c r="B976" s="176"/>
      <c r="C976" s="177"/>
      <c r="D976" s="177"/>
      <c r="E976" s="80"/>
      <c r="F976" s="80"/>
    </row>
    <row r="977" spans="2:6" x14ac:dyDescent="0.3">
      <c r="B977" s="176"/>
      <c r="C977" s="177"/>
      <c r="D977" s="177"/>
      <c r="E977" s="80"/>
      <c r="F977" s="80"/>
    </row>
    <row r="978" spans="2:6" x14ac:dyDescent="0.3">
      <c r="B978" s="176"/>
      <c r="C978" s="177"/>
      <c r="D978" s="177"/>
      <c r="E978" s="80"/>
      <c r="F978" s="80"/>
    </row>
    <row r="979" spans="2:6" x14ac:dyDescent="0.3">
      <c r="B979" s="176"/>
      <c r="C979" s="177"/>
      <c r="D979" s="177"/>
      <c r="E979" s="80"/>
      <c r="F979" s="80"/>
    </row>
    <row r="980" spans="2:6" x14ac:dyDescent="0.3">
      <c r="B980" s="176"/>
      <c r="C980" s="177"/>
      <c r="D980" s="177"/>
      <c r="E980" s="80"/>
      <c r="F980" s="80"/>
    </row>
    <row r="981" spans="2:6" x14ac:dyDescent="0.3">
      <c r="B981" s="176"/>
      <c r="C981" s="177"/>
      <c r="D981" s="177"/>
      <c r="E981" s="80"/>
      <c r="F981" s="80"/>
    </row>
    <row r="982" spans="2:6" x14ac:dyDescent="0.3">
      <c r="B982" s="176"/>
      <c r="C982" s="177"/>
      <c r="D982" s="177"/>
      <c r="E982" s="80"/>
      <c r="F982" s="80"/>
    </row>
    <row r="983" spans="2:6" x14ac:dyDescent="0.3">
      <c r="B983" s="176"/>
      <c r="C983" s="177"/>
      <c r="D983" s="177"/>
      <c r="E983" s="80"/>
      <c r="F983" s="80"/>
    </row>
    <row r="984" spans="2:6" x14ac:dyDescent="0.3">
      <c r="B984" s="176"/>
      <c r="C984" s="177"/>
      <c r="D984" s="177"/>
      <c r="E984" s="80"/>
      <c r="F984" s="80"/>
    </row>
    <row r="985" spans="2:6" x14ac:dyDescent="0.3">
      <c r="B985" s="176"/>
      <c r="C985" s="177"/>
      <c r="D985" s="177"/>
      <c r="E985" s="80"/>
      <c r="F985" s="80"/>
    </row>
    <row r="986" spans="2:6" x14ac:dyDescent="0.3">
      <c r="B986" s="176"/>
      <c r="C986" s="177"/>
      <c r="D986" s="177"/>
      <c r="E986" s="80"/>
      <c r="F986" s="80"/>
    </row>
    <row r="987" spans="2:6" x14ac:dyDescent="0.3">
      <c r="B987" s="176"/>
      <c r="C987" s="177"/>
      <c r="D987" s="177"/>
      <c r="E987" s="80"/>
      <c r="F987" s="80"/>
    </row>
    <row r="988" spans="2:6" x14ac:dyDescent="0.3">
      <c r="B988" s="176"/>
      <c r="C988" s="177"/>
      <c r="D988" s="177"/>
      <c r="E988" s="80"/>
      <c r="F988" s="80"/>
    </row>
    <row r="989" spans="2:6" x14ac:dyDescent="0.3">
      <c r="B989" s="176"/>
      <c r="C989" s="177"/>
      <c r="D989" s="177"/>
      <c r="E989" s="80"/>
      <c r="F989" s="80"/>
    </row>
    <row r="990" spans="2:6" x14ac:dyDescent="0.3">
      <c r="B990" s="176"/>
      <c r="C990" s="177"/>
      <c r="D990" s="177"/>
      <c r="E990" s="80"/>
      <c r="F990" s="80"/>
    </row>
    <row r="991" spans="2:6" x14ac:dyDescent="0.3">
      <c r="B991" s="176"/>
      <c r="C991" s="177"/>
      <c r="D991" s="177"/>
      <c r="E991" s="80"/>
      <c r="F991" s="80"/>
    </row>
    <row r="992" spans="2:6" x14ac:dyDescent="0.3">
      <c r="B992" s="176"/>
      <c r="C992" s="177"/>
      <c r="D992" s="177"/>
      <c r="E992" s="80"/>
      <c r="F992" s="80"/>
    </row>
    <row r="993" spans="2:6" x14ac:dyDescent="0.3">
      <c r="B993" s="176"/>
      <c r="C993" s="177"/>
      <c r="D993" s="177"/>
      <c r="E993" s="80"/>
      <c r="F993" s="80"/>
    </row>
    <row r="994" spans="2:6" x14ac:dyDescent="0.3">
      <c r="B994" s="176"/>
      <c r="C994" s="177"/>
      <c r="D994" s="177"/>
      <c r="E994" s="80"/>
      <c r="F994" s="80"/>
    </row>
    <row r="995" spans="2:6" x14ac:dyDescent="0.3">
      <c r="B995" s="176"/>
      <c r="C995" s="177"/>
      <c r="D995" s="177"/>
      <c r="E995" s="80"/>
      <c r="F995" s="80"/>
    </row>
    <row r="996" spans="2:6" x14ac:dyDescent="0.3">
      <c r="B996" s="176"/>
      <c r="C996" s="177"/>
      <c r="D996" s="177"/>
      <c r="E996" s="80"/>
      <c r="F996" s="80"/>
    </row>
    <row r="997" spans="2:6" x14ac:dyDescent="0.3">
      <c r="B997" s="176"/>
      <c r="C997" s="177"/>
      <c r="D997" s="177"/>
      <c r="E997" s="80"/>
      <c r="F997" s="80"/>
    </row>
    <row r="998" spans="2:6" x14ac:dyDescent="0.3">
      <c r="B998" s="176"/>
      <c r="C998" s="177"/>
      <c r="D998" s="177"/>
      <c r="E998" s="80"/>
      <c r="F998" s="80"/>
    </row>
    <row r="999" spans="2:6" x14ac:dyDescent="0.3">
      <c r="B999" s="176"/>
      <c r="C999" s="177"/>
      <c r="D999" s="177"/>
      <c r="E999" s="80"/>
      <c r="F999" s="80"/>
    </row>
    <row r="1000" spans="2:6" x14ac:dyDescent="0.3">
      <c r="B1000" s="176"/>
      <c r="C1000" s="177"/>
      <c r="D1000" s="177"/>
      <c r="E1000" s="80"/>
      <c r="F1000" s="80"/>
    </row>
    <row r="1001" spans="2:6" x14ac:dyDescent="0.3">
      <c r="B1001" s="176"/>
      <c r="C1001" s="177"/>
      <c r="D1001" s="177"/>
      <c r="E1001" s="80"/>
      <c r="F1001" s="80"/>
    </row>
    <row r="1002" spans="2:6" x14ac:dyDescent="0.3">
      <c r="B1002" s="176"/>
      <c r="C1002" s="177"/>
      <c r="D1002" s="177"/>
      <c r="E1002" s="80"/>
      <c r="F1002" s="80"/>
    </row>
    <row r="1003" spans="2:6" x14ac:dyDescent="0.3">
      <c r="B1003" s="176"/>
      <c r="C1003" s="177"/>
      <c r="D1003" s="177"/>
      <c r="E1003" s="80"/>
      <c r="F1003" s="80"/>
    </row>
    <row r="1004" spans="2:6" x14ac:dyDescent="0.3">
      <c r="B1004" s="176"/>
      <c r="C1004" s="177"/>
      <c r="D1004" s="177"/>
      <c r="E1004" s="80"/>
      <c r="F1004" s="80"/>
    </row>
    <row r="1005" spans="2:6" x14ac:dyDescent="0.3">
      <c r="B1005" s="176"/>
      <c r="C1005" s="177"/>
      <c r="D1005" s="177"/>
      <c r="E1005" s="80"/>
      <c r="F1005" s="80"/>
    </row>
    <row r="1006" spans="2:6" x14ac:dyDescent="0.3">
      <c r="B1006" s="176"/>
      <c r="C1006" s="177"/>
      <c r="D1006" s="177"/>
      <c r="E1006" s="80"/>
      <c r="F1006" s="80"/>
    </row>
    <row r="1007" spans="2:6" x14ac:dyDescent="0.3">
      <c r="B1007" s="176"/>
      <c r="C1007" s="177"/>
      <c r="D1007" s="177"/>
      <c r="E1007" s="80"/>
      <c r="F1007" s="80"/>
    </row>
    <row r="1008" spans="2:6" x14ac:dyDescent="0.3">
      <c r="B1008" s="176"/>
      <c r="C1008" s="177"/>
      <c r="D1008" s="177"/>
      <c r="E1008" s="80"/>
      <c r="F1008" s="80"/>
    </row>
    <row r="1009" spans="2:6" x14ac:dyDescent="0.3">
      <c r="B1009" s="176"/>
      <c r="C1009" s="177"/>
      <c r="D1009" s="177"/>
      <c r="E1009" s="80"/>
      <c r="F1009" s="80"/>
    </row>
    <row r="1010" spans="2:6" x14ac:dyDescent="0.3">
      <c r="B1010" s="176"/>
      <c r="C1010" s="177"/>
      <c r="D1010" s="177"/>
      <c r="E1010" s="80"/>
      <c r="F1010" s="80"/>
    </row>
    <row r="1011" spans="2:6" x14ac:dyDescent="0.3">
      <c r="B1011" s="176"/>
      <c r="C1011" s="177"/>
      <c r="D1011" s="177"/>
      <c r="E1011" s="80"/>
      <c r="F1011" s="80"/>
    </row>
    <row r="1012" spans="2:6" x14ac:dyDescent="0.3">
      <c r="B1012" s="176"/>
      <c r="C1012" s="177"/>
      <c r="D1012" s="177"/>
      <c r="E1012" s="80"/>
      <c r="F1012" s="80"/>
    </row>
    <row r="1013" spans="2:6" x14ac:dyDescent="0.3">
      <c r="B1013" s="176"/>
      <c r="C1013" s="177"/>
      <c r="D1013" s="177"/>
      <c r="E1013" s="80"/>
      <c r="F1013" s="80"/>
    </row>
    <row r="1014" spans="2:6" x14ac:dyDescent="0.3">
      <c r="B1014" s="176"/>
      <c r="C1014" s="177"/>
      <c r="D1014" s="177"/>
      <c r="E1014" s="80"/>
      <c r="F1014" s="80"/>
    </row>
    <row r="1015" spans="2:6" x14ac:dyDescent="0.3">
      <c r="B1015" s="176"/>
      <c r="C1015" s="177"/>
      <c r="D1015" s="177"/>
      <c r="E1015" s="80"/>
      <c r="F1015" s="80"/>
    </row>
    <row r="1016" spans="2:6" x14ac:dyDescent="0.3">
      <c r="B1016" s="176"/>
      <c r="C1016" s="177"/>
      <c r="D1016" s="177"/>
      <c r="E1016" s="80"/>
      <c r="F1016" s="80"/>
    </row>
    <row r="1017" spans="2:6" x14ac:dyDescent="0.3">
      <c r="B1017" s="176"/>
      <c r="C1017" s="177"/>
      <c r="D1017" s="177"/>
      <c r="E1017" s="80"/>
      <c r="F1017" s="80"/>
    </row>
    <row r="1018" spans="2:6" x14ac:dyDescent="0.3">
      <c r="B1018" s="176"/>
      <c r="C1018" s="177"/>
      <c r="D1018" s="177"/>
      <c r="E1018" s="80"/>
      <c r="F1018" s="80"/>
    </row>
    <row r="1019" spans="2:6" x14ac:dyDescent="0.3">
      <c r="B1019" s="176"/>
      <c r="C1019" s="177"/>
      <c r="D1019" s="177"/>
      <c r="E1019" s="80"/>
      <c r="F1019" s="80"/>
    </row>
    <row r="1020" spans="2:6" x14ac:dyDescent="0.3">
      <c r="B1020" s="176"/>
      <c r="C1020" s="177"/>
      <c r="D1020" s="177"/>
      <c r="E1020" s="80"/>
      <c r="F1020" s="80"/>
    </row>
    <row r="1021" spans="2:6" x14ac:dyDescent="0.3">
      <c r="B1021" s="176"/>
      <c r="C1021" s="177"/>
      <c r="D1021" s="177"/>
      <c r="E1021" s="80"/>
      <c r="F1021" s="80"/>
    </row>
    <row r="1022" spans="2:6" x14ac:dyDescent="0.3">
      <c r="B1022" s="176"/>
      <c r="C1022" s="177"/>
      <c r="D1022" s="177"/>
      <c r="E1022" s="80"/>
      <c r="F1022" s="80"/>
    </row>
    <row r="1023" spans="2:6" x14ac:dyDescent="0.3">
      <c r="B1023" s="176"/>
      <c r="C1023" s="177"/>
      <c r="D1023" s="177"/>
      <c r="E1023" s="80"/>
      <c r="F1023" s="80"/>
    </row>
    <row r="1024" spans="2:6" x14ac:dyDescent="0.3">
      <c r="B1024" s="176"/>
      <c r="C1024" s="177"/>
      <c r="D1024" s="177"/>
      <c r="E1024" s="80"/>
      <c r="F1024" s="80"/>
    </row>
    <row r="1025" spans="2:6" x14ac:dyDescent="0.3">
      <c r="B1025" s="176"/>
      <c r="C1025" s="177"/>
      <c r="D1025" s="177"/>
      <c r="E1025" s="80"/>
      <c r="F1025" s="80"/>
    </row>
    <row r="1026" spans="2:6" x14ac:dyDescent="0.3">
      <c r="B1026" s="176"/>
      <c r="C1026" s="177"/>
      <c r="D1026" s="177"/>
      <c r="E1026" s="80"/>
      <c r="F1026" s="80"/>
    </row>
    <row r="1027" spans="2:6" x14ac:dyDescent="0.3">
      <c r="B1027" s="176"/>
      <c r="C1027" s="177"/>
      <c r="D1027" s="177"/>
      <c r="E1027" s="80"/>
      <c r="F1027" s="80"/>
    </row>
    <row r="1028" spans="2:6" x14ac:dyDescent="0.3">
      <c r="B1028" s="176"/>
      <c r="C1028" s="177"/>
      <c r="D1028" s="177"/>
      <c r="E1028" s="80"/>
      <c r="F1028" s="80"/>
    </row>
    <row r="1029" spans="2:6" x14ac:dyDescent="0.3">
      <c r="B1029" s="176"/>
      <c r="C1029" s="177"/>
      <c r="D1029" s="177"/>
      <c r="E1029" s="80"/>
      <c r="F1029" s="80"/>
    </row>
    <row r="1030" spans="2:6" x14ac:dyDescent="0.3">
      <c r="B1030" s="176"/>
      <c r="C1030" s="177"/>
      <c r="D1030" s="177"/>
      <c r="E1030" s="80"/>
      <c r="F1030" s="80"/>
    </row>
    <row r="1031" spans="2:6" x14ac:dyDescent="0.3">
      <c r="B1031" s="176"/>
      <c r="C1031" s="177"/>
      <c r="D1031" s="177"/>
      <c r="E1031" s="80"/>
      <c r="F1031" s="80"/>
    </row>
    <row r="1032" spans="2:6" x14ac:dyDescent="0.3">
      <c r="B1032" s="176"/>
      <c r="C1032" s="177"/>
      <c r="D1032" s="177"/>
      <c r="E1032" s="80"/>
      <c r="F1032" s="80"/>
    </row>
    <row r="1033" spans="2:6" x14ac:dyDescent="0.3">
      <c r="B1033" s="176"/>
      <c r="C1033" s="177"/>
      <c r="D1033" s="177"/>
      <c r="E1033" s="80"/>
      <c r="F1033" s="80"/>
    </row>
    <row r="1034" spans="2:6" x14ac:dyDescent="0.3">
      <c r="B1034" s="176"/>
      <c r="C1034" s="177"/>
      <c r="D1034" s="177"/>
      <c r="E1034" s="80"/>
      <c r="F1034" s="80"/>
    </row>
    <row r="1035" spans="2:6" x14ac:dyDescent="0.3">
      <c r="B1035" s="176"/>
      <c r="C1035" s="177"/>
      <c r="D1035" s="177"/>
      <c r="E1035" s="80"/>
      <c r="F1035" s="80"/>
    </row>
    <row r="1036" spans="2:6" x14ac:dyDescent="0.3">
      <c r="B1036" s="176"/>
      <c r="C1036" s="177"/>
      <c r="D1036" s="177"/>
      <c r="E1036" s="80"/>
      <c r="F1036" s="80"/>
    </row>
    <row r="1037" spans="2:6" x14ac:dyDescent="0.3">
      <c r="B1037" s="176"/>
      <c r="C1037" s="177"/>
      <c r="D1037" s="177"/>
      <c r="E1037" s="80"/>
      <c r="F1037" s="80"/>
    </row>
    <row r="1038" spans="2:6" x14ac:dyDescent="0.3">
      <c r="B1038" s="176"/>
      <c r="C1038" s="177"/>
      <c r="D1038" s="177"/>
      <c r="E1038" s="80"/>
      <c r="F1038" s="80"/>
    </row>
    <row r="1039" spans="2:6" x14ac:dyDescent="0.3">
      <c r="B1039" s="176"/>
      <c r="C1039" s="177"/>
      <c r="D1039" s="177"/>
      <c r="E1039" s="80"/>
      <c r="F1039" s="80"/>
    </row>
    <row r="1040" spans="2:6" x14ac:dyDescent="0.3">
      <c r="B1040" s="176"/>
      <c r="C1040" s="177"/>
      <c r="D1040" s="177"/>
      <c r="E1040" s="80"/>
      <c r="F1040" s="80"/>
    </row>
    <row r="1041" spans="2:6" x14ac:dyDescent="0.3">
      <c r="B1041" s="176"/>
      <c r="C1041" s="177"/>
      <c r="D1041" s="177"/>
      <c r="E1041" s="80"/>
      <c r="F1041" s="80"/>
    </row>
    <row r="1042" spans="2:6" x14ac:dyDescent="0.3">
      <c r="B1042" s="176"/>
      <c r="C1042" s="177"/>
      <c r="D1042" s="177"/>
      <c r="E1042" s="80"/>
      <c r="F1042" s="80"/>
    </row>
    <row r="1043" spans="2:6" x14ac:dyDescent="0.3">
      <c r="B1043" s="176"/>
      <c r="C1043" s="177"/>
      <c r="D1043" s="177"/>
      <c r="E1043" s="80"/>
      <c r="F1043" s="80"/>
    </row>
    <row r="1044" spans="2:6" x14ac:dyDescent="0.3">
      <c r="B1044" s="176"/>
      <c r="C1044" s="177"/>
      <c r="D1044" s="177"/>
      <c r="E1044" s="80"/>
      <c r="F1044" s="80"/>
    </row>
    <row r="1045" spans="2:6" x14ac:dyDescent="0.3">
      <c r="B1045" s="176"/>
      <c r="C1045" s="177"/>
      <c r="D1045" s="177"/>
      <c r="E1045" s="80"/>
      <c r="F1045" s="80"/>
    </row>
    <row r="1046" spans="2:6" x14ac:dyDescent="0.3">
      <c r="B1046" s="176"/>
      <c r="C1046" s="177"/>
      <c r="D1046" s="177"/>
      <c r="E1046" s="80"/>
      <c r="F1046" s="80"/>
    </row>
    <row r="1047" spans="2:6" x14ac:dyDescent="0.3">
      <c r="B1047" s="176"/>
      <c r="C1047" s="177"/>
      <c r="D1047" s="177"/>
      <c r="E1047" s="80"/>
      <c r="F1047" s="80"/>
    </row>
    <row r="1048" spans="2:6" x14ac:dyDescent="0.3">
      <c r="B1048" s="176"/>
      <c r="C1048" s="177"/>
      <c r="D1048" s="177"/>
      <c r="E1048" s="80"/>
      <c r="F1048" s="80"/>
    </row>
    <row r="1049" spans="2:6" x14ac:dyDescent="0.3">
      <c r="B1049" s="176"/>
      <c r="C1049" s="177"/>
      <c r="D1049" s="177"/>
      <c r="E1049" s="80"/>
      <c r="F1049" s="80"/>
    </row>
    <row r="1050" spans="2:6" x14ac:dyDescent="0.3">
      <c r="B1050" s="176"/>
      <c r="C1050" s="177"/>
      <c r="D1050" s="177"/>
      <c r="E1050" s="80"/>
      <c r="F1050" s="80"/>
    </row>
    <row r="1051" spans="2:6" x14ac:dyDescent="0.3">
      <c r="B1051" s="176"/>
      <c r="C1051" s="177"/>
      <c r="D1051" s="177"/>
      <c r="E1051" s="80"/>
      <c r="F1051" s="80"/>
    </row>
    <row r="1052" spans="2:6" x14ac:dyDescent="0.3">
      <c r="B1052" s="176"/>
      <c r="C1052" s="177"/>
      <c r="D1052" s="177"/>
      <c r="E1052" s="80"/>
      <c r="F1052" s="80"/>
    </row>
    <row r="1053" spans="2:6" x14ac:dyDescent="0.3">
      <c r="B1053" s="176"/>
      <c r="C1053" s="177"/>
      <c r="D1053" s="177"/>
      <c r="E1053" s="80"/>
      <c r="F1053" s="80"/>
    </row>
    <row r="1054" spans="2:6" x14ac:dyDescent="0.3">
      <c r="B1054" s="176"/>
      <c r="C1054" s="177"/>
      <c r="D1054" s="177"/>
      <c r="E1054" s="80"/>
      <c r="F1054" s="80"/>
    </row>
    <row r="1055" spans="2:6" x14ac:dyDescent="0.3">
      <c r="B1055" s="176"/>
      <c r="C1055" s="177"/>
      <c r="D1055" s="177"/>
      <c r="E1055" s="80"/>
      <c r="F1055" s="80"/>
    </row>
    <row r="1056" spans="2:6" x14ac:dyDescent="0.3">
      <c r="B1056" s="176"/>
      <c r="C1056" s="177"/>
      <c r="D1056" s="177"/>
      <c r="E1056" s="80"/>
      <c r="F1056" s="80"/>
    </row>
    <row r="1057" spans="2:6" x14ac:dyDescent="0.3">
      <c r="B1057" s="176"/>
      <c r="C1057" s="177"/>
      <c r="D1057" s="177"/>
      <c r="E1057" s="80"/>
      <c r="F1057" s="80"/>
    </row>
    <row r="1058" spans="2:6" x14ac:dyDescent="0.3">
      <c r="B1058" s="176"/>
      <c r="C1058" s="177"/>
      <c r="D1058" s="177"/>
      <c r="E1058" s="80"/>
      <c r="F1058" s="80"/>
    </row>
    <row r="1059" spans="2:6" x14ac:dyDescent="0.3">
      <c r="B1059" s="176"/>
      <c r="C1059" s="177"/>
      <c r="D1059" s="177"/>
      <c r="E1059" s="80"/>
      <c r="F1059" s="80"/>
    </row>
    <row r="1060" spans="2:6" x14ac:dyDescent="0.3">
      <c r="B1060" s="176"/>
      <c r="C1060" s="177"/>
      <c r="D1060" s="177"/>
      <c r="E1060" s="80"/>
      <c r="F1060" s="80"/>
    </row>
    <row r="1061" spans="2:6" x14ac:dyDescent="0.3">
      <c r="B1061" s="176"/>
      <c r="C1061" s="177"/>
      <c r="D1061" s="177"/>
      <c r="E1061" s="80"/>
      <c r="F1061" s="80"/>
    </row>
    <row r="1062" spans="2:6" x14ac:dyDescent="0.3">
      <c r="B1062" s="176"/>
      <c r="C1062" s="177"/>
      <c r="D1062" s="177"/>
      <c r="E1062" s="80"/>
      <c r="F1062" s="80"/>
    </row>
    <row r="1063" spans="2:6" x14ac:dyDescent="0.3">
      <c r="B1063" s="176"/>
      <c r="C1063" s="177"/>
      <c r="D1063" s="177"/>
      <c r="E1063" s="80"/>
      <c r="F1063" s="80"/>
    </row>
    <row r="1064" spans="2:6" x14ac:dyDescent="0.3">
      <c r="B1064" s="176"/>
      <c r="C1064" s="177"/>
      <c r="D1064" s="177"/>
      <c r="E1064" s="80"/>
      <c r="F1064" s="80"/>
    </row>
    <row r="1065" spans="2:6" x14ac:dyDescent="0.3">
      <c r="B1065" s="176"/>
      <c r="C1065" s="177"/>
      <c r="D1065" s="177"/>
      <c r="E1065" s="80"/>
      <c r="F1065" s="80"/>
    </row>
    <row r="1066" spans="2:6" x14ac:dyDescent="0.3">
      <c r="B1066" s="176"/>
      <c r="C1066" s="177"/>
      <c r="D1066" s="177"/>
      <c r="E1066" s="80"/>
      <c r="F1066" s="80"/>
    </row>
    <row r="1067" spans="2:6" x14ac:dyDescent="0.3">
      <c r="B1067" s="176"/>
      <c r="C1067" s="177"/>
      <c r="D1067" s="177"/>
      <c r="E1067" s="80"/>
      <c r="F1067" s="80"/>
    </row>
    <row r="1068" spans="2:6" x14ac:dyDescent="0.3">
      <c r="B1068" s="176"/>
      <c r="C1068" s="177"/>
      <c r="D1068" s="177"/>
      <c r="E1068" s="80"/>
      <c r="F1068" s="80"/>
    </row>
    <row r="1069" spans="2:6" x14ac:dyDescent="0.3">
      <c r="B1069" s="176"/>
      <c r="C1069" s="177"/>
      <c r="D1069" s="177"/>
      <c r="E1069" s="80"/>
      <c r="F1069" s="80"/>
    </row>
    <row r="1070" spans="2:6" x14ac:dyDescent="0.3">
      <c r="B1070" s="176"/>
      <c r="C1070" s="177"/>
      <c r="D1070" s="177"/>
      <c r="E1070" s="80"/>
      <c r="F1070" s="80"/>
    </row>
    <row r="1071" spans="2:6" x14ac:dyDescent="0.3">
      <c r="B1071" s="176"/>
      <c r="C1071" s="177"/>
      <c r="D1071" s="177"/>
      <c r="E1071" s="80"/>
      <c r="F1071" s="80"/>
    </row>
    <row r="1072" spans="2:6" x14ac:dyDescent="0.3">
      <c r="B1072" s="176"/>
      <c r="C1072" s="177"/>
      <c r="D1072" s="177"/>
      <c r="E1072" s="80"/>
      <c r="F1072" s="80"/>
    </row>
    <row r="1073" spans="2:6" x14ac:dyDescent="0.3">
      <c r="B1073" s="176"/>
      <c r="C1073" s="177"/>
      <c r="D1073" s="177"/>
      <c r="E1073" s="80"/>
      <c r="F1073" s="80"/>
    </row>
    <row r="1074" spans="2:6" x14ac:dyDescent="0.3">
      <c r="B1074" s="176"/>
      <c r="C1074" s="177"/>
      <c r="D1074" s="177"/>
      <c r="E1074" s="80"/>
      <c r="F1074" s="80"/>
    </row>
    <row r="1075" spans="2:6" x14ac:dyDescent="0.3">
      <c r="B1075" s="176"/>
      <c r="C1075" s="177"/>
      <c r="D1075" s="177"/>
      <c r="E1075" s="80"/>
      <c r="F1075" s="80"/>
    </row>
    <row r="1076" spans="2:6" x14ac:dyDescent="0.3">
      <c r="B1076" s="176"/>
      <c r="C1076" s="177"/>
      <c r="D1076" s="177"/>
      <c r="E1076" s="80"/>
      <c r="F1076" s="80"/>
    </row>
    <row r="1077" spans="2:6" x14ac:dyDescent="0.3">
      <c r="B1077" s="176"/>
      <c r="C1077" s="177"/>
      <c r="D1077" s="177"/>
      <c r="E1077" s="80"/>
      <c r="F1077" s="80"/>
    </row>
    <row r="1078" spans="2:6" x14ac:dyDescent="0.3">
      <c r="B1078" s="176"/>
      <c r="C1078" s="177"/>
      <c r="D1078" s="177"/>
      <c r="E1078" s="80"/>
      <c r="F1078" s="80"/>
    </row>
    <row r="1079" spans="2:6" x14ac:dyDescent="0.3">
      <c r="B1079" s="176"/>
      <c r="C1079" s="177"/>
      <c r="D1079" s="177"/>
      <c r="E1079" s="80"/>
      <c r="F1079" s="80"/>
    </row>
    <row r="1080" spans="2:6" x14ac:dyDescent="0.3">
      <c r="B1080" s="176"/>
      <c r="C1080" s="177"/>
      <c r="D1080" s="177"/>
      <c r="E1080" s="80"/>
      <c r="F1080" s="80"/>
    </row>
    <row r="1081" spans="2:6" x14ac:dyDescent="0.3">
      <c r="B1081" s="176"/>
      <c r="C1081" s="177"/>
      <c r="D1081" s="177"/>
      <c r="E1081" s="80"/>
      <c r="F1081" s="80"/>
    </row>
    <row r="1082" spans="2:6" x14ac:dyDescent="0.3">
      <c r="B1082" s="176"/>
      <c r="C1082" s="177"/>
      <c r="D1082" s="177"/>
      <c r="E1082" s="80"/>
      <c r="F1082" s="80"/>
    </row>
    <row r="1083" spans="2:6" x14ac:dyDescent="0.3">
      <c r="B1083" s="176"/>
      <c r="C1083" s="177"/>
      <c r="D1083" s="177"/>
      <c r="E1083" s="80"/>
      <c r="F1083" s="80"/>
    </row>
    <row r="1084" spans="2:6" x14ac:dyDescent="0.3">
      <c r="B1084" s="176"/>
      <c r="C1084" s="177"/>
      <c r="D1084" s="177"/>
      <c r="E1084" s="80"/>
      <c r="F1084" s="80"/>
    </row>
    <row r="1085" spans="2:6" x14ac:dyDescent="0.3">
      <c r="B1085" s="176"/>
      <c r="C1085" s="177"/>
      <c r="D1085" s="177"/>
      <c r="E1085" s="80"/>
      <c r="F1085" s="80"/>
    </row>
    <row r="1086" spans="2:6" x14ac:dyDescent="0.3">
      <c r="B1086" s="176"/>
      <c r="C1086" s="177"/>
      <c r="D1086" s="177"/>
      <c r="E1086" s="80"/>
      <c r="F1086" s="80"/>
    </row>
    <row r="1087" spans="2:6" x14ac:dyDescent="0.3">
      <c r="B1087" s="176"/>
      <c r="C1087" s="177"/>
      <c r="D1087" s="177"/>
      <c r="E1087" s="80"/>
      <c r="F1087" s="80"/>
    </row>
    <row r="1088" spans="2:6" x14ac:dyDescent="0.3">
      <c r="B1088" s="176"/>
      <c r="C1088" s="177"/>
      <c r="D1088" s="177"/>
      <c r="E1088" s="80"/>
      <c r="F1088" s="80"/>
    </row>
    <row r="1089" spans="2:6" x14ac:dyDescent="0.3">
      <c r="B1089" s="176"/>
      <c r="C1089" s="177"/>
      <c r="D1089" s="177"/>
      <c r="E1089" s="80"/>
      <c r="F1089" s="80"/>
    </row>
    <row r="1090" spans="2:6" x14ac:dyDescent="0.3">
      <c r="B1090" s="176"/>
      <c r="C1090" s="177"/>
      <c r="D1090" s="177"/>
      <c r="E1090" s="80"/>
      <c r="F1090" s="80"/>
    </row>
    <row r="1091" spans="2:6" x14ac:dyDescent="0.3">
      <c r="B1091" s="176"/>
      <c r="C1091" s="177"/>
      <c r="D1091" s="177"/>
      <c r="E1091" s="80"/>
      <c r="F1091" s="80"/>
    </row>
    <row r="1092" spans="2:6" x14ac:dyDescent="0.3">
      <c r="B1092" s="176"/>
      <c r="C1092" s="177"/>
      <c r="D1092" s="177"/>
      <c r="E1092" s="80"/>
      <c r="F1092" s="80"/>
    </row>
    <row r="1093" spans="2:6" x14ac:dyDescent="0.3">
      <c r="B1093" s="176"/>
      <c r="C1093" s="177"/>
      <c r="D1093" s="177"/>
      <c r="E1093" s="80"/>
      <c r="F1093" s="80"/>
    </row>
    <row r="1094" spans="2:6" x14ac:dyDescent="0.3">
      <c r="B1094" s="176"/>
      <c r="C1094" s="177"/>
      <c r="D1094" s="177"/>
      <c r="E1094" s="80"/>
      <c r="F1094" s="80"/>
    </row>
    <row r="1095" spans="2:6" x14ac:dyDescent="0.3">
      <c r="B1095" s="176"/>
      <c r="C1095" s="177"/>
      <c r="D1095" s="177"/>
      <c r="E1095" s="80"/>
      <c r="F1095" s="80"/>
    </row>
    <row r="1096" spans="2:6" x14ac:dyDescent="0.3">
      <c r="B1096" s="176"/>
      <c r="C1096" s="177"/>
      <c r="D1096" s="177"/>
      <c r="E1096" s="80"/>
      <c r="F1096" s="80"/>
    </row>
    <row r="1097" spans="2:6" x14ac:dyDescent="0.3">
      <c r="B1097" s="176"/>
      <c r="C1097" s="177"/>
      <c r="D1097" s="177"/>
      <c r="E1097" s="80"/>
      <c r="F1097" s="80"/>
    </row>
    <row r="1098" spans="2:6" x14ac:dyDescent="0.3">
      <c r="B1098" s="176"/>
      <c r="C1098" s="177"/>
      <c r="D1098" s="177"/>
      <c r="E1098" s="80"/>
      <c r="F1098" s="80"/>
    </row>
    <row r="1099" spans="2:6" x14ac:dyDescent="0.3">
      <c r="B1099" s="176"/>
      <c r="C1099" s="177"/>
      <c r="D1099" s="177"/>
      <c r="E1099" s="80"/>
      <c r="F1099" s="80"/>
    </row>
    <row r="1100" spans="2:6" x14ac:dyDescent="0.3">
      <c r="B1100" s="176"/>
      <c r="C1100" s="177"/>
      <c r="D1100" s="177"/>
      <c r="E1100" s="80"/>
      <c r="F1100" s="80"/>
    </row>
    <row r="1101" spans="2:6" x14ac:dyDescent="0.3">
      <c r="B1101" s="176"/>
      <c r="C1101" s="177"/>
      <c r="D1101" s="177"/>
      <c r="E1101" s="80"/>
      <c r="F1101" s="80"/>
    </row>
    <row r="1102" spans="2:6" x14ac:dyDescent="0.3">
      <c r="B1102" s="176"/>
      <c r="C1102" s="177"/>
      <c r="D1102" s="177"/>
      <c r="E1102" s="80"/>
      <c r="F1102" s="80"/>
    </row>
    <row r="1103" spans="2:6" x14ac:dyDescent="0.3">
      <c r="B1103" s="176"/>
      <c r="C1103" s="177"/>
      <c r="D1103" s="177"/>
      <c r="E1103" s="80"/>
      <c r="F1103" s="80"/>
    </row>
    <row r="1104" spans="2:6" x14ac:dyDescent="0.3">
      <c r="B1104" s="176"/>
      <c r="C1104" s="177"/>
      <c r="D1104" s="177"/>
      <c r="E1104" s="80"/>
      <c r="F1104" s="80"/>
    </row>
    <row r="1105" spans="2:6" x14ac:dyDescent="0.3">
      <c r="B1105" s="176"/>
      <c r="C1105" s="177"/>
      <c r="D1105" s="177"/>
      <c r="E1105" s="80"/>
      <c r="F1105" s="80"/>
    </row>
    <row r="1106" spans="2:6" x14ac:dyDescent="0.3">
      <c r="B1106" s="176"/>
      <c r="C1106" s="177"/>
      <c r="D1106" s="177"/>
      <c r="E1106" s="80"/>
      <c r="F1106" s="80"/>
    </row>
    <row r="1107" spans="2:6" x14ac:dyDescent="0.3">
      <c r="B1107" s="176"/>
      <c r="C1107" s="177"/>
      <c r="D1107" s="177"/>
      <c r="E1107" s="80"/>
      <c r="F1107" s="80"/>
    </row>
    <row r="1108" spans="2:6" x14ac:dyDescent="0.3">
      <c r="B1108" s="176"/>
      <c r="C1108" s="177"/>
      <c r="D1108" s="177"/>
      <c r="E1108" s="80"/>
      <c r="F1108" s="80"/>
    </row>
    <row r="1109" spans="2:6" x14ac:dyDescent="0.3">
      <c r="B1109" s="176"/>
      <c r="C1109" s="177"/>
      <c r="D1109" s="177"/>
      <c r="E1109" s="80"/>
      <c r="F1109" s="80"/>
    </row>
    <row r="1110" spans="2:6" x14ac:dyDescent="0.3">
      <c r="B1110" s="176"/>
      <c r="C1110" s="177"/>
      <c r="D1110" s="177"/>
      <c r="E1110" s="80"/>
      <c r="F1110" s="80"/>
    </row>
    <row r="1111" spans="2:6" x14ac:dyDescent="0.3">
      <c r="B1111" s="176"/>
      <c r="C1111" s="177"/>
      <c r="D1111" s="177"/>
      <c r="E1111" s="80"/>
      <c r="F1111" s="80"/>
    </row>
    <row r="1112" spans="2:6" x14ac:dyDescent="0.3">
      <c r="B1112" s="176"/>
      <c r="C1112" s="177"/>
      <c r="D1112" s="177"/>
      <c r="E1112" s="80"/>
      <c r="F1112" s="80"/>
    </row>
    <row r="1113" spans="2:6" x14ac:dyDescent="0.3">
      <c r="B1113" s="176"/>
      <c r="C1113" s="177"/>
      <c r="D1113" s="177"/>
      <c r="E1113" s="80"/>
      <c r="F1113" s="80"/>
    </row>
    <row r="1114" spans="2:6" x14ac:dyDescent="0.3">
      <c r="B1114" s="176"/>
      <c r="C1114" s="177"/>
      <c r="D1114" s="177"/>
      <c r="E1114" s="80"/>
      <c r="F1114" s="80"/>
    </row>
    <row r="1115" spans="2:6" x14ac:dyDescent="0.3">
      <c r="B1115" s="176"/>
      <c r="C1115" s="177"/>
      <c r="D1115" s="177"/>
      <c r="E1115" s="80"/>
      <c r="F1115" s="80"/>
    </row>
    <row r="1116" spans="2:6" x14ac:dyDescent="0.3">
      <c r="B1116" s="176"/>
      <c r="C1116" s="177"/>
      <c r="D1116" s="177"/>
      <c r="E1116" s="80"/>
      <c r="F1116" s="80"/>
    </row>
    <row r="1117" spans="2:6" x14ac:dyDescent="0.3">
      <c r="B1117" s="176"/>
      <c r="C1117" s="177"/>
      <c r="D1117" s="177"/>
      <c r="E1117" s="80"/>
      <c r="F1117" s="80"/>
    </row>
    <row r="1118" spans="2:6" x14ac:dyDescent="0.3">
      <c r="B1118" s="176"/>
      <c r="C1118" s="177"/>
      <c r="D1118" s="177"/>
      <c r="E1118" s="80"/>
      <c r="F1118" s="80"/>
    </row>
    <row r="1119" spans="2:6" x14ac:dyDescent="0.3">
      <c r="B1119" s="176"/>
      <c r="C1119" s="177"/>
      <c r="D1119" s="177"/>
      <c r="E1119" s="80"/>
      <c r="F1119" s="80"/>
    </row>
    <row r="1120" spans="2:6" x14ac:dyDescent="0.3">
      <c r="B1120" s="176"/>
      <c r="C1120" s="177"/>
      <c r="D1120" s="177"/>
      <c r="E1120" s="80"/>
      <c r="F1120" s="80"/>
    </row>
    <row r="1121" spans="2:6" x14ac:dyDescent="0.3">
      <c r="B1121" s="176"/>
      <c r="C1121" s="177"/>
      <c r="D1121" s="177"/>
      <c r="E1121" s="80"/>
      <c r="F1121" s="80"/>
    </row>
    <row r="1122" spans="2:6" x14ac:dyDescent="0.3">
      <c r="B1122" s="176"/>
      <c r="C1122" s="177"/>
      <c r="D1122" s="177"/>
      <c r="E1122" s="80"/>
      <c r="F1122" s="80"/>
    </row>
    <row r="1123" spans="2:6" x14ac:dyDescent="0.3">
      <c r="B1123" s="176"/>
      <c r="C1123" s="177"/>
      <c r="D1123" s="177"/>
      <c r="E1123" s="80"/>
      <c r="F1123" s="80"/>
    </row>
    <row r="1124" spans="2:6" x14ac:dyDescent="0.3">
      <c r="B1124" s="176"/>
      <c r="C1124" s="177"/>
      <c r="D1124" s="177"/>
      <c r="E1124" s="80"/>
      <c r="F1124" s="80"/>
    </row>
    <row r="1125" spans="2:6" x14ac:dyDescent="0.3">
      <c r="B1125" s="176"/>
      <c r="C1125" s="177"/>
      <c r="D1125" s="177"/>
      <c r="E1125" s="80"/>
      <c r="F1125" s="80"/>
    </row>
    <row r="1126" spans="2:6" x14ac:dyDescent="0.3">
      <c r="B1126" s="176"/>
      <c r="C1126" s="177"/>
      <c r="D1126" s="177"/>
      <c r="E1126" s="80"/>
      <c r="F1126" s="80"/>
    </row>
    <row r="1127" spans="2:6" x14ac:dyDescent="0.3">
      <c r="B1127" s="176"/>
      <c r="C1127" s="177"/>
      <c r="D1127" s="177"/>
      <c r="E1127" s="80"/>
      <c r="F1127" s="80"/>
    </row>
    <row r="1128" spans="2:6" x14ac:dyDescent="0.3">
      <c r="B1128" s="176"/>
      <c r="C1128" s="177"/>
      <c r="D1128" s="177"/>
      <c r="E1128" s="80"/>
      <c r="F1128" s="80"/>
    </row>
    <row r="1129" spans="2:6" x14ac:dyDescent="0.3">
      <c r="B1129" s="176"/>
      <c r="C1129" s="177"/>
      <c r="D1129" s="177"/>
      <c r="E1129" s="80"/>
      <c r="F1129" s="80"/>
    </row>
    <row r="1130" spans="2:6" x14ac:dyDescent="0.3">
      <c r="B1130" s="176"/>
      <c r="C1130" s="177"/>
      <c r="D1130" s="177"/>
      <c r="E1130" s="80"/>
      <c r="F1130" s="80"/>
    </row>
    <row r="1131" spans="2:6" x14ac:dyDescent="0.3">
      <c r="B1131" s="176"/>
      <c r="C1131" s="177"/>
      <c r="D1131" s="177"/>
      <c r="E1131" s="80"/>
      <c r="F1131" s="80"/>
    </row>
    <row r="1132" spans="2:6" x14ac:dyDescent="0.3">
      <c r="B1132" s="176"/>
      <c r="C1132" s="177"/>
      <c r="D1132" s="177"/>
      <c r="E1132" s="80"/>
      <c r="F1132" s="80"/>
    </row>
    <row r="1133" spans="2:6" x14ac:dyDescent="0.3">
      <c r="B1133" s="176"/>
      <c r="C1133" s="177"/>
      <c r="D1133" s="177"/>
      <c r="E1133" s="80"/>
      <c r="F1133" s="80"/>
    </row>
    <row r="1134" spans="2:6" x14ac:dyDescent="0.3">
      <c r="B1134" s="176"/>
      <c r="C1134" s="177"/>
      <c r="D1134" s="177"/>
      <c r="E1134" s="80"/>
      <c r="F1134" s="80"/>
    </row>
    <row r="1135" spans="2:6" x14ac:dyDescent="0.3">
      <c r="B1135" s="176"/>
      <c r="C1135" s="177"/>
      <c r="D1135" s="177"/>
      <c r="E1135" s="80"/>
      <c r="F1135" s="80"/>
    </row>
    <row r="1136" spans="2:6" x14ac:dyDescent="0.3">
      <c r="B1136" s="176"/>
      <c r="C1136" s="177"/>
      <c r="D1136" s="177"/>
      <c r="E1136" s="80"/>
      <c r="F1136" s="80"/>
    </row>
    <row r="1137" spans="2:6" x14ac:dyDescent="0.3">
      <c r="B1137" s="176"/>
      <c r="C1137" s="177"/>
      <c r="D1137" s="177"/>
      <c r="E1137" s="80"/>
      <c r="F1137" s="80"/>
    </row>
    <row r="1138" spans="2:6" x14ac:dyDescent="0.3">
      <c r="B1138" s="176"/>
      <c r="C1138" s="177"/>
      <c r="D1138" s="177"/>
      <c r="E1138" s="80"/>
      <c r="F1138" s="80"/>
    </row>
    <row r="1139" spans="2:6" x14ac:dyDescent="0.3">
      <c r="B1139" s="176"/>
      <c r="C1139" s="177"/>
      <c r="D1139" s="177"/>
      <c r="E1139" s="80"/>
      <c r="F1139" s="80"/>
    </row>
    <row r="1140" spans="2:6" x14ac:dyDescent="0.3">
      <c r="B1140" s="176"/>
      <c r="C1140" s="177"/>
      <c r="D1140" s="177"/>
      <c r="E1140" s="80"/>
      <c r="F1140" s="80"/>
    </row>
    <row r="1141" spans="2:6" x14ac:dyDescent="0.3">
      <c r="B1141" s="176"/>
      <c r="C1141" s="177"/>
      <c r="D1141" s="177"/>
      <c r="E1141" s="80"/>
      <c r="F1141" s="80"/>
    </row>
    <row r="1142" spans="2:6" x14ac:dyDescent="0.3">
      <c r="B1142" s="176"/>
      <c r="C1142" s="177"/>
      <c r="D1142" s="177"/>
      <c r="E1142" s="80"/>
      <c r="F1142" s="80"/>
    </row>
    <row r="1143" spans="2:6" x14ac:dyDescent="0.3">
      <c r="B1143" s="176"/>
      <c r="C1143" s="177"/>
      <c r="D1143" s="177"/>
      <c r="E1143" s="80"/>
      <c r="F1143" s="80"/>
    </row>
    <row r="1144" spans="2:6" x14ac:dyDescent="0.3">
      <c r="B1144" s="176"/>
      <c r="C1144" s="177"/>
      <c r="D1144" s="177"/>
      <c r="E1144" s="80"/>
      <c r="F1144" s="80"/>
    </row>
    <row r="1145" spans="2:6" x14ac:dyDescent="0.3">
      <c r="B1145" s="176"/>
      <c r="C1145" s="177"/>
      <c r="D1145" s="177"/>
      <c r="E1145" s="80"/>
      <c r="F1145" s="80"/>
    </row>
    <row r="1146" spans="2:6" x14ac:dyDescent="0.3">
      <c r="B1146" s="176"/>
      <c r="C1146" s="177"/>
      <c r="D1146" s="177"/>
      <c r="E1146" s="80"/>
      <c r="F1146" s="80"/>
    </row>
    <row r="1147" spans="2:6" x14ac:dyDescent="0.3">
      <c r="B1147" s="176"/>
      <c r="C1147" s="177"/>
      <c r="D1147" s="177"/>
      <c r="E1147" s="80"/>
      <c r="F1147" s="80"/>
    </row>
    <row r="1148" spans="2:6" x14ac:dyDescent="0.3">
      <c r="B1148" s="176"/>
      <c r="C1148" s="177"/>
      <c r="D1148" s="177"/>
      <c r="E1148" s="80"/>
      <c r="F1148" s="80"/>
    </row>
    <row r="1149" spans="2:6" x14ac:dyDescent="0.3">
      <c r="B1149" s="176"/>
      <c r="C1149" s="177"/>
      <c r="D1149" s="177"/>
      <c r="E1149" s="80"/>
      <c r="F1149" s="80"/>
    </row>
    <row r="1150" spans="2:6" x14ac:dyDescent="0.3">
      <c r="B1150" s="176"/>
      <c r="C1150" s="177"/>
      <c r="D1150" s="177"/>
      <c r="E1150" s="80"/>
      <c r="F1150" s="80"/>
    </row>
    <row r="1151" spans="2:6" x14ac:dyDescent="0.3">
      <c r="B1151" s="176"/>
      <c r="C1151" s="177"/>
      <c r="D1151" s="177"/>
      <c r="E1151" s="80"/>
      <c r="F1151" s="80"/>
    </row>
    <row r="1152" spans="2:6" x14ac:dyDescent="0.3">
      <c r="B1152" s="176"/>
      <c r="C1152" s="177"/>
      <c r="D1152" s="177"/>
      <c r="E1152" s="80"/>
      <c r="F1152" s="80"/>
    </row>
    <row r="1153" spans="2:6" x14ac:dyDescent="0.3">
      <c r="B1153" s="176"/>
      <c r="C1153" s="177"/>
      <c r="D1153" s="177"/>
      <c r="E1153" s="80"/>
      <c r="F1153" s="80"/>
    </row>
    <row r="1154" spans="2:6" x14ac:dyDescent="0.3">
      <c r="B1154" s="176"/>
      <c r="C1154" s="177"/>
      <c r="D1154" s="177"/>
      <c r="E1154" s="80"/>
      <c r="F1154" s="80"/>
    </row>
    <row r="1155" spans="2:6" x14ac:dyDescent="0.3">
      <c r="B1155" s="176"/>
      <c r="C1155" s="177"/>
      <c r="D1155" s="177"/>
      <c r="E1155" s="80"/>
      <c r="F1155" s="80"/>
    </row>
    <row r="1156" spans="2:6" x14ac:dyDescent="0.3">
      <c r="B1156" s="176"/>
      <c r="C1156" s="177"/>
      <c r="D1156" s="177"/>
      <c r="E1156" s="80"/>
      <c r="F1156" s="80"/>
    </row>
    <row r="1157" spans="2:6" x14ac:dyDescent="0.3">
      <c r="B1157" s="176"/>
      <c r="C1157" s="177"/>
      <c r="D1157" s="177"/>
      <c r="E1157" s="80"/>
      <c r="F1157" s="80"/>
    </row>
    <row r="1158" spans="2:6" x14ac:dyDescent="0.3">
      <c r="B1158" s="176"/>
      <c r="C1158" s="177"/>
      <c r="D1158" s="177"/>
      <c r="E1158" s="80"/>
      <c r="F1158" s="80"/>
    </row>
    <row r="1159" spans="2:6" x14ac:dyDescent="0.3">
      <c r="B1159" s="176"/>
      <c r="C1159" s="177"/>
      <c r="D1159" s="177"/>
      <c r="E1159" s="80"/>
      <c r="F1159" s="80"/>
    </row>
    <row r="1160" spans="2:6" x14ac:dyDescent="0.3">
      <c r="B1160" s="176"/>
      <c r="C1160" s="177"/>
      <c r="D1160" s="177"/>
      <c r="E1160" s="80"/>
      <c r="F1160" s="80"/>
    </row>
    <row r="1161" spans="2:6" x14ac:dyDescent="0.3">
      <c r="B1161" s="176"/>
      <c r="C1161" s="177"/>
      <c r="D1161" s="177"/>
      <c r="E1161" s="80"/>
      <c r="F1161" s="80"/>
    </row>
    <row r="1162" spans="2:6" x14ac:dyDescent="0.3">
      <c r="B1162" s="176"/>
      <c r="C1162" s="177"/>
      <c r="D1162" s="177"/>
      <c r="E1162" s="80"/>
      <c r="F1162" s="80"/>
    </row>
    <row r="1163" spans="2:6" x14ac:dyDescent="0.3">
      <c r="B1163" s="176"/>
      <c r="C1163" s="177"/>
      <c r="D1163" s="177"/>
      <c r="E1163" s="80"/>
      <c r="F1163" s="80"/>
    </row>
    <row r="1164" spans="2:6" x14ac:dyDescent="0.3">
      <c r="B1164" s="176"/>
      <c r="C1164" s="177"/>
      <c r="D1164" s="177"/>
      <c r="E1164" s="80"/>
      <c r="F1164" s="80"/>
    </row>
    <row r="1165" spans="2:6" x14ac:dyDescent="0.3">
      <c r="B1165" s="176"/>
      <c r="C1165" s="177"/>
      <c r="D1165" s="177"/>
      <c r="E1165" s="80"/>
      <c r="F1165" s="80"/>
    </row>
    <row r="1166" spans="2:6" x14ac:dyDescent="0.3">
      <c r="B1166" s="176"/>
      <c r="C1166" s="177"/>
      <c r="D1166" s="177"/>
      <c r="E1166" s="80"/>
      <c r="F1166" s="80"/>
    </row>
    <row r="1167" spans="2:6" x14ac:dyDescent="0.3">
      <c r="B1167" s="176"/>
      <c r="C1167" s="177"/>
      <c r="D1167" s="177"/>
      <c r="E1167" s="80"/>
      <c r="F1167" s="80"/>
    </row>
    <row r="1168" spans="2:6" x14ac:dyDescent="0.3">
      <c r="B1168" s="176"/>
      <c r="C1168" s="177"/>
      <c r="D1168" s="177"/>
      <c r="E1168" s="80"/>
      <c r="F1168" s="80"/>
    </row>
    <row r="1169" spans="2:6" x14ac:dyDescent="0.3">
      <c r="B1169" s="176"/>
      <c r="C1169" s="177"/>
      <c r="D1169" s="177"/>
      <c r="E1169" s="80"/>
      <c r="F1169" s="80"/>
    </row>
    <row r="1170" spans="2:6" x14ac:dyDescent="0.3">
      <c r="B1170" s="176"/>
      <c r="C1170" s="177"/>
      <c r="D1170" s="177"/>
      <c r="E1170" s="80"/>
      <c r="F1170" s="80"/>
    </row>
    <row r="1171" spans="2:6" x14ac:dyDescent="0.3">
      <c r="B1171" s="176"/>
      <c r="C1171" s="177"/>
      <c r="D1171" s="177"/>
      <c r="E1171" s="80"/>
      <c r="F1171" s="80"/>
    </row>
    <row r="1172" spans="2:6" x14ac:dyDescent="0.3">
      <c r="B1172" s="176"/>
      <c r="C1172" s="177"/>
      <c r="D1172" s="177"/>
      <c r="E1172" s="80"/>
      <c r="F1172" s="80"/>
    </row>
    <row r="1173" spans="2:6" x14ac:dyDescent="0.3">
      <c r="B1173" s="176"/>
      <c r="C1173" s="177"/>
      <c r="D1173" s="177"/>
      <c r="E1173" s="80"/>
      <c r="F1173" s="80"/>
    </row>
    <row r="1174" spans="2:6" x14ac:dyDescent="0.3">
      <c r="B1174" s="176"/>
      <c r="C1174" s="177"/>
      <c r="D1174" s="177"/>
      <c r="E1174" s="80"/>
      <c r="F1174" s="80"/>
    </row>
    <row r="1175" spans="2:6" x14ac:dyDescent="0.3">
      <c r="B1175" s="176"/>
      <c r="C1175" s="177"/>
      <c r="D1175" s="177"/>
      <c r="E1175" s="80"/>
      <c r="F1175" s="80"/>
    </row>
    <row r="1176" spans="2:6" x14ac:dyDescent="0.3">
      <c r="B1176" s="176"/>
      <c r="C1176" s="177"/>
      <c r="D1176" s="177"/>
      <c r="E1176" s="80"/>
      <c r="F1176" s="80"/>
    </row>
    <row r="1177" spans="2:6" x14ac:dyDescent="0.3">
      <c r="B1177" s="176"/>
      <c r="C1177" s="177"/>
      <c r="D1177" s="177"/>
      <c r="E1177" s="80"/>
      <c r="F1177" s="80"/>
    </row>
    <row r="1178" spans="2:6" x14ac:dyDescent="0.3">
      <c r="B1178" s="176"/>
      <c r="C1178" s="177"/>
      <c r="D1178" s="177"/>
      <c r="E1178" s="80"/>
      <c r="F1178" s="80"/>
    </row>
    <row r="1179" spans="2:6" x14ac:dyDescent="0.3">
      <c r="B1179" s="176"/>
      <c r="C1179" s="177"/>
      <c r="D1179" s="177"/>
      <c r="E1179" s="80"/>
      <c r="F1179" s="80"/>
    </row>
    <row r="1180" spans="2:6" x14ac:dyDescent="0.3">
      <c r="B1180" s="176"/>
      <c r="C1180" s="177"/>
      <c r="D1180" s="177"/>
      <c r="E1180" s="80"/>
      <c r="F1180" s="80"/>
    </row>
    <row r="1181" spans="2:6" x14ac:dyDescent="0.3">
      <c r="B1181" s="176"/>
      <c r="C1181" s="177"/>
      <c r="D1181" s="177"/>
      <c r="E1181" s="80"/>
      <c r="F1181" s="80"/>
    </row>
    <row r="1182" spans="2:6" x14ac:dyDescent="0.3">
      <c r="B1182" s="176"/>
      <c r="C1182" s="177"/>
      <c r="D1182" s="177"/>
      <c r="E1182" s="80"/>
      <c r="F1182" s="80"/>
    </row>
    <row r="1183" spans="2:6" x14ac:dyDescent="0.3">
      <c r="B1183" s="176"/>
      <c r="C1183" s="177"/>
      <c r="D1183" s="177"/>
      <c r="E1183" s="80"/>
      <c r="F1183" s="80"/>
    </row>
    <row r="1184" spans="2:6" x14ac:dyDescent="0.3">
      <c r="B1184" s="176"/>
      <c r="C1184" s="177"/>
      <c r="D1184" s="177"/>
      <c r="E1184" s="80"/>
      <c r="F1184" s="80"/>
    </row>
    <row r="1185" spans="2:6" x14ac:dyDescent="0.3">
      <c r="B1185" s="176"/>
      <c r="C1185" s="177"/>
      <c r="D1185" s="177"/>
      <c r="E1185" s="80"/>
      <c r="F1185" s="80"/>
    </row>
    <row r="1186" spans="2:6" x14ac:dyDescent="0.3">
      <c r="B1186" s="176"/>
      <c r="C1186" s="177"/>
      <c r="D1186" s="177"/>
      <c r="E1186" s="80"/>
      <c r="F1186" s="80"/>
    </row>
    <row r="1187" spans="2:6" x14ac:dyDescent="0.3">
      <c r="B1187" s="176"/>
      <c r="C1187" s="177"/>
      <c r="D1187" s="177"/>
      <c r="E1187" s="80"/>
      <c r="F1187" s="80"/>
    </row>
    <row r="1188" spans="2:6" x14ac:dyDescent="0.3">
      <c r="B1188" s="176"/>
      <c r="C1188" s="177"/>
      <c r="D1188" s="177"/>
      <c r="E1188" s="80"/>
      <c r="F1188" s="80"/>
    </row>
    <row r="1189" spans="2:6" x14ac:dyDescent="0.3">
      <c r="B1189" s="176"/>
      <c r="C1189" s="177"/>
      <c r="D1189" s="177"/>
      <c r="E1189" s="80"/>
      <c r="F1189" s="80"/>
    </row>
    <row r="1190" spans="2:6" x14ac:dyDescent="0.3">
      <c r="B1190" s="176"/>
      <c r="C1190" s="177"/>
      <c r="D1190" s="177"/>
      <c r="E1190" s="80"/>
      <c r="F1190" s="80"/>
    </row>
    <row r="1191" spans="2:6" x14ac:dyDescent="0.3">
      <c r="B1191" s="176"/>
      <c r="C1191" s="177"/>
      <c r="D1191" s="177"/>
      <c r="E1191" s="80"/>
      <c r="F1191" s="80"/>
    </row>
    <row r="1192" spans="2:6" x14ac:dyDescent="0.3">
      <c r="B1192" s="176"/>
      <c r="C1192" s="177"/>
      <c r="D1192" s="177"/>
      <c r="E1192" s="80"/>
      <c r="F1192" s="80"/>
    </row>
    <row r="1193" spans="2:6" x14ac:dyDescent="0.3">
      <c r="B1193" s="176"/>
      <c r="C1193" s="177"/>
      <c r="D1193" s="177"/>
      <c r="E1193" s="80"/>
      <c r="F1193" s="80"/>
    </row>
    <row r="1194" spans="2:6" x14ac:dyDescent="0.3">
      <c r="B1194" s="176"/>
      <c r="C1194" s="177"/>
      <c r="D1194" s="177"/>
      <c r="E1194" s="80"/>
      <c r="F1194" s="80"/>
    </row>
    <row r="1195" spans="2:6" x14ac:dyDescent="0.3">
      <c r="B1195" s="176"/>
      <c r="C1195" s="177"/>
      <c r="D1195" s="177"/>
      <c r="E1195" s="80"/>
      <c r="F1195" s="80"/>
    </row>
    <row r="1196" spans="2:6" x14ac:dyDescent="0.3">
      <c r="B1196" s="176"/>
      <c r="C1196" s="177"/>
      <c r="D1196" s="177"/>
      <c r="E1196" s="80"/>
      <c r="F1196" s="80"/>
    </row>
    <row r="1197" spans="2:6" x14ac:dyDescent="0.3">
      <c r="B1197" s="176"/>
      <c r="C1197" s="177"/>
      <c r="D1197" s="177"/>
      <c r="E1197" s="80"/>
      <c r="F1197" s="80"/>
    </row>
    <row r="1198" spans="2:6" x14ac:dyDescent="0.3">
      <c r="B1198" s="176"/>
      <c r="C1198" s="177"/>
      <c r="D1198" s="177"/>
      <c r="E1198" s="80"/>
      <c r="F1198" s="80"/>
    </row>
    <row r="1199" spans="2:6" x14ac:dyDescent="0.3">
      <c r="B1199" s="176"/>
      <c r="C1199" s="177"/>
      <c r="D1199" s="177"/>
      <c r="E1199" s="80"/>
      <c r="F1199" s="80"/>
    </row>
    <row r="1200" spans="2:6" x14ac:dyDescent="0.3">
      <c r="B1200" s="176"/>
      <c r="C1200" s="177"/>
      <c r="D1200" s="177"/>
      <c r="E1200" s="80"/>
      <c r="F1200" s="80"/>
    </row>
    <row r="1201" spans="2:6" x14ac:dyDescent="0.3">
      <c r="B1201" s="176"/>
      <c r="C1201" s="177"/>
      <c r="D1201" s="177"/>
      <c r="E1201" s="80"/>
      <c r="F1201" s="80"/>
    </row>
    <row r="1202" spans="2:6" x14ac:dyDescent="0.3">
      <c r="B1202" s="176"/>
      <c r="C1202" s="177"/>
      <c r="D1202" s="177"/>
      <c r="E1202" s="80"/>
      <c r="F1202" s="80"/>
    </row>
    <row r="1203" spans="2:6" x14ac:dyDescent="0.3">
      <c r="B1203" s="176"/>
      <c r="C1203" s="177"/>
      <c r="D1203" s="177"/>
      <c r="E1203" s="80"/>
      <c r="F1203" s="80"/>
    </row>
    <row r="1204" spans="2:6" x14ac:dyDescent="0.3">
      <c r="B1204" s="176"/>
      <c r="C1204" s="177"/>
      <c r="D1204" s="177"/>
      <c r="E1204" s="80"/>
      <c r="F1204" s="80"/>
    </row>
    <row r="1205" spans="2:6" x14ac:dyDescent="0.3">
      <c r="B1205" s="176"/>
      <c r="C1205" s="177"/>
      <c r="D1205" s="177"/>
      <c r="E1205" s="80"/>
      <c r="F1205" s="80"/>
    </row>
    <row r="1206" spans="2:6" x14ac:dyDescent="0.3">
      <c r="B1206" s="176"/>
      <c r="C1206" s="177"/>
      <c r="D1206" s="177"/>
      <c r="E1206" s="80"/>
      <c r="F1206" s="80"/>
    </row>
    <row r="1207" spans="2:6" x14ac:dyDescent="0.3">
      <c r="B1207" s="176"/>
      <c r="C1207" s="177"/>
      <c r="D1207" s="177"/>
      <c r="E1207" s="80"/>
      <c r="F1207" s="80"/>
    </row>
    <row r="1208" spans="2:6" x14ac:dyDescent="0.3">
      <c r="B1208" s="176"/>
      <c r="C1208" s="177"/>
      <c r="D1208" s="177"/>
      <c r="E1208" s="80"/>
      <c r="F1208" s="80"/>
    </row>
    <row r="1209" spans="2:6" x14ac:dyDescent="0.3">
      <c r="B1209" s="176"/>
      <c r="C1209" s="177"/>
      <c r="D1209" s="177"/>
      <c r="E1209" s="80"/>
      <c r="F1209" s="80"/>
    </row>
    <row r="1210" spans="2:6" x14ac:dyDescent="0.3">
      <c r="B1210" s="176"/>
      <c r="C1210" s="177"/>
      <c r="D1210" s="177"/>
      <c r="E1210" s="80"/>
      <c r="F1210" s="80"/>
    </row>
    <row r="1211" spans="2:6" x14ac:dyDescent="0.3">
      <c r="B1211" s="176"/>
      <c r="C1211" s="177"/>
      <c r="D1211" s="177"/>
      <c r="E1211" s="80"/>
      <c r="F1211" s="80"/>
    </row>
    <row r="1212" spans="2:6" x14ac:dyDescent="0.3">
      <c r="B1212" s="176"/>
      <c r="C1212" s="177"/>
      <c r="D1212" s="177"/>
      <c r="E1212" s="80"/>
      <c r="F1212" s="80"/>
    </row>
    <row r="1213" spans="2:6" x14ac:dyDescent="0.3">
      <c r="B1213" s="176"/>
      <c r="C1213" s="177"/>
      <c r="D1213" s="177"/>
      <c r="E1213" s="80"/>
      <c r="F1213" s="80"/>
    </row>
    <row r="1214" spans="2:6" x14ac:dyDescent="0.3">
      <c r="B1214" s="176"/>
      <c r="C1214" s="177"/>
      <c r="D1214" s="177"/>
      <c r="E1214" s="80"/>
      <c r="F1214" s="80"/>
    </row>
    <row r="1215" spans="2:6" x14ac:dyDescent="0.3">
      <c r="B1215" s="176"/>
      <c r="C1215" s="177"/>
      <c r="D1215" s="177"/>
      <c r="E1215" s="80"/>
      <c r="F1215" s="80"/>
    </row>
    <row r="1216" spans="2:6" x14ac:dyDescent="0.3">
      <c r="B1216" s="176"/>
      <c r="C1216" s="177"/>
      <c r="D1216" s="177"/>
      <c r="E1216" s="80"/>
      <c r="F1216" s="80"/>
    </row>
    <row r="1217" spans="2:6" x14ac:dyDescent="0.3">
      <c r="B1217" s="176"/>
      <c r="C1217" s="177"/>
      <c r="D1217" s="177"/>
      <c r="E1217" s="80"/>
      <c r="F1217" s="80"/>
    </row>
    <row r="1218" spans="2:6" x14ac:dyDescent="0.3">
      <c r="B1218" s="176"/>
      <c r="C1218" s="177"/>
      <c r="D1218" s="177"/>
      <c r="E1218" s="80"/>
      <c r="F1218" s="80"/>
    </row>
    <row r="1219" spans="2:6" x14ac:dyDescent="0.3">
      <c r="B1219" s="176"/>
      <c r="C1219" s="177"/>
      <c r="D1219" s="177"/>
      <c r="E1219" s="80"/>
      <c r="F1219" s="80"/>
    </row>
    <row r="1220" spans="2:6" x14ac:dyDescent="0.3">
      <c r="B1220" s="176"/>
      <c r="C1220" s="177"/>
      <c r="D1220" s="177"/>
      <c r="E1220" s="80"/>
      <c r="F1220" s="80"/>
    </row>
    <row r="1221" spans="2:6" x14ac:dyDescent="0.3">
      <c r="B1221" s="176"/>
      <c r="C1221" s="177"/>
      <c r="D1221" s="177"/>
      <c r="E1221" s="80"/>
      <c r="F1221" s="80"/>
    </row>
    <row r="1222" spans="2:6" x14ac:dyDescent="0.3">
      <c r="B1222" s="176"/>
      <c r="C1222" s="177"/>
      <c r="D1222" s="177"/>
      <c r="E1222" s="80"/>
      <c r="F1222" s="80"/>
    </row>
    <row r="1223" spans="2:6" x14ac:dyDescent="0.3">
      <c r="B1223" s="176"/>
      <c r="C1223" s="177"/>
      <c r="D1223" s="177"/>
      <c r="E1223" s="80"/>
      <c r="F1223" s="80"/>
    </row>
    <row r="1224" spans="2:6" x14ac:dyDescent="0.3">
      <c r="B1224" s="176"/>
      <c r="C1224" s="177"/>
      <c r="D1224" s="177"/>
      <c r="E1224" s="80"/>
      <c r="F1224" s="80"/>
    </row>
    <row r="1225" spans="2:6" x14ac:dyDescent="0.3">
      <c r="B1225" s="176"/>
      <c r="C1225" s="177"/>
      <c r="D1225" s="177"/>
      <c r="E1225" s="80"/>
      <c r="F1225" s="80"/>
    </row>
    <row r="1226" spans="2:6" x14ac:dyDescent="0.3">
      <c r="B1226" s="176"/>
      <c r="C1226" s="177"/>
      <c r="D1226" s="177"/>
      <c r="E1226" s="80"/>
      <c r="F1226" s="80"/>
    </row>
    <row r="1227" spans="2:6" x14ac:dyDescent="0.3">
      <c r="B1227" s="176"/>
      <c r="C1227" s="177"/>
      <c r="D1227" s="177"/>
      <c r="E1227" s="80"/>
      <c r="F1227" s="80"/>
    </row>
    <row r="1228" spans="2:6" x14ac:dyDescent="0.3">
      <c r="B1228" s="176"/>
      <c r="C1228" s="177"/>
      <c r="D1228" s="177"/>
      <c r="E1228" s="80"/>
      <c r="F1228" s="80"/>
    </row>
    <row r="1229" spans="2:6" x14ac:dyDescent="0.3">
      <c r="B1229" s="176"/>
      <c r="C1229" s="177"/>
      <c r="D1229" s="177"/>
      <c r="E1229" s="80"/>
      <c r="F1229" s="80"/>
    </row>
    <row r="1230" spans="2:6" x14ac:dyDescent="0.3">
      <c r="B1230" s="176"/>
      <c r="C1230" s="177"/>
      <c r="D1230" s="177"/>
      <c r="E1230" s="80"/>
      <c r="F1230" s="80"/>
    </row>
    <row r="1231" spans="2:6" x14ac:dyDescent="0.3">
      <c r="B1231" s="176"/>
      <c r="C1231" s="177"/>
      <c r="D1231" s="177"/>
      <c r="E1231" s="80"/>
      <c r="F1231" s="80"/>
    </row>
    <row r="1232" spans="2:6" x14ac:dyDescent="0.3">
      <c r="B1232" s="176"/>
      <c r="C1232" s="177"/>
      <c r="D1232" s="177"/>
      <c r="E1232" s="80"/>
      <c r="F1232" s="80"/>
    </row>
    <row r="1233" spans="2:6" x14ac:dyDescent="0.3">
      <c r="B1233" s="176"/>
      <c r="C1233" s="177"/>
      <c r="D1233" s="177"/>
      <c r="E1233" s="80"/>
      <c r="F1233" s="80"/>
    </row>
    <row r="1234" spans="2:6" x14ac:dyDescent="0.3">
      <c r="B1234" s="176"/>
      <c r="C1234" s="177"/>
      <c r="D1234" s="177"/>
      <c r="E1234" s="80"/>
      <c r="F1234" s="80"/>
    </row>
    <row r="1235" spans="2:6" x14ac:dyDescent="0.3">
      <c r="B1235" s="176"/>
      <c r="C1235" s="177"/>
      <c r="D1235" s="177"/>
      <c r="E1235" s="80"/>
      <c r="F1235" s="80"/>
    </row>
    <row r="1236" spans="2:6" x14ac:dyDescent="0.3">
      <c r="B1236" s="176"/>
      <c r="C1236" s="177"/>
      <c r="D1236" s="177"/>
      <c r="E1236" s="80"/>
      <c r="F1236" s="80"/>
    </row>
    <row r="1237" spans="2:6" x14ac:dyDescent="0.3">
      <c r="B1237" s="176"/>
      <c r="C1237" s="177"/>
      <c r="D1237" s="177"/>
      <c r="E1237" s="80"/>
      <c r="F1237" s="80"/>
    </row>
    <row r="1238" spans="2:6" x14ac:dyDescent="0.3">
      <c r="B1238" s="176"/>
      <c r="C1238" s="177"/>
      <c r="D1238" s="177"/>
      <c r="E1238" s="80"/>
      <c r="F1238" s="80"/>
    </row>
    <row r="1239" spans="2:6" x14ac:dyDescent="0.3">
      <c r="B1239" s="176"/>
      <c r="C1239" s="177"/>
      <c r="D1239" s="177"/>
      <c r="E1239" s="80"/>
      <c r="F1239" s="80"/>
    </row>
    <row r="1240" spans="2:6" x14ac:dyDescent="0.3">
      <c r="B1240" s="176"/>
      <c r="C1240" s="177"/>
      <c r="D1240" s="177"/>
      <c r="E1240" s="80"/>
      <c r="F1240" s="80"/>
    </row>
    <row r="1241" spans="2:6" x14ac:dyDescent="0.3">
      <c r="B1241" s="176"/>
      <c r="C1241" s="177"/>
      <c r="D1241" s="177"/>
      <c r="E1241" s="80"/>
      <c r="F1241" s="80"/>
    </row>
    <row r="1242" spans="2:6" x14ac:dyDescent="0.3">
      <c r="B1242" s="176"/>
      <c r="C1242" s="177"/>
      <c r="D1242" s="177"/>
      <c r="E1242" s="80"/>
      <c r="F1242" s="80"/>
    </row>
    <row r="1243" spans="2:6" x14ac:dyDescent="0.3">
      <c r="B1243" s="176"/>
      <c r="C1243" s="177"/>
      <c r="D1243" s="177"/>
      <c r="E1243" s="80"/>
      <c r="F1243" s="80"/>
    </row>
    <row r="1244" spans="2:6" x14ac:dyDescent="0.3">
      <c r="B1244" s="176"/>
      <c r="C1244" s="177"/>
      <c r="D1244" s="177"/>
      <c r="E1244" s="80"/>
      <c r="F1244" s="80"/>
    </row>
    <row r="1245" spans="2:6" x14ac:dyDescent="0.3">
      <c r="B1245" s="176"/>
      <c r="C1245" s="177"/>
      <c r="D1245" s="177"/>
      <c r="E1245" s="80"/>
      <c r="F1245" s="80"/>
    </row>
    <row r="1246" spans="2:6" x14ac:dyDescent="0.3">
      <c r="B1246" s="176"/>
      <c r="C1246" s="177"/>
      <c r="D1246" s="177"/>
      <c r="E1246" s="80"/>
      <c r="F1246" s="80"/>
    </row>
    <row r="1247" spans="2:6" x14ac:dyDescent="0.3">
      <c r="B1247" s="176"/>
      <c r="C1247" s="177"/>
      <c r="D1247" s="177"/>
      <c r="E1247" s="80"/>
      <c r="F1247" s="80"/>
    </row>
    <row r="1248" spans="2:6" x14ac:dyDescent="0.3">
      <c r="B1248" s="176"/>
      <c r="C1248" s="177"/>
      <c r="D1248" s="177"/>
      <c r="E1248" s="80"/>
      <c r="F1248" s="80"/>
    </row>
    <row r="1249" spans="2:6" x14ac:dyDescent="0.3">
      <c r="B1249" s="176"/>
      <c r="C1249" s="177"/>
      <c r="D1249" s="177"/>
      <c r="E1249" s="80"/>
      <c r="F1249" s="80"/>
    </row>
    <row r="1250" spans="2:6" x14ac:dyDescent="0.3">
      <c r="B1250" s="176"/>
      <c r="C1250" s="177"/>
      <c r="D1250" s="177"/>
      <c r="E1250" s="80"/>
      <c r="F1250" s="80"/>
    </row>
    <row r="1251" spans="2:6" x14ac:dyDescent="0.3">
      <c r="B1251" s="176"/>
      <c r="C1251" s="177"/>
      <c r="D1251" s="177"/>
      <c r="E1251" s="80"/>
      <c r="F1251" s="80"/>
    </row>
    <row r="1252" spans="2:6" x14ac:dyDescent="0.3">
      <c r="B1252" s="176"/>
      <c r="C1252" s="177"/>
      <c r="D1252" s="177"/>
      <c r="E1252" s="80"/>
      <c r="F1252" s="80"/>
    </row>
    <row r="1253" spans="2:6" x14ac:dyDescent="0.3">
      <c r="B1253" s="176"/>
      <c r="C1253" s="177"/>
      <c r="D1253" s="177"/>
      <c r="E1253" s="80"/>
      <c r="F1253" s="80"/>
    </row>
    <row r="1254" spans="2:6" x14ac:dyDescent="0.3">
      <c r="B1254" s="176"/>
      <c r="C1254" s="177"/>
      <c r="D1254" s="177"/>
      <c r="E1254" s="80"/>
      <c r="F1254" s="80"/>
    </row>
    <row r="1255" spans="2:6" x14ac:dyDescent="0.3">
      <c r="B1255" s="176"/>
      <c r="C1255" s="177"/>
      <c r="D1255" s="177"/>
      <c r="E1255" s="80"/>
      <c r="F1255" s="80"/>
    </row>
    <row r="1256" spans="2:6" x14ac:dyDescent="0.3">
      <c r="B1256" s="176"/>
      <c r="C1256" s="177"/>
      <c r="D1256" s="177"/>
      <c r="E1256" s="80"/>
      <c r="F1256" s="80"/>
    </row>
    <row r="1257" spans="2:6" x14ac:dyDescent="0.3">
      <c r="B1257" s="176"/>
      <c r="C1257" s="177"/>
      <c r="D1257" s="177"/>
      <c r="E1257" s="80"/>
      <c r="F1257" s="80"/>
    </row>
    <row r="1258" spans="2:6" x14ac:dyDescent="0.3">
      <c r="B1258" s="176"/>
      <c r="C1258" s="177"/>
      <c r="D1258" s="177"/>
      <c r="E1258" s="80"/>
      <c r="F1258" s="80"/>
    </row>
    <row r="1259" spans="2:6" x14ac:dyDescent="0.3">
      <c r="B1259" s="176"/>
      <c r="C1259" s="177"/>
      <c r="D1259" s="177"/>
      <c r="E1259" s="80"/>
      <c r="F1259" s="80"/>
    </row>
    <row r="1260" spans="2:6" x14ac:dyDescent="0.3">
      <c r="B1260" s="176"/>
      <c r="C1260" s="177"/>
      <c r="D1260" s="177"/>
      <c r="E1260" s="80"/>
      <c r="F1260" s="80"/>
    </row>
    <row r="1261" spans="2:6" x14ac:dyDescent="0.3">
      <c r="B1261" s="176"/>
      <c r="C1261" s="177"/>
      <c r="D1261" s="177"/>
      <c r="E1261" s="80"/>
      <c r="F1261" s="80"/>
    </row>
    <row r="1262" spans="2:6" x14ac:dyDescent="0.3">
      <c r="B1262" s="176"/>
      <c r="C1262" s="177"/>
      <c r="D1262" s="177"/>
      <c r="E1262" s="80"/>
      <c r="F1262" s="80"/>
    </row>
    <row r="1263" spans="2:6" x14ac:dyDescent="0.3">
      <c r="B1263" s="176"/>
      <c r="C1263" s="177"/>
      <c r="D1263" s="177"/>
      <c r="E1263" s="80"/>
      <c r="F1263" s="80"/>
    </row>
    <row r="1264" spans="2:6" x14ac:dyDescent="0.3">
      <c r="B1264" s="176"/>
      <c r="C1264" s="177"/>
      <c r="D1264" s="177"/>
      <c r="E1264" s="80"/>
      <c r="F1264" s="80"/>
    </row>
    <row r="1265" spans="2:6" x14ac:dyDescent="0.3">
      <c r="B1265" s="176"/>
      <c r="C1265" s="177"/>
      <c r="D1265" s="177"/>
      <c r="E1265" s="80"/>
      <c r="F1265" s="80"/>
    </row>
    <row r="1266" spans="2:6" x14ac:dyDescent="0.3">
      <c r="B1266" s="176"/>
      <c r="C1266" s="177"/>
      <c r="D1266" s="177"/>
      <c r="E1266" s="80"/>
      <c r="F1266" s="80"/>
    </row>
    <row r="1267" spans="2:6" x14ac:dyDescent="0.3">
      <c r="B1267" s="176"/>
      <c r="C1267" s="177"/>
      <c r="D1267" s="177"/>
      <c r="E1267" s="80"/>
      <c r="F1267" s="80"/>
    </row>
    <row r="1268" spans="2:6" x14ac:dyDescent="0.3">
      <c r="B1268" s="176"/>
      <c r="C1268" s="177"/>
      <c r="D1268" s="177"/>
      <c r="E1268" s="80"/>
      <c r="F1268" s="80"/>
    </row>
    <row r="1269" spans="2:6" x14ac:dyDescent="0.3">
      <c r="B1269" s="176"/>
      <c r="C1269" s="177"/>
      <c r="D1269" s="177"/>
      <c r="E1269" s="80"/>
      <c r="F1269" s="80"/>
    </row>
    <row r="1270" spans="2:6" x14ac:dyDescent="0.3">
      <c r="B1270" s="176"/>
      <c r="C1270" s="177"/>
      <c r="D1270" s="177"/>
      <c r="E1270" s="80"/>
      <c r="F1270" s="80"/>
    </row>
    <row r="1271" spans="2:6" x14ac:dyDescent="0.3">
      <c r="B1271" s="176"/>
      <c r="C1271" s="177"/>
      <c r="D1271" s="177"/>
      <c r="E1271" s="80"/>
      <c r="F1271" s="80"/>
    </row>
    <row r="1272" spans="2:6" x14ac:dyDescent="0.3">
      <c r="B1272" s="176"/>
      <c r="C1272" s="177"/>
      <c r="D1272" s="177"/>
      <c r="E1272" s="80"/>
      <c r="F1272" s="80"/>
    </row>
    <row r="1273" spans="2:6" x14ac:dyDescent="0.3">
      <c r="B1273" s="176"/>
      <c r="C1273" s="177"/>
      <c r="D1273" s="177"/>
      <c r="E1273" s="80"/>
      <c r="F1273" s="80"/>
    </row>
    <row r="1274" spans="2:6" x14ac:dyDescent="0.3">
      <c r="B1274" s="176"/>
      <c r="C1274" s="177"/>
      <c r="D1274" s="177"/>
      <c r="E1274" s="80"/>
      <c r="F1274" s="80"/>
    </row>
    <row r="1275" spans="2:6" x14ac:dyDescent="0.3">
      <c r="B1275" s="176"/>
      <c r="C1275" s="177"/>
      <c r="D1275" s="177"/>
      <c r="E1275" s="80"/>
      <c r="F1275" s="80"/>
    </row>
    <row r="1276" spans="2:6" x14ac:dyDescent="0.3">
      <c r="B1276" s="176"/>
      <c r="C1276" s="177"/>
      <c r="D1276" s="177"/>
      <c r="E1276" s="80"/>
      <c r="F1276" s="80"/>
    </row>
    <row r="1277" spans="2:6" x14ac:dyDescent="0.3">
      <c r="B1277" s="176"/>
      <c r="C1277" s="177"/>
      <c r="D1277" s="177"/>
      <c r="E1277" s="80"/>
      <c r="F1277" s="80"/>
    </row>
    <row r="1278" spans="2:6" x14ac:dyDescent="0.3">
      <c r="B1278" s="176"/>
      <c r="C1278" s="177"/>
      <c r="D1278" s="177"/>
      <c r="E1278" s="80"/>
      <c r="F1278" s="80"/>
    </row>
    <row r="1279" spans="2:6" x14ac:dyDescent="0.3">
      <c r="B1279" s="176"/>
      <c r="C1279" s="177"/>
      <c r="D1279" s="177"/>
      <c r="E1279" s="80"/>
      <c r="F1279" s="80"/>
    </row>
    <row r="1280" spans="2:6" x14ac:dyDescent="0.3">
      <c r="B1280" s="176"/>
      <c r="C1280" s="177"/>
      <c r="D1280" s="177"/>
      <c r="E1280" s="80"/>
      <c r="F1280" s="80"/>
    </row>
    <row r="1281" spans="2:6" x14ac:dyDescent="0.3">
      <c r="B1281" s="176"/>
      <c r="C1281" s="177"/>
      <c r="D1281" s="177"/>
      <c r="E1281" s="80"/>
      <c r="F1281" s="80"/>
    </row>
    <row r="1282" spans="2:6" x14ac:dyDescent="0.3">
      <c r="B1282" s="176"/>
      <c r="C1282" s="177"/>
      <c r="D1282" s="177"/>
      <c r="E1282" s="80"/>
      <c r="F1282" s="80"/>
    </row>
    <row r="1283" spans="2:6" x14ac:dyDescent="0.3">
      <c r="B1283" s="176"/>
      <c r="C1283" s="177"/>
      <c r="D1283" s="177"/>
      <c r="E1283" s="80"/>
      <c r="F1283" s="80"/>
    </row>
    <row r="1284" spans="2:6" x14ac:dyDescent="0.3">
      <c r="B1284" s="176"/>
      <c r="C1284" s="177"/>
      <c r="D1284" s="177"/>
      <c r="E1284" s="80"/>
      <c r="F1284" s="80"/>
    </row>
    <row r="1285" spans="2:6" x14ac:dyDescent="0.3">
      <c r="B1285" s="176"/>
      <c r="C1285" s="177"/>
      <c r="D1285" s="177"/>
      <c r="E1285" s="80"/>
      <c r="F1285" s="80"/>
    </row>
    <row r="1286" spans="2:6" x14ac:dyDescent="0.3">
      <c r="B1286" s="176"/>
      <c r="C1286" s="177"/>
      <c r="D1286" s="177"/>
      <c r="E1286" s="80"/>
      <c r="F1286" s="80"/>
    </row>
    <row r="1287" spans="2:6" x14ac:dyDescent="0.3">
      <c r="B1287" s="176"/>
      <c r="C1287" s="177"/>
      <c r="D1287" s="177"/>
      <c r="E1287" s="80"/>
      <c r="F1287" s="80"/>
    </row>
    <row r="1288" spans="2:6" x14ac:dyDescent="0.3">
      <c r="B1288" s="176"/>
      <c r="C1288" s="177"/>
      <c r="D1288" s="177"/>
      <c r="E1288" s="80"/>
      <c r="F1288" s="80"/>
    </row>
    <row r="1289" spans="2:6" x14ac:dyDescent="0.3">
      <c r="B1289" s="176"/>
      <c r="C1289" s="177"/>
      <c r="D1289" s="177"/>
      <c r="E1289" s="80"/>
      <c r="F1289" s="80"/>
    </row>
    <row r="1290" spans="2:6" x14ac:dyDescent="0.3">
      <c r="B1290" s="176"/>
      <c r="C1290" s="177"/>
      <c r="D1290" s="177"/>
      <c r="E1290" s="80"/>
      <c r="F1290" s="80"/>
    </row>
    <row r="1291" spans="2:6" x14ac:dyDescent="0.3">
      <c r="B1291" s="176"/>
      <c r="C1291" s="177"/>
      <c r="D1291" s="177"/>
      <c r="E1291" s="80"/>
      <c r="F1291" s="80"/>
    </row>
    <row r="1292" spans="2:6" x14ac:dyDescent="0.3">
      <c r="B1292" s="176"/>
      <c r="C1292" s="177"/>
      <c r="D1292" s="177"/>
      <c r="E1292" s="80"/>
      <c r="F1292" s="80"/>
    </row>
    <row r="1293" spans="2:6" x14ac:dyDescent="0.3">
      <c r="B1293" s="176"/>
      <c r="C1293" s="177"/>
      <c r="D1293" s="177"/>
      <c r="E1293" s="80"/>
      <c r="F1293" s="80"/>
    </row>
    <row r="1294" spans="2:6" x14ac:dyDescent="0.3">
      <c r="B1294" s="176"/>
      <c r="C1294" s="177"/>
      <c r="D1294" s="177"/>
      <c r="E1294" s="80"/>
      <c r="F1294" s="80"/>
    </row>
    <row r="1295" spans="2:6" x14ac:dyDescent="0.3">
      <c r="B1295" s="176"/>
      <c r="C1295" s="177"/>
      <c r="D1295" s="177"/>
      <c r="E1295" s="80"/>
      <c r="F1295" s="80"/>
    </row>
    <row r="1296" spans="2:6" x14ac:dyDescent="0.3">
      <c r="B1296" s="176"/>
      <c r="C1296" s="177"/>
      <c r="D1296" s="177"/>
      <c r="E1296" s="80"/>
      <c r="F1296" s="80"/>
    </row>
    <row r="1297" spans="2:6" x14ac:dyDescent="0.3">
      <c r="B1297" s="176"/>
      <c r="C1297" s="177"/>
      <c r="D1297" s="177"/>
      <c r="E1297" s="80"/>
      <c r="F1297" s="80"/>
    </row>
    <row r="1298" spans="2:6" x14ac:dyDescent="0.3">
      <c r="B1298" s="176"/>
      <c r="C1298" s="177"/>
      <c r="D1298" s="177"/>
      <c r="E1298" s="80"/>
      <c r="F1298" s="80"/>
    </row>
    <row r="1299" spans="2:6" x14ac:dyDescent="0.3">
      <c r="B1299" s="176"/>
      <c r="C1299" s="177"/>
      <c r="D1299" s="177"/>
      <c r="E1299" s="80"/>
      <c r="F1299" s="80"/>
    </row>
    <row r="1300" spans="2:6" x14ac:dyDescent="0.3">
      <c r="B1300" s="176"/>
      <c r="C1300" s="177"/>
      <c r="D1300" s="177"/>
      <c r="E1300" s="80"/>
      <c r="F1300" s="80"/>
    </row>
    <row r="1301" spans="2:6" x14ac:dyDescent="0.3">
      <c r="B1301" s="176"/>
      <c r="C1301" s="177"/>
      <c r="D1301" s="177"/>
      <c r="E1301" s="80"/>
      <c r="F1301" s="80"/>
    </row>
    <row r="1302" spans="2:6" x14ac:dyDescent="0.3">
      <c r="B1302" s="176"/>
      <c r="C1302" s="177"/>
      <c r="D1302" s="177"/>
      <c r="E1302" s="80"/>
      <c r="F1302" s="80"/>
    </row>
    <row r="1303" spans="2:6" x14ac:dyDescent="0.3">
      <c r="B1303" s="176"/>
      <c r="C1303" s="177"/>
      <c r="D1303" s="177"/>
      <c r="E1303" s="80"/>
      <c r="F1303" s="80"/>
    </row>
    <row r="1304" spans="2:6" x14ac:dyDescent="0.3">
      <c r="B1304" s="176"/>
      <c r="C1304" s="177"/>
      <c r="D1304" s="177"/>
      <c r="E1304" s="80"/>
      <c r="F1304" s="80"/>
    </row>
    <row r="1305" spans="2:6" x14ac:dyDescent="0.3">
      <c r="B1305" s="176"/>
      <c r="C1305" s="177"/>
      <c r="D1305" s="177"/>
      <c r="E1305" s="80"/>
      <c r="F1305" s="80"/>
    </row>
    <row r="1306" spans="2:6" x14ac:dyDescent="0.3">
      <c r="B1306" s="176"/>
      <c r="C1306" s="177"/>
      <c r="D1306" s="177"/>
      <c r="E1306" s="80"/>
      <c r="F1306" s="80"/>
    </row>
    <row r="1307" spans="2:6" x14ac:dyDescent="0.3">
      <c r="B1307" s="176"/>
      <c r="C1307" s="177"/>
      <c r="D1307" s="177"/>
      <c r="E1307" s="80"/>
      <c r="F1307" s="80"/>
    </row>
    <row r="1308" spans="2:6" x14ac:dyDescent="0.3">
      <c r="B1308" s="176"/>
      <c r="C1308" s="177"/>
      <c r="D1308" s="177"/>
      <c r="E1308" s="80"/>
      <c r="F1308" s="80"/>
    </row>
    <row r="1309" spans="2:6" x14ac:dyDescent="0.3">
      <c r="B1309" s="176"/>
      <c r="C1309" s="177"/>
      <c r="D1309" s="177"/>
      <c r="E1309" s="80"/>
      <c r="F1309" s="80"/>
    </row>
    <row r="1310" spans="2:6" x14ac:dyDescent="0.3">
      <c r="B1310" s="176"/>
      <c r="C1310" s="177"/>
      <c r="D1310" s="177"/>
      <c r="E1310" s="80"/>
      <c r="F1310" s="80"/>
    </row>
    <row r="1311" spans="2:6" x14ac:dyDescent="0.3">
      <c r="B1311" s="176"/>
      <c r="C1311" s="177"/>
      <c r="D1311" s="177"/>
      <c r="E1311" s="80"/>
      <c r="F1311" s="80"/>
    </row>
    <row r="1312" spans="2:6" x14ac:dyDescent="0.3">
      <c r="B1312" s="176"/>
      <c r="C1312" s="177"/>
      <c r="D1312" s="177"/>
      <c r="E1312" s="80"/>
      <c r="F1312" s="80"/>
    </row>
    <row r="1313" spans="2:6" x14ac:dyDescent="0.3">
      <c r="B1313" s="176"/>
      <c r="C1313" s="177"/>
      <c r="D1313" s="177"/>
      <c r="E1313" s="80"/>
      <c r="F1313" s="80"/>
    </row>
    <row r="1314" spans="2:6" x14ac:dyDescent="0.3">
      <c r="B1314" s="176"/>
      <c r="C1314" s="177"/>
      <c r="D1314" s="177"/>
      <c r="E1314" s="80"/>
      <c r="F1314" s="80"/>
    </row>
    <row r="1315" spans="2:6" x14ac:dyDescent="0.3">
      <c r="B1315" s="176"/>
      <c r="C1315" s="177"/>
      <c r="D1315" s="177"/>
      <c r="E1315" s="80"/>
      <c r="F1315" s="80"/>
    </row>
    <row r="1316" spans="2:6" x14ac:dyDescent="0.3">
      <c r="B1316" s="176"/>
      <c r="C1316" s="177"/>
      <c r="D1316" s="177"/>
      <c r="E1316" s="80"/>
      <c r="F1316" s="80"/>
    </row>
    <row r="1317" spans="2:6" x14ac:dyDescent="0.3">
      <c r="B1317" s="176"/>
      <c r="C1317" s="177"/>
      <c r="D1317" s="177"/>
      <c r="E1317" s="80"/>
      <c r="F1317" s="80"/>
    </row>
    <row r="1318" spans="2:6" x14ac:dyDescent="0.3">
      <c r="B1318" s="176"/>
      <c r="C1318" s="177"/>
      <c r="D1318" s="177"/>
      <c r="E1318" s="80"/>
      <c r="F1318" s="80"/>
    </row>
    <row r="1319" spans="2:6" x14ac:dyDescent="0.3">
      <c r="B1319" s="176"/>
      <c r="C1319" s="177"/>
      <c r="D1319" s="177"/>
      <c r="E1319" s="80"/>
      <c r="F1319" s="80"/>
    </row>
    <row r="1320" spans="2:6" x14ac:dyDescent="0.3">
      <c r="B1320" s="176"/>
      <c r="C1320" s="177"/>
      <c r="D1320" s="177"/>
      <c r="E1320" s="80"/>
      <c r="F1320" s="80"/>
    </row>
    <row r="1321" spans="2:6" x14ac:dyDescent="0.3">
      <c r="B1321" s="176"/>
      <c r="C1321" s="177"/>
      <c r="D1321" s="177"/>
      <c r="E1321" s="80"/>
      <c r="F1321" s="80"/>
    </row>
    <row r="1322" spans="2:6" x14ac:dyDescent="0.3">
      <c r="B1322" s="176"/>
      <c r="C1322" s="177"/>
      <c r="D1322" s="177"/>
      <c r="E1322" s="80"/>
      <c r="F1322" s="80"/>
    </row>
    <row r="1323" spans="2:6" x14ac:dyDescent="0.3">
      <c r="B1323" s="176"/>
      <c r="C1323" s="177"/>
      <c r="D1323" s="177"/>
      <c r="E1323" s="80"/>
      <c r="F1323" s="80"/>
    </row>
    <row r="1324" spans="2:6" x14ac:dyDescent="0.3">
      <c r="B1324" s="176"/>
      <c r="C1324" s="177"/>
      <c r="D1324" s="177"/>
      <c r="E1324" s="80"/>
      <c r="F1324" s="80"/>
    </row>
    <row r="1325" spans="2:6" x14ac:dyDescent="0.3">
      <c r="B1325" s="176"/>
      <c r="C1325" s="177"/>
      <c r="D1325" s="177"/>
      <c r="E1325" s="80"/>
      <c r="F1325" s="80"/>
    </row>
    <row r="1326" spans="2:6" x14ac:dyDescent="0.3">
      <c r="B1326" s="176"/>
      <c r="C1326" s="177"/>
      <c r="D1326" s="177"/>
      <c r="E1326" s="80"/>
      <c r="F1326" s="80"/>
    </row>
    <row r="1327" spans="2:6" x14ac:dyDescent="0.3">
      <c r="B1327" s="176"/>
      <c r="C1327" s="177"/>
      <c r="D1327" s="177"/>
      <c r="E1327" s="80"/>
      <c r="F1327" s="80"/>
    </row>
    <row r="1328" spans="2:6" x14ac:dyDescent="0.3">
      <c r="B1328" s="176"/>
      <c r="C1328" s="177"/>
      <c r="D1328" s="177"/>
      <c r="E1328" s="80"/>
      <c r="F1328" s="80"/>
    </row>
    <row r="1329" spans="2:6" x14ac:dyDescent="0.3">
      <c r="B1329" s="176"/>
      <c r="C1329" s="177"/>
      <c r="D1329" s="177"/>
      <c r="E1329" s="80"/>
      <c r="F1329" s="80"/>
    </row>
    <row r="1330" spans="2:6" x14ac:dyDescent="0.3">
      <c r="B1330" s="176"/>
      <c r="C1330" s="177"/>
      <c r="D1330" s="177"/>
      <c r="E1330" s="80"/>
      <c r="F1330" s="80"/>
    </row>
    <row r="1331" spans="2:6" x14ac:dyDescent="0.3">
      <c r="B1331" s="176"/>
      <c r="C1331" s="177"/>
      <c r="D1331" s="177"/>
      <c r="E1331" s="80"/>
      <c r="F1331" s="80"/>
    </row>
    <row r="1332" spans="2:6" x14ac:dyDescent="0.3">
      <c r="B1332" s="176"/>
      <c r="C1332" s="177"/>
      <c r="D1332" s="177"/>
      <c r="E1332" s="80"/>
      <c r="F1332" s="80"/>
    </row>
    <row r="1333" spans="2:6" x14ac:dyDescent="0.3">
      <c r="B1333" s="176"/>
      <c r="C1333" s="177"/>
      <c r="D1333" s="177"/>
      <c r="E1333" s="80"/>
      <c r="F1333" s="80"/>
    </row>
    <row r="1334" spans="2:6" x14ac:dyDescent="0.3">
      <c r="B1334" s="176"/>
      <c r="C1334" s="177"/>
      <c r="D1334" s="177"/>
      <c r="E1334" s="80"/>
      <c r="F1334" s="80"/>
    </row>
    <row r="1335" spans="2:6" x14ac:dyDescent="0.3">
      <c r="B1335" s="176"/>
      <c r="C1335" s="177"/>
      <c r="D1335" s="177"/>
      <c r="E1335" s="80"/>
      <c r="F1335" s="80"/>
    </row>
    <row r="1336" spans="2:6" x14ac:dyDescent="0.3">
      <c r="B1336" s="176"/>
      <c r="C1336" s="177"/>
      <c r="D1336" s="177"/>
      <c r="E1336" s="80"/>
      <c r="F1336" s="80"/>
    </row>
    <row r="1337" spans="2:6" x14ac:dyDescent="0.3">
      <c r="B1337" s="176"/>
      <c r="C1337" s="177"/>
      <c r="D1337" s="177"/>
      <c r="E1337" s="80"/>
      <c r="F1337" s="80"/>
    </row>
    <row r="1338" spans="2:6" x14ac:dyDescent="0.3">
      <c r="B1338" s="176"/>
      <c r="C1338" s="177"/>
      <c r="D1338" s="177"/>
      <c r="E1338" s="80"/>
      <c r="F1338" s="80"/>
    </row>
    <row r="1339" spans="2:6" x14ac:dyDescent="0.3">
      <c r="B1339" s="176"/>
      <c r="C1339" s="177"/>
      <c r="D1339" s="177"/>
      <c r="E1339" s="80"/>
      <c r="F1339" s="80"/>
    </row>
    <row r="1340" spans="2:6" x14ac:dyDescent="0.3">
      <c r="B1340" s="176"/>
      <c r="C1340" s="177"/>
      <c r="D1340" s="177"/>
      <c r="E1340" s="80"/>
      <c r="F1340" s="80"/>
    </row>
    <row r="1341" spans="2:6" x14ac:dyDescent="0.3">
      <c r="B1341" s="176"/>
      <c r="C1341" s="177"/>
      <c r="D1341" s="177"/>
      <c r="E1341" s="80"/>
      <c r="F1341" s="80"/>
    </row>
    <row r="1342" spans="2:6" x14ac:dyDescent="0.3">
      <c r="B1342" s="176"/>
      <c r="C1342" s="177"/>
      <c r="D1342" s="177"/>
      <c r="E1342" s="80"/>
      <c r="F1342" s="80"/>
    </row>
    <row r="1343" spans="2:6" x14ac:dyDescent="0.3">
      <c r="B1343" s="176"/>
      <c r="C1343" s="177"/>
      <c r="D1343" s="177"/>
      <c r="E1343" s="80"/>
      <c r="F1343" s="80"/>
    </row>
    <row r="1344" spans="2:6" x14ac:dyDescent="0.3">
      <c r="B1344" s="176"/>
      <c r="C1344" s="177"/>
      <c r="D1344" s="177"/>
      <c r="E1344" s="80"/>
      <c r="F1344" s="80"/>
    </row>
    <row r="1345" spans="2:6" x14ac:dyDescent="0.3">
      <c r="B1345" s="176"/>
      <c r="C1345" s="177"/>
      <c r="D1345" s="177"/>
      <c r="E1345" s="80"/>
      <c r="F1345" s="80"/>
    </row>
    <row r="1346" spans="2:6" x14ac:dyDescent="0.3">
      <c r="B1346" s="176"/>
      <c r="C1346" s="177"/>
      <c r="D1346" s="177"/>
      <c r="E1346" s="80"/>
      <c r="F1346" s="80"/>
    </row>
    <row r="1347" spans="2:6" x14ac:dyDescent="0.3">
      <c r="B1347" s="176"/>
      <c r="C1347" s="177"/>
      <c r="D1347" s="177"/>
      <c r="E1347" s="80"/>
      <c r="F1347" s="80"/>
    </row>
    <row r="1348" spans="2:6" x14ac:dyDescent="0.3">
      <c r="B1348" s="176"/>
      <c r="C1348" s="177"/>
      <c r="D1348" s="177"/>
      <c r="E1348" s="80"/>
      <c r="F1348" s="80"/>
    </row>
    <row r="1349" spans="2:6" x14ac:dyDescent="0.3">
      <c r="B1349" s="176"/>
      <c r="C1349" s="177"/>
      <c r="D1349" s="177"/>
      <c r="E1349" s="80"/>
      <c r="F1349" s="80"/>
    </row>
    <row r="1350" spans="2:6" x14ac:dyDescent="0.3">
      <c r="B1350" s="176"/>
      <c r="C1350" s="177"/>
      <c r="D1350" s="177"/>
      <c r="E1350" s="80"/>
      <c r="F1350" s="80"/>
    </row>
    <row r="1351" spans="2:6" x14ac:dyDescent="0.3">
      <c r="B1351" s="176"/>
      <c r="C1351" s="177"/>
      <c r="D1351" s="177"/>
      <c r="E1351" s="80"/>
      <c r="F1351" s="80"/>
    </row>
    <row r="1352" spans="2:6" x14ac:dyDescent="0.3">
      <c r="B1352" s="176"/>
      <c r="C1352" s="177"/>
      <c r="D1352" s="177"/>
      <c r="E1352" s="80"/>
      <c r="F1352" s="80"/>
    </row>
    <row r="1353" spans="2:6" x14ac:dyDescent="0.3">
      <c r="B1353" s="176"/>
      <c r="C1353" s="177"/>
      <c r="D1353" s="177"/>
      <c r="E1353" s="80"/>
      <c r="F1353" s="80"/>
    </row>
    <row r="1354" spans="2:6" x14ac:dyDescent="0.3">
      <c r="B1354" s="176"/>
      <c r="C1354" s="177"/>
      <c r="D1354" s="177"/>
      <c r="E1354" s="80"/>
      <c r="F1354" s="80"/>
    </row>
    <row r="1355" spans="2:6" x14ac:dyDescent="0.3">
      <c r="B1355" s="176"/>
      <c r="C1355" s="177"/>
      <c r="D1355" s="177"/>
      <c r="E1355" s="80"/>
      <c r="F1355" s="80"/>
    </row>
    <row r="1356" spans="2:6" x14ac:dyDescent="0.3">
      <c r="B1356" s="176"/>
      <c r="C1356" s="177"/>
      <c r="D1356" s="177"/>
      <c r="E1356" s="80"/>
      <c r="F1356" s="80"/>
    </row>
    <row r="1357" spans="2:6" x14ac:dyDescent="0.3">
      <c r="B1357" s="176"/>
      <c r="C1357" s="177"/>
      <c r="D1357" s="177"/>
      <c r="E1357" s="80"/>
      <c r="F1357" s="80"/>
    </row>
    <row r="1358" spans="2:6" x14ac:dyDescent="0.3">
      <c r="B1358" s="176"/>
      <c r="C1358" s="177"/>
      <c r="D1358" s="177"/>
      <c r="E1358" s="80"/>
      <c r="F1358" s="80"/>
    </row>
    <row r="1359" spans="2:6" x14ac:dyDescent="0.3">
      <c r="B1359" s="176"/>
      <c r="C1359" s="177"/>
      <c r="D1359" s="177"/>
      <c r="E1359" s="80"/>
      <c r="F1359" s="80"/>
    </row>
    <row r="1360" spans="2:6" x14ac:dyDescent="0.3">
      <c r="B1360" s="176"/>
      <c r="C1360" s="177"/>
      <c r="D1360" s="177"/>
      <c r="E1360" s="80"/>
      <c r="F1360" s="80"/>
    </row>
    <row r="1361" spans="2:6" x14ac:dyDescent="0.3">
      <c r="B1361" s="176"/>
      <c r="C1361" s="177"/>
      <c r="D1361" s="177"/>
      <c r="E1361" s="80"/>
      <c r="F1361" s="80"/>
    </row>
    <row r="1362" spans="2:6" x14ac:dyDescent="0.3">
      <c r="B1362" s="176"/>
      <c r="C1362" s="177"/>
      <c r="D1362" s="177"/>
      <c r="E1362" s="80"/>
      <c r="F1362" s="80"/>
    </row>
    <row r="1363" spans="2:6" x14ac:dyDescent="0.3">
      <c r="B1363" s="176"/>
      <c r="C1363" s="177"/>
      <c r="D1363" s="177"/>
      <c r="E1363" s="80"/>
      <c r="F1363" s="80"/>
    </row>
    <row r="1364" spans="2:6" x14ac:dyDescent="0.3">
      <c r="B1364" s="176"/>
      <c r="C1364" s="177"/>
      <c r="D1364" s="177"/>
      <c r="E1364" s="80"/>
      <c r="F1364" s="80"/>
    </row>
    <row r="1365" spans="2:6" x14ac:dyDescent="0.3">
      <c r="B1365" s="176"/>
      <c r="C1365" s="177"/>
      <c r="D1365" s="177"/>
      <c r="E1365" s="80"/>
      <c r="F1365" s="80"/>
    </row>
    <row r="1366" spans="2:6" x14ac:dyDescent="0.3">
      <c r="B1366" s="176"/>
      <c r="C1366" s="177"/>
      <c r="D1366" s="177"/>
      <c r="E1366" s="80"/>
      <c r="F1366" s="80"/>
    </row>
    <row r="1367" spans="2:6" x14ac:dyDescent="0.3">
      <c r="B1367" s="176"/>
      <c r="C1367" s="177"/>
      <c r="D1367" s="177"/>
      <c r="E1367" s="80"/>
      <c r="F1367" s="80"/>
    </row>
    <row r="1368" spans="2:6" x14ac:dyDescent="0.3">
      <c r="B1368" s="176"/>
      <c r="C1368" s="177"/>
      <c r="D1368" s="177"/>
      <c r="E1368" s="80"/>
      <c r="F1368" s="80"/>
    </row>
    <row r="1369" spans="2:6" x14ac:dyDescent="0.3">
      <c r="B1369" s="176"/>
      <c r="C1369" s="177"/>
      <c r="D1369" s="177"/>
      <c r="E1369" s="80"/>
      <c r="F1369" s="80"/>
    </row>
    <row r="1370" spans="2:6" x14ac:dyDescent="0.3">
      <c r="B1370" s="176"/>
      <c r="C1370" s="177"/>
      <c r="D1370" s="177"/>
      <c r="E1370" s="80"/>
      <c r="F1370" s="80"/>
    </row>
    <row r="1371" spans="2:6" x14ac:dyDescent="0.3">
      <c r="B1371" s="176"/>
      <c r="C1371" s="177"/>
      <c r="D1371" s="177"/>
      <c r="E1371" s="80"/>
      <c r="F1371" s="80"/>
    </row>
    <row r="1372" spans="2:6" x14ac:dyDescent="0.3">
      <c r="B1372" s="176"/>
      <c r="C1372" s="177"/>
      <c r="D1372" s="177"/>
      <c r="E1372" s="80"/>
      <c r="F1372" s="80"/>
    </row>
    <row r="1373" spans="2:6" x14ac:dyDescent="0.3">
      <c r="B1373" s="176"/>
      <c r="C1373" s="177"/>
      <c r="D1373" s="177"/>
      <c r="E1373" s="80"/>
      <c r="F1373" s="80"/>
    </row>
    <row r="1374" spans="2:6" x14ac:dyDescent="0.3">
      <c r="B1374" s="176"/>
      <c r="C1374" s="177"/>
      <c r="D1374" s="177"/>
      <c r="E1374" s="80"/>
      <c r="F1374" s="80"/>
    </row>
    <row r="1375" spans="2:6" x14ac:dyDescent="0.3">
      <c r="B1375" s="176"/>
      <c r="C1375" s="177"/>
      <c r="D1375" s="177"/>
      <c r="E1375" s="80"/>
      <c r="F1375" s="80"/>
    </row>
    <row r="1376" spans="2:6" x14ac:dyDescent="0.3">
      <c r="B1376" s="176"/>
      <c r="C1376" s="177"/>
      <c r="D1376" s="177"/>
      <c r="E1376" s="80"/>
      <c r="F1376" s="80"/>
    </row>
    <row r="1377" spans="2:6" x14ac:dyDescent="0.3">
      <c r="B1377" s="176"/>
      <c r="C1377" s="177"/>
      <c r="D1377" s="177"/>
      <c r="E1377" s="80"/>
      <c r="F1377" s="80"/>
    </row>
    <row r="1378" spans="2:6" x14ac:dyDescent="0.3">
      <c r="B1378" s="176"/>
      <c r="C1378" s="177"/>
      <c r="D1378" s="177"/>
      <c r="E1378" s="80"/>
      <c r="F1378" s="80"/>
    </row>
    <row r="1379" spans="2:6" x14ac:dyDescent="0.3">
      <c r="B1379" s="176"/>
      <c r="C1379" s="177"/>
      <c r="D1379" s="177"/>
      <c r="E1379" s="80"/>
      <c r="F1379" s="80"/>
    </row>
    <row r="1380" spans="2:6" x14ac:dyDescent="0.3">
      <c r="B1380" s="176"/>
      <c r="C1380" s="177"/>
      <c r="D1380" s="177"/>
      <c r="E1380" s="80"/>
      <c r="F1380" s="80"/>
    </row>
    <row r="1381" spans="2:6" x14ac:dyDescent="0.3">
      <c r="B1381" s="176"/>
      <c r="C1381" s="177"/>
      <c r="D1381" s="177"/>
      <c r="E1381" s="80"/>
      <c r="F1381" s="80"/>
    </row>
    <row r="1382" spans="2:6" x14ac:dyDescent="0.3">
      <c r="B1382" s="176"/>
      <c r="C1382" s="177"/>
      <c r="D1382" s="177"/>
      <c r="E1382" s="80"/>
      <c r="F1382" s="80"/>
    </row>
    <row r="1383" spans="2:6" x14ac:dyDescent="0.3">
      <c r="B1383" s="176"/>
      <c r="C1383" s="177"/>
      <c r="D1383" s="177"/>
      <c r="E1383" s="80"/>
      <c r="F1383" s="80"/>
    </row>
    <row r="1384" spans="2:6" x14ac:dyDescent="0.3">
      <c r="B1384" s="176"/>
      <c r="C1384" s="177"/>
      <c r="D1384" s="177"/>
      <c r="E1384" s="80"/>
      <c r="F1384" s="80"/>
    </row>
    <row r="1385" spans="2:6" x14ac:dyDescent="0.3">
      <c r="B1385" s="176"/>
      <c r="C1385" s="177"/>
      <c r="D1385" s="177"/>
      <c r="E1385" s="80"/>
      <c r="F1385" s="80"/>
    </row>
    <row r="1386" spans="2:6" x14ac:dyDescent="0.3">
      <c r="B1386" s="176"/>
      <c r="C1386" s="177"/>
      <c r="D1386" s="177"/>
      <c r="E1386" s="80"/>
      <c r="F1386" s="80"/>
    </row>
    <row r="1387" spans="2:6" x14ac:dyDescent="0.3">
      <c r="B1387" s="176"/>
      <c r="C1387" s="177"/>
      <c r="D1387" s="177"/>
      <c r="E1387" s="80"/>
      <c r="F1387" s="80"/>
    </row>
    <row r="1388" spans="2:6" x14ac:dyDescent="0.3">
      <c r="B1388" s="176"/>
      <c r="C1388" s="177"/>
      <c r="D1388" s="177"/>
      <c r="E1388" s="80"/>
      <c r="F1388" s="80"/>
    </row>
    <row r="1389" spans="2:6" x14ac:dyDescent="0.3">
      <c r="B1389" s="176"/>
      <c r="C1389" s="177"/>
      <c r="D1389" s="177"/>
      <c r="E1389" s="80"/>
      <c r="F1389" s="80"/>
    </row>
    <row r="1390" spans="2:6" x14ac:dyDescent="0.3">
      <c r="B1390" s="176"/>
      <c r="C1390" s="177"/>
      <c r="D1390" s="177"/>
      <c r="E1390" s="80"/>
      <c r="F1390" s="80"/>
    </row>
    <row r="1391" spans="2:6" x14ac:dyDescent="0.3">
      <c r="B1391" s="176"/>
      <c r="C1391" s="177"/>
      <c r="D1391" s="177"/>
      <c r="E1391" s="80"/>
      <c r="F1391" s="80"/>
    </row>
    <row r="1392" spans="2:6" x14ac:dyDescent="0.3">
      <c r="B1392" s="176"/>
      <c r="C1392" s="177"/>
      <c r="D1392" s="177"/>
      <c r="E1392" s="80"/>
      <c r="F1392" s="80"/>
    </row>
    <row r="1393" spans="2:6" x14ac:dyDescent="0.3">
      <c r="B1393" s="176"/>
      <c r="C1393" s="177"/>
      <c r="D1393" s="177"/>
      <c r="E1393" s="80"/>
      <c r="F1393" s="80"/>
    </row>
    <row r="1394" spans="2:6" x14ac:dyDescent="0.3">
      <c r="B1394" s="176"/>
      <c r="C1394" s="177"/>
      <c r="D1394" s="177"/>
      <c r="E1394" s="80"/>
      <c r="F1394" s="80"/>
    </row>
    <row r="1395" spans="2:6" x14ac:dyDescent="0.3">
      <c r="B1395" s="176"/>
      <c r="C1395" s="177"/>
      <c r="D1395" s="177"/>
      <c r="E1395" s="80"/>
      <c r="F1395" s="80"/>
    </row>
    <row r="1396" spans="2:6" x14ac:dyDescent="0.3">
      <c r="B1396" s="176"/>
      <c r="C1396" s="177"/>
      <c r="D1396" s="177"/>
      <c r="E1396" s="80"/>
      <c r="F1396" s="80"/>
    </row>
    <row r="1397" spans="2:6" x14ac:dyDescent="0.3">
      <c r="B1397" s="176"/>
      <c r="C1397" s="177"/>
      <c r="D1397" s="177"/>
      <c r="E1397" s="80"/>
      <c r="F1397" s="80"/>
    </row>
    <row r="1398" spans="2:6" x14ac:dyDescent="0.3">
      <c r="B1398" s="176"/>
      <c r="C1398" s="177"/>
      <c r="D1398" s="177"/>
      <c r="E1398" s="80"/>
      <c r="F1398" s="80"/>
    </row>
    <row r="1399" spans="2:6" x14ac:dyDescent="0.3">
      <c r="B1399" s="176"/>
      <c r="C1399" s="177"/>
      <c r="D1399" s="177"/>
      <c r="E1399" s="80"/>
      <c r="F1399" s="80"/>
    </row>
    <row r="1400" spans="2:6" x14ac:dyDescent="0.3">
      <c r="B1400" s="176"/>
      <c r="C1400" s="177"/>
      <c r="D1400" s="177"/>
      <c r="E1400" s="80"/>
      <c r="F1400" s="80"/>
    </row>
    <row r="1401" spans="2:6" x14ac:dyDescent="0.3">
      <c r="B1401" s="176"/>
      <c r="C1401" s="177"/>
      <c r="D1401" s="177"/>
      <c r="E1401" s="80"/>
      <c r="F1401" s="80"/>
    </row>
    <row r="1402" spans="2:6" x14ac:dyDescent="0.3">
      <c r="B1402" s="176"/>
      <c r="C1402" s="177"/>
      <c r="D1402" s="177"/>
      <c r="E1402" s="80"/>
      <c r="F1402" s="80"/>
    </row>
    <row r="1403" spans="2:6" x14ac:dyDescent="0.3">
      <c r="B1403" s="176"/>
      <c r="C1403" s="177"/>
      <c r="D1403" s="177"/>
      <c r="E1403" s="80"/>
      <c r="F1403" s="80"/>
    </row>
    <row r="1404" spans="2:6" x14ac:dyDescent="0.3">
      <c r="B1404" s="176"/>
      <c r="C1404" s="177"/>
      <c r="D1404" s="177"/>
      <c r="E1404" s="80"/>
      <c r="F1404" s="80"/>
    </row>
    <row r="1405" spans="2:6" x14ac:dyDescent="0.3">
      <c r="B1405" s="176"/>
      <c r="C1405" s="177"/>
      <c r="D1405" s="177"/>
      <c r="E1405" s="80"/>
      <c r="F1405" s="80"/>
    </row>
    <row r="1406" spans="2:6" x14ac:dyDescent="0.3">
      <c r="B1406" s="176"/>
      <c r="C1406" s="177"/>
      <c r="D1406" s="177"/>
      <c r="E1406" s="80"/>
      <c r="F1406" s="80"/>
    </row>
    <row r="1407" spans="2:6" x14ac:dyDescent="0.3">
      <c r="B1407" s="176"/>
      <c r="C1407" s="177"/>
      <c r="D1407" s="177"/>
      <c r="E1407" s="80"/>
      <c r="F1407" s="80"/>
    </row>
    <row r="1408" spans="2:6" x14ac:dyDescent="0.3">
      <c r="B1408" s="176"/>
      <c r="C1408" s="177"/>
      <c r="D1408" s="177"/>
      <c r="E1408" s="80"/>
      <c r="F1408" s="80"/>
    </row>
    <row r="1409" spans="2:6" x14ac:dyDescent="0.3">
      <c r="B1409" s="176"/>
      <c r="C1409" s="177"/>
      <c r="D1409" s="177"/>
      <c r="E1409" s="80"/>
      <c r="F1409" s="80"/>
    </row>
    <row r="1410" spans="2:6" x14ac:dyDescent="0.3">
      <c r="B1410" s="176"/>
      <c r="C1410" s="177"/>
      <c r="D1410" s="177"/>
      <c r="E1410" s="80"/>
      <c r="F1410" s="80"/>
    </row>
    <row r="1411" spans="2:6" x14ac:dyDescent="0.3">
      <c r="B1411" s="176"/>
      <c r="C1411" s="177"/>
      <c r="D1411" s="177"/>
      <c r="E1411" s="80"/>
      <c r="F1411" s="80"/>
    </row>
    <row r="1412" spans="2:6" x14ac:dyDescent="0.3">
      <c r="B1412" s="176"/>
      <c r="C1412" s="177"/>
      <c r="D1412" s="177"/>
      <c r="E1412" s="80"/>
      <c r="F1412" s="80"/>
    </row>
    <row r="1413" spans="2:6" x14ac:dyDescent="0.3">
      <c r="B1413" s="176"/>
      <c r="C1413" s="177"/>
      <c r="D1413" s="177"/>
      <c r="E1413" s="80"/>
      <c r="F1413" s="80"/>
    </row>
    <row r="1414" spans="2:6" x14ac:dyDescent="0.3">
      <c r="B1414" s="176"/>
      <c r="C1414" s="177"/>
      <c r="D1414" s="177"/>
      <c r="E1414" s="80"/>
      <c r="F1414" s="80"/>
    </row>
    <row r="1415" spans="2:6" x14ac:dyDescent="0.3">
      <c r="B1415" s="176"/>
      <c r="C1415" s="177"/>
      <c r="D1415" s="177"/>
      <c r="E1415" s="80"/>
      <c r="F1415" s="80"/>
    </row>
    <row r="1416" spans="2:6" x14ac:dyDescent="0.3">
      <c r="B1416" s="176"/>
      <c r="C1416" s="177"/>
      <c r="D1416" s="177"/>
      <c r="E1416" s="80"/>
      <c r="F1416" s="80"/>
    </row>
    <row r="1417" spans="2:6" x14ac:dyDescent="0.3">
      <c r="B1417" s="176"/>
      <c r="C1417" s="177"/>
      <c r="D1417" s="177"/>
      <c r="E1417" s="80"/>
      <c r="F1417" s="80"/>
    </row>
    <row r="1418" spans="2:6" x14ac:dyDescent="0.3">
      <c r="B1418" s="176"/>
      <c r="C1418" s="177"/>
      <c r="D1418" s="177"/>
      <c r="E1418" s="80"/>
      <c r="F1418" s="80"/>
    </row>
    <row r="1419" spans="2:6" x14ac:dyDescent="0.3">
      <c r="B1419" s="176"/>
      <c r="C1419" s="177"/>
      <c r="D1419" s="177"/>
      <c r="E1419" s="80"/>
      <c r="F1419" s="80"/>
    </row>
    <row r="1420" spans="2:6" x14ac:dyDescent="0.3">
      <c r="B1420" s="176"/>
      <c r="C1420" s="177"/>
      <c r="D1420" s="177"/>
      <c r="E1420" s="80"/>
      <c r="F1420" s="80"/>
    </row>
    <row r="1421" spans="2:6" x14ac:dyDescent="0.3">
      <c r="B1421" s="176"/>
      <c r="C1421" s="177"/>
      <c r="D1421" s="177"/>
      <c r="E1421" s="80"/>
      <c r="F1421" s="80"/>
    </row>
    <row r="1422" spans="2:6" x14ac:dyDescent="0.3">
      <c r="B1422" s="176"/>
      <c r="C1422" s="177"/>
      <c r="D1422" s="177"/>
      <c r="E1422" s="80"/>
      <c r="F1422" s="80"/>
    </row>
    <row r="1423" spans="2:6" x14ac:dyDescent="0.3">
      <c r="B1423" s="176"/>
      <c r="C1423" s="177"/>
      <c r="D1423" s="177"/>
      <c r="E1423" s="80"/>
      <c r="F1423" s="80"/>
    </row>
    <row r="1424" spans="2:6" x14ac:dyDescent="0.3">
      <c r="B1424" s="176"/>
      <c r="C1424" s="177"/>
      <c r="D1424" s="177"/>
      <c r="E1424" s="80"/>
      <c r="F1424" s="80"/>
    </row>
    <row r="1425" spans="2:6" x14ac:dyDescent="0.3">
      <c r="B1425" s="176"/>
      <c r="C1425" s="177"/>
      <c r="D1425" s="177"/>
      <c r="E1425" s="80"/>
      <c r="F1425" s="80"/>
    </row>
    <row r="1426" spans="2:6" x14ac:dyDescent="0.3">
      <c r="B1426" s="176"/>
      <c r="C1426" s="177"/>
      <c r="D1426" s="177"/>
      <c r="E1426" s="80"/>
      <c r="F1426" s="80"/>
    </row>
    <row r="1427" spans="2:6" x14ac:dyDescent="0.3">
      <c r="B1427" s="176"/>
      <c r="C1427" s="177"/>
      <c r="D1427" s="177"/>
      <c r="E1427" s="80"/>
      <c r="F1427" s="80"/>
    </row>
    <row r="1428" spans="2:6" x14ac:dyDescent="0.3">
      <c r="B1428" s="176"/>
      <c r="C1428" s="177"/>
      <c r="D1428" s="177"/>
      <c r="E1428" s="80"/>
      <c r="F1428" s="80"/>
    </row>
    <row r="1429" spans="2:6" x14ac:dyDescent="0.3">
      <c r="B1429" s="176"/>
      <c r="C1429" s="177"/>
      <c r="D1429" s="177"/>
      <c r="E1429" s="80"/>
      <c r="F1429" s="80"/>
    </row>
    <row r="1430" spans="2:6" x14ac:dyDescent="0.3">
      <c r="B1430" s="176"/>
      <c r="C1430" s="177"/>
      <c r="D1430" s="177"/>
      <c r="E1430" s="80"/>
      <c r="F1430" s="80"/>
    </row>
    <row r="1431" spans="2:6" x14ac:dyDescent="0.3">
      <c r="B1431" s="176"/>
      <c r="C1431" s="177"/>
      <c r="D1431" s="177"/>
      <c r="E1431" s="80"/>
      <c r="F1431" s="80"/>
    </row>
    <row r="1432" spans="2:6" x14ac:dyDescent="0.3">
      <c r="B1432" s="176"/>
      <c r="C1432" s="177"/>
      <c r="D1432" s="177"/>
      <c r="E1432" s="80"/>
      <c r="F1432" s="80"/>
    </row>
    <row r="1433" spans="2:6" x14ac:dyDescent="0.3">
      <c r="B1433" s="176"/>
      <c r="C1433" s="177"/>
      <c r="D1433" s="177"/>
      <c r="E1433" s="80"/>
      <c r="F1433" s="80"/>
    </row>
    <row r="1434" spans="2:6" x14ac:dyDescent="0.3">
      <c r="B1434" s="176"/>
      <c r="C1434" s="177"/>
      <c r="D1434" s="177"/>
      <c r="E1434" s="80"/>
      <c r="F1434" s="80"/>
    </row>
    <row r="1435" spans="2:6" x14ac:dyDescent="0.3">
      <c r="B1435" s="176"/>
      <c r="C1435" s="177"/>
      <c r="D1435" s="177"/>
      <c r="E1435" s="80"/>
      <c r="F1435" s="80"/>
    </row>
    <row r="1436" spans="2:6" x14ac:dyDescent="0.3">
      <c r="B1436" s="176"/>
      <c r="C1436" s="177"/>
      <c r="D1436" s="177"/>
      <c r="E1436" s="80"/>
      <c r="F1436" s="80"/>
    </row>
    <row r="1437" spans="2:6" x14ac:dyDescent="0.3">
      <c r="B1437" s="176"/>
      <c r="C1437" s="177"/>
      <c r="D1437" s="177"/>
      <c r="E1437" s="80"/>
      <c r="F1437" s="80"/>
    </row>
    <row r="1438" spans="2:6" x14ac:dyDescent="0.3">
      <c r="B1438" s="176"/>
      <c r="C1438" s="177"/>
      <c r="D1438" s="177"/>
      <c r="E1438" s="80"/>
      <c r="F1438" s="80"/>
    </row>
    <row r="1439" spans="2:6" x14ac:dyDescent="0.3">
      <c r="B1439" s="176"/>
      <c r="C1439" s="177"/>
      <c r="D1439" s="177"/>
      <c r="E1439" s="80"/>
      <c r="F1439" s="80"/>
    </row>
    <row r="1440" spans="2:6" x14ac:dyDescent="0.3">
      <c r="B1440" s="176"/>
      <c r="C1440" s="177"/>
      <c r="D1440" s="177"/>
      <c r="E1440" s="80"/>
      <c r="F1440" s="80"/>
    </row>
    <row r="1441" spans="2:6" x14ac:dyDescent="0.3">
      <c r="B1441" s="176"/>
      <c r="C1441" s="177"/>
      <c r="D1441" s="177"/>
      <c r="E1441" s="80"/>
      <c r="F1441" s="80"/>
    </row>
    <row r="1442" spans="2:6" x14ac:dyDescent="0.3">
      <c r="B1442" s="176"/>
      <c r="C1442" s="177"/>
      <c r="D1442" s="177"/>
      <c r="E1442" s="80"/>
      <c r="F1442" s="80"/>
    </row>
    <row r="1443" spans="2:6" x14ac:dyDescent="0.3">
      <c r="B1443" s="176"/>
      <c r="C1443" s="177"/>
      <c r="D1443" s="177"/>
      <c r="E1443" s="80"/>
      <c r="F1443" s="80"/>
    </row>
    <row r="1444" spans="2:6" x14ac:dyDescent="0.3">
      <c r="B1444" s="176"/>
      <c r="C1444" s="177"/>
      <c r="D1444" s="177"/>
      <c r="E1444" s="80"/>
      <c r="F1444" s="80"/>
    </row>
    <row r="1445" spans="2:6" x14ac:dyDescent="0.3">
      <c r="B1445" s="176"/>
      <c r="C1445" s="177"/>
      <c r="D1445" s="177"/>
      <c r="E1445" s="80"/>
      <c r="F1445" s="80"/>
    </row>
    <row r="1446" spans="2:6" x14ac:dyDescent="0.3">
      <c r="B1446" s="176"/>
      <c r="C1446" s="177"/>
      <c r="D1446" s="177"/>
      <c r="E1446" s="80"/>
      <c r="F1446" s="80"/>
    </row>
    <row r="1447" spans="2:6" x14ac:dyDescent="0.3">
      <c r="B1447" s="176"/>
      <c r="C1447" s="177"/>
      <c r="D1447" s="177"/>
      <c r="E1447" s="80"/>
      <c r="F1447" s="80"/>
    </row>
    <row r="1448" spans="2:6" x14ac:dyDescent="0.3">
      <c r="B1448" s="176"/>
      <c r="C1448" s="177"/>
      <c r="D1448" s="177"/>
      <c r="E1448" s="80"/>
      <c r="F1448" s="80"/>
    </row>
    <row r="1449" spans="2:6" x14ac:dyDescent="0.3">
      <c r="B1449" s="176"/>
      <c r="C1449" s="177"/>
      <c r="D1449" s="177"/>
      <c r="E1449" s="80"/>
      <c r="F1449" s="80"/>
    </row>
    <row r="1450" spans="2:6" x14ac:dyDescent="0.3">
      <c r="B1450" s="176"/>
      <c r="C1450" s="177"/>
      <c r="D1450" s="177"/>
      <c r="E1450" s="80"/>
      <c r="F1450" s="80"/>
    </row>
    <row r="1451" spans="2:6" x14ac:dyDescent="0.3">
      <c r="B1451" s="176"/>
      <c r="C1451" s="177"/>
      <c r="D1451" s="177"/>
      <c r="E1451" s="80"/>
      <c r="F1451" s="80"/>
    </row>
    <row r="1452" spans="2:6" x14ac:dyDescent="0.3">
      <c r="B1452" s="176"/>
      <c r="C1452" s="177"/>
      <c r="D1452" s="177"/>
      <c r="E1452" s="80"/>
      <c r="F1452" s="80"/>
    </row>
    <row r="1453" spans="2:6" x14ac:dyDescent="0.3">
      <c r="B1453" s="176"/>
      <c r="C1453" s="177"/>
      <c r="D1453" s="177"/>
      <c r="E1453" s="80"/>
      <c r="F1453" s="80"/>
    </row>
    <row r="1454" spans="2:6" x14ac:dyDescent="0.3">
      <c r="B1454" s="176"/>
      <c r="C1454" s="177"/>
      <c r="D1454" s="177"/>
      <c r="E1454" s="80"/>
      <c r="F1454" s="80"/>
    </row>
    <row r="1455" spans="2:6" x14ac:dyDescent="0.3">
      <c r="B1455" s="176"/>
      <c r="C1455" s="177"/>
      <c r="D1455" s="177"/>
      <c r="E1455" s="80"/>
      <c r="F1455" s="80"/>
    </row>
    <row r="1456" spans="2:6" x14ac:dyDescent="0.3">
      <c r="B1456" s="176"/>
      <c r="C1456" s="177"/>
      <c r="D1456" s="177"/>
      <c r="E1456" s="80"/>
      <c r="F1456" s="80"/>
    </row>
    <row r="1457" spans="2:6" x14ac:dyDescent="0.3">
      <c r="B1457" s="176"/>
      <c r="C1457" s="177"/>
      <c r="D1457" s="177"/>
      <c r="E1457" s="80"/>
      <c r="F1457" s="80"/>
    </row>
    <row r="1458" spans="2:6" x14ac:dyDescent="0.3">
      <c r="B1458" s="176"/>
      <c r="C1458" s="177"/>
      <c r="D1458" s="177"/>
      <c r="E1458" s="80"/>
      <c r="F1458" s="80"/>
    </row>
    <row r="1459" spans="2:6" x14ac:dyDescent="0.3">
      <c r="B1459" s="176"/>
      <c r="C1459" s="177"/>
      <c r="D1459" s="177"/>
      <c r="E1459" s="80"/>
      <c r="F1459" s="80"/>
    </row>
    <row r="1460" spans="2:6" x14ac:dyDescent="0.3">
      <c r="B1460" s="176"/>
      <c r="C1460" s="177"/>
      <c r="D1460" s="177"/>
      <c r="E1460" s="80"/>
      <c r="F1460" s="80"/>
    </row>
    <row r="1461" spans="2:6" x14ac:dyDescent="0.3">
      <c r="B1461" s="176"/>
      <c r="C1461" s="177"/>
      <c r="D1461" s="177"/>
      <c r="E1461" s="80"/>
      <c r="F1461" s="80"/>
    </row>
    <row r="1462" spans="2:6" x14ac:dyDescent="0.3">
      <c r="B1462" s="176"/>
      <c r="C1462" s="177"/>
      <c r="D1462" s="177"/>
      <c r="E1462" s="80"/>
      <c r="F1462" s="80"/>
    </row>
    <row r="1463" spans="2:6" x14ac:dyDescent="0.3">
      <c r="B1463" s="176"/>
      <c r="C1463" s="177"/>
      <c r="D1463" s="177"/>
      <c r="E1463" s="80"/>
      <c r="F1463" s="80"/>
    </row>
    <row r="1464" spans="2:6" x14ac:dyDescent="0.3">
      <c r="B1464" s="176"/>
      <c r="C1464" s="177"/>
      <c r="D1464" s="177"/>
      <c r="E1464" s="80"/>
      <c r="F1464" s="80"/>
    </row>
    <row r="1465" spans="2:6" x14ac:dyDescent="0.3">
      <c r="B1465" s="176"/>
      <c r="C1465" s="177"/>
      <c r="D1465" s="177"/>
      <c r="E1465" s="80"/>
      <c r="F1465" s="80"/>
    </row>
    <row r="1466" spans="2:6" x14ac:dyDescent="0.3">
      <c r="B1466" s="176"/>
      <c r="C1466" s="177"/>
      <c r="D1466" s="177"/>
      <c r="E1466" s="80"/>
      <c r="F1466" s="80"/>
    </row>
    <row r="1467" spans="2:6" x14ac:dyDescent="0.3">
      <c r="B1467" s="176"/>
      <c r="C1467" s="177"/>
      <c r="D1467" s="177"/>
      <c r="E1467" s="80"/>
      <c r="F1467" s="80"/>
    </row>
    <row r="1468" spans="2:6" x14ac:dyDescent="0.3">
      <c r="B1468" s="176"/>
      <c r="C1468" s="177"/>
      <c r="D1468" s="177"/>
      <c r="E1468" s="80"/>
      <c r="F1468" s="80"/>
    </row>
    <row r="1469" spans="2:6" x14ac:dyDescent="0.3">
      <c r="B1469" s="176"/>
      <c r="C1469" s="177"/>
      <c r="D1469" s="177"/>
      <c r="E1469" s="80"/>
      <c r="F1469" s="80"/>
    </row>
    <row r="1470" spans="2:6" x14ac:dyDescent="0.3">
      <c r="B1470" s="176"/>
      <c r="C1470" s="177"/>
      <c r="D1470" s="177"/>
      <c r="E1470" s="80"/>
      <c r="F1470" s="80"/>
    </row>
    <row r="1471" spans="2:6" x14ac:dyDescent="0.3">
      <c r="B1471" s="176"/>
      <c r="C1471" s="177"/>
      <c r="D1471" s="177"/>
      <c r="E1471" s="80"/>
      <c r="F1471" s="80"/>
    </row>
    <row r="1472" spans="2:6" x14ac:dyDescent="0.3">
      <c r="B1472" s="176"/>
      <c r="C1472" s="177"/>
      <c r="D1472" s="177"/>
      <c r="E1472" s="80"/>
      <c r="F1472" s="80"/>
    </row>
    <row r="1473" spans="2:6" x14ac:dyDescent="0.3">
      <c r="B1473" s="176"/>
      <c r="C1473" s="177"/>
      <c r="D1473" s="177"/>
      <c r="E1473" s="80"/>
      <c r="F1473" s="80"/>
    </row>
    <row r="1474" spans="2:6" x14ac:dyDescent="0.3">
      <c r="B1474" s="176"/>
      <c r="C1474" s="177"/>
      <c r="D1474" s="177"/>
      <c r="E1474" s="80"/>
      <c r="F1474" s="80"/>
    </row>
    <row r="1475" spans="2:6" x14ac:dyDescent="0.3">
      <c r="B1475" s="176"/>
      <c r="C1475" s="177"/>
      <c r="D1475" s="177"/>
      <c r="E1475" s="80"/>
      <c r="F1475" s="80"/>
    </row>
    <row r="1476" spans="2:6" x14ac:dyDescent="0.3">
      <c r="B1476" s="176"/>
      <c r="C1476" s="177"/>
      <c r="D1476" s="177"/>
      <c r="E1476" s="80"/>
      <c r="F1476" s="80"/>
    </row>
    <row r="1477" spans="2:6" x14ac:dyDescent="0.3">
      <c r="B1477" s="176"/>
      <c r="C1477" s="177"/>
      <c r="D1477" s="177"/>
      <c r="E1477" s="80"/>
      <c r="F1477" s="80"/>
    </row>
    <row r="1478" spans="2:6" x14ac:dyDescent="0.3">
      <c r="B1478" s="176"/>
      <c r="C1478" s="177"/>
      <c r="D1478" s="177"/>
      <c r="E1478" s="80"/>
      <c r="F1478" s="80"/>
    </row>
  </sheetData>
  <mergeCells count="3">
    <mergeCell ref="B2:E3"/>
    <mergeCell ref="G6:H6"/>
    <mergeCell ref="G7:H7"/>
  </mergeCells>
  <phoneticPr fontId="23" type="noConversion"/>
  <conditionalFormatting sqref="E9:E1478">
    <cfRule type="cellIs" dxfId="258" priority="7" operator="lessThan">
      <formula>#REF!</formula>
    </cfRule>
    <cfRule type="cellIs" dxfId="257" priority="8" operator="between">
      <formula>#REF!</formula>
      <formula>#REF!</formula>
    </cfRule>
    <cfRule type="cellIs" dxfId="256" priority="9" operator="greaterThanOrEqual">
      <formula>#REF!</formula>
    </cfRule>
  </conditionalFormatting>
  <conditionalFormatting sqref="F9:F1478">
    <cfRule type="cellIs" dxfId="255" priority="4" operator="lessThan">
      <formula>#REF!</formula>
    </cfRule>
    <cfRule type="cellIs" dxfId="254" priority="5" operator="between">
      <formula>#REF!</formula>
      <formula>#REF!</formula>
    </cfRule>
    <cfRule type="cellIs" dxfId="253" priority="6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33203125" defaultRowHeight="14.4" x14ac:dyDescent="0.3"/>
  <cols>
    <col min="1" max="1" width="11.44140625" customWidth="1"/>
    <col min="2" max="2" width="1.44140625" bestFit="1" customWidth="1"/>
    <col min="3" max="3" width="16.44140625" bestFit="1" customWidth="1"/>
    <col min="4" max="4" width="15.5546875" customWidth="1"/>
    <col min="5" max="5" width="10.33203125" style="10" bestFit="1" customWidth="1"/>
    <col min="6" max="6" width="13.44140625" bestFit="1" customWidth="1"/>
    <col min="7" max="7" width="7.6640625" bestFit="1" customWidth="1"/>
    <col min="8" max="8" width="14.44140625" customWidth="1"/>
    <col min="10" max="10" width="9.33203125" style="11"/>
    <col min="11" max="11" width="13" style="11" customWidth="1"/>
    <col min="12" max="12" width="15.44140625" style="11" customWidth="1"/>
    <col min="13" max="13" width="12.5546875" style="11" customWidth="1"/>
    <col min="14" max="256" width="9.33203125" style="11"/>
    <col min="257" max="258" width="11.44140625" style="11" customWidth="1"/>
    <col min="259" max="259" width="16.44140625" style="11" customWidth="1"/>
    <col min="260" max="260" width="15.5546875" style="11" customWidth="1"/>
    <col min="261" max="262" width="14.44140625" style="11" customWidth="1"/>
    <col min="263" max="263" width="16.44140625" style="11" customWidth="1"/>
    <col min="264" max="264" width="14.44140625" style="11" customWidth="1"/>
    <col min="265" max="512" width="9.33203125" style="11"/>
    <col min="513" max="514" width="11.44140625" style="11" customWidth="1"/>
    <col min="515" max="515" width="16.44140625" style="11" customWidth="1"/>
    <col min="516" max="516" width="15.5546875" style="11" customWidth="1"/>
    <col min="517" max="518" width="14.44140625" style="11" customWidth="1"/>
    <col min="519" max="519" width="16.44140625" style="11" customWidth="1"/>
    <col min="520" max="520" width="14.44140625" style="11" customWidth="1"/>
    <col min="521" max="768" width="9.33203125" style="11"/>
    <col min="769" max="770" width="11.44140625" style="11" customWidth="1"/>
    <col min="771" max="771" width="16.44140625" style="11" customWidth="1"/>
    <col min="772" max="772" width="15.5546875" style="11" customWidth="1"/>
    <col min="773" max="774" width="14.44140625" style="11" customWidth="1"/>
    <col min="775" max="775" width="16.44140625" style="11" customWidth="1"/>
    <col min="776" max="776" width="14.44140625" style="11" customWidth="1"/>
    <col min="777" max="1024" width="9.33203125" style="11"/>
    <col min="1025" max="1026" width="11.44140625" style="11" customWidth="1"/>
    <col min="1027" max="1027" width="16.44140625" style="11" customWidth="1"/>
    <col min="1028" max="1028" width="15.5546875" style="11" customWidth="1"/>
    <col min="1029" max="1030" width="14.44140625" style="11" customWidth="1"/>
    <col min="1031" max="1031" width="16.44140625" style="11" customWidth="1"/>
    <col min="1032" max="1032" width="14.44140625" style="11" customWidth="1"/>
    <col min="1033" max="1280" width="9.33203125" style="11"/>
    <col min="1281" max="1282" width="11.44140625" style="11" customWidth="1"/>
    <col min="1283" max="1283" width="16.44140625" style="11" customWidth="1"/>
    <col min="1284" max="1284" width="15.5546875" style="11" customWidth="1"/>
    <col min="1285" max="1286" width="14.44140625" style="11" customWidth="1"/>
    <col min="1287" max="1287" width="16.44140625" style="11" customWidth="1"/>
    <col min="1288" max="1288" width="14.44140625" style="11" customWidth="1"/>
    <col min="1289" max="1536" width="9.33203125" style="11"/>
    <col min="1537" max="1538" width="11.44140625" style="11" customWidth="1"/>
    <col min="1539" max="1539" width="16.44140625" style="11" customWidth="1"/>
    <col min="1540" max="1540" width="15.5546875" style="11" customWidth="1"/>
    <col min="1541" max="1542" width="14.44140625" style="11" customWidth="1"/>
    <col min="1543" max="1543" width="16.44140625" style="11" customWidth="1"/>
    <col min="1544" max="1544" width="14.44140625" style="11" customWidth="1"/>
    <col min="1545" max="1792" width="9.33203125" style="11"/>
    <col min="1793" max="1794" width="11.44140625" style="11" customWidth="1"/>
    <col min="1795" max="1795" width="16.44140625" style="11" customWidth="1"/>
    <col min="1796" max="1796" width="15.5546875" style="11" customWidth="1"/>
    <col min="1797" max="1798" width="14.44140625" style="11" customWidth="1"/>
    <col min="1799" max="1799" width="16.44140625" style="11" customWidth="1"/>
    <col min="1800" max="1800" width="14.44140625" style="11" customWidth="1"/>
    <col min="1801" max="2048" width="9.33203125" style="11"/>
    <col min="2049" max="2050" width="11.44140625" style="11" customWidth="1"/>
    <col min="2051" max="2051" width="16.44140625" style="11" customWidth="1"/>
    <col min="2052" max="2052" width="15.5546875" style="11" customWidth="1"/>
    <col min="2053" max="2054" width="14.44140625" style="11" customWidth="1"/>
    <col min="2055" max="2055" width="16.44140625" style="11" customWidth="1"/>
    <col min="2056" max="2056" width="14.44140625" style="11" customWidth="1"/>
    <col min="2057" max="2304" width="9.33203125" style="11"/>
    <col min="2305" max="2306" width="11.44140625" style="11" customWidth="1"/>
    <col min="2307" max="2307" width="16.44140625" style="11" customWidth="1"/>
    <col min="2308" max="2308" width="15.5546875" style="11" customWidth="1"/>
    <col min="2309" max="2310" width="14.44140625" style="11" customWidth="1"/>
    <col min="2311" max="2311" width="16.44140625" style="11" customWidth="1"/>
    <col min="2312" max="2312" width="14.44140625" style="11" customWidth="1"/>
    <col min="2313" max="2560" width="9.33203125" style="11"/>
    <col min="2561" max="2562" width="11.44140625" style="11" customWidth="1"/>
    <col min="2563" max="2563" width="16.44140625" style="11" customWidth="1"/>
    <col min="2564" max="2564" width="15.5546875" style="11" customWidth="1"/>
    <col min="2565" max="2566" width="14.44140625" style="11" customWidth="1"/>
    <col min="2567" max="2567" width="16.44140625" style="11" customWidth="1"/>
    <col min="2568" max="2568" width="14.44140625" style="11" customWidth="1"/>
    <col min="2569" max="2816" width="9.33203125" style="11"/>
    <col min="2817" max="2818" width="11.44140625" style="11" customWidth="1"/>
    <col min="2819" max="2819" width="16.44140625" style="11" customWidth="1"/>
    <col min="2820" max="2820" width="15.5546875" style="11" customWidth="1"/>
    <col min="2821" max="2822" width="14.44140625" style="11" customWidth="1"/>
    <col min="2823" max="2823" width="16.44140625" style="11" customWidth="1"/>
    <col min="2824" max="2824" width="14.44140625" style="11" customWidth="1"/>
    <col min="2825" max="3072" width="9.33203125" style="11"/>
    <col min="3073" max="3074" width="11.44140625" style="11" customWidth="1"/>
    <col min="3075" max="3075" width="16.44140625" style="11" customWidth="1"/>
    <col min="3076" max="3076" width="15.5546875" style="11" customWidth="1"/>
    <col min="3077" max="3078" width="14.44140625" style="11" customWidth="1"/>
    <col min="3079" max="3079" width="16.44140625" style="11" customWidth="1"/>
    <col min="3080" max="3080" width="14.44140625" style="11" customWidth="1"/>
    <col min="3081" max="3328" width="9.33203125" style="11"/>
    <col min="3329" max="3330" width="11.44140625" style="11" customWidth="1"/>
    <col min="3331" max="3331" width="16.44140625" style="11" customWidth="1"/>
    <col min="3332" max="3332" width="15.5546875" style="11" customWidth="1"/>
    <col min="3333" max="3334" width="14.44140625" style="11" customWidth="1"/>
    <col min="3335" max="3335" width="16.44140625" style="11" customWidth="1"/>
    <col min="3336" max="3336" width="14.44140625" style="11" customWidth="1"/>
    <col min="3337" max="3584" width="9.33203125" style="11"/>
    <col min="3585" max="3586" width="11.44140625" style="11" customWidth="1"/>
    <col min="3587" max="3587" width="16.44140625" style="11" customWidth="1"/>
    <col min="3588" max="3588" width="15.5546875" style="11" customWidth="1"/>
    <col min="3589" max="3590" width="14.44140625" style="11" customWidth="1"/>
    <col min="3591" max="3591" width="16.44140625" style="11" customWidth="1"/>
    <col min="3592" max="3592" width="14.44140625" style="11" customWidth="1"/>
    <col min="3593" max="3840" width="9.33203125" style="11"/>
    <col min="3841" max="3842" width="11.44140625" style="11" customWidth="1"/>
    <col min="3843" max="3843" width="16.44140625" style="11" customWidth="1"/>
    <col min="3844" max="3844" width="15.5546875" style="11" customWidth="1"/>
    <col min="3845" max="3846" width="14.44140625" style="11" customWidth="1"/>
    <col min="3847" max="3847" width="16.44140625" style="11" customWidth="1"/>
    <col min="3848" max="3848" width="14.44140625" style="11" customWidth="1"/>
    <col min="3849" max="4096" width="9.33203125" style="11"/>
    <col min="4097" max="4098" width="11.44140625" style="11" customWidth="1"/>
    <col min="4099" max="4099" width="16.44140625" style="11" customWidth="1"/>
    <col min="4100" max="4100" width="15.5546875" style="11" customWidth="1"/>
    <col min="4101" max="4102" width="14.44140625" style="11" customWidth="1"/>
    <col min="4103" max="4103" width="16.44140625" style="11" customWidth="1"/>
    <col min="4104" max="4104" width="14.44140625" style="11" customWidth="1"/>
    <col min="4105" max="4352" width="9.33203125" style="11"/>
    <col min="4353" max="4354" width="11.44140625" style="11" customWidth="1"/>
    <col min="4355" max="4355" width="16.44140625" style="11" customWidth="1"/>
    <col min="4356" max="4356" width="15.5546875" style="11" customWidth="1"/>
    <col min="4357" max="4358" width="14.44140625" style="11" customWidth="1"/>
    <col min="4359" max="4359" width="16.44140625" style="11" customWidth="1"/>
    <col min="4360" max="4360" width="14.44140625" style="11" customWidth="1"/>
    <col min="4361" max="4608" width="9.33203125" style="11"/>
    <col min="4609" max="4610" width="11.44140625" style="11" customWidth="1"/>
    <col min="4611" max="4611" width="16.44140625" style="11" customWidth="1"/>
    <col min="4612" max="4612" width="15.5546875" style="11" customWidth="1"/>
    <col min="4613" max="4614" width="14.44140625" style="11" customWidth="1"/>
    <col min="4615" max="4615" width="16.44140625" style="11" customWidth="1"/>
    <col min="4616" max="4616" width="14.44140625" style="11" customWidth="1"/>
    <col min="4617" max="4864" width="9.33203125" style="11"/>
    <col min="4865" max="4866" width="11.44140625" style="11" customWidth="1"/>
    <col min="4867" max="4867" width="16.44140625" style="11" customWidth="1"/>
    <col min="4868" max="4868" width="15.5546875" style="11" customWidth="1"/>
    <col min="4869" max="4870" width="14.44140625" style="11" customWidth="1"/>
    <col min="4871" max="4871" width="16.44140625" style="11" customWidth="1"/>
    <col min="4872" max="4872" width="14.44140625" style="11" customWidth="1"/>
    <col min="4873" max="5120" width="9.33203125" style="11"/>
    <col min="5121" max="5122" width="11.44140625" style="11" customWidth="1"/>
    <col min="5123" max="5123" width="16.44140625" style="11" customWidth="1"/>
    <col min="5124" max="5124" width="15.5546875" style="11" customWidth="1"/>
    <col min="5125" max="5126" width="14.44140625" style="11" customWidth="1"/>
    <col min="5127" max="5127" width="16.44140625" style="11" customWidth="1"/>
    <col min="5128" max="5128" width="14.44140625" style="11" customWidth="1"/>
    <col min="5129" max="5376" width="9.33203125" style="11"/>
    <col min="5377" max="5378" width="11.44140625" style="11" customWidth="1"/>
    <col min="5379" max="5379" width="16.44140625" style="11" customWidth="1"/>
    <col min="5380" max="5380" width="15.5546875" style="11" customWidth="1"/>
    <col min="5381" max="5382" width="14.44140625" style="11" customWidth="1"/>
    <col min="5383" max="5383" width="16.44140625" style="11" customWidth="1"/>
    <col min="5384" max="5384" width="14.44140625" style="11" customWidth="1"/>
    <col min="5385" max="5632" width="9.33203125" style="11"/>
    <col min="5633" max="5634" width="11.44140625" style="11" customWidth="1"/>
    <col min="5635" max="5635" width="16.44140625" style="11" customWidth="1"/>
    <col min="5636" max="5636" width="15.5546875" style="11" customWidth="1"/>
    <col min="5637" max="5638" width="14.44140625" style="11" customWidth="1"/>
    <col min="5639" max="5639" width="16.44140625" style="11" customWidth="1"/>
    <col min="5640" max="5640" width="14.44140625" style="11" customWidth="1"/>
    <col min="5641" max="5888" width="9.33203125" style="11"/>
    <col min="5889" max="5890" width="11.44140625" style="11" customWidth="1"/>
    <col min="5891" max="5891" width="16.44140625" style="11" customWidth="1"/>
    <col min="5892" max="5892" width="15.5546875" style="11" customWidth="1"/>
    <col min="5893" max="5894" width="14.44140625" style="11" customWidth="1"/>
    <col min="5895" max="5895" width="16.44140625" style="11" customWidth="1"/>
    <col min="5896" max="5896" width="14.44140625" style="11" customWidth="1"/>
    <col min="5897" max="6144" width="9.33203125" style="11"/>
    <col min="6145" max="6146" width="11.44140625" style="11" customWidth="1"/>
    <col min="6147" max="6147" width="16.44140625" style="11" customWidth="1"/>
    <col min="6148" max="6148" width="15.5546875" style="11" customWidth="1"/>
    <col min="6149" max="6150" width="14.44140625" style="11" customWidth="1"/>
    <col min="6151" max="6151" width="16.44140625" style="11" customWidth="1"/>
    <col min="6152" max="6152" width="14.44140625" style="11" customWidth="1"/>
    <col min="6153" max="6400" width="9.33203125" style="11"/>
    <col min="6401" max="6402" width="11.44140625" style="11" customWidth="1"/>
    <col min="6403" max="6403" width="16.44140625" style="11" customWidth="1"/>
    <col min="6404" max="6404" width="15.5546875" style="11" customWidth="1"/>
    <col min="6405" max="6406" width="14.44140625" style="11" customWidth="1"/>
    <col min="6407" max="6407" width="16.44140625" style="11" customWidth="1"/>
    <col min="6408" max="6408" width="14.44140625" style="11" customWidth="1"/>
    <col min="6409" max="6656" width="9.33203125" style="11"/>
    <col min="6657" max="6658" width="11.44140625" style="11" customWidth="1"/>
    <col min="6659" max="6659" width="16.44140625" style="11" customWidth="1"/>
    <col min="6660" max="6660" width="15.5546875" style="11" customWidth="1"/>
    <col min="6661" max="6662" width="14.44140625" style="11" customWidth="1"/>
    <col min="6663" max="6663" width="16.44140625" style="11" customWidth="1"/>
    <col min="6664" max="6664" width="14.44140625" style="11" customWidth="1"/>
    <col min="6665" max="6912" width="9.33203125" style="11"/>
    <col min="6913" max="6914" width="11.44140625" style="11" customWidth="1"/>
    <col min="6915" max="6915" width="16.44140625" style="11" customWidth="1"/>
    <col min="6916" max="6916" width="15.5546875" style="11" customWidth="1"/>
    <col min="6917" max="6918" width="14.44140625" style="11" customWidth="1"/>
    <col min="6919" max="6919" width="16.44140625" style="11" customWidth="1"/>
    <col min="6920" max="6920" width="14.44140625" style="11" customWidth="1"/>
    <col min="6921" max="7168" width="9.33203125" style="11"/>
    <col min="7169" max="7170" width="11.44140625" style="11" customWidth="1"/>
    <col min="7171" max="7171" width="16.44140625" style="11" customWidth="1"/>
    <col min="7172" max="7172" width="15.5546875" style="11" customWidth="1"/>
    <col min="7173" max="7174" width="14.44140625" style="11" customWidth="1"/>
    <col min="7175" max="7175" width="16.44140625" style="11" customWidth="1"/>
    <col min="7176" max="7176" width="14.44140625" style="11" customWidth="1"/>
    <col min="7177" max="7424" width="9.33203125" style="11"/>
    <col min="7425" max="7426" width="11.44140625" style="11" customWidth="1"/>
    <col min="7427" max="7427" width="16.44140625" style="11" customWidth="1"/>
    <col min="7428" max="7428" width="15.5546875" style="11" customWidth="1"/>
    <col min="7429" max="7430" width="14.44140625" style="11" customWidth="1"/>
    <col min="7431" max="7431" width="16.44140625" style="11" customWidth="1"/>
    <col min="7432" max="7432" width="14.44140625" style="11" customWidth="1"/>
    <col min="7433" max="7680" width="9.33203125" style="11"/>
    <col min="7681" max="7682" width="11.44140625" style="11" customWidth="1"/>
    <col min="7683" max="7683" width="16.44140625" style="11" customWidth="1"/>
    <col min="7684" max="7684" width="15.5546875" style="11" customWidth="1"/>
    <col min="7685" max="7686" width="14.44140625" style="11" customWidth="1"/>
    <col min="7687" max="7687" width="16.44140625" style="11" customWidth="1"/>
    <col min="7688" max="7688" width="14.44140625" style="11" customWidth="1"/>
    <col min="7689" max="7936" width="9.33203125" style="11"/>
    <col min="7937" max="7938" width="11.44140625" style="11" customWidth="1"/>
    <col min="7939" max="7939" width="16.44140625" style="11" customWidth="1"/>
    <col min="7940" max="7940" width="15.5546875" style="11" customWidth="1"/>
    <col min="7941" max="7942" width="14.44140625" style="11" customWidth="1"/>
    <col min="7943" max="7943" width="16.44140625" style="11" customWidth="1"/>
    <col min="7944" max="7944" width="14.44140625" style="11" customWidth="1"/>
    <col min="7945" max="8192" width="9.33203125" style="11"/>
    <col min="8193" max="8194" width="11.44140625" style="11" customWidth="1"/>
    <col min="8195" max="8195" width="16.44140625" style="11" customWidth="1"/>
    <col min="8196" max="8196" width="15.5546875" style="11" customWidth="1"/>
    <col min="8197" max="8198" width="14.44140625" style="11" customWidth="1"/>
    <col min="8199" max="8199" width="16.44140625" style="11" customWidth="1"/>
    <col min="8200" max="8200" width="14.44140625" style="11" customWidth="1"/>
    <col min="8201" max="8448" width="9.33203125" style="11"/>
    <col min="8449" max="8450" width="11.44140625" style="11" customWidth="1"/>
    <col min="8451" max="8451" width="16.44140625" style="11" customWidth="1"/>
    <col min="8452" max="8452" width="15.5546875" style="11" customWidth="1"/>
    <col min="8453" max="8454" width="14.44140625" style="11" customWidth="1"/>
    <col min="8455" max="8455" width="16.44140625" style="11" customWidth="1"/>
    <col min="8456" max="8456" width="14.44140625" style="11" customWidth="1"/>
    <col min="8457" max="8704" width="9.33203125" style="11"/>
    <col min="8705" max="8706" width="11.44140625" style="11" customWidth="1"/>
    <col min="8707" max="8707" width="16.44140625" style="11" customWidth="1"/>
    <col min="8708" max="8708" width="15.5546875" style="11" customWidth="1"/>
    <col min="8709" max="8710" width="14.44140625" style="11" customWidth="1"/>
    <col min="8711" max="8711" width="16.44140625" style="11" customWidth="1"/>
    <col min="8712" max="8712" width="14.44140625" style="11" customWidth="1"/>
    <col min="8713" max="8960" width="9.33203125" style="11"/>
    <col min="8961" max="8962" width="11.44140625" style="11" customWidth="1"/>
    <col min="8963" max="8963" width="16.44140625" style="11" customWidth="1"/>
    <col min="8964" max="8964" width="15.5546875" style="11" customWidth="1"/>
    <col min="8965" max="8966" width="14.44140625" style="11" customWidth="1"/>
    <col min="8967" max="8967" width="16.44140625" style="11" customWidth="1"/>
    <col min="8968" max="8968" width="14.44140625" style="11" customWidth="1"/>
    <col min="8969" max="9216" width="9.33203125" style="11"/>
    <col min="9217" max="9218" width="11.44140625" style="11" customWidth="1"/>
    <col min="9219" max="9219" width="16.44140625" style="11" customWidth="1"/>
    <col min="9220" max="9220" width="15.5546875" style="11" customWidth="1"/>
    <col min="9221" max="9222" width="14.44140625" style="11" customWidth="1"/>
    <col min="9223" max="9223" width="16.44140625" style="11" customWidth="1"/>
    <col min="9224" max="9224" width="14.44140625" style="11" customWidth="1"/>
    <col min="9225" max="9472" width="9.33203125" style="11"/>
    <col min="9473" max="9474" width="11.44140625" style="11" customWidth="1"/>
    <col min="9475" max="9475" width="16.44140625" style="11" customWidth="1"/>
    <col min="9476" max="9476" width="15.5546875" style="11" customWidth="1"/>
    <col min="9477" max="9478" width="14.44140625" style="11" customWidth="1"/>
    <col min="9479" max="9479" width="16.44140625" style="11" customWidth="1"/>
    <col min="9480" max="9480" width="14.44140625" style="11" customWidth="1"/>
    <col min="9481" max="9728" width="9.33203125" style="11"/>
    <col min="9729" max="9730" width="11.44140625" style="11" customWidth="1"/>
    <col min="9731" max="9731" width="16.44140625" style="11" customWidth="1"/>
    <col min="9732" max="9732" width="15.5546875" style="11" customWidth="1"/>
    <col min="9733" max="9734" width="14.44140625" style="11" customWidth="1"/>
    <col min="9735" max="9735" width="16.44140625" style="11" customWidth="1"/>
    <col min="9736" max="9736" width="14.44140625" style="11" customWidth="1"/>
    <col min="9737" max="9984" width="9.33203125" style="11"/>
    <col min="9985" max="9986" width="11.44140625" style="11" customWidth="1"/>
    <col min="9987" max="9987" width="16.44140625" style="11" customWidth="1"/>
    <col min="9988" max="9988" width="15.5546875" style="11" customWidth="1"/>
    <col min="9989" max="9990" width="14.44140625" style="11" customWidth="1"/>
    <col min="9991" max="9991" width="16.44140625" style="11" customWidth="1"/>
    <col min="9992" max="9992" width="14.44140625" style="11" customWidth="1"/>
    <col min="9993" max="10240" width="9.33203125" style="11"/>
    <col min="10241" max="10242" width="11.44140625" style="11" customWidth="1"/>
    <col min="10243" max="10243" width="16.44140625" style="11" customWidth="1"/>
    <col min="10244" max="10244" width="15.5546875" style="11" customWidth="1"/>
    <col min="10245" max="10246" width="14.44140625" style="11" customWidth="1"/>
    <col min="10247" max="10247" width="16.44140625" style="11" customWidth="1"/>
    <col min="10248" max="10248" width="14.44140625" style="11" customWidth="1"/>
    <col min="10249" max="10496" width="9.33203125" style="11"/>
    <col min="10497" max="10498" width="11.44140625" style="11" customWidth="1"/>
    <col min="10499" max="10499" width="16.44140625" style="11" customWidth="1"/>
    <col min="10500" max="10500" width="15.5546875" style="11" customWidth="1"/>
    <col min="10501" max="10502" width="14.44140625" style="11" customWidth="1"/>
    <col min="10503" max="10503" width="16.44140625" style="11" customWidth="1"/>
    <col min="10504" max="10504" width="14.44140625" style="11" customWidth="1"/>
    <col min="10505" max="10752" width="9.33203125" style="11"/>
    <col min="10753" max="10754" width="11.44140625" style="11" customWidth="1"/>
    <col min="10755" max="10755" width="16.44140625" style="11" customWidth="1"/>
    <col min="10756" max="10756" width="15.5546875" style="11" customWidth="1"/>
    <col min="10757" max="10758" width="14.44140625" style="11" customWidth="1"/>
    <col min="10759" max="10759" width="16.44140625" style="11" customWidth="1"/>
    <col min="10760" max="10760" width="14.44140625" style="11" customWidth="1"/>
    <col min="10761" max="11008" width="9.33203125" style="11"/>
    <col min="11009" max="11010" width="11.44140625" style="11" customWidth="1"/>
    <col min="11011" max="11011" width="16.44140625" style="11" customWidth="1"/>
    <col min="11012" max="11012" width="15.5546875" style="11" customWidth="1"/>
    <col min="11013" max="11014" width="14.44140625" style="11" customWidth="1"/>
    <col min="11015" max="11015" width="16.44140625" style="11" customWidth="1"/>
    <col min="11016" max="11016" width="14.44140625" style="11" customWidth="1"/>
    <col min="11017" max="11264" width="9.33203125" style="11"/>
    <col min="11265" max="11266" width="11.44140625" style="11" customWidth="1"/>
    <col min="11267" max="11267" width="16.44140625" style="11" customWidth="1"/>
    <col min="11268" max="11268" width="15.5546875" style="11" customWidth="1"/>
    <col min="11269" max="11270" width="14.44140625" style="11" customWidth="1"/>
    <col min="11271" max="11271" width="16.44140625" style="11" customWidth="1"/>
    <col min="11272" max="11272" width="14.44140625" style="11" customWidth="1"/>
    <col min="11273" max="11520" width="9.33203125" style="11"/>
    <col min="11521" max="11522" width="11.44140625" style="11" customWidth="1"/>
    <col min="11523" max="11523" width="16.44140625" style="11" customWidth="1"/>
    <col min="11524" max="11524" width="15.5546875" style="11" customWidth="1"/>
    <col min="11525" max="11526" width="14.44140625" style="11" customWidth="1"/>
    <col min="11527" max="11527" width="16.44140625" style="11" customWidth="1"/>
    <col min="11528" max="11528" width="14.44140625" style="11" customWidth="1"/>
    <col min="11529" max="11776" width="9.33203125" style="11"/>
    <col min="11777" max="11778" width="11.44140625" style="11" customWidth="1"/>
    <col min="11779" max="11779" width="16.44140625" style="11" customWidth="1"/>
    <col min="11780" max="11780" width="15.5546875" style="11" customWidth="1"/>
    <col min="11781" max="11782" width="14.44140625" style="11" customWidth="1"/>
    <col min="11783" max="11783" width="16.44140625" style="11" customWidth="1"/>
    <col min="11784" max="11784" width="14.44140625" style="11" customWidth="1"/>
    <col min="11785" max="12032" width="9.33203125" style="11"/>
    <col min="12033" max="12034" width="11.44140625" style="11" customWidth="1"/>
    <col min="12035" max="12035" width="16.44140625" style="11" customWidth="1"/>
    <col min="12036" max="12036" width="15.5546875" style="11" customWidth="1"/>
    <col min="12037" max="12038" width="14.44140625" style="11" customWidth="1"/>
    <col min="12039" max="12039" width="16.44140625" style="11" customWidth="1"/>
    <col min="12040" max="12040" width="14.44140625" style="11" customWidth="1"/>
    <col min="12041" max="12288" width="9.33203125" style="11"/>
    <col min="12289" max="12290" width="11.44140625" style="11" customWidth="1"/>
    <col min="12291" max="12291" width="16.44140625" style="11" customWidth="1"/>
    <col min="12292" max="12292" width="15.5546875" style="11" customWidth="1"/>
    <col min="12293" max="12294" width="14.44140625" style="11" customWidth="1"/>
    <col min="12295" max="12295" width="16.44140625" style="11" customWidth="1"/>
    <col min="12296" max="12296" width="14.44140625" style="11" customWidth="1"/>
    <col min="12297" max="12544" width="9.33203125" style="11"/>
    <col min="12545" max="12546" width="11.44140625" style="11" customWidth="1"/>
    <col min="12547" max="12547" width="16.44140625" style="11" customWidth="1"/>
    <col min="12548" max="12548" width="15.5546875" style="11" customWidth="1"/>
    <col min="12549" max="12550" width="14.44140625" style="11" customWidth="1"/>
    <col min="12551" max="12551" width="16.44140625" style="11" customWidth="1"/>
    <col min="12552" max="12552" width="14.44140625" style="11" customWidth="1"/>
    <col min="12553" max="12800" width="9.33203125" style="11"/>
    <col min="12801" max="12802" width="11.44140625" style="11" customWidth="1"/>
    <col min="12803" max="12803" width="16.44140625" style="11" customWidth="1"/>
    <col min="12804" max="12804" width="15.5546875" style="11" customWidth="1"/>
    <col min="12805" max="12806" width="14.44140625" style="11" customWidth="1"/>
    <col min="12807" max="12807" width="16.44140625" style="11" customWidth="1"/>
    <col min="12808" max="12808" width="14.44140625" style="11" customWidth="1"/>
    <col min="12809" max="13056" width="9.33203125" style="11"/>
    <col min="13057" max="13058" width="11.44140625" style="11" customWidth="1"/>
    <col min="13059" max="13059" width="16.44140625" style="11" customWidth="1"/>
    <col min="13060" max="13060" width="15.5546875" style="11" customWidth="1"/>
    <col min="13061" max="13062" width="14.44140625" style="11" customWidth="1"/>
    <col min="13063" max="13063" width="16.44140625" style="11" customWidth="1"/>
    <col min="13064" max="13064" width="14.44140625" style="11" customWidth="1"/>
    <col min="13065" max="13312" width="9.33203125" style="11"/>
    <col min="13313" max="13314" width="11.44140625" style="11" customWidth="1"/>
    <col min="13315" max="13315" width="16.44140625" style="11" customWidth="1"/>
    <col min="13316" max="13316" width="15.5546875" style="11" customWidth="1"/>
    <col min="13317" max="13318" width="14.44140625" style="11" customWidth="1"/>
    <col min="13319" max="13319" width="16.44140625" style="11" customWidth="1"/>
    <col min="13320" max="13320" width="14.44140625" style="11" customWidth="1"/>
    <col min="13321" max="13568" width="9.33203125" style="11"/>
    <col min="13569" max="13570" width="11.44140625" style="11" customWidth="1"/>
    <col min="13571" max="13571" width="16.44140625" style="11" customWidth="1"/>
    <col min="13572" max="13572" width="15.5546875" style="11" customWidth="1"/>
    <col min="13573" max="13574" width="14.44140625" style="11" customWidth="1"/>
    <col min="13575" max="13575" width="16.44140625" style="11" customWidth="1"/>
    <col min="13576" max="13576" width="14.44140625" style="11" customWidth="1"/>
    <col min="13577" max="13824" width="9.33203125" style="11"/>
    <col min="13825" max="13826" width="11.44140625" style="11" customWidth="1"/>
    <col min="13827" max="13827" width="16.44140625" style="11" customWidth="1"/>
    <col min="13828" max="13828" width="15.5546875" style="11" customWidth="1"/>
    <col min="13829" max="13830" width="14.44140625" style="11" customWidth="1"/>
    <col min="13831" max="13831" width="16.44140625" style="11" customWidth="1"/>
    <col min="13832" max="13832" width="14.44140625" style="11" customWidth="1"/>
    <col min="13833" max="14080" width="9.33203125" style="11"/>
    <col min="14081" max="14082" width="11.44140625" style="11" customWidth="1"/>
    <col min="14083" max="14083" width="16.44140625" style="11" customWidth="1"/>
    <col min="14084" max="14084" width="15.5546875" style="11" customWidth="1"/>
    <col min="14085" max="14086" width="14.44140625" style="11" customWidth="1"/>
    <col min="14087" max="14087" width="16.44140625" style="11" customWidth="1"/>
    <col min="14088" max="14088" width="14.44140625" style="11" customWidth="1"/>
    <col min="14089" max="14336" width="9.33203125" style="11"/>
    <col min="14337" max="14338" width="11.44140625" style="11" customWidth="1"/>
    <col min="14339" max="14339" width="16.44140625" style="11" customWidth="1"/>
    <col min="14340" max="14340" width="15.5546875" style="11" customWidth="1"/>
    <col min="14341" max="14342" width="14.44140625" style="11" customWidth="1"/>
    <col min="14343" max="14343" width="16.44140625" style="11" customWidth="1"/>
    <col min="14344" max="14344" width="14.44140625" style="11" customWidth="1"/>
    <col min="14345" max="14592" width="9.33203125" style="11"/>
    <col min="14593" max="14594" width="11.44140625" style="11" customWidth="1"/>
    <col min="14595" max="14595" width="16.44140625" style="11" customWidth="1"/>
    <col min="14596" max="14596" width="15.5546875" style="11" customWidth="1"/>
    <col min="14597" max="14598" width="14.44140625" style="11" customWidth="1"/>
    <col min="14599" max="14599" width="16.44140625" style="11" customWidth="1"/>
    <col min="14600" max="14600" width="14.44140625" style="11" customWidth="1"/>
    <col min="14601" max="14848" width="9.33203125" style="11"/>
    <col min="14849" max="14850" width="11.44140625" style="11" customWidth="1"/>
    <col min="14851" max="14851" width="16.44140625" style="11" customWidth="1"/>
    <col min="14852" max="14852" width="15.5546875" style="11" customWidth="1"/>
    <col min="14853" max="14854" width="14.44140625" style="11" customWidth="1"/>
    <col min="14855" max="14855" width="16.44140625" style="11" customWidth="1"/>
    <col min="14856" max="14856" width="14.44140625" style="11" customWidth="1"/>
    <col min="14857" max="15104" width="9.33203125" style="11"/>
    <col min="15105" max="15106" width="11.44140625" style="11" customWidth="1"/>
    <col min="15107" max="15107" width="16.44140625" style="11" customWidth="1"/>
    <col min="15108" max="15108" width="15.5546875" style="11" customWidth="1"/>
    <col min="15109" max="15110" width="14.44140625" style="11" customWidth="1"/>
    <col min="15111" max="15111" width="16.44140625" style="11" customWidth="1"/>
    <col min="15112" max="15112" width="14.44140625" style="11" customWidth="1"/>
    <col min="15113" max="15360" width="9.33203125" style="11"/>
    <col min="15361" max="15362" width="11.44140625" style="11" customWidth="1"/>
    <col min="15363" max="15363" width="16.44140625" style="11" customWidth="1"/>
    <col min="15364" max="15364" width="15.5546875" style="11" customWidth="1"/>
    <col min="15365" max="15366" width="14.44140625" style="11" customWidth="1"/>
    <col min="15367" max="15367" width="16.44140625" style="11" customWidth="1"/>
    <col min="15368" max="15368" width="14.44140625" style="11" customWidth="1"/>
    <col min="15369" max="15616" width="9.33203125" style="11"/>
    <col min="15617" max="15618" width="11.44140625" style="11" customWidth="1"/>
    <col min="15619" max="15619" width="16.44140625" style="11" customWidth="1"/>
    <col min="15620" max="15620" width="15.5546875" style="11" customWidth="1"/>
    <col min="15621" max="15622" width="14.44140625" style="11" customWidth="1"/>
    <col min="15623" max="15623" width="16.44140625" style="11" customWidth="1"/>
    <col min="15624" max="15624" width="14.44140625" style="11" customWidth="1"/>
    <col min="15625" max="15872" width="9.33203125" style="11"/>
    <col min="15873" max="15874" width="11.44140625" style="11" customWidth="1"/>
    <col min="15875" max="15875" width="16.44140625" style="11" customWidth="1"/>
    <col min="15876" max="15876" width="15.5546875" style="11" customWidth="1"/>
    <col min="15877" max="15878" width="14.44140625" style="11" customWidth="1"/>
    <col min="15879" max="15879" width="16.44140625" style="11" customWidth="1"/>
    <col min="15880" max="15880" width="14.44140625" style="11" customWidth="1"/>
    <col min="15881" max="16128" width="9.33203125" style="11"/>
    <col min="16129" max="16130" width="11.44140625" style="11" customWidth="1"/>
    <col min="16131" max="16131" width="16.44140625" style="11" customWidth="1"/>
    <col min="16132" max="16132" width="15.5546875" style="11" customWidth="1"/>
    <col min="16133" max="16134" width="14.44140625" style="11" customWidth="1"/>
    <col min="16135" max="16135" width="16.44140625" style="11" customWidth="1"/>
    <col min="16136" max="16136" width="14.44140625" style="11" customWidth="1"/>
    <col min="16137" max="16384" width="9.33203125" style="11"/>
  </cols>
  <sheetData>
    <row r="1" spans="2:13" ht="15" thickBot="1" x14ac:dyDescent="0.35"/>
    <row r="2" spans="2:13" ht="35.25" customHeight="1" thickBot="1" x14ac:dyDescent="0.35">
      <c r="C2" s="334" t="s">
        <v>34</v>
      </c>
      <c r="D2" s="335"/>
      <c r="E2" s="335"/>
      <c r="F2" s="335"/>
      <c r="G2" s="335"/>
      <c r="H2" s="335"/>
      <c r="I2" s="336"/>
    </row>
    <row r="6" spans="2:13" x14ac:dyDescent="0.3">
      <c r="C6" s="12" t="s">
        <v>35</v>
      </c>
    </row>
    <row r="8" spans="2:13" x14ac:dyDescent="0.3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7.399999999999999" x14ac:dyDescent="0.3">
      <c r="B10" s="16" t="s">
        <v>37</v>
      </c>
      <c r="C10" s="337"/>
      <c r="D10" s="338"/>
      <c r="E10" s="338"/>
      <c r="F10" s="338"/>
      <c r="G10" s="338"/>
      <c r="H10" s="338"/>
      <c r="I10" s="338"/>
      <c r="J10" s="338"/>
    </row>
    <row r="11" spans="2:13" ht="15" thickBot="1" x14ac:dyDescent="0.35"/>
    <row r="12" spans="2:13" ht="15.6" thickTop="1" thickBot="1" x14ac:dyDescent="0.35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" thickTop="1" x14ac:dyDescent="0.3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3">
      <c r="B14" s="11"/>
      <c r="C14" s="109"/>
      <c r="D14" s="109"/>
      <c r="E14" s="109"/>
      <c r="F14" s="110"/>
      <c r="G14" s="109"/>
      <c r="H14" s="14"/>
      <c r="I14" s="14"/>
    </row>
    <row r="15" spans="2:13" x14ac:dyDescent="0.3">
      <c r="B15" s="11"/>
      <c r="C15" s="109"/>
      <c r="D15" s="109"/>
      <c r="E15" s="109"/>
      <c r="F15" s="110"/>
      <c r="G15" s="109"/>
      <c r="H15" s="14"/>
      <c r="I15" s="14"/>
    </row>
    <row r="16" spans="2:13" x14ac:dyDescent="0.3">
      <c r="B16" s="11"/>
      <c r="C16" s="109"/>
      <c r="D16" s="109"/>
      <c r="E16" s="109"/>
      <c r="F16" s="110"/>
      <c r="G16" s="109"/>
      <c r="H16" s="14"/>
      <c r="I16" s="14"/>
    </row>
    <row r="17" spans="2:9" x14ac:dyDescent="0.3">
      <c r="B17" s="11"/>
      <c r="C17" s="109"/>
      <c r="D17" s="109"/>
      <c r="E17" s="109"/>
      <c r="F17" s="110"/>
      <c r="G17" s="109"/>
      <c r="H17" s="14"/>
      <c r="I17" s="14"/>
    </row>
    <row r="18" spans="2:9" x14ac:dyDescent="0.3">
      <c r="B18" s="11"/>
      <c r="C18" s="109"/>
      <c r="D18" s="109"/>
      <c r="E18" s="109"/>
      <c r="F18" s="110"/>
      <c r="G18" s="109"/>
      <c r="H18" s="14"/>
      <c r="I18" s="14"/>
    </row>
    <row r="19" spans="2:9" x14ac:dyDescent="0.3">
      <c r="B19" s="11"/>
      <c r="C19" s="109"/>
      <c r="D19" s="109"/>
      <c r="E19" s="109"/>
      <c r="F19" s="110"/>
      <c r="G19" s="109"/>
      <c r="H19" s="14"/>
      <c r="I19" s="14"/>
    </row>
    <row r="20" spans="2:9" x14ac:dyDescent="0.3">
      <c r="B20" s="11"/>
      <c r="C20" s="109"/>
      <c r="D20" s="109"/>
      <c r="E20" s="109"/>
      <c r="F20" s="110"/>
      <c r="G20" s="109"/>
      <c r="H20" s="14"/>
      <c r="I20" s="14"/>
    </row>
    <row r="21" spans="2:9" x14ac:dyDescent="0.3">
      <c r="B21" s="11"/>
      <c r="C21" s="109"/>
      <c r="D21" s="109"/>
      <c r="E21" s="109"/>
      <c r="F21" s="110"/>
      <c r="G21" s="109"/>
      <c r="H21" s="14"/>
      <c r="I21" s="14"/>
    </row>
    <row r="22" spans="2:9" x14ac:dyDescent="0.3">
      <c r="C22" s="109"/>
      <c r="D22" s="109"/>
      <c r="E22" s="109"/>
      <c r="F22" s="110"/>
      <c r="G22" s="109"/>
    </row>
    <row r="23" spans="2:9" x14ac:dyDescent="0.3">
      <c r="C23" s="109"/>
      <c r="D23" s="109"/>
      <c r="E23" s="109"/>
      <c r="F23" s="110"/>
      <c r="G23" s="109"/>
    </row>
    <row r="24" spans="2:9" x14ac:dyDescent="0.3">
      <c r="C24" s="109"/>
      <c r="D24" s="109"/>
      <c r="E24" s="109"/>
      <c r="F24" s="110"/>
      <c r="G24" s="109"/>
    </row>
    <row r="25" spans="2:9" x14ac:dyDescent="0.3">
      <c r="C25" s="109"/>
      <c r="D25" s="109"/>
      <c r="E25" s="109"/>
      <c r="F25" s="110"/>
      <c r="G25" s="109"/>
    </row>
    <row r="26" spans="2:9" x14ac:dyDescent="0.3">
      <c r="C26" s="109"/>
      <c r="D26" s="109"/>
      <c r="E26" s="109"/>
      <c r="F26" s="110"/>
      <c r="G26" s="109"/>
    </row>
    <row r="27" spans="2:9" x14ac:dyDescent="0.3">
      <c r="C27" s="109"/>
      <c r="D27" s="109"/>
      <c r="E27" s="109"/>
      <c r="F27" s="110"/>
      <c r="G27" s="109"/>
    </row>
    <row r="28" spans="2:9" x14ac:dyDescent="0.3">
      <c r="C28" s="109"/>
      <c r="D28" s="109"/>
      <c r="E28" s="109"/>
      <c r="F28" s="110"/>
      <c r="G28" s="109"/>
    </row>
    <row r="29" spans="2:9" x14ac:dyDescent="0.3">
      <c r="C29" s="109"/>
      <c r="D29" s="109"/>
      <c r="E29" s="109"/>
      <c r="F29" s="110"/>
      <c r="G29" s="109"/>
    </row>
    <row r="30" spans="2:9" x14ac:dyDescent="0.3">
      <c r="C30" s="109"/>
      <c r="D30" s="109"/>
      <c r="E30" s="109"/>
      <c r="F30" s="110"/>
      <c r="G30" s="109"/>
    </row>
    <row r="31" spans="2:9" x14ac:dyDescent="0.3">
      <c r="C31" s="109"/>
      <c r="D31" s="109"/>
      <c r="E31" s="109"/>
      <c r="F31" s="110"/>
      <c r="G31" s="109"/>
    </row>
    <row r="32" spans="2:9" x14ac:dyDescent="0.3">
      <c r="C32" s="109"/>
      <c r="D32" s="109"/>
      <c r="E32" s="109"/>
      <c r="F32" s="110"/>
      <c r="G32" s="109"/>
    </row>
    <row r="33" spans="3:7" x14ac:dyDescent="0.3">
      <c r="C33" s="109"/>
      <c r="D33" s="109"/>
      <c r="E33" s="109"/>
      <c r="F33" s="110"/>
      <c r="G33" s="109"/>
    </row>
    <row r="34" spans="3:7" x14ac:dyDescent="0.3">
      <c r="C34" s="109"/>
      <c r="D34" s="109"/>
      <c r="E34" s="109"/>
      <c r="F34" s="110"/>
      <c r="G34" s="109"/>
    </row>
    <row r="35" spans="3:7" x14ac:dyDescent="0.3">
      <c r="C35" s="109"/>
      <c r="D35" s="109"/>
      <c r="E35" s="109"/>
      <c r="F35" s="110"/>
      <c r="G35" s="109"/>
    </row>
    <row r="36" spans="3:7" x14ac:dyDescent="0.3">
      <c r="C36" s="109"/>
      <c r="D36" s="109"/>
      <c r="E36" s="109"/>
      <c r="F36" s="110"/>
      <c r="G36" s="109"/>
    </row>
    <row r="37" spans="3:7" x14ac:dyDescent="0.3">
      <c r="C37" s="109"/>
      <c r="D37" s="109"/>
      <c r="E37" s="109"/>
      <c r="F37" s="110"/>
      <c r="G37" s="109"/>
    </row>
    <row r="38" spans="3:7" x14ac:dyDescent="0.3">
      <c r="C38" s="109"/>
      <c r="D38" s="109"/>
      <c r="E38" s="109"/>
      <c r="F38" s="110"/>
      <c r="G38" s="109"/>
    </row>
    <row r="39" spans="3:7" x14ac:dyDescent="0.3">
      <c r="C39" s="109"/>
      <c r="D39" s="109"/>
      <c r="E39" s="109"/>
      <c r="F39" s="110"/>
      <c r="G39" s="109"/>
    </row>
    <row r="40" spans="3:7" x14ac:dyDescent="0.3">
      <c r="C40" s="109"/>
      <c r="D40" s="109"/>
      <c r="E40" s="109"/>
      <c r="F40" s="110"/>
      <c r="G40" s="109"/>
    </row>
    <row r="41" spans="3:7" x14ac:dyDescent="0.3">
      <c r="C41" s="109"/>
      <c r="D41" s="109"/>
      <c r="E41" s="109"/>
      <c r="F41" s="110"/>
      <c r="G41" s="109"/>
    </row>
    <row r="42" spans="3:7" x14ac:dyDescent="0.3">
      <c r="C42" s="109"/>
      <c r="D42" s="109"/>
      <c r="E42" s="109"/>
      <c r="F42" s="110"/>
      <c r="G42" s="109"/>
    </row>
    <row r="43" spans="3:7" x14ac:dyDescent="0.3">
      <c r="C43" s="109"/>
      <c r="D43" s="109"/>
      <c r="E43" s="109"/>
      <c r="F43" s="110"/>
      <c r="G43" s="109"/>
    </row>
    <row r="44" spans="3:7" x14ac:dyDescent="0.3">
      <c r="C44" s="109"/>
      <c r="D44" s="109"/>
      <c r="E44" s="109"/>
      <c r="F44" s="110"/>
      <c r="G44" s="109"/>
    </row>
    <row r="45" spans="3:7" x14ac:dyDescent="0.3">
      <c r="C45" s="109"/>
      <c r="D45" s="109"/>
      <c r="E45" s="109"/>
      <c r="F45" s="110"/>
      <c r="G45" s="109"/>
    </row>
    <row r="46" spans="3:7" x14ac:dyDescent="0.3">
      <c r="C46" s="109"/>
      <c r="D46" s="109"/>
      <c r="E46" s="109"/>
      <c r="F46" s="110"/>
      <c r="G46" s="109"/>
    </row>
    <row r="47" spans="3:7" x14ac:dyDescent="0.3">
      <c r="C47" s="109"/>
      <c r="D47" s="109"/>
      <c r="E47" s="109"/>
      <c r="F47" s="110"/>
      <c r="G47" s="109"/>
    </row>
    <row r="48" spans="3:7" x14ac:dyDescent="0.3">
      <c r="C48" s="109"/>
      <c r="D48" s="109"/>
      <c r="E48" s="109"/>
      <c r="F48" s="110"/>
      <c r="G48" s="109"/>
    </row>
    <row r="49" spans="3:7" x14ac:dyDescent="0.3">
      <c r="C49" s="109"/>
      <c r="D49" s="109"/>
      <c r="E49" s="109"/>
      <c r="F49" s="110"/>
      <c r="G49" s="109"/>
    </row>
    <row r="50" spans="3:7" x14ac:dyDescent="0.3">
      <c r="C50" s="109"/>
      <c r="D50" s="109"/>
      <c r="E50" s="109"/>
      <c r="F50" s="110"/>
      <c r="G50" s="109"/>
    </row>
    <row r="51" spans="3:7" x14ac:dyDescent="0.3">
      <c r="C51" s="109"/>
      <c r="D51" s="109"/>
      <c r="E51" s="109"/>
      <c r="F51" s="110"/>
      <c r="G51" s="109"/>
    </row>
    <row r="52" spans="3:7" x14ac:dyDescent="0.3">
      <c r="C52" s="109"/>
      <c r="D52" s="109"/>
      <c r="E52" s="109"/>
      <c r="F52" s="110"/>
      <c r="G52" s="109"/>
    </row>
    <row r="53" spans="3:7" x14ac:dyDescent="0.3">
      <c r="C53" s="109"/>
      <c r="D53" s="109"/>
      <c r="E53" s="109"/>
      <c r="F53" s="110"/>
      <c r="G53" s="109"/>
    </row>
    <row r="54" spans="3:7" x14ac:dyDescent="0.3">
      <c r="C54" s="109"/>
      <c r="D54" s="109"/>
      <c r="E54" s="109"/>
      <c r="F54" s="110"/>
      <c r="G54" s="109"/>
    </row>
    <row r="55" spans="3:7" x14ac:dyDescent="0.3">
      <c r="C55" s="109"/>
      <c r="D55" s="109"/>
      <c r="E55" s="109"/>
      <c r="F55" s="110"/>
      <c r="G55" s="109"/>
    </row>
    <row r="56" spans="3:7" x14ac:dyDescent="0.3">
      <c r="C56" s="109"/>
      <c r="D56" s="109"/>
      <c r="E56" s="109"/>
      <c r="F56" s="110"/>
      <c r="G56" s="109"/>
    </row>
    <row r="57" spans="3:7" x14ac:dyDescent="0.3">
      <c r="C57" s="109"/>
      <c r="D57" s="109"/>
      <c r="E57" s="109"/>
      <c r="F57" s="110"/>
      <c r="G57" s="109"/>
    </row>
    <row r="58" spans="3:7" x14ac:dyDescent="0.3">
      <c r="C58" s="109"/>
      <c r="D58" s="109"/>
      <c r="E58" s="109"/>
      <c r="F58" s="110"/>
      <c r="G58" s="109"/>
    </row>
    <row r="59" spans="3:7" x14ac:dyDescent="0.3">
      <c r="C59" s="109"/>
      <c r="D59" s="109"/>
      <c r="E59" s="109"/>
      <c r="F59" s="110"/>
      <c r="G59" s="109"/>
    </row>
    <row r="60" spans="3:7" x14ac:dyDescent="0.3">
      <c r="C60" s="109"/>
      <c r="D60" s="109"/>
      <c r="E60" s="109"/>
      <c r="F60" s="110"/>
      <c r="G60" s="109"/>
    </row>
    <row r="61" spans="3:7" x14ac:dyDescent="0.3">
      <c r="C61" s="109"/>
      <c r="D61" s="109"/>
      <c r="E61" s="109"/>
      <c r="F61" s="110"/>
      <c r="G61" s="109"/>
    </row>
    <row r="62" spans="3:7" x14ac:dyDescent="0.3">
      <c r="C62" s="109"/>
      <c r="D62" s="109"/>
      <c r="E62" s="109"/>
      <c r="F62" s="110"/>
      <c r="G62" s="109"/>
    </row>
    <row r="63" spans="3:7" x14ac:dyDescent="0.3">
      <c r="C63" s="109"/>
      <c r="D63" s="109"/>
      <c r="E63" s="109"/>
      <c r="F63" s="110"/>
      <c r="G63" s="109"/>
    </row>
    <row r="64" spans="3:7" x14ac:dyDescent="0.3">
      <c r="C64" s="109"/>
      <c r="D64" s="109"/>
      <c r="E64" s="109"/>
      <c r="F64" s="110"/>
      <c r="G64" s="109"/>
    </row>
    <row r="65" spans="3:7" x14ac:dyDescent="0.3">
      <c r="C65" s="109"/>
      <c r="D65" s="109"/>
      <c r="E65" s="109"/>
      <c r="F65" s="110"/>
      <c r="G65" s="109"/>
    </row>
    <row r="66" spans="3:7" x14ac:dyDescent="0.3">
      <c r="C66" s="109"/>
      <c r="D66" s="109"/>
      <c r="E66" s="109"/>
      <c r="F66" s="110"/>
      <c r="G66" s="109"/>
    </row>
    <row r="67" spans="3:7" x14ac:dyDescent="0.3">
      <c r="C67" s="109"/>
      <c r="D67" s="109"/>
      <c r="E67" s="109"/>
      <c r="F67" s="110"/>
      <c r="G67" s="109"/>
    </row>
    <row r="68" spans="3:7" x14ac:dyDescent="0.3">
      <c r="C68" s="109"/>
      <c r="D68" s="109"/>
      <c r="E68" s="109"/>
      <c r="F68" s="110"/>
      <c r="G68" s="109"/>
    </row>
    <row r="69" spans="3:7" x14ac:dyDescent="0.3">
      <c r="C69" s="109"/>
      <c r="D69" s="109"/>
      <c r="E69" s="109"/>
      <c r="F69" s="110"/>
      <c r="G69" s="109"/>
    </row>
    <row r="70" spans="3:7" x14ac:dyDescent="0.3">
      <c r="C70" s="109"/>
      <c r="D70" s="109"/>
      <c r="E70" s="109"/>
      <c r="F70" s="110"/>
      <c r="G70" s="109"/>
    </row>
    <row r="71" spans="3:7" x14ac:dyDescent="0.3">
      <c r="C71" s="109"/>
      <c r="D71" s="109"/>
      <c r="E71" s="109"/>
      <c r="F71" s="110"/>
      <c r="G71" s="109"/>
    </row>
    <row r="72" spans="3:7" x14ac:dyDescent="0.3">
      <c r="C72" s="109"/>
      <c r="D72" s="109"/>
      <c r="E72" s="109"/>
      <c r="F72" s="110"/>
      <c r="G72" s="109"/>
    </row>
    <row r="73" spans="3:7" x14ac:dyDescent="0.3">
      <c r="C73" s="109"/>
      <c r="D73" s="109"/>
      <c r="E73" s="109"/>
      <c r="F73" s="110"/>
      <c r="G73" s="109"/>
    </row>
    <row r="74" spans="3:7" x14ac:dyDescent="0.3">
      <c r="C74" s="109"/>
      <c r="D74" s="109"/>
      <c r="E74" s="109"/>
      <c r="F74" s="110"/>
      <c r="G74" s="109"/>
    </row>
    <row r="75" spans="3:7" x14ac:dyDescent="0.3">
      <c r="C75" s="109"/>
      <c r="D75" s="109"/>
      <c r="E75" s="109"/>
      <c r="F75" s="110"/>
      <c r="G75" s="109"/>
    </row>
    <row r="76" spans="3:7" x14ac:dyDescent="0.3">
      <c r="C76" s="109"/>
      <c r="D76" s="109"/>
      <c r="E76" s="109"/>
      <c r="F76" s="110"/>
      <c r="G76" s="109"/>
    </row>
    <row r="77" spans="3:7" x14ac:dyDescent="0.3">
      <c r="C77" s="109"/>
      <c r="D77" s="109"/>
      <c r="E77" s="109"/>
      <c r="F77" s="110"/>
      <c r="G77" s="109"/>
    </row>
    <row r="78" spans="3:7" x14ac:dyDescent="0.3">
      <c r="C78" s="109"/>
      <c r="D78" s="109"/>
      <c r="E78" s="109"/>
      <c r="F78" s="110"/>
      <c r="G78" s="109"/>
    </row>
    <row r="79" spans="3:7" x14ac:dyDescent="0.3">
      <c r="C79" s="109"/>
      <c r="D79" s="109"/>
      <c r="E79" s="109"/>
      <c r="F79" s="110"/>
      <c r="G79" s="109"/>
    </row>
    <row r="80" spans="3:7" x14ac:dyDescent="0.3">
      <c r="C80" s="109"/>
      <c r="D80" s="109"/>
      <c r="E80" s="109"/>
      <c r="F80" s="110"/>
      <c r="G80" s="109"/>
    </row>
    <row r="81" spans="3:7" x14ac:dyDescent="0.3">
      <c r="C81" s="109"/>
      <c r="D81" s="109"/>
      <c r="E81" s="109"/>
      <c r="F81" s="110"/>
      <c r="G81" s="109"/>
    </row>
    <row r="82" spans="3:7" x14ac:dyDescent="0.3">
      <c r="C82" s="109"/>
      <c r="D82" s="109"/>
      <c r="E82" s="109"/>
      <c r="F82" s="110"/>
      <c r="G82" s="109"/>
    </row>
    <row r="83" spans="3:7" x14ac:dyDescent="0.3">
      <c r="C83" s="109"/>
      <c r="D83" s="109"/>
      <c r="E83" s="109"/>
      <c r="F83" s="110"/>
      <c r="G83" s="109"/>
    </row>
    <row r="84" spans="3:7" x14ac:dyDescent="0.3">
      <c r="C84" s="109"/>
      <c r="D84" s="109"/>
      <c r="E84" s="109"/>
      <c r="F84" s="110"/>
      <c r="G84" s="109"/>
    </row>
    <row r="85" spans="3:7" x14ac:dyDescent="0.3">
      <c r="C85" s="109"/>
      <c r="D85" s="109"/>
      <c r="E85" s="109"/>
      <c r="F85" s="110"/>
      <c r="G85" s="109"/>
    </row>
    <row r="86" spans="3:7" x14ac:dyDescent="0.3">
      <c r="C86" s="109"/>
      <c r="D86" s="109"/>
      <c r="E86" s="109"/>
      <c r="F86" s="110"/>
      <c r="G86" s="109"/>
    </row>
    <row r="87" spans="3:7" x14ac:dyDescent="0.3">
      <c r="C87" s="109"/>
      <c r="D87" s="109"/>
      <c r="E87" s="109"/>
      <c r="F87" s="110"/>
      <c r="G87" s="109"/>
    </row>
    <row r="88" spans="3:7" x14ac:dyDescent="0.3">
      <c r="C88" s="109"/>
      <c r="D88" s="109"/>
      <c r="E88" s="109"/>
      <c r="F88" s="110"/>
      <c r="G88" s="109"/>
    </row>
    <row r="89" spans="3:7" x14ac:dyDescent="0.3">
      <c r="C89" s="109"/>
      <c r="D89" s="109"/>
      <c r="E89" s="109"/>
      <c r="F89" s="110"/>
      <c r="G89" s="109"/>
    </row>
    <row r="90" spans="3:7" x14ac:dyDescent="0.3">
      <c r="C90" s="109"/>
      <c r="D90" s="109"/>
      <c r="E90" s="109"/>
      <c r="F90" s="110"/>
      <c r="G90" s="109"/>
    </row>
    <row r="91" spans="3:7" x14ac:dyDescent="0.3">
      <c r="C91" s="109"/>
      <c r="D91" s="109"/>
      <c r="E91" s="109"/>
      <c r="F91" s="110"/>
      <c r="G91" s="109"/>
    </row>
    <row r="92" spans="3:7" x14ac:dyDescent="0.3">
      <c r="C92" s="109"/>
      <c r="D92" s="109"/>
      <c r="E92" s="109"/>
      <c r="F92" s="110"/>
      <c r="G92" s="109"/>
    </row>
    <row r="93" spans="3:7" x14ac:dyDescent="0.3">
      <c r="C93" s="109"/>
      <c r="D93" s="109"/>
      <c r="E93" s="109"/>
      <c r="F93" s="110"/>
      <c r="G93" s="109"/>
    </row>
    <row r="94" spans="3:7" x14ac:dyDescent="0.3">
      <c r="C94" s="109"/>
      <c r="D94" s="109"/>
      <c r="E94" s="109"/>
      <c r="F94" s="110"/>
      <c r="G94" s="109"/>
    </row>
    <row r="95" spans="3:7" x14ac:dyDescent="0.3">
      <c r="C95" s="109"/>
      <c r="D95" s="109"/>
      <c r="E95" s="109"/>
      <c r="F95" s="110"/>
      <c r="G95" s="109"/>
    </row>
    <row r="96" spans="3:7" x14ac:dyDescent="0.3">
      <c r="C96" s="109"/>
      <c r="D96" s="109"/>
      <c r="E96" s="109"/>
      <c r="F96" s="110"/>
      <c r="G96" s="109"/>
    </row>
    <row r="97" spans="3:7" x14ac:dyDescent="0.3">
      <c r="C97" s="109"/>
      <c r="D97" s="109"/>
      <c r="E97" s="109"/>
      <c r="F97" s="110"/>
      <c r="G97" s="109"/>
    </row>
    <row r="98" spans="3:7" x14ac:dyDescent="0.3">
      <c r="C98" s="109"/>
      <c r="D98" s="109"/>
      <c r="E98" s="109"/>
      <c r="F98" s="110"/>
      <c r="G98" s="109"/>
    </row>
    <row r="99" spans="3:7" x14ac:dyDescent="0.3">
      <c r="C99" s="109"/>
      <c r="D99" s="109"/>
      <c r="E99" s="109"/>
      <c r="F99" s="110"/>
      <c r="G99" s="109"/>
    </row>
    <row r="100" spans="3:7" x14ac:dyDescent="0.3">
      <c r="C100" s="109"/>
      <c r="D100" s="109"/>
      <c r="E100" s="109"/>
      <c r="F100" s="110"/>
      <c r="G100" s="109"/>
    </row>
    <row r="101" spans="3:7" x14ac:dyDescent="0.3">
      <c r="C101" s="109"/>
      <c r="D101" s="109"/>
      <c r="E101" s="109"/>
      <c r="F101" s="110"/>
      <c r="G101" s="109"/>
    </row>
    <row r="102" spans="3:7" x14ac:dyDescent="0.3">
      <c r="C102" s="109"/>
      <c r="D102" s="109"/>
      <c r="E102" s="109"/>
      <c r="F102" s="110"/>
      <c r="G102" s="109"/>
    </row>
    <row r="103" spans="3:7" x14ac:dyDescent="0.3">
      <c r="C103" s="109"/>
      <c r="D103" s="109"/>
      <c r="E103" s="109"/>
      <c r="F103" s="110"/>
      <c r="G103" s="109"/>
    </row>
    <row r="104" spans="3:7" x14ac:dyDescent="0.3">
      <c r="C104" s="109"/>
      <c r="D104" s="109"/>
      <c r="E104" s="109"/>
      <c r="F104" s="110"/>
      <c r="G104" s="109"/>
    </row>
    <row r="105" spans="3:7" x14ac:dyDescent="0.3">
      <c r="C105" s="109"/>
      <c r="D105" s="109"/>
      <c r="E105" s="109"/>
      <c r="F105" s="110"/>
      <c r="G105" s="109"/>
    </row>
    <row r="106" spans="3:7" x14ac:dyDescent="0.3">
      <c r="C106" s="109"/>
      <c r="D106" s="109"/>
      <c r="E106" s="109"/>
      <c r="F106" s="110"/>
      <c r="G106" s="109"/>
    </row>
    <row r="107" spans="3:7" x14ac:dyDescent="0.3">
      <c r="C107" s="109"/>
      <c r="D107" s="109"/>
      <c r="E107" s="109"/>
      <c r="F107" s="110"/>
      <c r="G107" s="109"/>
    </row>
    <row r="108" spans="3:7" x14ac:dyDescent="0.3">
      <c r="C108" s="109"/>
      <c r="D108" s="109"/>
      <c r="E108" s="109"/>
      <c r="F108" s="110"/>
      <c r="G108" s="109"/>
    </row>
    <row r="109" spans="3:7" x14ac:dyDescent="0.3">
      <c r="C109" s="109"/>
      <c r="D109" s="109"/>
      <c r="E109" s="109"/>
      <c r="F109" s="110"/>
      <c r="G109" s="109"/>
    </row>
    <row r="110" spans="3:7" x14ac:dyDescent="0.3">
      <c r="C110" s="109"/>
      <c r="D110" s="109"/>
      <c r="E110" s="109"/>
      <c r="F110" s="110"/>
      <c r="G110" s="109"/>
    </row>
    <row r="111" spans="3:7" x14ac:dyDescent="0.3">
      <c r="C111" s="109"/>
      <c r="D111" s="109"/>
      <c r="E111" s="109"/>
      <c r="F111" s="110"/>
      <c r="G111" s="109"/>
    </row>
    <row r="112" spans="3:7" x14ac:dyDescent="0.3">
      <c r="C112" s="109"/>
      <c r="D112" s="109"/>
      <c r="E112" s="109"/>
      <c r="F112" s="110"/>
      <c r="G112" s="109"/>
    </row>
    <row r="113" spans="3:7" x14ac:dyDescent="0.3">
      <c r="C113" s="109"/>
      <c r="D113" s="109"/>
      <c r="E113" s="109"/>
      <c r="F113" s="110"/>
      <c r="G113" s="109"/>
    </row>
    <row r="114" spans="3:7" x14ac:dyDescent="0.3">
      <c r="C114" s="109"/>
      <c r="D114" s="109"/>
      <c r="E114" s="109"/>
      <c r="F114" s="110"/>
      <c r="G114" s="109"/>
    </row>
    <row r="115" spans="3:7" x14ac:dyDescent="0.3">
      <c r="C115" s="109"/>
      <c r="D115" s="109"/>
      <c r="E115" s="109"/>
      <c r="F115" s="110"/>
      <c r="G115" s="109"/>
    </row>
    <row r="116" spans="3:7" x14ac:dyDescent="0.3">
      <c r="C116" s="109"/>
      <c r="D116" s="109"/>
      <c r="E116" s="109"/>
      <c r="F116" s="110"/>
      <c r="G116" s="109"/>
    </row>
    <row r="117" spans="3:7" x14ac:dyDescent="0.3">
      <c r="C117" s="109"/>
      <c r="D117" s="109"/>
      <c r="E117" s="109"/>
      <c r="F117" s="110"/>
      <c r="G117" s="109"/>
    </row>
    <row r="118" spans="3:7" x14ac:dyDescent="0.3">
      <c r="C118" s="109"/>
      <c r="D118" s="109"/>
      <c r="E118" s="109"/>
      <c r="F118" s="110"/>
      <c r="G118" s="109"/>
    </row>
    <row r="119" spans="3:7" x14ac:dyDescent="0.3">
      <c r="C119" s="109"/>
      <c r="D119" s="109"/>
      <c r="E119" s="109"/>
      <c r="F119" s="110"/>
      <c r="G119" s="109"/>
    </row>
    <row r="120" spans="3:7" x14ac:dyDescent="0.3">
      <c r="C120" s="109"/>
      <c r="D120" s="109"/>
      <c r="E120" s="109"/>
      <c r="F120" s="110"/>
      <c r="G120" s="109"/>
    </row>
    <row r="121" spans="3:7" x14ac:dyDescent="0.3">
      <c r="C121" s="109"/>
      <c r="D121" s="109"/>
      <c r="E121" s="109"/>
      <c r="F121" s="110"/>
      <c r="G121" s="109"/>
    </row>
    <row r="122" spans="3:7" x14ac:dyDescent="0.3">
      <c r="C122" s="109"/>
      <c r="D122" s="109"/>
      <c r="E122" s="109"/>
      <c r="F122" s="110"/>
      <c r="G122" s="109"/>
    </row>
    <row r="123" spans="3:7" x14ac:dyDescent="0.3">
      <c r="C123" s="109"/>
      <c r="D123" s="109"/>
      <c r="E123" s="109"/>
      <c r="F123" s="110"/>
      <c r="G123" s="109"/>
    </row>
    <row r="124" spans="3:7" x14ac:dyDescent="0.3">
      <c r="C124" s="109"/>
      <c r="D124" s="109"/>
      <c r="E124" s="109"/>
      <c r="F124" s="110"/>
      <c r="G124" s="109"/>
    </row>
    <row r="125" spans="3:7" x14ac:dyDescent="0.3">
      <c r="C125" s="109"/>
      <c r="D125" s="109"/>
      <c r="E125" s="109"/>
      <c r="F125" s="110"/>
      <c r="G125" s="109"/>
    </row>
    <row r="126" spans="3:7" x14ac:dyDescent="0.3">
      <c r="C126" s="109"/>
      <c r="D126" s="109"/>
      <c r="E126" s="109"/>
      <c r="F126" s="110"/>
      <c r="G126" s="109"/>
    </row>
    <row r="127" spans="3:7" x14ac:dyDescent="0.3">
      <c r="C127" s="109"/>
      <c r="D127" s="109"/>
      <c r="E127" s="109"/>
      <c r="F127" s="110"/>
      <c r="G127" s="109"/>
    </row>
    <row r="128" spans="3:7" x14ac:dyDescent="0.3">
      <c r="C128" s="109"/>
      <c r="D128" s="109"/>
      <c r="E128" s="109"/>
      <c r="F128" s="110"/>
      <c r="G128" s="109"/>
    </row>
    <row r="129" spans="3:7" x14ac:dyDescent="0.3">
      <c r="C129" s="109"/>
      <c r="D129" s="109"/>
      <c r="E129" s="109"/>
      <c r="F129" s="110"/>
      <c r="G129" s="109"/>
    </row>
    <row r="130" spans="3:7" x14ac:dyDescent="0.3">
      <c r="C130" s="109"/>
      <c r="D130" s="109"/>
      <c r="E130" s="109"/>
      <c r="F130" s="110"/>
      <c r="G130" s="109"/>
    </row>
    <row r="131" spans="3:7" x14ac:dyDescent="0.3">
      <c r="C131" s="109"/>
      <c r="D131" s="109"/>
      <c r="E131" s="109"/>
      <c r="F131" s="110"/>
      <c r="G131" s="109"/>
    </row>
    <row r="132" spans="3:7" x14ac:dyDescent="0.3">
      <c r="C132" s="109"/>
      <c r="D132" s="109"/>
      <c r="E132" s="109"/>
      <c r="F132" s="110"/>
      <c r="G132" s="109"/>
    </row>
    <row r="133" spans="3:7" x14ac:dyDescent="0.3">
      <c r="C133" s="109"/>
      <c r="D133" s="109"/>
      <c r="E133" s="109"/>
      <c r="F133" s="110"/>
      <c r="G133" s="109"/>
    </row>
    <row r="134" spans="3:7" x14ac:dyDescent="0.3">
      <c r="C134" s="109"/>
      <c r="D134" s="109"/>
      <c r="E134" s="109"/>
      <c r="F134" s="110"/>
      <c r="G134" s="109"/>
    </row>
    <row r="135" spans="3:7" x14ac:dyDescent="0.3">
      <c r="C135" s="109"/>
      <c r="D135" s="109"/>
      <c r="E135" s="109"/>
      <c r="F135" s="110"/>
      <c r="G135" s="109"/>
    </row>
    <row r="136" spans="3:7" x14ac:dyDescent="0.3">
      <c r="C136" s="109"/>
      <c r="D136" s="109"/>
      <c r="E136" s="109"/>
      <c r="F136" s="110"/>
      <c r="G136" s="109"/>
    </row>
    <row r="137" spans="3:7" x14ac:dyDescent="0.3">
      <c r="C137" s="109"/>
      <c r="D137" s="109"/>
      <c r="E137" s="109"/>
      <c r="F137" s="110"/>
      <c r="G137" s="109"/>
    </row>
    <row r="138" spans="3:7" x14ac:dyDescent="0.3">
      <c r="C138" s="109"/>
      <c r="D138" s="109"/>
      <c r="E138" s="109"/>
      <c r="F138" s="110"/>
      <c r="G138" s="109"/>
    </row>
    <row r="139" spans="3:7" x14ac:dyDescent="0.3">
      <c r="C139" s="109"/>
      <c r="D139" s="109"/>
      <c r="E139" s="109"/>
      <c r="F139" s="110"/>
      <c r="G139" s="109"/>
    </row>
    <row r="140" spans="3:7" x14ac:dyDescent="0.3">
      <c r="C140" s="109"/>
      <c r="D140" s="109"/>
      <c r="E140" s="109"/>
      <c r="F140" s="110"/>
      <c r="G140" s="109"/>
    </row>
    <row r="141" spans="3:7" x14ac:dyDescent="0.3">
      <c r="C141" s="109"/>
      <c r="D141" s="109"/>
      <c r="E141" s="109"/>
      <c r="F141" s="110"/>
      <c r="G141" s="109"/>
    </row>
    <row r="142" spans="3:7" x14ac:dyDescent="0.3">
      <c r="C142" s="109"/>
      <c r="D142" s="109"/>
      <c r="E142" s="109"/>
      <c r="F142" s="110"/>
      <c r="G142" s="109"/>
    </row>
    <row r="143" spans="3:7" x14ac:dyDescent="0.3">
      <c r="C143" s="109"/>
      <c r="D143" s="109"/>
      <c r="E143" s="109"/>
      <c r="F143" s="110"/>
      <c r="G143" s="109"/>
    </row>
    <row r="144" spans="3:7" x14ac:dyDescent="0.3">
      <c r="C144" s="109"/>
      <c r="D144" s="109"/>
      <c r="E144" s="109"/>
      <c r="F144" s="110"/>
      <c r="G144" s="109"/>
    </row>
    <row r="145" spans="3:7" x14ac:dyDescent="0.3">
      <c r="C145" s="109"/>
      <c r="D145" s="109"/>
      <c r="E145" s="109"/>
      <c r="F145" s="110"/>
      <c r="G145" s="109"/>
    </row>
    <row r="146" spans="3:7" x14ac:dyDescent="0.3">
      <c r="C146" s="109"/>
      <c r="D146" s="109"/>
      <c r="E146" s="109"/>
      <c r="F146" s="110"/>
      <c r="G146" s="109"/>
    </row>
    <row r="147" spans="3:7" x14ac:dyDescent="0.3">
      <c r="C147" s="109"/>
      <c r="D147" s="109"/>
      <c r="E147" s="109"/>
      <c r="F147" s="110"/>
      <c r="G147" s="109"/>
    </row>
    <row r="148" spans="3:7" x14ac:dyDescent="0.3">
      <c r="C148" s="109"/>
      <c r="D148" s="109"/>
      <c r="E148" s="109"/>
      <c r="F148" s="110"/>
      <c r="G148" s="109"/>
    </row>
    <row r="149" spans="3:7" x14ac:dyDescent="0.3">
      <c r="C149" s="109"/>
      <c r="D149" s="109"/>
      <c r="E149" s="109"/>
      <c r="F149" s="110"/>
      <c r="G149" s="109"/>
    </row>
    <row r="150" spans="3:7" x14ac:dyDescent="0.3">
      <c r="C150" s="109"/>
      <c r="D150" s="109"/>
      <c r="E150" s="109"/>
      <c r="F150" s="110"/>
      <c r="G150" s="109"/>
    </row>
    <row r="151" spans="3:7" x14ac:dyDescent="0.3">
      <c r="C151" s="109"/>
      <c r="D151" s="109"/>
      <c r="E151" s="109"/>
      <c r="F151" s="110"/>
      <c r="G151" s="109"/>
    </row>
    <row r="152" spans="3:7" x14ac:dyDescent="0.3">
      <c r="C152" s="109"/>
      <c r="D152" s="109"/>
      <c r="E152" s="109"/>
      <c r="F152" s="110"/>
      <c r="G152" s="109"/>
    </row>
    <row r="153" spans="3:7" x14ac:dyDescent="0.3">
      <c r="C153" s="109"/>
      <c r="D153" s="109"/>
      <c r="E153" s="109"/>
      <c r="F153" s="110"/>
      <c r="G153" s="109"/>
    </row>
    <row r="154" spans="3:7" x14ac:dyDescent="0.3">
      <c r="C154" s="109"/>
      <c r="D154" s="109"/>
      <c r="E154" s="109"/>
      <c r="F154" s="110"/>
      <c r="G154" s="109"/>
    </row>
    <row r="155" spans="3:7" x14ac:dyDescent="0.3">
      <c r="C155" s="109"/>
      <c r="D155" s="109"/>
      <c r="E155" s="109"/>
      <c r="F155" s="110"/>
      <c r="G155" s="109"/>
    </row>
    <row r="156" spans="3:7" x14ac:dyDescent="0.3">
      <c r="C156" s="109"/>
      <c r="D156" s="109"/>
      <c r="E156" s="109"/>
      <c r="F156" s="110"/>
      <c r="G156" s="109"/>
    </row>
    <row r="157" spans="3:7" x14ac:dyDescent="0.3">
      <c r="C157" s="109"/>
      <c r="D157" s="109"/>
      <c r="E157" s="109"/>
      <c r="F157" s="110"/>
      <c r="G157" s="109"/>
    </row>
    <row r="158" spans="3:7" x14ac:dyDescent="0.3">
      <c r="C158" s="109"/>
      <c r="D158" s="109"/>
      <c r="E158" s="109"/>
      <c r="F158" s="110"/>
      <c r="G158" s="109"/>
    </row>
    <row r="159" spans="3:7" x14ac:dyDescent="0.3">
      <c r="C159" s="109"/>
      <c r="D159" s="109"/>
      <c r="E159" s="109"/>
      <c r="F159" s="110"/>
      <c r="G159" s="109"/>
    </row>
    <row r="160" spans="3:7" x14ac:dyDescent="0.3">
      <c r="C160" s="109"/>
      <c r="D160" s="109"/>
      <c r="E160" s="109"/>
      <c r="F160" s="110"/>
      <c r="G160" s="109"/>
    </row>
    <row r="161" spans="3:7" x14ac:dyDescent="0.3">
      <c r="C161" s="109"/>
      <c r="D161" s="109"/>
      <c r="E161" s="109"/>
      <c r="F161" s="110"/>
      <c r="G161" s="109"/>
    </row>
    <row r="162" spans="3:7" x14ac:dyDescent="0.3">
      <c r="C162" s="109"/>
      <c r="D162" s="109"/>
      <c r="E162" s="109"/>
      <c r="F162" s="110"/>
      <c r="G162" s="109"/>
    </row>
    <row r="163" spans="3:7" x14ac:dyDescent="0.3">
      <c r="C163" s="109"/>
      <c r="D163" s="109"/>
      <c r="E163" s="109"/>
      <c r="F163" s="110"/>
      <c r="G163" s="109"/>
    </row>
    <row r="164" spans="3:7" x14ac:dyDescent="0.3">
      <c r="C164" s="109"/>
      <c r="D164" s="109"/>
      <c r="E164" s="109"/>
      <c r="F164" s="110"/>
      <c r="G164" s="109"/>
    </row>
    <row r="165" spans="3:7" x14ac:dyDescent="0.3">
      <c r="C165" s="109"/>
      <c r="D165" s="109"/>
      <c r="E165" s="109"/>
      <c r="F165" s="110"/>
      <c r="G165" s="109"/>
    </row>
    <row r="166" spans="3:7" x14ac:dyDescent="0.3">
      <c r="C166" s="109"/>
      <c r="D166" s="109"/>
      <c r="E166" s="109"/>
      <c r="F166" s="110"/>
      <c r="G166" s="109"/>
    </row>
    <row r="167" spans="3:7" x14ac:dyDescent="0.3">
      <c r="C167" s="109"/>
      <c r="D167" s="109"/>
      <c r="E167" s="109"/>
      <c r="F167" s="110"/>
      <c r="G167" s="109"/>
    </row>
    <row r="168" spans="3:7" x14ac:dyDescent="0.3">
      <c r="C168" s="109"/>
      <c r="D168" s="109"/>
      <c r="E168" s="109"/>
      <c r="F168" s="110"/>
      <c r="G168" s="109"/>
    </row>
    <row r="169" spans="3:7" x14ac:dyDescent="0.3">
      <c r="C169" s="109"/>
      <c r="D169" s="109"/>
      <c r="E169" s="109"/>
      <c r="F169" s="110"/>
      <c r="G169" s="109"/>
    </row>
    <row r="170" spans="3:7" x14ac:dyDescent="0.3">
      <c r="C170" s="109"/>
      <c r="D170" s="109"/>
      <c r="E170" s="109"/>
      <c r="F170" s="110"/>
      <c r="G170" s="109"/>
    </row>
    <row r="171" spans="3:7" x14ac:dyDescent="0.3">
      <c r="C171" s="109"/>
      <c r="D171" s="109"/>
      <c r="E171" s="109"/>
      <c r="F171" s="110"/>
      <c r="G171" s="109"/>
    </row>
    <row r="172" spans="3:7" x14ac:dyDescent="0.3">
      <c r="C172" s="109"/>
      <c r="D172" s="109"/>
      <c r="E172" s="109"/>
      <c r="F172" s="110"/>
      <c r="G172" s="109"/>
    </row>
    <row r="173" spans="3:7" x14ac:dyDescent="0.3">
      <c r="C173" s="109"/>
      <c r="D173" s="109"/>
      <c r="E173" s="109"/>
      <c r="F173" s="110"/>
      <c r="G173" s="109"/>
    </row>
    <row r="174" spans="3:7" x14ac:dyDescent="0.3">
      <c r="C174" s="109"/>
      <c r="D174" s="109"/>
      <c r="E174" s="109"/>
      <c r="F174" s="110"/>
      <c r="G174" s="109"/>
    </row>
    <row r="175" spans="3:7" x14ac:dyDescent="0.3">
      <c r="C175" s="109"/>
      <c r="D175" s="109"/>
      <c r="E175" s="109"/>
      <c r="F175" s="110"/>
      <c r="G175" s="109"/>
    </row>
    <row r="176" spans="3:7" x14ac:dyDescent="0.3">
      <c r="C176" s="109"/>
      <c r="D176" s="109"/>
      <c r="E176" s="109"/>
      <c r="F176" s="110"/>
      <c r="G176" s="109"/>
    </row>
    <row r="177" spans="3:7" x14ac:dyDescent="0.3">
      <c r="C177" s="109"/>
      <c r="D177" s="109"/>
      <c r="E177" s="109"/>
      <c r="F177" s="110"/>
      <c r="G177" s="109"/>
    </row>
    <row r="178" spans="3:7" x14ac:dyDescent="0.3">
      <c r="C178" s="109"/>
      <c r="D178" s="109"/>
      <c r="E178" s="109"/>
      <c r="F178" s="110"/>
      <c r="G178" s="109"/>
    </row>
    <row r="179" spans="3:7" x14ac:dyDescent="0.3">
      <c r="C179" s="109"/>
      <c r="D179" s="109"/>
      <c r="E179" s="109"/>
      <c r="F179" s="110"/>
      <c r="G179" s="109"/>
    </row>
    <row r="180" spans="3:7" x14ac:dyDescent="0.3">
      <c r="C180" s="109"/>
      <c r="D180" s="109"/>
      <c r="E180" s="109"/>
      <c r="F180" s="110"/>
      <c r="G180" s="109"/>
    </row>
    <row r="181" spans="3:7" x14ac:dyDescent="0.3">
      <c r="C181" s="109"/>
      <c r="D181" s="109"/>
      <c r="E181" s="109"/>
      <c r="F181" s="110"/>
      <c r="G181" s="109"/>
    </row>
    <row r="182" spans="3:7" x14ac:dyDescent="0.3">
      <c r="C182" s="109"/>
      <c r="D182" s="109"/>
      <c r="E182" s="109"/>
      <c r="F182" s="110"/>
      <c r="G182" s="109"/>
    </row>
    <row r="183" spans="3:7" x14ac:dyDescent="0.3">
      <c r="C183" s="109"/>
      <c r="D183" s="109"/>
      <c r="E183" s="109"/>
      <c r="F183" s="110"/>
      <c r="G183" s="109"/>
    </row>
    <row r="184" spans="3:7" x14ac:dyDescent="0.3">
      <c r="C184" s="109"/>
      <c r="D184" s="109"/>
      <c r="E184" s="109"/>
      <c r="F184" s="110"/>
      <c r="G184" s="109"/>
    </row>
    <row r="185" spans="3:7" x14ac:dyDescent="0.3">
      <c r="C185" s="109"/>
      <c r="D185" s="109"/>
      <c r="E185" s="109"/>
      <c r="F185" s="110"/>
      <c r="G185" s="109"/>
    </row>
    <row r="186" spans="3:7" x14ac:dyDescent="0.3">
      <c r="C186" s="109"/>
      <c r="D186" s="109"/>
      <c r="E186" s="109"/>
      <c r="F186" s="110"/>
      <c r="G186" s="109"/>
    </row>
    <row r="187" spans="3:7" x14ac:dyDescent="0.3">
      <c r="C187" s="109"/>
      <c r="D187" s="109"/>
      <c r="E187" s="109"/>
      <c r="F187" s="110"/>
      <c r="G187" s="109"/>
    </row>
    <row r="188" spans="3:7" x14ac:dyDescent="0.3">
      <c r="C188" s="109"/>
      <c r="D188" s="109"/>
      <c r="E188" s="109"/>
      <c r="F188" s="110"/>
      <c r="G188" s="109"/>
    </row>
    <row r="189" spans="3:7" x14ac:dyDescent="0.3">
      <c r="C189" s="109"/>
      <c r="D189" s="109"/>
      <c r="E189" s="109"/>
      <c r="F189" s="110"/>
      <c r="G189" s="109"/>
    </row>
    <row r="190" spans="3:7" x14ac:dyDescent="0.3">
      <c r="C190" s="109"/>
      <c r="D190" s="109"/>
      <c r="E190" s="109"/>
      <c r="F190" s="110"/>
      <c r="G190" s="109"/>
    </row>
    <row r="191" spans="3:7" x14ac:dyDescent="0.3">
      <c r="C191" s="109"/>
      <c r="D191" s="109"/>
      <c r="E191" s="109"/>
      <c r="F191" s="110"/>
      <c r="G191" s="109"/>
    </row>
    <row r="192" spans="3:7" x14ac:dyDescent="0.3">
      <c r="C192" s="109"/>
      <c r="D192" s="109"/>
      <c r="E192" s="109"/>
      <c r="F192" s="110"/>
      <c r="G192" s="109"/>
    </row>
    <row r="193" spans="3:7" x14ac:dyDescent="0.3">
      <c r="C193" s="109"/>
      <c r="D193" s="109"/>
      <c r="E193" s="109"/>
      <c r="F193" s="110"/>
      <c r="G193" s="109"/>
    </row>
    <row r="194" spans="3:7" x14ac:dyDescent="0.3">
      <c r="C194" s="109"/>
      <c r="D194" s="109"/>
      <c r="E194" s="109"/>
      <c r="F194" s="110"/>
      <c r="G194" s="109"/>
    </row>
    <row r="195" spans="3:7" x14ac:dyDescent="0.3">
      <c r="C195" s="109"/>
      <c r="D195" s="109"/>
      <c r="E195" s="109"/>
      <c r="F195" s="110"/>
      <c r="G195" s="109"/>
    </row>
    <row r="196" spans="3:7" x14ac:dyDescent="0.3">
      <c r="C196" s="109"/>
      <c r="D196" s="109"/>
      <c r="E196" s="109"/>
      <c r="F196" s="110"/>
      <c r="G196" s="109"/>
    </row>
    <row r="197" spans="3:7" x14ac:dyDescent="0.3">
      <c r="C197" s="109"/>
      <c r="D197" s="109"/>
      <c r="E197" s="109"/>
      <c r="F197" s="110"/>
      <c r="G197" s="109"/>
    </row>
    <row r="198" spans="3:7" x14ac:dyDescent="0.3">
      <c r="C198" s="109"/>
      <c r="D198" s="109"/>
      <c r="E198" s="109"/>
      <c r="F198" s="110"/>
      <c r="G198" s="109"/>
    </row>
    <row r="199" spans="3:7" x14ac:dyDescent="0.3">
      <c r="C199" s="109"/>
      <c r="D199" s="109"/>
      <c r="E199" s="109"/>
      <c r="F199" s="110"/>
      <c r="G199" s="109"/>
    </row>
    <row r="200" spans="3:7" x14ac:dyDescent="0.3">
      <c r="C200" s="109"/>
      <c r="D200" s="109"/>
      <c r="E200" s="109"/>
      <c r="F200" s="110"/>
      <c r="G200" s="109"/>
    </row>
    <row r="201" spans="3:7" x14ac:dyDescent="0.3">
      <c r="C201" s="109"/>
      <c r="D201" s="109"/>
      <c r="E201" s="109"/>
      <c r="F201" s="110"/>
      <c r="G201" s="109"/>
    </row>
    <row r="202" spans="3:7" x14ac:dyDescent="0.3">
      <c r="C202" s="109"/>
      <c r="D202" s="109"/>
      <c r="E202" s="109"/>
      <c r="F202" s="110"/>
      <c r="G202" s="109"/>
    </row>
    <row r="203" spans="3:7" x14ac:dyDescent="0.3">
      <c r="C203" s="109"/>
      <c r="D203" s="109"/>
      <c r="E203" s="109"/>
      <c r="F203" s="110"/>
      <c r="G203" s="109"/>
    </row>
    <row r="204" spans="3:7" x14ac:dyDescent="0.3">
      <c r="C204" s="109"/>
      <c r="D204" s="109"/>
      <c r="E204" s="109"/>
      <c r="F204" s="110"/>
      <c r="G204" s="109"/>
    </row>
    <row r="205" spans="3:7" x14ac:dyDescent="0.3">
      <c r="C205" s="109"/>
      <c r="D205" s="109"/>
      <c r="E205" s="109"/>
      <c r="F205" s="110"/>
      <c r="G205" s="109"/>
    </row>
    <row r="206" spans="3:7" x14ac:dyDescent="0.3">
      <c r="C206" s="109"/>
      <c r="D206" s="109"/>
      <c r="E206" s="109"/>
      <c r="F206" s="110"/>
      <c r="G206" s="109"/>
    </row>
    <row r="207" spans="3:7" x14ac:dyDescent="0.3">
      <c r="C207" s="109"/>
      <c r="D207" s="109"/>
      <c r="E207" s="109"/>
      <c r="F207" s="110"/>
      <c r="G207" s="109"/>
    </row>
    <row r="208" spans="3:7" x14ac:dyDescent="0.3">
      <c r="C208" s="109"/>
      <c r="D208" s="109"/>
      <c r="E208" s="109"/>
      <c r="F208" s="110"/>
      <c r="G208" s="109"/>
    </row>
    <row r="209" spans="3:7" x14ac:dyDescent="0.3">
      <c r="C209" s="109"/>
      <c r="D209" s="109"/>
      <c r="E209" s="109"/>
      <c r="F209" s="110"/>
      <c r="G209" s="109"/>
    </row>
    <row r="210" spans="3:7" x14ac:dyDescent="0.3">
      <c r="C210" s="109"/>
      <c r="D210" s="109"/>
      <c r="E210" s="109"/>
      <c r="F210" s="110"/>
      <c r="G210" s="109"/>
    </row>
    <row r="211" spans="3:7" x14ac:dyDescent="0.3">
      <c r="C211" s="109"/>
      <c r="D211" s="109"/>
      <c r="E211" s="109"/>
      <c r="F211" s="110"/>
      <c r="G211" s="109"/>
    </row>
    <row r="212" spans="3:7" x14ac:dyDescent="0.3">
      <c r="C212" s="109"/>
      <c r="D212" s="109"/>
      <c r="E212" s="109"/>
      <c r="F212" s="110"/>
      <c r="G212" s="109"/>
    </row>
    <row r="213" spans="3:7" x14ac:dyDescent="0.3">
      <c r="C213" s="109"/>
      <c r="D213" s="109"/>
      <c r="E213" s="109"/>
      <c r="F213" s="110"/>
      <c r="G213" s="109"/>
    </row>
    <row r="214" spans="3:7" x14ac:dyDescent="0.3">
      <c r="C214" s="109"/>
      <c r="D214" s="109"/>
      <c r="E214" s="109"/>
      <c r="F214" s="110"/>
      <c r="G214" s="109"/>
    </row>
    <row r="215" spans="3:7" x14ac:dyDescent="0.3">
      <c r="C215" s="109"/>
      <c r="D215" s="109"/>
      <c r="E215" s="109"/>
      <c r="F215" s="110"/>
      <c r="G215" s="109"/>
    </row>
    <row r="216" spans="3:7" x14ac:dyDescent="0.3">
      <c r="C216" s="109"/>
      <c r="D216" s="109"/>
      <c r="E216" s="109"/>
      <c r="F216" s="110"/>
      <c r="G216" s="109"/>
    </row>
    <row r="217" spans="3:7" x14ac:dyDescent="0.3">
      <c r="C217" s="109"/>
      <c r="D217" s="109"/>
      <c r="E217" s="109"/>
      <c r="F217" s="110"/>
      <c r="G217" s="109"/>
    </row>
    <row r="218" spans="3:7" x14ac:dyDescent="0.3">
      <c r="C218" s="109"/>
      <c r="D218" s="109"/>
      <c r="E218" s="109"/>
      <c r="F218" s="110"/>
      <c r="G218" s="109"/>
    </row>
    <row r="219" spans="3:7" x14ac:dyDescent="0.3">
      <c r="C219" s="109"/>
      <c r="D219" s="109"/>
      <c r="E219" s="109"/>
      <c r="F219" s="110"/>
      <c r="G219" s="109"/>
    </row>
    <row r="220" spans="3:7" x14ac:dyDescent="0.3">
      <c r="C220" s="109"/>
      <c r="D220" s="109"/>
      <c r="E220" s="109"/>
      <c r="F220" s="110"/>
      <c r="G220" s="109"/>
    </row>
    <row r="221" spans="3:7" x14ac:dyDescent="0.3">
      <c r="C221" s="109"/>
      <c r="D221" s="109"/>
      <c r="E221" s="109"/>
      <c r="F221" s="110"/>
      <c r="G221" s="109"/>
    </row>
    <row r="222" spans="3:7" x14ac:dyDescent="0.3">
      <c r="C222" s="109"/>
      <c r="D222" s="109"/>
      <c r="E222" s="109"/>
      <c r="F222" s="110"/>
      <c r="G222" s="109"/>
    </row>
    <row r="223" spans="3:7" x14ac:dyDescent="0.3">
      <c r="C223" s="109"/>
      <c r="D223" s="109"/>
      <c r="E223" s="109"/>
      <c r="F223" s="110"/>
      <c r="G223" s="109"/>
    </row>
    <row r="224" spans="3:7" x14ac:dyDescent="0.3">
      <c r="C224" s="109"/>
      <c r="D224" s="109"/>
      <c r="E224" s="109"/>
      <c r="F224" s="110"/>
      <c r="G224" s="109"/>
    </row>
    <row r="225" spans="3:7" x14ac:dyDescent="0.3">
      <c r="C225" s="109"/>
      <c r="D225" s="109"/>
      <c r="E225" s="109"/>
      <c r="F225" s="110"/>
      <c r="G225" s="109"/>
    </row>
    <row r="226" spans="3:7" x14ac:dyDescent="0.3">
      <c r="C226" s="109"/>
      <c r="D226" s="109"/>
      <c r="E226" s="109"/>
      <c r="F226" s="110"/>
      <c r="G226" s="109"/>
    </row>
    <row r="227" spans="3:7" x14ac:dyDescent="0.3">
      <c r="C227" s="109"/>
      <c r="D227" s="109"/>
      <c r="E227" s="109"/>
      <c r="F227" s="110"/>
      <c r="G227" s="109"/>
    </row>
    <row r="228" spans="3:7" x14ac:dyDescent="0.3">
      <c r="C228" s="109"/>
      <c r="D228" s="109"/>
      <c r="E228" s="109"/>
      <c r="F228" s="110"/>
      <c r="G228" s="109"/>
    </row>
    <row r="229" spans="3:7" x14ac:dyDescent="0.3">
      <c r="C229" s="109"/>
      <c r="D229" s="109"/>
      <c r="E229" s="109"/>
      <c r="F229" s="110"/>
      <c r="G229" s="109"/>
    </row>
    <row r="230" spans="3:7" x14ac:dyDescent="0.3">
      <c r="C230" s="109"/>
      <c r="D230" s="109"/>
      <c r="E230" s="109"/>
      <c r="F230" s="110"/>
      <c r="G230" s="109"/>
    </row>
    <row r="231" spans="3:7" x14ac:dyDescent="0.3">
      <c r="C231" s="109"/>
      <c r="D231" s="109"/>
      <c r="E231" s="109"/>
      <c r="F231" s="110"/>
      <c r="G231" s="109"/>
    </row>
    <row r="232" spans="3:7" x14ac:dyDescent="0.3">
      <c r="C232" s="109"/>
      <c r="D232" s="109"/>
      <c r="E232" s="109"/>
      <c r="F232" s="110"/>
      <c r="G232" s="109"/>
    </row>
    <row r="233" spans="3:7" x14ac:dyDescent="0.3">
      <c r="C233" s="109"/>
      <c r="D233" s="109"/>
      <c r="E233" s="109"/>
      <c r="F233" s="110"/>
      <c r="G233" s="109"/>
    </row>
    <row r="234" spans="3:7" x14ac:dyDescent="0.3">
      <c r="C234" s="109"/>
      <c r="D234" s="109"/>
      <c r="E234" s="109"/>
      <c r="F234" s="110"/>
      <c r="G234" s="109"/>
    </row>
    <row r="235" spans="3:7" x14ac:dyDescent="0.3">
      <c r="C235" s="109"/>
      <c r="D235" s="109"/>
      <c r="E235" s="109"/>
      <c r="F235" s="110"/>
      <c r="G235" s="109"/>
    </row>
    <row r="236" spans="3:7" x14ac:dyDescent="0.3">
      <c r="C236" s="109"/>
      <c r="D236" s="109"/>
      <c r="E236" s="109"/>
      <c r="F236" s="110"/>
      <c r="G236" s="109"/>
    </row>
    <row r="237" spans="3:7" x14ac:dyDescent="0.3">
      <c r="C237" s="109"/>
      <c r="D237" s="109"/>
      <c r="E237" s="109"/>
      <c r="F237" s="110"/>
      <c r="G237" s="109"/>
    </row>
    <row r="238" spans="3:7" x14ac:dyDescent="0.3">
      <c r="C238" s="109"/>
      <c r="D238" s="109"/>
      <c r="E238" s="109"/>
      <c r="F238" s="110"/>
      <c r="G238" s="109"/>
    </row>
    <row r="239" spans="3:7" x14ac:dyDescent="0.3">
      <c r="C239" s="109"/>
      <c r="D239" s="109"/>
      <c r="E239" s="109"/>
      <c r="F239" s="110"/>
      <c r="G239" s="109"/>
    </row>
    <row r="240" spans="3:7" x14ac:dyDescent="0.3">
      <c r="C240" s="109"/>
      <c r="D240" s="109"/>
      <c r="E240" s="109"/>
      <c r="F240" s="110"/>
      <c r="G240" s="109"/>
    </row>
    <row r="241" spans="3:7" x14ac:dyDescent="0.3">
      <c r="C241" s="109"/>
      <c r="D241" s="109"/>
      <c r="E241" s="109"/>
      <c r="F241" s="110"/>
      <c r="G241" s="109"/>
    </row>
    <row r="242" spans="3:7" x14ac:dyDescent="0.3">
      <c r="C242" s="109"/>
      <c r="D242" s="109"/>
      <c r="E242" s="109"/>
      <c r="F242" s="110"/>
      <c r="G242" s="109"/>
    </row>
    <row r="243" spans="3:7" x14ac:dyDescent="0.3">
      <c r="C243" s="109"/>
      <c r="D243" s="109"/>
      <c r="E243" s="109"/>
      <c r="F243" s="110"/>
      <c r="G243" s="109"/>
    </row>
    <row r="244" spans="3:7" x14ac:dyDescent="0.3">
      <c r="C244" s="109"/>
      <c r="D244" s="109"/>
      <c r="E244" s="109"/>
      <c r="F244" s="110"/>
      <c r="G244" s="109"/>
    </row>
    <row r="245" spans="3:7" x14ac:dyDescent="0.3">
      <c r="C245" s="109"/>
      <c r="D245" s="109"/>
      <c r="E245" s="109"/>
      <c r="F245" s="110"/>
      <c r="G245" s="109"/>
    </row>
    <row r="246" spans="3:7" x14ac:dyDescent="0.3">
      <c r="C246" s="109"/>
      <c r="D246" s="109"/>
      <c r="E246" s="109"/>
      <c r="F246" s="110"/>
      <c r="G246" s="109"/>
    </row>
    <row r="247" spans="3:7" x14ac:dyDescent="0.3">
      <c r="C247" s="109"/>
      <c r="D247" s="109"/>
      <c r="E247" s="109"/>
      <c r="F247" s="110"/>
      <c r="G247" s="109"/>
    </row>
    <row r="248" spans="3:7" x14ac:dyDescent="0.3">
      <c r="C248" s="109"/>
      <c r="D248" s="109"/>
      <c r="E248" s="109"/>
      <c r="F248" s="110"/>
      <c r="G248" s="109"/>
    </row>
    <row r="249" spans="3:7" x14ac:dyDescent="0.3">
      <c r="C249" s="109"/>
      <c r="D249" s="109"/>
      <c r="E249" s="109"/>
      <c r="F249" s="110"/>
      <c r="G249" s="109"/>
    </row>
    <row r="250" spans="3:7" x14ac:dyDescent="0.3">
      <c r="C250" s="109"/>
      <c r="D250" s="109"/>
      <c r="E250" s="109"/>
      <c r="F250" s="110"/>
      <c r="G250" s="109"/>
    </row>
    <row r="251" spans="3:7" x14ac:dyDescent="0.3">
      <c r="C251" s="109"/>
      <c r="D251" s="109"/>
      <c r="E251" s="109"/>
      <c r="F251" s="110"/>
      <c r="G251" s="109"/>
    </row>
    <row r="252" spans="3:7" x14ac:dyDescent="0.3">
      <c r="C252" s="109"/>
      <c r="D252" s="109"/>
      <c r="E252" s="109"/>
      <c r="F252" s="110"/>
      <c r="G252" s="109"/>
    </row>
    <row r="253" spans="3:7" x14ac:dyDescent="0.3">
      <c r="C253" s="109"/>
      <c r="D253" s="109"/>
      <c r="E253" s="109"/>
      <c r="F253" s="110"/>
      <c r="G253" s="109"/>
    </row>
    <row r="254" spans="3:7" x14ac:dyDescent="0.3">
      <c r="C254" s="109"/>
      <c r="D254" s="109"/>
      <c r="E254" s="109"/>
      <c r="F254" s="110"/>
      <c r="G254" s="109"/>
    </row>
    <row r="255" spans="3:7" x14ac:dyDescent="0.3">
      <c r="C255" s="109"/>
      <c r="D255" s="109"/>
      <c r="E255" s="109"/>
      <c r="F255" s="110"/>
      <c r="G255" s="109"/>
    </row>
    <row r="256" spans="3:7" x14ac:dyDescent="0.3">
      <c r="C256" s="109"/>
      <c r="D256" s="109"/>
      <c r="E256" s="109"/>
      <c r="F256" s="110"/>
      <c r="G256" s="109"/>
    </row>
    <row r="257" spans="3:7" x14ac:dyDescent="0.3">
      <c r="C257" s="109"/>
      <c r="D257" s="109"/>
      <c r="E257" s="109"/>
      <c r="F257" s="110"/>
      <c r="G257" s="109"/>
    </row>
    <row r="258" spans="3:7" x14ac:dyDescent="0.3">
      <c r="C258" s="109"/>
      <c r="D258" s="109"/>
      <c r="E258" s="109"/>
      <c r="F258" s="110"/>
      <c r="G258" s="109"/>
    </row>
    <row r="259" spans="3:7" x14ac:dyDescent="0.3">
      <c r="C259" s="109"/>
      <c r="D259" s="109"/>
      <c r="E259" s="109"/>
      <c r="F259" s="110"/>
      <c r="G259" s="109"/>
    </row>
    <row r="260" spans="3:7" x14ac:dyDescent="0.3">
      <c r="C260" s="109"/>
      <c r="D260" s="109"/>
      <c r="E260" s="109"/>
      <c r="F260" s="110"/>
      <c r="G260" s="109"/>
    </row>
    <row r="261" spans="3:7" x14ac:dyDescent="0.3">
      <c r="C261" s="109"/>
      <c r="D261" s="109"/>
      <c r="E261" s="109"/>
      <c r="F261" s="110"/>
      <c r="G261" s="109"/>
    </row>
    <row r="262" spans="3:7" x14ac:dyDescent="0.3">
      <c r="C262" s="109"/>
      <c r="D262" s="109"/>
      <c r="E262" s="109"/>
      <c r="F262" s="110"/>
      <c r="G262" s="109"/>
    </row>
    <row r="263" spans="3:7" x14ac:dyDescent="0.3">
      <c r="C263" s="109"/>
      <c r="D263" s="109"/>
      <c r="E263" s="109"/>
      <c r="F263" s="110"/>
      <c r="G263" s="109"/>
    </row>
    <row r="264" spans="3:7" x14ac:dyDescent="0.3">
      <c r="C264" s="109"/>
      <c r="D264" s="109"/>
      <c r="E264" s="109"/>
      <c r="F264" s="110"/>
      <c r="G264" s="109"/>
    </row>
    <row r="265" spans="3:7" x14ac:dyDescent="0.3">
      <c r="C265" s="109"/>
      <c r="D265" s="109"/>
      <c r="E265" s="109"/>
      <c r="F265" s="110"/>
      <c r="G265" s="109"/>
    </row>
    <row r="266" spans="3:7" x14ac:dyDescent="0.3">
      <c r="C266" s="109"/>
      <c r="D266" s="109"/>
      <c r="E266" s="109"/>
      <c r="F266" s="110"/>
      <c r="G266" s="109"/>
    </row>
    <row r="267" spans="3:7" x14ac:dyDescent="0.3">
      <c r="C267" s="109"/>
      <c r="D267" s="109"/>
      <c r="E267" s="109"/>
      <c r="F267" s="110"/>
      <c r="G267" s="109"/>
    </row>
    <row r="268" spans="3:7" x14ac:dyDescent="0.3">
      <c r="C268" s="109"/>
      <c r="D268" s="109"/>
      <c r="E268" s="109"/>
      <c r="F268" s="110"/>
      <c r="G268" s="109"/>
    </row>
    <row r="269" spans="3:7" x14ac:dyDescent="0.3">
      <c r="C269" s="109"/>
      <c r="D269" s="109"/>
      <c r="E269" s="109"/>
      <c r="F269" s="110"/>
      <c r="G269" s="109"/>
    </row>
    <row r="270" spans="3:7" x14ac:dyDescent="0.3">
      <c r="C270" s="109"/>
      <c r="D270" s="109"/>
      <c r="E270" s="109"/>
      <c r="F270" s="110"/>
      <c r="G270" s="109"/>
    </row>
    <row r="271" spans="3:7" x14ac:dyDescent="0.3">
      <c r="C271" s="109"/>
      <c r="D271" s="109"/>
      <c r="E271" s="109"/>
      <c r="F271" s="110"/>
      <c r="G271" s="109"/>
    </row>
    <row r="272" spans="3:7" x14ac:dyDescent="0.3">
      <c r="C272" s="109"/>
      <c r="D272" s="109"/>
      <c r="E272" s="109"/>
      <c r="F272" s="110"/>
      <c r="G272" s="109"/>
    </row>
    <row r="273" spans="3:7" x14ac:dyDescent="0.3">
      <c r="C273" s="109"/>
      <c r="D273" s="109"/>
      <c r="E273" s="109"/>
      <c r="F273" s="110"/>
      <c r="G273" s="109"/>
    </row>
    <row r="274" spans="3:7" x14ac:dyDescent="0.3">
      <c r="C274" s="109"/>
      <c r="D274" s="109"/>
      <c r="E274" s="109"/>
      <c r="F274" s="110"/>
      <c r="G274" s="109"/>
    </row>
    <row r="275" spans="3:7" x14ac:dyDescent="0.3">
      <c r="C275" s="109"/>
      <c r="D275" s="109"/>
      <c r="E275" s="109"/>
      <c r="F275" s="110"/>
      <c r="G275" s="109"/>
    </row>
    <row r="276" spans="3:7" x14ac:dyDescent="0.3">
      <c r="C276" s="109"/>
      <c r="D276" s="109"/>
      <c r="E276" s="109"/>
      <c r="F276" s="110"/>
      <c r="G276" s="109"/>
    </row>
    <row r="277" spans="3:7" x14ac:dyDescent="0.3">
      <c r="C277" s="109"/>
      <c r="D277" s="109"/>
      <c r="E277" s="109"/>
      <c r="F277" s="110"/>
      <c r="G277" s="109"/>
    </row>
    <row r="278" spans="3:7" x14ac:dyDescent="0.3">
      <c r="C278" s="109"/>
      <c r="D278" s="109"/>
      <c r="E278" s="109"/>
      <c r="F278" s="110"/>
      <c r="G278" s="109"/>
    </row>
    <row r="279" spans="3:7" x14ac:dyDescent="0.3">
      <c r="C279" s="109"/>
      <c r="D279" s="109"/>
      <c r="E279" s="109"/>
      <c r="F279" s="110"/>
      <c r="G279" s="109"/>
    </row>
    <row r="280" spans="3:7" x14ac:dyDescent="0.3">
      <c r="C280" s="109"/>
      <c r="D280" s="109"/>
      <c r="E280" s="109"/>
      <c r="F280" s="110"/>
      <c r="G280" s="109"/>
    </row>
    <row r="281" spans="3:7" x14ac:dyDescent="0.3">
      <c r="C281" s="109"/>
      <c r="D281" s="109"/>
      <c r="E281" s="109"/>
      <c r="F281" s="110"/>
      <c r="G281" s="109"/>
    </row>
    <row r="282" spans="3:7" x14ac:dyDescent="0.3">
      <c r="C282" s="109"/>
      <c r="D282" s="109"/>
      <c r="E282" s="109"/>
      <c r="F282" s="110"/>
      <c r="G282" s="109"/>
    </row>
    <row r="283" spans="3:7" x14ac:dyDescent="0.3">
      <c r="C283" s="109"/>
      <c r="D283" s="109"/>
      <c r="E283" s="109"/>
      <c r="F283" s="110"/>
      <c r="G283" s="109"/>
    </row>
    <row r="284" spans="3:7" x14ac:dyDescent="0.3">
      <c r="C284" s="109"/>
      <c r="D284" s="109"/>
      <c r="E284" s="109"/>
      <c r="F284" s="110"/>
      <c r="G284" s="109"/>
    </row>
    <row r="285" spans="3:7" x14ac:dyDescent="0.3">
      <c r="C285" s="109"/>
      <c r="D285" s="109"/>
      <c r="E285" s="109"/>
      <c r="F285" s="110"/>
      <c r="G285" s="109"/>
    </row>
    <row r="286" spans="3:7" x14ac:dyDescent="0.3">
      <c r="C286" s="109"/>
      <c r="D286" s="109"/>
      <c r="E286" s="109"/>
      <c r="F286" s="110"/>
      <c r="G286" s="109"/>
    </row>
    <row r="287" spans="3:7" x14ac:dyDescent="0.3">
      <c r="C287" s="109"/>
      <c r="D287" s="109"/>
      <c r="E287" s="109"/>
      <c r="F287" s="110"/>
      <c r="G287" s="109"/>
    </row>
    <row r="288" spans="3:7" x14ac:dyDescent="0.3">
      <c r="C288" s="109"/>
      <c r="D288" s="109"/>
      <c r="E288" s="109"/>
      <c r="F288" s="110"/>
      <c r="G288" s="109"/>
    </row>
    <row r="289" spans="3:7" x14ac:dyDescent="0.3">
      <c r="C289" s="109"/>
      <c r="D289" s="109"/>
      <c r="E289" s="109"/>
      <c r="F289" s="110"/>
      <c r="G289" s="109"/>
    </row>
    <row r="290" spans="3:7" x14ac:dyDescent="0.3">
      <c r="C290" s="109"/>
      <c r="D290" s="109"/>
      <c r="E290" s="109"/>
      <c r="F290" s="110"/>
      <c r="G290" s="109"/>
    </row>
    <row r="291" spans="3:7" x14ac:dyDescent="0.3">
      <c r="C291" s="109"/>
      <c r="D291" s="109"/>
      <c r="E291" s="109"/>
      <c r="F291" s="110"/>
      <c r="G291" s="109"/>
    </row>
    <row r="292" spans="3:7" x14ac:dyDescent="0.3">
      <c r="C292" s="109"/>
      <c r="D292" s="109"/>
      <c r="E292" s="109"/>
      <c r="F292" s="110"/>
      <c r="G292" s="109"/>
    </row>
    <row r="293" spans="3:7" x14ac:dyDescent="0.3">
      <c r="C293" s="109"/>
      <c r="D293" s="109"/>
      <c r="E293" s="109"/>
      <c r="F293" s="110"/>
      <c r="G293" s="109"/>
    </row>
    <row r="294" spans="3:7" x14ac:dyDescent="0.3">
      <c r="C294" s="109"/>
      <c r="D294" s="109"/>
      <c r="E294" s="109"/>
      <c r="F294" s="110"/>
      <c r="G294" s="109"/>
    </row>
    <row r="295" spans="3:7" x14ac:dyDescent="0.3">
      <c r="C295" s="109"/>
      <c r="D295" s="109"/>
      <c r="E295" s="109"/>
      <c r="F295" s="110"/>
      <c r="G295" s="109"/>
    </row>
    <row r="296" spans="3:7" x14ac:dyDescent="0.3">
      <c r="C296" s="109"/>
      <c r="D296" s="109"/>
      <c r="E296" s="109"/>
      <c r="F296" s="110"/>
      <c r="G296" s="109"/>
    </row>
    <row r="297" spans="3:7" x14ac:dyDescent="0.3">
      <c r="C297" s="109"/>
      <c r="D297" s="109"/>
      <c r="E297" s="109"/>
      <c r="F297" s="110"/>
      <c r="G297" s="109"/>
    </row>
    <row r="298" spans="3:7" x14ac:dyDescent="0.3">
      <c r="C298" s="109"/>
      <c r="D298" s="109"/>
      <c r="E298" s="109"/>
      <c r="F298" s="110"/>
      <c r="G298" s="109"/>
    </row>
    <row r="299" spans="3:7" x14ac:dyDescent="0.3">
      <c r="C299" s="109"/>
      <c r="D299" s="109"/>
      <c r="E299" s="109"/>
      <c r="F299" s="110"/>
      <c r="G299" s="109"/>
    </row>
    <row r="300" spans="3:7" x14ac:dyDescent="0.3">
      <c r="C300" s="109"/>
      <c r="D300" s="109"/>
      <c r="E300" s="109"/>
      <c r="F300" s="110"/>
      <c r="G300" s="109"/>
    </row>
    <row r="301" spans="3:7" x14ac:dyDescent="0.3">
      <c r="C301" s="109"/>
      <c r="D301" s="109"/>
      <c r="E301" s="109"/>
      <c r="F301" s="110"/>
      <c r="G301" s="109"/>
    </row>
    <row r="302" spans="3:7" x14ac:dyDescent="0.3">
      <c r="C302" s="109"/>
      <c r="D302" s="109"/>
      <c r="E302" s="109"/>
      <c r="F302" s="110"/>
      <c r="G302" s="109"/>
    </row>
    <row r="303" spans="3:7" x14ac:dyDescent="0.3">
      <c r="C303" s="109"/>
      <c r="D303" s="109"/>
      <c r="E303" s="109"/>
      <c r="F303" s="110"/>
      <c r="G303" s="109"/>
    </row>
    <row r="304" spans="3:7" x14ac:dyDescent="0.3">
      <c r="C304" s="109"/>
      <c r="D304" s="109"/>
      <c r="E304" s="109"/>
      <c r="F304" s="110"/>
      <c r="G304" s="109"/>
    </row>
    <row r="305" spans="3:7" x14ac:dyDescent="0.3">
      <c r="C305" s="109"/>
      <c r="D305" s="109"/>
      <c r="E305" s="109"/>
      <c r="F305" s="110"/>
      <c r="G305" s="109"/>
    </row>
    <row r="306" spans="3:7" x14ac:dyDescent="0.3">
      <c r="C306" s="109"/>
      <c r="D306" s="109"/>
      <c r="E306" s="109"/>
      <c r="F306" s="110"/>
      <c r="G306" s="109"/>
    </row>
    <row r="307" spans="3:7" x14ac:dyDescent="0.3">
      <c r="C307" s="109"/>
      <c r="D307" s="109"/>
      <c r="E307" s="109"/>
      <c r="F307" s="110"/>
      <c r="G307" s="109"/>
    </row>
    <row r="308" spans="3:7" x14ac:dyDescent="0.3">
      <c r="C308" s="109"/>
      <c r="D308" s="109"/>
      <c r="E308" s="109"/>
      <c r="F308" s="110"/>
      <c r="G308" s="109"/>
    </row>
    <row r="309" spans="3:7" x14ac:dyDescent="0.3">
      <c r="C309" s="109"/>
      <c r="D309" s="109"/>
      <c r="E309" s="109"/>
      <c r="F309" s="110"/>
      <c r="G309" s="109"/>
    </row>
    <row r="310" spans="3:7" x14ac:dyDescent="0.3">
      <c r="C310" s="109"/>
      <c r="D310" s="109"/>
      <c r="E310" s="109"/>
      <c r="F310" s="110"/>
      <c r="G310" s="109"/>
    </row>
    <row r="311" spans="3:7" x14ac:dyDescent="0.3">
      <c r="C311" s="109"/>
      <c r="D311" s="109"/>
      <c r="E311" s="109"/>
      <c r="F311" s="110"/>
      <c r="G311" s="109"/>
    </row>
    <row r="312" spans="3:7" x14ac:dyDescent="0.3">
      <c r="C312" s="109"/>
      <c r="D312" s="109"/>
      <c r="E312" s="109"/>
      <c r="F312" s="110"/>
      <c r="G312" s="109"/>
    </row>
    <row r="313" spans="3:7" x14ac:dyDescent="0.3">
      <c r="C313" s="109"/>
      <c r="D313" s="109"/>
      <c r="E313" s="109"/>
      <c r="F313" s="110"/>
      <c r="G313" s="109"/>
    </row>
    <row r="314" spans="3:7" x14ac:dyDescent="0.3">
      <c r="C314" s="109"/>
      <c r="D314" s="109"/>
      <c r="E314" s="109"/>
      <c r="F314" s="110"/>
      <c r="G314" s="109"/>
    </row>
    <row r="315" spans="3:7" x14ac:dyDescent="0.3">
      <c r="C315" s="109"/>
      <c r="D315" s="109"/>
      <c r="E315" s="109"/>
      <c r="F315" s="110"/>
      <c r="G315" s="109"/>
    </row>
    <row r="316" spans="3:7" x14ac:dyDescent="0.3">
      <c r="C316" s="109"/>
      <c r="D316" s="109"/>
      <c r="E316" s="109"/>
      <c r="F316" s="110"/>
      <c r="G316" s="109"/>
    </row>
    <row r="317" spans="3:7" x14ac:dyDescent="0.3">
      <c r="C317" s="109"/>
      <c r="D317" s="109"/>
      <c r="E317" s="109"/>
      <c r="F317" s="110"/>
      <c r="G317" s="109"/>
    </row>
    <row r="318" spans="3:7" x14ac:dyDescent="0.3">
      <c r="C318" s="109"/>
      <c r="D318" s="109"/>
      <c r="E318" s="109"/>
      <c r="F318" s="110"/>
      <c r="G318" s="109"/>
    </row>
    <row r="319" spans="3:7" x14ac:dyDescent="0.3">
      <c r="C319" s="109"/>
      <c r="D319" s="109"/>
      <c r="E319" s="109"/>
      <c r="F319" s="110"/>
      <c r="G319" s="109"/>
    </row>
    <row r="320" spans="3:7" x14ac:dyDescent="0.3">
      <c r="C320" s="109"/>
      <c r="D320" s="109"/>
      <c r="E320" s="109"/>
      <c r="F320" s="110"/>
      <c r="G320" s="109"/>
    </row>
    <row r="321" spans="3:7" x14ac:dyDescent="0.3">
      <c r="C321" s="109"/>
      <c r="D321" s="109"/>
      <c r="E321" s="109"/>
      <c r="F321" s="110"/>
      <c r="G321" s="109"/>
    </row>
    <row r="322" spans="3:7" x14ac:dyDescent="0.3">
      <c r="C322" s="109"/>
      <c r="D322" s="109"/>
      <c r="E322" s="109"/>
      <c r="F322" s="110"/>
      <c r="G322" s="109"/>
    </row>
    <row r="323" spans="3:7" x14ac:dyDescent="0.3">
      <c r="C323" s="109"/>
      <c r="D323" s="109"/>
      <c r="E323" s="109"/>
      <c r="F323" s="110"/>
      <c r="G323" s="109"/>
    </row>
    <row r="324" spans="3:7" x14ac:dyDescent="0.3">
      <c r="C324" s="109"/>
      <c r="D324" s="109"/>
      <c r="E324" s="109"/>
      <c r="F324" s="110"/>
      <c r="G324" s="109"/>
    </row>
    <row r="325" spans="3:7" x14ac:dyDescent="0.3">
      <c r="C325" s="109"/>
      <c r="D325" s="109"/>
      <c r="E325" s="109"/>
      <c r="F325" s="110"/>
      <c r="G325" s="109"/>
    </row>
    <row r="326" spans="3:7" x14ac:dyDescent="0.3">
      <c r="C326" s="109"/>
      <c r="D326" s="109"/>
      <c r="E326" s="109"/>
      <c r="F326" s="110"/>
      <c r="G326" s="109"/>
    </row>
    <row r="327" spans="3:7" x14ac:dyDescent="0.3">
      <c r="C327" s="109"/>
      <c r="D327" s="109"/>
      <c r="E327" s="109"/>
      <c r="F327" s="110"/>
      <c r="G327" s="109"/>
    </row>
    <row r="328" spans="3:7" x14ac:dyDescent="0.3">
      <c r="C328" s="109"/>
      <c r="D328" s="109"/>
      <c r="E328" s="109"/>
      <c r="F328" s="110"/>
      <c r="G328" s="109"/>
    </row>
    <row r="329" spans="3:7" x14ac:dyDescent="0.3">
      <c r="C329" s="109"/>
      <c r="D329" s="109"/>
      <c r="E329" s="109"/>
      <c r="F329" s="110"/>
      <c r="G329" s="109"/>
    </row>
    <row r="330" spans="3:7" x14ac:dyDescent="0.3">
      <c r="C330" s="109"/>
      <c r="D330" s="109"/>
      <c r="E330" s="109"/>
      <c r="F330" s="110"/>
      <c r="G330" s="109"/>
    </row>
    <row r="331" spans="3:7" x14ac:dyDescent="0.3">
      <c r="C331" s="109"/>
      <c r="D331" s="109"/>
      <c r="E331" s="109"/>
      <c r="F331" s="110"/>
      <c r="G331" s="109"/>
    </row>
    <row r="332" spans="3:7" x14ac:dyDescent="0.3">
      <c r="C332" s="109"/>
      <c r="D332" s="109"/>
      <c r="E332" s="109"/>
      <c r="F332" s="110"/>
      <c r="G332" s="109"/>
    </row>
    <row r="333" spans="3:7" x14ac:dyDescent="0.3">
      <c r="C333" s="109"/>
      <c r="D333" s="109"/>
      <c r="E333" s="109"/>
      <c r="F333" s="110"/>
      <c r="G333" s="109"/>
    </row>
    <row r="334" spans="3:7" x14ac:dyDescent="0.3">
      <c r="C334" s="109"/>
      <c r="D334" s="109"/>
      <c r="E334" s="109"/>
      <c r="F334" s="110"/>
      <c r="G334" s="109"/>
    </row>
    <row r="335" spans="3:7" x14ac:dyDescent="0.3">
      <c r="C335" s="109"/>
      <c r="D335" s="109"/>
      <c r="E335" s="109"/>
      <c r="F335" s="110"/>
      <c r="G335" s="109"/>
    </row>
    <row r="336" spans="3:7" x14ac:dyDescent="0.3">
      <c r="C336" s="109"/>
      <c r="D336" s="109"/>
      <c r="E336" s="109"/>
      <c r="F336" s="110"/>
      <c r="G336" s="109"/>
    </row>
    <row r="337" spans="3:7" x14ac:dyDescent="0.3">
      <c r="C337" s="109"/>
      <c r="D337" s="109"/>
      <c r="E337" s="109"/>
      <c r="F337" s="110"/>
      <c r="G337" s="109"/>
    </row>
    <row r="338" spans="3:7" x14ac:dyDescent="0.3">
      <c r="C338" s="109"/>
      <c r="D338" s="109"/>
      <c r="E338" s="109"/>
      <c r="F338" s="110"/>
      <c r="G338" s="109"/>
    </row>
    <row r="339" spans="3:7" x14ac:dyDescent="0.3">
      <c r="C339" s="109"/>
      <c r="D339" s="109"/>
      <c r="E339" s="109"/>
      <c r="F339" s="110"/>
      <c r="G339" s="109"/>
    </row>
    <row r="340" spans="3:7" x14ac:dyDescent="0.3">
      <c r="C340" s="109"/>
      <c r="D340" s="109"/>
      <c r="E340" s="109"/>
      <c r="F340" s="110"/>
      <c r="G340" s="109"/>
    </row>
    <row r="341" spans="3:7" x14ac:dyDescent="0.3">
      <c r="C341" s="109"/>
      <c r="D341" s="109"/>
      <c r="E341" s="109"/>
      <c r="F341" s="110"/>
      <c r="G341" s="109"/>
    </row>
    <row r="342" spans="3:7" x14ac:dyDescent="0.3">
      <c r="C342" s="109"/>
      <c r="D342" s="109"/>
      <c r="E342" s="109"/>
      <c r="F342" s="110"/>
      <c r="G342" s="109"/>
    </row>
    <row r="343" spans="3:7" x14ac:dyDescent="0.3">
      <c r="C343" s="109"/>
      <c r="D343" s="109"/>
      <c r="E343" s="109"/>
      <c r="F343" s="110"/>
      <c r="G343" s="109"/>
    </row>
    <row r="344" spans="3:7" x14ac:dyDescent="0.3">
      <c r="C344" s="109"/>
      <c r="D344" s="109"/>
      <c r="E344" s="109"/>
      <c r="F344" s="110"/>
      <c r="G344" s="109"/>
    </row>
    <row r="345" spans="3:7" x14ac:dyDescent="0.3">
      <c r="C345" s="109"/>
      <c r="D345" s="109"/>
      <c r="E345" s="109"/>
      <c r="F345" s="110"/>
      <c r="G345" s="109"/>
    </row>
    <row r="346" spans="3:7" x14ac:dyDescent="0.3">
      <c r="C346" s="109"/>
      <c r="D346" s="109"/>
      <c r="E346" s="109"/>
      <c r="F346" s="110"/>
      <c r="G346" s="109"/>
    </row>
    <row r="347" spans="3:7" x14ac:dyDescent="0.3">
      <c r="C347" s="109"/>
      <c r="D347" s="109"/>
      <c r="E347" s="109"/>
      <c r="F347" s="110"/>
      <c r="G347" s="109"/>
    </row>
    <row r="348" spans="3:7" x14ac:dyDescent="0.3">
      <c r="C348" s="109"/>
      <c r="D348" s="109"/>
      <c r="E348" s="109"/>
      <c r="F348" s="110"/>
      <c r="G348" s="109"/>
    </row>
    <row r="349" spans="3:7" x14ac:dyDescent="0.3">
      <c r="C349" s="109"/>
      <c r="D349" s="109"/>
      <c r="E349" s="109"/>
      <c r="F349" s="110"/>
      <c r="G349" s="109"/>
    </row>
    <row r="350" spans="3:7" x14ac:dyDescent="0.3">
      <c r="C350" s="109"/>
      <c r="D350" s="109"/>
      <c r="E350" s="109"/>
      <c r="F350" s="110"/>
      <c r="G350" s="109"/>
    </row>
    <row r="351" spans="3:7" x14ac:dyDescent="0.3">
      <c r="C351" s="109"/>
      <c r="D351" s="109"/>
      <c r="E351" s="109"/>
      <c r="F351" s="110"/>
      <c r="G351" s="109"/>
    </row>
    <row r="352" spans="3:7" x14ac:dyDescent="0.3">
      <c r="C352" s="109"/>
      <c r="D352" s="109"/>
      <c r="E352" s="109"/>
      <c r="F352" s="110"/>
      <c r="G352" s="109"/>
    </row>
    <row r="353" spans="3:7" x14ac:dyDescent="0.3">
      <c r="C353" s="109"/>
      <c r="D353" s="109"/>
      <c r="E353" s="109"/>
      <c r="F353" s="110"/>
      <c r="G353" s="109"/>
    </row>
    <row r="354" spans="3:7" x14ac:dyDescent="0.3">
      <c r="C354" s="109"/>
      <c r="D354" s="109"/>
      <c r="E354" s="109"/>
      <c r="F354" s="110"/>
      <c r="G354" s="109"/>
    </row>
    <row r="355" spans="3:7" x14ac:dyDescent="0.3">
      <c r="C355" s="109"/>
      <c r="D355" s="109"/>
      <c r="E355" s="109"/>
      <c r="F355" s="110"/>
      <c r="G355" s="109"/>
    </row>
    <row r="356" spans="3:7" x14ac:dyDescent="0.3">
      <c r="C356" s="109"/>
      <c r="D356" s="109"/>
      <c r="E356" s="109"/>
      <c r="F356" s="110"/>
      <c r="G356" s="109"/>
    </row>
    <row r="357" spans="3:7" x14ac:dyDescent="0.3">
      <c r="C357" s="109"/>
      <c r="D357" s="109"/>
      <c r="E357" s="109"/>
      <c r="F357" s="110"/>
      <c r="G357" s="109"/>
    </row>
    <row r="358" spans="3:7" x14ac:dyDescent="0.3">
      <c r="C358" s="109"/>
      <c r="D358" s="109"/>
      <c r="E358" s="109"/>
      <c r="F358" s="110"/>
      <c r="G358" s="109"/>
    </row>
    <row r="359" spans="3:7" x14ac:dyDescent="0.3">
      <c r="C359" s="109"/>
      <c r="D359" s="109"/>
      <c r="E359" s="109"/>
      <c r="F359" s="110"/>
      <c r="G359" s="109"/>
    </row>
    <row r="360" spans="3:7" x14ac:dyDescent="0.3">
      <c r="C360" s="109"/>
      <c r="D360" s="109"/>
      <c r="E360" s="109"/>
      <c r="F360" s="110"/>
      <c r="G360" s="109"/>
    </row>
    <row r="361" spans="3:7" x14ac:dyDescent="0.3">
      <c r="C361" s="109"/>
      <c r="D361" s="109"/>
      <c r="E361" s="109"/>
      <c r="F361" s="110"/>
      <c r="G361" s="109"/>
    </row>
    <row r="362" spans="3:7" x14ac:dyDescent="0.3">
      <c r="C362" s="109"/>
      <c r="D362" s="109"/>
      <c r="E362" s="109"/>
      <c r="F362" s="110"/>
      <c r="G362" s="109"/>
    </row>
    <row r="363" spans="3:7" x14ac:dyDescent="0.3">
      <c r="C363" s="109"/>
      <c r="D363" s="109"/>
      <c r="E363" s="109"/>
      <c r="F363" s="110"/>
      <c r="G363" s="109"/>
    </row>
    <row r="364" spans="3:7" x14ac:dyDescent="0.3">
      <c r="C364" s="109"/>
      <c r="D364" s="109"/>
      <c r="E364" s="109"/>
      <c r="F364" s="110"/>
      <c r="G364" s="109"/>
    </row>
    <row r="365" spans="3:7" x14ac:dyDescent="0.3">
      <c r="C365" s="109"/>
      <c r="D365" s="109"/>
      <c r="E365" s="109"/>
      <c r="F365" s="110"/>
      <c r="G365" s="109"/>
    </row>
    <row r="366" spans="3:7" x14ac:dyDescent="0.3">
      <c r="C366" s="109"/>
      <c r="D366" s="109"/>
      <c r="E366" s="109"/>
      <c r="F366" s="110"/>
      <c r="G366" s="109"/>
    </row>
    <row r="367" spans="3:7" x14ac:dyDescent="0.3">
      <c r="C367" s="109"/>
      <c r="D367" s="109"/>
      <c r="E367" s="109"/>
      <c r="F367" s="110"/>
      <c r="G367" s="109"/>
    </row>
    <row r="368" spans="3:7" x14ac:dyDescent="0.3">
      <c r="C368" s="109"/>
      <c r="D368" s="109"/>
      <c r="E368" s="109"/>
      <c r="F368" s="110"/>
      <c r="G368" s="109"/>
    </row>
    <row r="369" spans="3:7" x14ac:dyDescent="0.3">
      <c r="C369" s="109"/>
      <c r="D369" s="109"/>
      <c r="E369" s="109"/>
      <c r="F369" s="110"/>
      <c r="G369" s="109"/>
    </row>
    <row r="370" spans="3:7" x14ac:dyDescent="0.3">
      <c r="C370" s="109"/>
      <c r="D370" s="109"/>
      <c r="E370" s="109"/>
      <c r="F370" s="110"/>
      <c r="G370" s="109"/>
    </row>
    <row r="371" spans="3:7" x14ac:dyDescent="0.3">
      <c r="C371" s="109"/>
      <c r="D371" s="109"/>
      <c r="E371" s="109"/>
      <c r="F371" s="110"/>
      <c r="G371" s="109"/>
    </row>
    <row r="372" spans="3:7" x14ac:dyDescent="0.3">
      <c r="C372" s="109"/>
      <c r="D372" s="109"/>
      <c r="E372" s="109"/>
      <c r="F372" s="110"/>
      <c r="G372" s="109"/>
    </row>
    <row r="373" spans="3:7" x14ac:dyDescent="0.3">
      <c r="C373" s="109"/>
      <c r="D373" s="109"/>
      <c r="E373" s="109"/>
      <c r="F373" s="110"/>
      <c r="G373" s="109"/>
    </row>
    <row r="374" spans="3:7" x14ac:dyDescent="0.3">
      <c r="C374" s="109"/>
      <c r="D374" s="109"/>
      <c r="E374" s="109"/>
      <c r="F374" s="110"/>
      <c r="G374" s="109"/>
    </row>
    <row r="375" spans="3:7" x14ac:dyDescent="0.3">
      <c r="C375" s="109"/>
      <c r="D375" s="109"/>
      <c r="E375" s="109"/>
      <c r="F375" s="110"/>
      <c r="G375" s="109"/>
    </row>
    <row r="376" spans="3:7" x14ac:dyDescent="0.3">
      <c r="C376" s="109"/>
      <c r="D376" s="109"/>
      <c r="E376" s="109"/>
      <c r="F376" s="110"/>
      <c r="G376" s="109"/>
    </row>
    <row r="377" spans="3:7" x14ac:dyDescent="0.3">
      <c r="C377" s="109"/>
      <c r="D377" s="109"/>
      <c r="E377" s="109"/>
      <c r="F377" s="110"/>
      <c r="G377" s="109"/>
    </row>
    <row r="378" spans="3:7" x14ac:dyDescent="0.3">
      <c r="C378" s="109"/>
      <c r="D378" s="109"/>
      <c r="E378" s="109"/>
      <c r="F378" s="110"/>
      <c r="G378" s="109"/>
    </row>
    <row r="379" spans="3:7" x14ac:dyDescent="0.3">
      <c r="C379" s="109"/>
      <c r="D379" s="109"/>
      <c r="E379" s="109"/>
      <c r="F379" s="110"/>
      <c r="G379" s="109"/>
    </row>
    <row r="380" spans="3:7" x14ac:dyDescent="0.3">
      <c r="C380" s="109"/>
      <c r="D380" s="109"/>
      <c r="E380" s="109"/>
      <c r="F380" s="110"/>
      <c r="G380" s="109"/>
    </row>
    <row r="381" spans="3:7" x14ac:dyDescent="0.3">
      <c r="C381" s="109"/>
      <c r="D381" s="109"/>
      <c r="E381" s="109"/>
      <c r="F381" s="110"/>
      <c r="G381" s="109"/>
    </row>
    <row r="382" spans="3:7" x14ac:dyDescent="0.3">
      <c r="C382" s="109"/>
      <c r="D382" s="109"/>
      <c r="E382" s="109"/>
      <c r="F382" s="110"/>
      <c r="G382" s="109"/>
    </row>
    <row r="383" spans="3:7" x14ac:dyDescent="0.3">
      <c r="C383" s="109"/>
      <c r="D383" s="109"/>
      <c r="E383" s="109"/>
      <c r="F383" s="110"/>
      <c r="G383" s="109"/>
    </row>
    <row r="384" spans="3:7" x14ac:dyDescent="0.3">
      <c r="C384" s="109"/>
      <c r="D384" s="109"/>
      <c r="E384" s="109"/>
      <c r="F384" s="110"/>
      <c r="G384" s="109"/>
    </row>
    <row r="385" spans="3:7" x14ac:dyDescent="0.3">
      <c r="C385" s="109"/>
      <c r="D385" s="109"/>
      <c r="E385" s="109"/>
      <c r="F385" s="110"/>
      <c r="G385" s="109"/>
    </row>
    <row r="386" spans="3:7" x14ac:dyDescent="0.3">
      <c r="C386" s="109"/>
      <c r="D386" s="109"/>
      <c r="E386" s="109"/>
      <c r="F386" s="110"/>
      <c r="G386" s="109"/>
    </row>
    <row r="387" spans="3:7" x14ac:dyDescent="0.3">
      <c r="C387" s="109"/>
      <c r="D387" s="109"/>
      <c r="E387" s="109"/>
      <c r="F387" s="110"/>
      <c r="G387" s="109"/>
    </row>
    <row r="388" spans="3:7" x14ac:dyDescent="0.3">
      <c r="C388" s="109"/>
      <c r="D388" s="109"/>
      <c r="E388" s="109"/>
      <c r="F388" s="110"/>
      <c r="G388" s="109"/>
    </row>
    <row r="389" spans="3:7" x14ac:dyDescent="0.3">
      <c r="C389" s="109"/>
      <c r="D389" s="109"/>
      <c r="E389" s="109"/>
      <c r="F389" s="110"/>
      <c r="G389" s="109"/>
    </row>
    <row r="390" spans="3:7" x14ac:dyDescent="0.3">
      <c r="C390" s="109"/>
      <c r="D390" s="109"/>
      <c r="E390" s="109"/>
      <c r="F390" s="110"/>
      <c r="G390" s="109"/>
    </row>
    <row r="391" spans="3:7" x14ac:dyDescent="0.3">
      <c r="C391" s="109"/>
      <c r="D391" s="109"/>
      <c r="E391" s="109"/>
      <c r="F391" s="110"/>
      <c r="G391" s="109"/>
    </row>
    <row r="392" spans="3:7" x14ac:dyDescent="0.3">
      <c r="C392" s="109"/>
      <c r="D392" s="109"/>
      <c r="E392" s="109"/>
      <c r="F392" s="110"/>
      <c r="G392" s="109"/>
    </row>
    <row r="393" spans="3:7" x14ac:dyDescent="0.3">
      <c r="C393" s="109"/>
      <c r="D393" s="109"/>
      <c r="E393" s="109"/>
      <c r="F393" s="110"/>
      <c r="G393" s="109"/>
    </row>
    <row r="394" spans="3:7" x14ac:dyDescent="0.3">
      <c r="C394" s="109"/>
      <c r="D394" s="109"/>
      <c r="E394" s="109"/>
      <c r="F394" s="110"/>
      <c r="G394" s="109"/>
    </row>
    <row r="395" spans="3:7" x14ac:dyDescent="0.3">
      <c r="C395" s="109"/>
      <c r="D395" s="109"/>
      <c r="E395" s="109"/>
      <c r="F395" s="110"/>
      <c r="G395" s="109"/>
    </row>
    <row r="396" spans="3:7" x14ac:dyDescent="0.3">
      <c r="C396" s="109"/>
      <c r="D396" s="109"/>
      <c r="E396" s="109"/>
      <c r="F396" s="110"/>
      <c r="G396" s="109"/>
    </row>
    <row r="397" spans="3:7" x14ac:dyDescent="0.3">
      <c r="C397" s="109"/>
      <c r="D397" s="109"/>
      <c r="E397" s="109"/>
      <c r="F397" s="110"/>
      <c r="G397" s="109"/>
    </row>
    <row r="398" spans="3:7" x14ac:dyDescent="0.3">
      <c r="C398" s="109"/>
      <c r="D398" s="109"/>
      <c r="E398" s="109"/>
      <c r="F398" s="110"/>
      <c r="G398" s="109"/>
    </row>
    <row r="399" spans="3:7" x14ac:dyDescent="0.3">
      <c r="C399" s="109"/>
      <c r="D399" s="109"/>
      <c r="E399" s="109"/>
      <c r="F399" s="110"/>
      <c r="G399" s="109"/>
    </row>
    <row r="400" spans="3:7" x14ac:dyDescent="0.3">
      <c r="C400" s="109"/>
      <c r="D400" s="109"/>
      <c r="E400" s="109"/>
      <c r="F400" s="110"/>
      <c r="G400" s="109"/>
    </row>
    <row r="401" spans="3:7" x14ac:dyDescent="0.3">
      <c r="C401" s="109"/>
      <c r="D401" s="109"/>
      <c r="E401" s="109"/>
      <c r="F401" s="110"/>
      <c r="G401" s="109"/>
    </row>
    <row r="402" spans="3:7" x14ac:dyDescent="0.3">
      <c r="C402" s="109"/>
      <c r="D402" s="109"/>
      <c r="E402" s="109"/>
      <c r="F402" s="110"/>
      <c r="G402" s="109"/>
    </row>
    <row r="403" spans="3:7" x14ac:dyDescent="0.3">
      <c r="C403" s="109"/>
      <c r="D403" s="109"/>
      <c r="E403" s="109"/>
      <c r="F403" s="110"/>
      <c r="G403" s="109"/>
    </row>
    <row r="404" spans="3:7" x14ac:dyDescent="0.3">
      <c r="C404" s="109"/>
      <c r="D404" s="109"/>
      <c r="E404" s="109"/>
      <c r="F404" s="110"/>
      <c r="G404" s="109"/>
    </row>
    <row r="405" spans="3:7" x14ac:dyDescent="0.3">
      <c r="C405" s="109"/>
      <c r="D405" s="109"/>
      <c r="E405" s="109"/>
      <c r="F405" s="110"/>
      <c r="G405" s="109"/>
    </row>
    <row r="406" spans="3:7" x14ac:dyDescent="0.3">
      <c r="C406" s="109"/>
      <c r="D406" s="109"/>
      <c r="E406" s="109"/>
      <c r="F406" s="110"/>
      <c r="G406" s="109"/>
    </row>
    <row r="407" spans="3:7" x14ac:dyDescent="0.3">
      <c r="C407" s="109"/>
      <c r="D407" s="109"/>
      <c r="E407" s="109"/>
      <c r="F407" s="110"/>
      <c r="G407" s="109"/>
    </row>
    <row r="408" spans="3:7" x14ac:dyDescent="0.3">
      <c r="C408" s="109"/>
      <c r="D408" s="109"/>
      <c r="E408" s="109"/>
      <c r="F408" s="110"/>
      <c r="G408" s="109"/>
    </row>
    <row r="409" spans="3:7" x14ac:dyDescent="0.3">
      <c r="C409" s="109"/>
      <c r="D409" s="109"/>
      <c r="E409" s="109"/>
      <c r="F409" s="110"/>
      <c r="G409" s="109"/>
    </row>
    <row r="410" spans="3:7" x14ac:dyDescent="0.3">
      <c r="C410" s="109"/>
      <c r="D410" s="109"/>
      <c r="E410" s="109"/>
      <c r="F410" s="110"/>
      <c r="G410" s="109"/>
    </row>
    <row r="411" spans="3:7" x14ac:dyDescent="0.3">
      <c r="C411" s="109"/>
      <c r="D411" s="109"/>
      <c r="E411" s="109"/>
      <c r="F411" s="110"/>
      <c r="G411" s="109"/>
    </row>
    <row r="412" spans="3:7" x14ac:dyDescent="0.3">
      <c r="C412" s="109"/>
      <c r="D412" s="109"/>
      <c r="E412" s="109"/>
      <c r="F412" s="110"/>
      <c r="G412" s="109"/>
    </row>
    <row r="413" spans="3:7" x14ac:dyDescent="0.3">
      <c r="C413" s="109"/>
      <c r="D413" s="109"/>
      <c r="E413" s="109"/>
      <c r="F413" s="110"/>
      <c r="G413" s="109"/>
    </row>
    <row r="414" spans="3:7" x14ac:dyDescent="0.3">
      <c r="C414" s="109"/>
      <c r="D414" s="109"/>
      <c r="E414" s="109"/>
      <c r="F414" s="110"/>
      <c r="G414" s="109"/>
    </row>
    <row r="415" spans="3:7" x14ac:dyDescent="0.3">
      <c r="C415" s="109"/>
      <c r="D415" s="109"/>
      <c r="E415" s="109"/>
      <c r="F415" s="110"/>
      <c r="G415" s="109"/>
    </row>
    <row r="416" spans="3:7" x14ac:dyDescent="0.3">
      <c r="C416" s="109"/>
      <c r="D416" s="109"/>
      <c r="E416" s="109"/>
      <c r="F416" s="110"/>
      <c r="G416" s="109"/>
    </row>
    <row r="417" spans="3:7" x14ac:dyDescent="0.3">
      <c r="C417" s="109"/>
      <c r="D417" s="109"/>
      <c r="E417" s="109"/>
      <c r="F417" s="110"/>
      <c r="G417" s="109"/>
    </row>
    <row r="418" spans="3:7" x14ac:dyDescent="0.3">
      <c r="C418" s="109"/>
      <c r="D418" s="109"/>
      <c r="E418" s="109"/>
      <c r="F418" s="110"/>
      <c r="G418" s="109"/>
    </row>
    <row r="419" spans="3:7" x14ac:dyDescent="0.3">
      <c r="C419" s="109"/>
      <c r="D419" s="109"/>
      <c r="E419" s="109"/>
      <c r="F419" s="110"/>
      <c r="G419" s="109"/>
    </row>
    <row r="420" spans="3:7" x14ac:dyDescent="0.3">
      <c r="C420" s="109"/>
      <c r="D420" s="109"/>
      <c r="E420" s="109"/>
      <c r="F420" s="110"/>
      <c r="G420" s="109"/>
    </row>
    <row r="421" spans="3:7" x14ac:dyDescent="0.3">
      <c r="C421" s="109"/>
      <c r="D421" s="109"/>
      <c r="E421" s="109"/>
      <c r="F421" s="110"/>
      <c r="G421" s="109"/>
    </row>
    <row r="422" spans="3:7" x14ac:dyDescent="0.3">
      <c r="C422" s="109"/>
      <c r="D422" s="109"/>
      <c r="E422" s="109"/>
      <c r="F422" s="110"/>
      <c r="G422" s="109"/>
    </row>
    <row r="423" spans="3:7" x14ac:dyDescent="0.3">
      <c r="C423" s="109"/>
      <c r="D423" s="109"/>
      <c r="E423" s="109"/>
      <c r="F423" s="110"/>
      <c r="G423" s="109"/>
    </row>
    <row r="424" spans="3:7" x14ac:dyDescent="0.3">
      <c r="C424" s="109"/>
      <c r="D424" s="109"/>
      <c r="E424" s="109"/>
      <c r="F424" s="110"/>
      <c r="G424" s="109"/>
    </row>
    <row r="425" spans="3:7" x14ac:dyDescent="0.3">
      <c r="C425" s="109"/>
      <c r="D425" s="109"/>
      <c r="E425" s="109"/>
      <c r="F425" s="110"/>
      <c r="G425" s="109"/>
    </row>
    <row r="426" spans="3:7" x14ac:dyDescent="0.3">
      <c r="C426" s="109"/>
      <c r="D426" s="109"/>
      <c r="E426" s="109"/>
      <c r="F426" s="110"/>
      <c r="G426" s="109"/>
    </row>
    <row r="427" spans="3:7" x14ac:dyDescent="0.3">
      <c r="C427" s="109"/>
      <c r="D427" s="109"/>
      <c r="E427" s="109"/>
      <c r="F427" s="110"/>
      <c r="G427" s="109"/>
    </row>
    <row r="428" spans="3:7" x14ac:dyDescent="0.3">
      <c r="C428" s="109"/>
      <c r="D428" s="109"/>
      <c r="E428" s="109"/>
      <c r="F428" s="110"/>
      <c r="G428" s="109"/>
    </row>
    <row r="429" spans="3:7" x14ac:dyDescent="0.3">
      <c r="C429" s="109"/>
      <c r="D429" s="109"/>
      <c r="E429" s="109"/>
      <c r="F429" s="110"/>
      <c r="G429" s="109"/>
    </row>
    <row r="430" spans="3:7" x14ac:dyDescent="0.3">
      <c r="C430" s="109"/>
      <c r="D430" s="109"/>
      <c r="E430" s="109"/>
      <c r="F430" s="110"/>
      <c r="G430" s="109"/>
    </row>
    <row r="431" spans="3:7" x14ac:dyDescent="0.3">
      <c r="C431" s="109"/>
      <c r="D431" s="109"/>
      <c r="E431" s="109"/>
      <c r="F431" s="110"/>
      <c r="G431" s="109"/>
    </row>
    <row r="432" spans="3:7" x14ac:dyDescent="0.3">
      <c r="C432" s="109"/>
      <c r="D432" s="109"/>
      <c r="E432" s="109"/>
      <c r="F432" s="110"/>
      <c r="G432" s="109"/>
    </row>
    <row r="433" spans="3:7" x14ac:dyDescent="0.3">
      <c r="C433" s="109"/>
      <c r="D433" s="109"/>
      <c r="E433" s="109"/>
      <c r="F433" s="110"/>
      <c r="G433" s="109"/>
    </row>
    <row r="434" spans="3:7" x14ac:dyDescent="0.3">
      <c r="C434" s="109"/>
      <c r="D434" s="109"/>
      <c r="E434" s="109"/>
      <c r="F434" s="110"/>
      <c r="G434" s="109"/>
    </row>
    <row r="435" spans="3:7" x14ac:dyDescent="0.3">
      <c r="C435" s="109"/>
      <c r="D435" s="109"/>
      <c r="E435" s="109"/>
      <c r="F435" s="110"/>
      <c r="G435" s="109"/>
    </row>
    <row r="436" spans="3:7" x14ac:dyDescent="0.3">
      <c r="C436" s="109"/>
      <c r="D436" s="109"/>
      <c r="E436" s="109"/>
      <c r="F436" s="110"/>
      <c r="G436" s="109"/>
    </row>
    <row r="437" spans="3:7" x14ac:dyDescent="0.3">
      <c r="C437" s="109"/>
      <c r="D437" s="109"/>
      <c r="E437" s="109"/>
      <c r="F437" s="110"/>
      <c r="G437" s="109"/>
    </row>
    <row r="438" spans="3:7" x14ac:dyDescent="0.3">
      <c r="C438" s="109"/>
      <c r="D438" s="109"/>
      <c r="E438" s="109"/>
      <c r="F438" s="110"/>
      <c r="G438" s="109"/>
    </row>
    <row r="439" spans="3:7" x14ac:dyDescent="0.3">
      <c r="C439" s="109"/>
      <c r="D439" s="109"/>
      <c r="E439" s="109"/>
      <c r="F439" s="110"/>
      <c r="G439" s="109"/>
    </row>
    <row r="440" spans="3:7" x14ac:dyDescent="0.3">
      <c r="C440" s="109"/>
      <c r="D440" s="109"/>
      <c r="E440" s="109"/>
      <c r="F440" s="110"/>
      <c r="G440" s="109"/>
    </row>
    <row r="441" spans="3:7" x14ac:dyDescent="0.3">
      <c r="C441" s="109"/>
      <c r="D441" s="109"/>
      <c r="E441" s="109"/>
      <c r="F441" s="110"/>
      <c r="G441" s="109"/>
    </row>
    <row r="442" spans="3:7" x14ac:dyDescent="0.3">
      <c r="C442" s="109"/>
      <c r="D442" s="109"/>
      <c r="E442" s="109"/>
      <c r="F442" s="110"/>
      <c r="G442" s="109"/>
    </row>
    <row r="443" spans="3:7" x14ac:dyDescent="0.3">
      <c r="C443" s="109"/>
      <c r="D443" s="109"/>
      <c r="E443" s="109"/>
      <c r="F443" s="110"/>
      <c r="G443" s="109"/>
    </row>
    <row r="444" spans="3:7" x14ac:dyDescent="0.3">
      <c r="C444" s="109"/>
      <c r="D444" s="109"/>
      <c r="E444" s="109"/>
      <c r="F444" s="110"/>
      <c r="G444" s="109"/>
    </row>
    <row r="445" spans="3:7" x14ac:dyDescent="0.3">
      <c r="C445" s="109"/>
      <c r="D445" s="109"/>
      <c r="E445" s="109"/>
      <c r="F445" s="110"/>
      <c r="G445" s="109"/>
    </row>
    <row r="446" spans="3:7" x14ac:dyDescent="0.3">
      <c r="C446" s="109"/>
      <c r="D446" s="109"/>
      <c r="E446" s="109"/>
      <c r="F446" s="110"/>
      <c r="G446" s="109"/>
    </row>
    <row r="447" spans="3:7" x14ac:dyDescent="0.3">
      <c r="C447" s="109"/>
      <c r="D447" s="109"/>
      <c r="E447" s="109"/>
      <c r="F447" s="110"/>
      <c r="G447" s="109"/>
    </row>
    <row r="448" spans="3:7" x14ac:dyDescent="0.3">
      <c r="C448" s="109"/>
      <c r="D448" s="109"/>
      <c r="E448" s="109"/>
      <c r="F448" s="110"/>
      <c r="G448" s="109"/>
    </row>
    <row r="449" spans="3:7" x14ac:dyDescent="0.3">
      <c r="C449" s="109"/>
      <c r="D449" s="109"/>
      <c r="E449" s="109"/>
      <c r="F449" s="110"/>
      <c r="G449" s="109"/>
    </row>
    <row r="450" spans="3:7" x14ac:dyDescent="0.3">
      <c r="C450" s="109"/>
      <c r="D450" s="109"/>
      <c r="E450" s="109"/>
      <c r="F450" s="110"/>
      <c r="G450" s="109"/>
    </row>
    <row r="451" spans="3:7" x14ac:dyDescent="0.3">
      <c r="C451" s="109"/>
      <c r="D451" s="109"/>
      <c r="E451" s="109"/>
      <c r="F451" s="110"/>
      <c r="G451" s="109"/>
    </row>
    <row r="452" spans="3:7" x14ac:dyDescent="0.3">
      <c r="C452" s="109"/>
      <c r="D452" s="109"/>
      <c r="E452" s="109"/>
      <c r="F452" s="110"/>
      <c r="G452" s="109"/>
    </row>
    <row r="453" spans="3:7" x14ac:dyDescent="0.3">
      <c r="C453" s="109"/>
      <c r="D453" s="109"/>
      <c r="E453" s="109"/>
      <c r="F453" s="110"/>
      <c r="G453" s="109"/>
    </row>
    <row r="454" spans="3:7" x14ac:dyDescent="0.3">
      <c r="C454" s="109"/>
      <c r="D454" s="109"/>
      <c r="E454" s="109"/>
      <c r="F454" s="110"/>
      <c r="G454" s="109"/>
    </row>
    <row r="455" spans="3:7" x14ac:dyDescent="0.3">
      <c r="C455" s="109"/>
      <c r="D455" s="109"/>
      <c r="E455" s="109"/>
      <c r="F455" s="110"/>
      <c r="G455" s="109"/>
    </row>
    <row r="456" spans="3:7" x14ac:dyDescent="0.3">
      <c r="C456" s="109"/>
      <c r="D456" s="109"/>
      <c r="E456" s="109"/>
      <c r="F456" s="110"/>
      <c r="G456" s="109"/>
    </row>
    <row r="457" spans="3:7" x14ac:dyDescent="0.3">
      <c r="C457" s="109"/>
      <c r="D457" s="109"/>
      <c r="E457" s="109"/>
      <c r="F457" s="110"/>
      <c r="G457" s="109"/>
    </row>
    <row r="458" spans="3:7" x14ac:dyDescent="0.3">
      <c r="C458" s="109"/>
      <c r="D458" s="109"/>
      <c r="E458" s="109"/>
      <c r="F458" s="110"/>
      <c r="G458" s="109"/>
    </row>
    <row r="459" spans="3:7" x14ac:dyDescent="0.3">
      <c r="C459" s="109"/>
      <c r="D459" s="109"/>
      <c r="E459" s="109"/>
      <c r="F459" s="110"/>
      <c r="G459" s="109"/>
    </row>
    <row r="460" spans="3:7" x14ac:dyDescent="0.3">
      <c r="C460" s="109"/>
      <c r="D460" s="109"/>
      <c r="E460" s="109"/>
      <c r="F460" s="110"/>
      <c r="G460" s="109"/>
    </row>
    <row r="461" spans="3:7" x14ac:dyDescent="0.3">
      <c r="C461" s="109"/>
      <c r="D461" s="109"/>
      <c r="E461" s="109"/>
      <c r="F461" s="110"/>
      <c r="G461" s="109"/>
    </row>
    <row r="462" spans="3:7" x14ac:dyDescent="0.3">
      <c r="C462" s="109"/>
      <c r="D462" s="109"/>
      <c r="E462" s="109"/>
      <c r="F462" s="110"/>
      <c r="G462" s="109"/>
    </row>
    <row r="463" spans="3:7" x14ac:dyDescent="0.3">
      <c r="C463" s="109"/>
      <c r="D463" s="109"/>
      <c r="E463" s="109"/>
      <c r="F463" s="110"/>
      <c r="G463" s="109"/>
    </row>
    <row r="464" spans="3:7" x14ac:dyDescent="0.3">
      <c r="C464" s="109"/>
      <c r="D464" s="109"/>
      <c r="E464" s="109"/>
      <c r="F464" s="110"/>
      <c r="G464" s="109"/>
    </row>
    <row r="465" spans="3:7" x14ac:dyDescent="0.3">
      <c r="C465" s="109"/>
      <c r="D465" s="109"/>
      <c r="E465" s="109"/>
      <c r="F465" s="110"/>
      <c r="G465" s="109"/>
    </row>
    <row r="466" spans="3:7" x14ac:dyDescent="0.3">
      <c r="C466" s="109"/>
      <c r="D466" s="109"/>
      <c r="E466" s="109"/>
      <c r="F466" s="110"/>
      <c r="G466" s="109"/>
    </row>
    <row r="467" spans="3:7" x14ac:dyDescent="0.3">
      <c r="C467" s="109"/>
      <c r="D467" s="109"/>
      <c r="E467" s="109"/>
      <c r="F467" s="110"/>
      <c r="G467" s="109"/>
    </row>
    <row r="468" spans="3:7" x14ac:dyDescent="0.3">
      <c r="C468" s="109"/>
      <c r="D468" s="109"/>
      <c r="E468" s="109"/>
      <c r="F468" s="110"/>
      <c r="G468" s="109"/>
    </row>
    <row r="469" spans="3:7" x14ac:dyDescent="0.3">
      <c r="C469" s="109"/>
      <c r="D469" s="109"/>
      <c r="E469" s="109"/>
      <c r="F469" s="110"/>
      <c r="G469" s="109"/>
    </row>
    <row r="470" spans="3:7" x14ac:dyDescent="0.3">
      <c r="C470" s="109"/>
      <c r="D470" s="109"/>
      <c r="E470" s="109"/>
      <c r="F470" s="110"/>
      <c r="G470" s="109"/>
    </row>
    <row r="471" spans="3:7" x14ac:dyDescent="0.3">
      <c r="C471" s="109"/>
      <c r="D471" s="109"/>
      <c r="E471" s="109"/>
      <c r="F471" s="110"/>
      <c r="G471" s="109"/>
    </row>
    <row r="472" spans="3:7" x14ac:dyDescent="0.3">
      <c r="C472" s="109"/>
      <c r="D472" s="109"/>
      <c r="E472" s="109"/>
      <c r="F472" s="110"/>
      <c r="G472" s="109"/>
    </row>
    <row r="473" spans="3:7" x14ac:dyDescent="0.3">
      <c r="C473" s="109"/>
      <c r="D473" s="109"/>
      <c r="E473" s="109"/>
      <c r="F473" s="110"/>
      <c r="G473" s="109"/>
    </row>
    <row r="474" spans="3:7" x14ac:dyDescent="0.3">
      <c r="C474" s="109"/>
      <c r="D474" s="109"/>
      <c r="E474" s="109"/>
      <c r="F474" s="110"/>
      <c r="G474" s="109"/>
    </row>
    <row r="475" spans="3:7" x14ac:dyDescent="0.3">
      <c r="C475" s="109"/>
      <c r="D475" s="109"/>
      <c r="E475" s="109"/>
      <c r="F475" s="110"/>
      <c r="G475" s="109"/>
    </row>
    <row r="476" spans="3:7" x14ac:dyDescent="0.3">
      <c r="C476" s="109"/>
      <c r="D476" s="109"/>
      <c r="E476" s="109"/>
      <c r="F476" s="110"/>
      <c r="G476" s="109"/>
    </row>
    <row r="477" spans="3:7" x14ac:dyDescent="0.3">
      <c r="C477" s="109"/>
      <c r="D477" s="109"/>
      <c r="E477" s="109"/>
      <c r="F477" s="110"/>
      <c r="G477" s="109"/>
    </row>
    <row r="478" spans="3:7" x14ac:dyDescent="0.3">
      <c r="C478" s="109"/>
      <c r="D478" s="109"/>
      <c r="E478" s="109"/>
      <c r="F478" s="110"/>
      <c r="G478" s="109"/>
    </row>
    <row r="479" spans="3:7" x14ac:dyDescent="0.3">
      <c r="C479" s="109"/>
      <c r="D479" s="109"/>
      <c r="E479" s="109"/>
      <c r="F479" s="110"/>
      <c r="G479" s="109"/>
    </row>
    <row r="480" spans="3:7" x14ac:dyDescent="0.3">
      <c r="C480" s="109"/>
      <c r="D480" s="109"/>
      <c r="E480" s="109"/>
      <c r="F480" s="110"/>
      <c r="G480" s="109"/>
    </row>
    <row r="481" spans="3:7" x14ac:dyDescent="0.3">
      <c r="C481" s="109"/>
      <c r="D481" s="109"/>
      <c r="E481" s="109"/>
      <c r="F481" s="110"/>
      <c r="G481" s="109"/>
    </row>
    <row r="482" spans="3:7" x14ac:dyDescent="0.3">
      <c r="C482" s="109"/>
      <c r="D482" s="109"/>
      <c r="E482" s="109"/>
      <c r="F482" s="110"/>
      <c r="G482" s="109"/>
    </row>
    <row r="483" spans="3:7" x14ac:dyDescent="0.3">
      <c r="C483" s="109"/>
      <c r="D483" s="109"/>
      <c r="E483" s="109"/>
      <c r="F483" s="110"/>
      <c r="G483" s="109"/>
    </row>
    <row r="484" spans="3:7" x14ac:dyDescent="0.3">
      <c r="C484" s="109"/>
      <c r="D484" s="109"/>
      <c r="E484" s="109"/>
      <c r="F484" s="110"/>
      <c r="G484" s="109"/>
    </row>
    <row r="485" spans="3:7" x14ac:dyDescent="0.3">
      <c r="C485" s="109"/>
      <c r="D485" s="109"/>
      <c r="E485" s="109"/>
      <c r="F485" s="110"/>
      <c r="G485" s="109"/>
    </row>
    <row r="486" spans="3:7" x14ac:dyDescent="0.3">
      <c r="C486" s="109"/>
      <c r="D486" s="109"/>
      <c r="E486" s="109"/>
      <c r="F486" s="110"/>
      <c r="G486" s="109"/>
    </row>
    <row r="487" spans="3:7" x14ac:dyDescent="0.3">
      <c r="C487" s="109"/>
      <c r="D487" s="109"/>
      <c r="E487" s="109"/>
      <c r="F487" s="110"/>
      <c r="G487" s="109"/>
    </row>
    <row r="488" spans="3:7" x14ac:dyDescent="0.3">
      <c r="C488" s="109"/>
      <c r="D488" s="109"/>
      <c r="E488" s="109"/>
      <c r="F488" s="110"/>
      <c r="G488" s="109"/>
    </row>
    <row r="489" spans="3:7" x14ac:dyDescent="0.3">
      <c r="C489" s="109"/>
      <c r="D489" s="109"/>
      <c r="E489" s="109"/>
      <c r="F489" s="110"/>
      <c r="G489" s="109"/>
    </row>
    <row r="490" spans="3:7" x14ac:dyDescent="0.3">
      <c r="C490" s="109"/>
      <c r="D490" s="109"/>
      <c r="E490" s="109"/>
      <c r="F490" s="110"/>
      <c r="G490" s="109"/>
    </row>
    <row r="491" spans="3:7" x14ac:dyDescent="0.3">
      <c r="C491" s="109"/>
      <c r="D491" s="109"/>
      <c r="E491" s="109"/>
      <c r="F491" s="110"/>
      <c r="G491" s="109"/>
    </row>
    <row r="492" spans="3:7" x14ac:dyDescent="0.3">
      <c r="C492" s="109"/>
      <c r="D492" s="109"/>
      <c r="E492" s="109"/>
      <c r="F492" s="110"/>
      <c r="G492" s="109"/>
    </row>
    <row r="493" spans="3:7" x14ac:dyDescent="0.3">
      <c r="C493" s="109"/>
      <c r="D493" s="109"/>
      <c r="E493" s="109"/>
      <c r="F493" s="110"/>
      <c r="G493" s="109"/>
    </row>
    <row r="494" spans="3:7" x14ac:dyDescent="0.3">
      <c r="C494" s="109"/>
      <c r="D494" s="109"/>
      <c r="E494" s="109"/>
      <c r="F494" s="110"/>
      <c r="G494" s="109"/>
    </row>
    <row r="495" spans="3:7" x14ac:dyDescent="0.3">
      <c r="C495" s="109"/>
      <c r="D495" s="109"/>
      <c r="E495" s="109"/>
      <c r="F495" s="110"/>
      <c r="G495" s="109"/>
    </row>
    <row r="496" spans="3:7" x14ac:dyDescent="0.3">
      <c r="C496" s="109"/>
      <c r="D496" s="109"/>
      <c r="E496" s="109"/>
      <c r="F496" s="110"/>
      <c r="G496" s="109"/>
    </row>
    <row r="497" spans="3:7" x14ac:dyDescent="0.3">
      <c r="C497" s="109"/>
      <c r="D497" s="109"/>
      <c r="E497" s="109"/>
      <c r="F497" s="110"/>
      <c r="G497" s="109"/>
    </row>
    <row r="498" spans="3:7" x14ac:dyDescent="0.3">
      <c r="C498" s="109"/>
      <c r="D498" s="109"/>
      <c r="E498" s="109"/>
      <c r="F498" s="110"/>
      <c r="G498" s="109"/>
    </row>
    <row r="499" spans="3:7" x14ac:dyDescent="0.3">
      <c r="C499" s="109"/>
      <c r="D499" s="109"/>
      <c r="E499" s="109"/>
      <c r="F499" s="110"/>
      <c r="G499" s="109"/>
    </row>
    <row r="500" spans="3:7" x14ac:dyDescent="0.3">
      <c r="C500" s="109"/>
      <c r="D500" s="109"/>
      <c r="E500" s="109"/>
      <c r="F500" s="110"/>
      <c r="G500" s="109"/>
    </row>
    <row r="501" spans="3:7" x14ac:dyDescent="0.3">
      <c r="C501" s="109"/>
      <c r="D501" s="109"/>
      <c r="E501" s="109"/>
      <c r="F501" s="110"/>
      <c r="G501" s="109"/>
    </row>
    <row r="502" spans="3:7" x14ac:dyDescent="0.3">
      <c r="C502" s="109"/>
      <c r="D502" s="109"/>
      <c r="E502" s="109"/>
      <c r="F502" s="110"/>
      <c r="G502" s="109"/>
    </row>
    <row r="503" spans="3:7" x14ac:dyDescent="0.3">
      <c r="C503" s="109"/>
      <c r="D503" s="109"/>
      <c r="E503" s="109"/>
      <c r="F503" s="110"/>
      <c r="G503" s="109"/>
    </row>
    <row r="504" spans="3:7" x14ac:dyDescent="0.3">
      <c r="C504" s="109"/>
      <c r="D504" s="109"/>
      <c r="E504" s="109"/>
      <c r="F504" s="110"/>
      <c r="G504" s="109"/>
    </row>
    <row r="505" spans="3:7" x14ac:dyDescent="0.3">
      <c r="C505" s="109"/>
      <c r="D505" s="109"/>
      <c r="E505" s="109"/>
      <c r="F505" s="110"/>
      <c r="G505" s="109"/>
    </row>
    <row r="506" spans="3:7" x14ac:dyDescent="0.3">
      <c r="C506" s="109"/>
      <c r="D506" s="109"/>
      <c r="E506" s="109"/>
      <c r="F506" s="110"/>
      <c r="G506" s="109"/>
    </row>
    <row r="507" spans="3:7" x14ac:dyDescent="0.3">
      <c r="C507" s="109"/>
      <c r="D507" s="109"/>
      <c r="E507" s="109"/>
      <c r="F507" s="110"/>
      <c r="G507" s="109"/>
    </row>
    <row r="508" spans="3:7" x14ac:dyDescent="0.3">
      <c r="C508" s="109"/>
      <c r="D508" s="109"/>
      <c r="E508" s="109"/>
      <c r="F508" s="110"/>
      <c r="G508" s="109"/>
    </row>
    <row r="509" spans="3:7" x14ac:dyDescent="0.3">
      <c r="C509" s="109"/>
      <c r="D509" s="109"/>
      <c r="E509" s="109"/>
      <c r="F509" s="110"/>
      <c r="G509" s="109"/>
    </row>
    <row r="510" spans="3:7" x14ac:dyDescent="0.3">
      <c r="C510" s="109"/>
      <c r="D510" s="109"/>
      <c r="E510" s="109"/>
      <c r="F510" s="110"/>
      <c r="G510" s="109"/>
    </row>
    <row r="511" spans="3:7" x14ac:dyDescent="0.3">
      <c r="C511" s="109"/>
      <c r="D511" s="109"/>
      <c r="E511" s="109"/>
      <c r="F511" s="110"/>
      <c r="G511" s="109"/>
    </row>
    <row r="512" spans="3:7" x14ac:dyDescent="0.3">
      <c r="C512" s="109"/>
      <c r="D512" s="109"/>
      <c r="E512" s="109"/>
      <c r="F512" s="110"/>
      <c r="G512" s="109"/>
    </row>
    <row r="513" spans="3:7" x14ac:dyDescent="0.3">
      <c r="C513" s="109"/>
      <c r="D513" s="109"/>
      <c r="E513" s="109"/>
      <c r="F513" s="110"/>
      <c r="G513" s="109"/>
    </row>
    <row r="514" spans="3:7" x14ac:dyDescent="0.3">
      <c r="C514" s="109"/>
      <c r="D514" s="109"/>
      <c r="E514" s="109"/>
      <c r="F514" s="110"/>
      <c r="G514" s="109"/>
    </row>
    <row r="515" spans="3:7" x14ac:dyDescent="0.3">
      <c r="C515" s="109"/>
      <c r="D515" s="109"/>
      <c r="E515" s="109"/>
      <c r="F515" s="110"/>
      <c r="G515" s="109"/>
    </row>
    <row r="516" spans="3:7" x14ac:dyDescent="0.3">
      <c r="C516" s="109"/>
      <c r="D516" s="109"/>
      <c r="E516" s="109"/>
      <c r="F516" s="110"/>
      <c r="G516" s="109"/>
    </row>
    <row r="517" spans="3:7" x14ac:dyDescent="0.3">
      <c r="C517" s="109"/>
      <c r="D517" s="109"/>
      <c r="E517" s="109"/>
      <c r="F517" s="110"/>
      <c r="G517" s="109"/>
    </row>
    <row r="518" spans="3:7" x14ac:dyDescent="0.3">
      <c r="C518" s="109"/>
      <c r="D518" s="109"/>
      <c r="E518" s="109"/>
      <c r="F518" s="110"/>
      <c r="G518" s="109"/>
    </row>
    <row r="519" spans="3:7" x14ac:dyDescent="0.3">
      <c r="C519" s="109"/>
      <c r="D519" s="109"/>
      <c r="E519" s="109"/>
      <c r="F519" s="110"/>
      <c r="G519" s="109"/>
    </row>
    <row r="520" spans="3:7" x14ac:dyDescent="0.3">
      <c r="C520" s="109"/>
      <c r="D520" s="109"/>
      <c r="E520" s="109"/>
      <c r="F520" s="110"/>
      <c r="G520" s="109"/>
    </row>
    <row r="521" spans="3:7" x14ac:dyDescent="0.3">
      <c r="C521" s="109"/>
      <c r="D521" s="109"/>
      <c r="E521" s="109"/>
      <c r="F521" s="110"/>
      <c r="G521" s="109"/>
    </row>
    <row r="522" spans="3:7" x14ac:dyDescent="0.3">
      <c r="C522" s="109"/>
      <c r="D522" s="109"/>
      <c r="E522" s="109"/>
      <c r="F522" s="110"/>
      <c r="G522" s="109"/>
    </row>
    <row r="523" spans="3:7" x14ac:dyDescent="0.3">
      <c r="C523" s="109"/>
      <c r="D523" s="109"/>
      <c r="E523" s="109"/>
      <c r="F523" s="110"/>
      <c r="G523" s="109"/>
    </row>
    <row r="524" spans="3:7" x14ac:dyDescent="0.3">
      <c r="C524" s="109"/>
      <c r="D524" s="109"/>
      <c r="E524" s="109"/>
      <c r="F524" s="110"/>
      <c r="G524" s="109"/>
    </row>
    <row r="525" spans="3:7" x14ac:dyDescent="0.3">
      <c r="C525" s="109"/>
      <c r="D525" s="109"/>
      <c r="E525" s="109"/>
      <c r="F525" s="110"/>
      <c r="G525" s="109"/>
    </row>
    <row r="526" spans="3:7" x14ac:dyDescent="0.3">
      <c r="C526" s="109"/>
      <c r="D526" s="109"/>
      <c r="E526" s="109"/>
      <c r="F526" s="110"/>
      <c r="G526" s="109"/>
    </row>
    <row r="527" spans="3:7" x14ac:dyDescent="0.3">
      <c r="C527" s="109"/>
      <c r="D527" s="109"/>
      <c r="E527" s="109"/>
      <c r="F527" s="110"/>
      <c r="G527" s="109"/>
    </row>
    <row r="528" spans="3:7" x14ac:dyDescent="0.3">
      <c r="C528" s="109"/>
      <c r="D528" s="109"/>
      <c r="E528" s="109"/>
      <c r="F528" s="110"/>
      <c r="G528" s="109"/>
    </row>
    <row r="529" spans="3:7" x14ac:dyDescent="0.3">
      <c r="C529" s="109"/>
      <c r="D529" s="109"/>
      <c r="E529" s="109"/>
      <c r="F529" s="110"/>
      <c r="G529" s="109"/>
    </row>
    <row r="530" spans="3:7" x14ac:dyDescent="0.3">
      <c r="C530" s="109"/>
      <c r="D530" s="109"/>
      <c r="E530" s="109"/>
      <c r="F530" s="110"/>
      <c r="G530" s="109"/>
    </row>
    <row r="531" spans="3:7" x14ac:dyDescent="0.3">
      <c r="C531" s="109"/>
      <c r="D531" s="109"/>
      <c r="E531" s="109"/>
      <c r="F531" s="110"/>
      <c r="G531" s="109"/>
    </row>
    <row r="532" spans="3:7" x14ac:dyDescent="0.3">
      <c r="C532" s="109"/>
      <c r="D532" s="109"/>
      <c r="E532" s="109"/>
      <c r="F532" s="110"/>
      <c r="G532" s="109"/>
    </row>
    <row r="533" spans="3:7" x14ac:dyDescent="0.3">
      <c r="C533" s="109"/>
      <c r="D533" s="109"/>
      <c r="E533" s="109"/>
      <c r="F533" s="110"/>
      <c r="G533" s="109"/>
    </row>
    <row r="534" spans="3:7" x14ac:dyDescent="0.3">
      <c r="C534" s="109"/>
      <c r="D534" s="109"/>
      <c r="E534" s="109"/>
      <c r="F534" s="110"/>
      <c r="G534" s="109"/>
    </row>
    <row r="535" spans="3:7" x14ac:dyDescent="0.3">
      <c r="C535" s="109"/>
      <c r="D535" s="109"/>
      <c r="E535" s="109"/>
      <c r="F535" s="110"/>
      <c r="G535" s="109"/>
    </row>
    <row r="536" spans="3:7" x14ac:dyDescent="0.3">
      <c r="C536" s="109"/>
      <c r="D536" s="109"/>
      <c r="E536" s="109"/>
      <c r="F536" s="110"/>
      <c r="G536" s="109"/>
    </row>
    <row r="537" spans="3:7" x14ac:dyDescent="0.3">
      <c r="C537" s="109"/>
      <c r="D537" s="109"/>
      <c r="E537" s="109"/>
      <c r="F537" s="110"/>
      <c r="G537" s="109"/>
    </row>
    <row r="538" spans="3:7" x14ac:dyDescent="0.3">
      <c r="C538" s="109"/>
      <c r="D538" s="109"/>
      <c r="E538" s="109"/>
      <c r="F538" s="110"/>
      <c r="G538" s="109"/>
    </row>
    <row r="539" spans="3:7" x14ac:dyDescent="0.3">
      <c r="C539" s="109"/>
      <c r="D539" s="109"/>
      <c r="E539" s="109"/>
      <c r="F539" s="110"/>
      <c r="G539" s="109"/>
    </row>
    <row r="540" spans="3:7" x14ac:dyDescent="0.3">
      <c r="C540" s="109"/>
      <c r="D540" s="109"/>
      <c r="E540" s="109"/>
      <c r="F540" s="110"/>
      <c r="G540" s="109"/>
    </row>
    <row r="541" spans="3:7" x14ac:dyDescent="0.3">
      <c r="C541" s="109"/>
      <c r="D541" s="109"/>
      <c r="E541" s="109"/>
      <c r="F541" s="110"/>
      <c r="G541" s="109"/>
    </row>
    <row r="542" spans="3:7" x14ac:dyDescent="0.3">
      <c r="C542" s="109"/>
      <c r="D542" s="109"/>
      <c r="E542" s="109"/>
      <c r="F542" s="110"/>
      <c r="G542" s="109"/>
    </row>
    <row r="543" spans="3:7" x14ac:dyDescent="0.3">
      <c r="C543" s="109"/>
      <c r="D543" s="109"/>
      <c r="E543" s="109"/>
      <c r="F543" s="110"/>
      <c r="G543" s="109"/>
    </row>
    <row r="544" spans="3:7" x14ac:dyDescent="0.3">
      <c r="C544" s="109"/>
      <c r="D544" s="109"/>
      <c r="E544" s="109"/>
      <c r="F544" s="110"/>
      <c r="G544" s="109"/>
    </row>
    <row r="545" spans="3:7" x14ac:dyDescent="0.3">
      <c r="C545" s="109"/>
      <c r="D545" s="109"/>
      <c r="E545" s="109"/>
      <c r="F545" s="110"/>
      <c r="G545" s="109"/>
    </row>
    <row r="546" spans="3:7" x14ac:dyDescent="0.3">
      <c r="C546" s="109"/>
      <c r="D546" s="109"/>
      <c r="E546" s="109"/>
      <c r="F546" s="110"/>
      <c r="G546" s="109"/>
    </row>
    <row r="547" spans="3:7" x14ac:dyDescent="0.3">
      <c r="C547" s="109"/>
      <c r="D547" s="109"/>
      <c r="E547" s="109"/>
      <c r="F547" s="110"/>
      <c r="G547" s="109"/>
    </row>
    <row r="548" spans="3:7" x14ac:dyDescent="0.3">
      <c r="C548" s="109"/>
      <c r="D548" s="109"/>
      <c r="E548" s="109"/>
      <c r="F548" s="110"/>
      <c r="G548" s="109"/>
    </row>
    <row r="549" spans="3:7" x14ac:dyDescent="0.3">
      <c r="C549" s="109"/>
      <c r="D549" s="109"/>
      <c r="E549" s="109"/>
      <c r="F549" s="110"/>
      <c r="G549" s="109"/>
    </row>
    <row r="550" spans="3:7" x14ac:dyDescent="0.3">
      <c r="C550" s="109"/>
      <c r="D550" s="109"/>
      <c r="E550" s="109"/>
      <c r="F550" s="110"/>
      <c r="G550" s="109"/>
    </row>
    <row r="551" spans="3:7" x14ac:dyDescent="0.3">
      <c r="C551" s="109"/>
      <c r="D551" s="109"/>
      <c r="E551" s="109"/>
      <c r="F551" s="110"/>
      <c r="G551" s="109"/>
    </row>
    <row r="552" spans="3:7" x14ac:dyDescent="0.3">
      <c r="C552" s="109"/>
      <c r="D552" s="109"/>
      <c r="E552" s="109"/>
      <c r="F552" s="110"/>
      <c r="G552" s="109"/>
    </row>
    <row r="553" spans="3:7" x14ac:dyDescent="0.3">
      <c r="C553" s="109"/>
      <c r="D553" s="109"/>
      <c r="E553" s="109"/>
      <c r="F553" s="110"/>
      <c r="G553" s="109"/>
    </row>
    <row r="554" spans="3:7" x14ac:dyDescent="0.3">
      <c r="C554" s="109"/>
      <c r="D554" s="109"/>
      <c r="E554" s="109"/>
      <c r="F554" s="110"/>
      <c r="G554" s="109"/>
    </row>
    <row r="555" spans="3:7" x14ac:dyDescent="0.3">
      <c r="C555" s="109"/>
      <c r="D555" s="109"/>
      <c r="E555" s="109"/>
      <c r="F555" s="110"/>
      <c r="G555" s="109"/>
    </row>
    <row r="556" spans="3:7" x14ac:dyDescent="0.3">
      <c r="C556" s="109"/>
      <c r="D556" s="109"/>
      <c r="E556" s="109"/>
      <c r="F556" s="110"/>
      <c r="G556" s="109"/>
    </row>
    <row r="557" spans="3:7" x14ac:dyDescent="0.3">
      <c r="C557" s="109"/>
      <c r="D557" s="109"/>
      <c r="E557" s="109"/>
      <c r="F557" s="110"/>
      <c r="G557" s="109"/>
    </row>
    <row r="558" spans="3:7" x14ac:dyDescent="0.3">
      <c r="C558" s="109"/>
      <c r="D558" s="109"/>
      <c r="E558" s="109"/>
      <c r="F558" s="110"/>
      <c r="G558" s="109"/>
    </row>
    <row r="559" spans="3:7" x14ac:dyDescent="0.3">
      <c r="C559" s="109"/>
      <c r="D559" s="109"/>
      <c r="E559" s="109"/>
      <c r="F559" s="110"/>
      <c r="G559" s="109"/>
    </row>
    <row r="560" spans="3:7" x14ac:dyDescent="0.3">
      <c r="C560" s="109"/>
      <c r="D560" s="109"/>
      <c r="E560" s="109"/>
      <c r="F560" s="110"/>
      <c r="G560" s="109"/>
    </row>
    <row r="561" spans="3:7" x14ac:dyDescent="0.3">
      <c r="C561" s="109"/>
      <c r="D561" s="109"/>
      <c r="E561" s="109"/>
      <c r="F561" s="110"/>
      <c r="G561" s="109"/>
    </row>
    <row r="562" spans="3:7" x14ac:dyDescent="0.3">
      <c r="C562" s="109"/>
      <c r="D562" s="109"/>
      <c r="E562" s="109"/>
      <c r="F562" s="110"/>
      <c r="G562" s="109"/>
    </row>
    <row r="563" spans="3:7" x14ac:dyDescent="0.3">
      <c r="C563" s="109"/>
      <c r="D563" s="109"/>
      <c r="E563" s="109"/>
      <c r="F563" s="110"/>
      <c r="G563" s="109"/>
    </row>
    <row r="564" spans="3:7" x14ac:dyDescent="0.3">
      <c r="C564" s="109"/>
      <c r="D564" s="109"/>
      <c r="E564" s="109"/>
      <c r="F564" s="110"/>
      <c r="G564" s="109"/>
    </row>
    <row r="565" spans="3:7" x14ac:dyDescent="0.3">
      <c r="C565" s="109"/>
      <c r="D565" s="109"/>
      <c r="E565" s="109"/>
      <c r="F565" s="110"/>
      <c r="G565" s="109"/>
    </row>
    <row r="566" spans="3:7" x14ac:dyDescent="0.3">
      <c r="C566" s="109"/>
      <c r="D566" s="109"/>
      <c r="E566" s="109"/>
      <c r="F566" s="110"/>
      <c r="G566" s="109"/>
    </row>
    <row r="567" spans="3:7" x14ac:dyDescent="0.3">
      <c r="C567" s="109"/>
      <c r="D567" s="109"/>
      <c r="E567" s="109"/>
      <c r="F567" s="110"/>
      <c r="G567" s="109"/>
    </row>
    <row r="568" spans="3:7" x14ac:dyDescent="0.3">
      <c r="C568" s="109"/>
      <c r="D568" s="109"/>
      <c r="E568" s="109"/>
      <c r="F568" s="110"/>
      <c r="G568" s="109"/>
    </row>
    <row r="569" spans="3:7" x14ac:dyDescent="0.3">
      <c r="C569" s="109"/>
      <c r="D569" s="109"/>
      <c r="E569" s="109"/>
      <c r="F569" s="110"/>
      <c r="G569" s="109"/>
    </row>
    <row r="570" spans="3:7" x14ac:dyDescent="0.3">
      <c r="C570" s="109"/>
      <c r="D570" s="109"/>
      <c r="E570" s="109"/>
      <c r="F570" s="110"/>
      <c r="G570" s="109"/>
    </row>
    <row r="571" spans="3:7" x14ac:dyDescent="0.3">
      <c r="C571" s="109"/>
      <c r="D571" s="109"/>
      <c r="E571" s="109"/>
      <c r="F571" s="110"/>
      <c r="G571" s="109"/>
    </row>
    <row r="572" spans="3:7" x14ac:dyDescent="0.3">
      <c r="C572" s="109"/>
      <c r="D572" s="109"/>
      <c r="E572" s="109"/>
      <c r="F572" s="110"/>
      <c r="G572" s="109"/>
    </row>
    <row r="573" spans="3:7" x14ac:dyDescent="0.3">
      <c r="C573" s="109"/>
      <c r="D573" s="109"/>
      <c r="E573" s="109"/>
      <c r="F573" s="110"/>
      <c r="G573" s="109"/>
    </row>
    <row r="574" spans="3:7" x14ac:dyDescent="0.3">
      <c r="C574" s="109"/>
      <c r="D574" s="109"/>
      <c r="E574" s="109"/>
      <c r="F574" s="110"/>
      <c r="G574" s="109"/>
    </row>
    <row r="575" spans="3:7" x14ac:dyDescent="0.3">
      <c r="C575" s="109"/>
      <c r="D575" s="109"/>
      <c r="E575" s="109"/>
      <c r="F575" s="110"/>
      <c r="G575" s="109"/>
    </row>
    <row r="576" spans="3:7" x14ac:dyDescent="0.3">
      <c r="C576" s="109"/>
      <c r="D576" s="109"/>
      <c r="E576" s="109"/>
      <c r="F576" s="110"/>
      <c r="G576" s="109"/>
    </row>
    <row r="577" spans="3:7" x14ac:dyDescent="0.3">
      <c r="C577" s="109"/>
      <c r="D577" s="109"/>
      <c r="E577" s="109"/>
      <c r="F577" s="110"/>
      <c r="G577" s="109"/>
    </row>
    <row r="578" spans="3:7" x14ac:dyDescent="0.3">
      <c r="C578" s="109"/>
      <c r="D578" s="109"/>
      <c r="E578" s="109"/>
      <c r="F578" s="110"/>
      <c r="G578" s="109"/>
    </row>
    <row r="579" spans="3:7" x14ac:dyDescent="0.3">
      <c r="C579" s="109"/>
      <c r="D579" s="109"/>
      <c r="E579" s="109"/>
      <c r="F579" s="110"/>
      <c r="G579" s="109"/>
    </row>
    <row r="580" spans="3:7" x14ac:dyDescent="0.3">
      <c r="C580" s="109"/>
      <c r="D580" s="109"/>
      <c r="E580" s="109"/>
      <c r="F580" s="110"/>
      <c r="G580" s="109"/>
    </row>
    <row r="581" spans="3:7" x14ac:dyDescent="0.3">
      <c r="C581" s="109"/>
      <c r="D581" s="109"/>
      <c r="E581" s="109"/>
      <c r="F581" s="110"/>
      <c r="G581" s="109"/>
    </row>
    <row r="582" spans="3:7" x14ac:dyDescent="0.3">
      <c r="C582" s="109"/>
      <c r="D582" s="109"/>
      <c r="E582" s="109"/>
      <c r="F582" s="110"/>
      <c r="G582" s="109"/>
    </row>
    <row r="583" spans="3:7" x14ac:dyDescent="0.3">
      <c r="C583" s="109"/>
      <c r="D583" s="109"/>
      <c r="E583" s="109"/>
      <c r="F583" s="110"/>
      <c r="G583" s="109"/>
    </row>
    <row r="584" spans="3:7" x14ac:dyDescent="0.3">
      <c r="C584" s="109"/>
      <c r="D584" s="109"/>
      <c r="E584" s="109"/>
      <c r="F584" s="110"/>
      <c r="G584" s="109"/>
    </row>
    <row r="585" spans="3:7" x14ac:dyDescent="0.3">
      <c r="C585" s="109"/>
      <c r="D585" s="109"/>
      <c r="E585" s="109"/>
      <c r="F585" s="110"/>
      <c r="G585" s="109"/>
    </row>
    <row r="586" spans="3:7" x14ac:dyDescent="0.3">
      <c r="C586" s="109"/>
      <c r="D586" s="109"/>
      <c r="E586" s="109"/>
      <c r="F586" s="110"/>
      <c r="G586" s="109"/>
    </row>
    <row r="587" spans="3:7" x14ac:dyDescent="0.3">
      <c r="C587" s="109"/>
      <c r="D587" s="109"/>
      <c r="E587" s="109"/>
      <c r="F587" s="110"/>
      <c r="G587" s="109"/>
    </row>
    <row r="588" spans="3:7" x14ac:dyDescent="0.3">
      <c r="C588" s="109"/>
      <c r="D588" s="109"/>
      <c r="E588" s="109"/>
      <c r="F588" s="110"/>
      <c r="G588" s="109"/>
    </row>
    <row r="589" spans="3:7" x14ac:dyDescent="0.3">
      <c r="C589" s="109"/>
      <c r="D589" s="109"/>
      <c r="E589" s="109"/>
      <c r="F589" s="110"/>
      <c r="G589" s="109"/>
    </row>
    <row r="590" spans="3:7" x14ac:dyDescent="0.3">
      <c r="C590" s="109"/>
      <c r="D590" s="109"/>
      <c r="E590" s="109"/>
      <c r="F590" s="110"/>
      <c r="G590" s="109"/>
    </row>
    <row r="591" spans="3:7" x14ac:dyDescent="0.3">
      <c r="C591" s="109"/>
      <c r="D591" s="109"/>
      <c r="E591" s="109"/>
      <c r="F591" s="110"/>
      <c r="G591" s="109"/>
    </row>
    <row r="592" spans="3:7" x14ac:dyDescent="0.3">
      <c r="C592" s="109"/>
      <c r="D592" s="109"/>
      <c r="E592" s="109"/>
      <c r="F592" s="110"/>
      <c r="G592" s="109"/>
    </row>
    <row r="593" spans="3:7" x14ac:dyDescent="0.3">
      <c r="C593" s="109"/>
      <c r="D593" s="109"/>
      <c r="E593" s="109"/>
      <c r="F593" s="110"/>
      <c r="G593" s="109"/>
    </row>
    <row r="594" spans="3:7" x14ac:dyDescent="0.3">
      <c r="C594" s="109"/>
      <c r="D594" s="109"/>
      <c r="E594" s="109"/>
      <c r="F594" s="110"/>
      <c r="G594" s="109"/>
    </row>
    <row r="595" spans="3:7" x14ac:dyDescent="0.3">
      <c r="C595" s="109"/>
      <c r="D595" s="109"/>
      <c r="E595" s="109"/>
      <c r="F595" s="110"/>
      <c r="G595" s="109"/>
    </row>
    <row r="596" spans="3:7" x14ac:dyDescent="0.3">
      <c r="C596" s="109"/>
      <c r="D596" s="109"/>
      <c r="E596" s="109"/>
      <c r="F596" s="110"/>
      <c r="G596" s="109"/>
    </row>
    <row r="597" spans="3:7" x14ac:dyDescent="0.3">
      <c r="C597" s="109"/>
      <c r="D597" s="109"/>
      <c r="E597" s="109"/>
      <c r="F597" s="110"/>
      <c r="G597" s="109"/>
    </row>
    <row r="598" spans="3:7" x14ac:dyDescent="0.3">
      <c r="C598" s="109"/>
      <c r="D598" s="109"/>
      <c r="E598" s="109"/>
      <c r="F598" s="110"/>
      <c r="G598" s="109"/>
    </row>
    <row r="599" spans="3:7" x14ac:dyDescent="0.3">
      <c r="C599" s="109"/>
      <c r="D599" s="109"/>
      <c r="E599" s="109"/>
      <c r="F599" s="110"/>
      <c r="G599" s="109"/>
    </row>
    <row r="600" spans="3:7" x14ac:dyDescent="0.3">
      <c r="C600" s="109"/>
      <c r="D600" s="109"/>
      <c r="E600" s="109"/>
      <c r="F600" s="110"/>
      <c r="G600" s="109"/>
    </row>
    <row r="601" spans="3:7" x14ac:dyDescent="0.3">
      <c r="C601" s="109"/>
      <c r="D601" s="109"/>
      <c r="E601" s="109"/>
      <c r="F601" s="110"/>
      <c r="G601" s="109"/>
    </row>
    <row r="602" spans="3:7" x14ac:dyDescent="0.3">
      <c r="C602" s="109"/>
      <c r="D602" s="109"/>
      <c r="E602" s="109"/>
      <c r="F602" s="110"/>
      <c r="G602" s="109"/>
    </row>
    <row r="603" spans="3:7" x14ac:dyDescent="0.3">
      <c r="C603" s="109"/>
      <c r="D603" s="109"/>
      <c r="E603" s="109"/>
      <c r="F603" s="110"/>
      <c r="G603" s="109"/>
    </row>
    <row r="604" spans="3:7" x14ac:dyDescent="0.3">
      <c r="C604" s="109"/>
      <c r="D604" s="109"/>
      <c r="E604" s="109"/>
      <c r="F604" s="110"/>
      <c r="G604" s="109"/>
    </row>
    <row r="605" spans="3:7" x14ac:dyDescent="0.3">
      <c r="C605" s="109"/>
      <c r="D605" s="109"/>
      <c r="E605" s="109"/>
      <c r="F605" s="110"/>
      <c r="G605" s="109"/>
    </row>
    <row r="606" spans="3:7" x14ac:dyDescent="0.3">
      <c r="C606" s="109"/>
      <c r="D606" s="109"/>
      <c r="E606" s="109"/>
      <c r="F606" s="110"/>
      <c r="G606" s="109"/>
    </row>
    <row r="607" spans="3:7" x14ac:dyDescent="0.3">
      <c r="C607" s="109"/>
      <c r="D607" s="109"/>
      <c r="E607" s="109"/>
      <c r="F607" s="110"/>
      <c r="G607" s="109"/>
    </row>
    <row r="608" spans="3:7" x14ac:dyDescent="0.3">
      <c r="C608" s="109"/>
      <c r="D608" s="109"/>
      <c r="E608" s="109"/>
      <c r="F608" s="110"/>
      <c r="G608" s="109"/>
    </row>
    <row r="609" spans="3:7" x14ac:dyDescent="0.3">
      <c r="C609" s="109"/>
      <c r="D609" s="109"/>
      <c r="E609" s="109"/>
      <c r="F609" s="110"/>
      <c r="G609" s="109"/>
    </row>
    <row r="610" spans="3:7" x14ac:dyDescent="0.3">
      <c r="C610" s="109"/>
      <c r="D610" s="109"/>
      <c r="E610" s="109"/>
      <c r="F610" s="110"/>
      <c r="G610" s="109"/>
    </row>
    <row r="611" spans="3:7" x14ac:dyDescent="0.3">
      <c r="C611" s="109"/>
      <c r="D611" s="109"/>
      <c r="E611" s="109"/>
      <c r="F611" s="110"/>
      <c r="G611" s="109"/>
    </row>
    <row r="612" spans="3:7" x14ac:dyDescent="0.3">
      <c r="C612" s="109"/>
      <c r="D612" s="109"/>
      <c r="E612" s="109"/>
      <c r="F612" s="110"/>
      <c r="G612" s="109"/>
    </row>
    <row r="613" spans="3:7" x14ac:dyDescent="0.3">
      <c r="C613" s="109"/>
      <c r="D613" s="109"/>
      <c r="E613" s="109"/>
      <c r="F613" s="110"/>
      <c r="G613" s="109"/>
    </row>
    <row r="614" spans="3:7" x14ac:dyDescent="0.3">
      <c r="C614" s="109"/>
      <c r="D614" s="109"/>
      <c r="E614" s="109"/>
      <c r="F614" s="110"/>
      <c r="G614" s="109"/>
    </row>
    <row r="615" spans="3:7" x14ac:dyDescent="0.3">
      <c r="C615" s="109"/>
      <c r="D615" s="109"/>
      <c r="E615" s="109"/>
      <c r="F615" s="110"/>
      <c r="G615" s="109"/>
    </row>
    <row r="616" spans="3:7" x14ac:dyDescent="0.3">
      <c r="C616" s="109"/>
      <c r="D616" s="109"/>
      <c r="E616" s="109"/>
      <c r="F616" s="110"/>
      <c r="G616" s="109"/>
    </row>
    <row r="617" spans="3:7" x14ac:dyDescent="0.3">
      <c r="C617" s="109"/>
      <c r="D617" s="109"/>
      <c r="E617" s="109"/>
      <c r="F617" s="110"/>
      <c r="G617" s="109"/>
    </row>
    <row r="618" spans="3:7" x14ac:dyDescent="0.3">
      <c r="C618" s="109"/>
      <c r="D618" s="109"/>
      <c r="E618" s="109"/>
      <c r="F618" s="110"/>
      <c r="G618" s="109"/>
    </row>
    <row r="619" spans="3:7" x14ac:dyDescent="0.3">
      <c r="C619" s="109"/>
      <c r="D619" s="109"/>
      <c r="E619" s="109"/>
      <c r="F619" s="110"/>
      <c r="G619" s="109"/>
    </row>
    <row r="620" spans="3:7" x14ac:dyDescent="0.3">
      <c r="C620" s="109"/>
      <c r="D620" s="109"/>
      <c r="E620" s="109"/>
      <c r="F620" s="110"/>
      <c r="G620" s="109"/>
    </row>
    <row r="621" spans="3:7" x14ac:dyDescent="0.3">
      <c r="C621" s="109"/>
      <c r="D621" s="109"/>
      <c r="E621" s="109"/>
      <c r="F621" s="110"/>
      <c r="G621" s="109"/>
    </row>
    <row r="622" spans="3:7" x14ac:dyDescent="0.3">
      <c r="C622" s="109"/>
      <c r="D622" s="109"/>
      <c r="E622" s="109"/>
      <c r="F622" s="110"/>
      <c r="G622" s="109"/>
    </row>
    <row r="623" spans="3:7" x14ac:dyDescent="0.3">
      <c r="C623" s="109"/>
      <c r="D623" s="109"/>
      <c r="E623" s="109"/>
      <c r="F623" s="110"/>
      <c r="G623" s="109"/>
    </row>
    <row r="624" spans="3:7" x14ac:dyDescent="0.3">
      <c r="C624" s="109"/>
      <c r="D624" s="109"/>
      <c r="E624" s="109"/>
      <c r="F624" s="110"/>
      <c r="G624" s="109"/>
    </row>
    <row r="625" spans="3:7" x14ac:dyDescent="0.3">
      <c r="C625" s="109"/>
      <c r="D625" s="109"/>
      <c r="E625" s="109"/>
      <c r="F625" s="110"/>
      <c r="G625" s="109"/>
    </row>
    <row r="626" spans="3:7" x14ac:dyDescent="0.3">
      <c r="C626" s="109"/>
      <c r="D626" s="109"/>
      <c r="E626" s="109"/>
      <c r="F626" s="110"/>
      <c r="G626" s="109"/>
    </row>
    <row r="627" spans="3:7" x14ac:dyDescent="0.3">
      <c r="C627" s="109"/>
      <c r="D627" s="109"/>
      <c r="E627" s="109"/>
      <c r="F627" s="110"/>
      <c r="G627" s="109"/>
    </row>
    <row r="628" spans="3:7" x14ac:dyDescent="0.3">
      <c r="C628" s="109"/>
      <c r="D628" s="109"/>
      <c r="E628" s="109"/>
      <c r="F628" s="110"/>
      <c r="G628" s="109"/>
    </row>
    <row r="629" spans="3:7" x14ac:dyDescent="0.3">
      <c r="C629" s="109"/>
      <c r="D629" s="109"/>
      <c r="E629" s="109"/>
      <c r="F629" s="110"/>
      <c r="G629" s="109"/>
    </row>
    <row r="630" spans="3:7" x14ac:dyDescent="0.3">
      <c r="C630" s="109"/>
      <c r="D630" s="109"/>
      <c r="E630" s="109"/>
      <c r="F630" s="110"/>
      <c r="G630" s="109"/>
    </row>
    <row r="631" spans="3:7" x14ac:dyDescent="0.3">
      <c r="C631" s="109"/>
      <c r="D631" s="109"/>
      <c r="E631" s="109"/>
      <c r="F631" s="110"/>
      <c r="G631" s="109"/>
    </row>
    <row r="632" spans="3:7" x14ac:dyDescent="0.3">
      <c r="C632" s="109"/>
      <c r="D632" s="109"/>
      <c r="E632" s="109"/>
      <c r="F632" s="110"/>
      <c r="G632" s="109"/>
    </row>
    <row r="633" spans="3:7" x14ac:dyDescent="0.3">
      <c r="C633" s="109"/>
      <c r="D633" s="109"/>
      <c r="E633" s="109"/>
      <c r="F633" s="110"/>
      <c r="G633" s="109"/>
    </row>
    <row r="634" spans="3:7" x14ac:dyDescent="0.3">
      <c r="C634" s="109"/>
      <c r="D634" s="109"/>
      <c r="E634" s="109"/>
      <c r="F634" s="110"/>
      <c r="G634" s="109"/>
    </row>
    <row r="635" spans="3:7" x14ac:dyDescent="0.3">
      <c r="C635" s="109"/>
      <c r="D635" s="109"/>
      <c r="E635" s="109"/>
      <c r="F635" s="110"/>
      <c r="G635" s="109"/>
    </row>
    <row r="636" spans="3:7" x14ac:dyDescent="0.3">
      <c r="C636" s="109"/>
      <c r="D636" s="109"/>
      <c r="E636" s="109"/>
      <c r="F636" s="110"/>
      <c r="G636" s="109"/>
    </row>
    <row r="637" spans="3:7" x14ac:dyDescent="0.3">
      <c r="C637" s="109"/>
      <c r="D637" s="109"/>
      <c r="E637" s="109"/>
      <c r="F637" s="110"/>
      <c r="G637" s="109"/>
    </row>
    <row r="638" spans="3:7" x14ac:dyDescent="0.3">
      <c r="C638" s="109"/>
      <c r="D638" s="109"/>
      <c r="E638" s="109"/>
      <c r="F638" s="110"/>
      <c r="G638" s="109"/>
    </row>
    <row r="639" spans="3:7" x14ac:dyDescent="0.3">
      <c r="C639" s="109"/>
      <c r="D639" s="109"/>
      <c r="E639" s="109"/>
      <c r="F639" s="110"/>
      <c r="G639" s="109"/>
    </row>
    <row r="640" spans="3:7" x14ac:dyDescent="0.3">
      <c r="C640" s="109"/>
      <c r="D640" s="109"/>
      <c r="E640" s="109"/>
      <c r="F640" s="110"/>
      <c r="G640" s="109"/>
    </row>
    <row r="641" spans="3:7" x14ac:dyDescent="0.3">
      <c r="C641" s="109"/>
      <c r="D641" s="109"/>
      <c r="E641" s="109"/>
      <c r="F641" s="110"/>
      <c r="G641" s="109"/>
    </row>
    <row r="642" spans="3:7" x14ac:dyDescent="0.3">
      <c r="C642" s="109"/>
      <c r="D642" s="109"/>
      <c r="E642" s="109"/>
      <c r="F642" s="110"/>
      <c r="G642" s="109"/>
    </row>
    <row r="643" spans="3:7" x14ac:dyDescent="0.3">
      <c r="C643" s="109"/>
      <c r="D643" s="109"/>
      <c r="E643" s="109"/>
      <c r="F643" s="110"/>
      <c r="G643" s="109"/>
    </row>
    <row r="644" spans="3:7" x14ac:dyDescent="0.3">
      <c r="C644" s="109"/>
      <c r="D644" s="109"/>
      <c r="E644" s="109"/>
      <c r="F644" s="110"/>
      <c r="G644" s="109"/>
    </row>
    <row r="645" spans="3:7" x14ac:dyDescent="0.3">
      <c r="C645" s="109"/>
      <c r="D645" s="109"/>
      <c r="E645" s="109"/>
      <c r="F645" s="110"/>
      <c r="G645" s="109"/>
    </row>
    <row r="646" spans="3:7" x14ac:dyDescent="0.3">
      <c r="C646" s="109"/>
      <c r="D646" s="109"/>
      <c r="E646" s="109"/>
      <c r="F646" s="110"/>
      <c r="G646" s="109"/>
    </row>
    <row r="647" spans="3:7" x14ac:dyDescent="0.3">
      <c r="C647" s="109"/>
      <c r="D647" s="109"/>
      <c r="E647" s="109"/>
      <c r="F647" s="110"/>
      <c r="G647" s="109"/>
    </row>
    <row r="648" spans="3:7" x14ac:dyDescent="0.3">
      <c r="C648" s="109"/>
      <c r="D648" s="109"/>
      <c r="E648" s="109"/>
      <c r="F648" s="110"/>
      <c r="G648" s="109"/>
    </row>
    <row r="649" spans="3:7" x14ac:dyDescent="0.3">
      <c r="C649" s="109"/>
      <c r="D649" s="109"/>
      <c r="E649" s="109"/>
      <c r="F649" s="110"/>
      <c r="G649" s="109"/>
    </row>
    <row r="650" spans="3:7" x14ac:dyDescent="0.3">
      <c r="C650" s="109"/>
      <c r="D650" s="109"/>
      <c r="E650" s="109"/>
      <c r="F650" s="110"/>
      <c r="G650" s="109"/>
    </row>
    <row r="651" spans="3:7" x14ac:dyDescent="0.3">
      <c r="C651" s="109"/>
      <c r="D651" s="109"/>
      <c r="E651" s="109"/>
      <c r="F651" s="110"/>
      <c r="G651" s="109"/>
    </row>
    <row r="652" spans="3:7" x14ac:dyDescent="0.3">
      <c r="C652" s="109"/>
      <c r="D652" s="109"/>
      <c r="E652" s="109"/>
      <c r="F652" s="110"/>
      <c r="G652" s="109"/>
    </row>
    <row r="653" spans="3:7" x14ac:dyDescent="0.3">
      <c r="C653" s="109"/>
      <c r="D653" s="109"/>
      <c r="E653" s="109"/>
      <c r="F653" s="110"/>
      <c r="G653" s="109"/>
    </row>
    <row r="654" spans="3:7" x14ac:dyDescent="0.3">
      <c r="C654" s="109"/>
      <c r="D654" s="109"/>
      <c r="E654" s="109"/>
      <c r="F654" s="110"/>
      <c r="G654" s="109"/>
    </row>
    <row r="655" spans="3:7" x14ac:dyDescent="0.3">
      <c r="C655" s="109"/>
      <c r="D655" s="109"/>
      <c r="E655" s="109"/>
      <c r="F655" s="110"/>
      <c r="G655" s="109"/>
    </row>
    <row r="656" spans="3:7" x14ac:dyDescent="0.3">
      <c r="C656" s="109"/>
      <c r="D656" s="109"/>
      <c r="E656" s="109"/>
      <c r="F656" s="110"/>
      <c r="G656" s="109"/>
    </row>
    <row r="657" spans="3:7" x14ac:dyDescent="0.3">
      <c r="C657" s="109"/>
      <c r="D657" s="109"/>
      <c r="E657" s="109"/>
      <c r="F657" s="110"/>
      <c r="G657" s="109"/>
    </row>
    <row r="658" spans="3:7" x14ac:dyDescent="0.3">
      <c r="C658" s="109"/>
      <c r="D658" s="109"/>
      <c r="E658" s="109"/>
      <c r="F658" s="110"/>
      <c r="G658" s="109"/>
    </row>
    <row r="659" spans="3:7" x14ac:dyDescent="0.3">
      <c r="C659" s="109"/>
      <c r="D659" s="109"/>
      <c r="E659" s="109"/>
      <c r="F659" s="110"/>
      <c r="G659" s="109"/>
    </row>
    <row r="660" spans="3:7" x14ac:dyDescent="0.3">
      <c r="C660" s="109"/>
      <c r="D660" s="109"/>
      <c r="E660" s="109"/>
      <c r="F660" s="110"/>
      <c r="G660" s="109"/>
    </row>
    <row r="661" spans="3:7" x14ac:dyDescent="0.3">
      <c r="C661" s="109"/>
      <c r="D661" s="109"/>
      <c r="E661" s="109"/>
      <c r="F661" s="110"/>
      <c r="G661" s="109"/>
    </row>
    <row r="662" spans="3:7" x14ac:dyDescent="0.3">
      <c r="C662" s="109"/>
      <c r="D662" s="109"/>
      <c r="E662" s="109"/>
      <c r="F662" s="110"/>
      <c r="G662" s="109"/>
    </row>
    <row r="663" spans="3:7" x14ac:dyDescent="0.3">
      <c r="C663" s="109"/>
      <c r="D663" s="109"/>
      <c r="E663" s="109"/>
      <c r="F663" s="110"/>
      <c r="G663" s="109"/>
    </row>
    <row r="664" spans="3:7" x14ac:dyDescent="0.3">
      <c r="C664" s="109"/>
      <c r="D664" s="109"/>
      <c r="E664" s="109"/>
      <c r="F664" s="110"/>
      <c r="G664" s="109"/>
    </row>
    <row r="665" spans="3:7" x14ac:dyDescent="0.3">
      <c r="C665" s="109"/>
      <c r="D665" s="109"/>
      <c r="E665" s="109"/>
      <c r="F665" s="110"/>
      <c r="G665" s="109"/>
    </row>
    <row r="666" spans="3:7" x14ac:dyDescent="0.3">
      <c r="C666" s="109"/>
      <c r="D666" s="109"/>
      <c r="E666" s="109"/>
      <c r="F666" s="110"/>
      <c r="G666" s="109"/>
    </row>
    <row r="667" spans="3:7" x14ac:dyDescent="0.3">
      <c r="C667" s="109"/>
      <c r="D667" s="109"/>
      <c r="E667" s="109"/>
      <c r="F667" s="110"/>
      <c r="G667" s="109"/>
    </row>
    <row r="668" spans="3:7" x14ac:dyDescent="0.3">
      <c r="C668" s="109"/>
      <c r="D668" s="109"/>
      <c r="E668" s="109"/>
      <c r="F668" s="110"/>
      <c r="G668" s="109"/>
    </row>
    <row r="669" spans="3:7" x14ac:dyDescent="0.3">
      <c r="C669" s="109"/>
      <c r="D669" s="109"/>
      <c r="E669" s="109"/>
      <c r="F669" s="110"/>
      <c r="G669" s="109"/>
    </row>
    <row r="670" spans="3:7" x14ac:dyDescent="0.3">
      <c r="C670" s="109"/>
      <c r="D670" s="109"/>
      <c r="E670" s="109"/>
      <c r="F670" s="110"/>
      <c r="G670" s="109"/>
    </row>
    <row r="671" spans="3:7" x14ac:dyDescent="0.3">
      <c r="C671" s="109"/>
      <c r="D671" s="109"/>
      <c r="E671" s="109"/>
      <c r="F671" s="110"/>
      <c r="G671" s="109"/>
    </row>
    <row r="672" spans="3:7" x14ac:dyDescent="0.3">
      <c r="C672" s="109"/>
      <c r="D672" s="109"/>
      <c r="E672" s="109"/>
      <c r="F672" s="110"/>
      <c r="G672" s="109"/>
    </row>
    <row r="673" spans="3:7" x14ac:dyDescent="0.3">
      <c r="C673" s="109"/>
      <c r="D673" s="109"/>
      <c r="E673" s="109"/>
      <c r="F673" s="110"/>
      <c r="G673" s="109"/>
    </row>
    <row r="674" spans="3:7" x14ac:dyDescent="0.3">
      <c r="C674" s="109"/>
      <c r="D674" s="109"/>
      <c r="E674" s="109"/>
      <c r="F674" s="110"/>
      <c r="G674" s="109"/>
    </row>
    <row r="675" spans="3:7" x14ac:dyDescent="0.3">
      <c r="C675" s="109"/>
      <c r="D675" s="109"/>
      <c r="E675" s="109"/>
      <c r="F675" s="110"/>
      <c r="G675" s="109"/>
    </row>
    <row r="676" spans="3:7" x14ac:dyDescent="0.3">
      <c r="C676" s="109"/>
      <c r="D676" s="109"/>
      <c r="E676" s="109"/>
      <c r="F676" s="110"/>
      <c r="G676" s="109"/>
    </row>
    <row r="677" spans="3:7" x14ac:dyDescent="0.3">
      <c r="C677" s="109"/>
      <c r="D677" s="109"/>
      <c r="E677" s="109"/>
      <c r="F677" s="110"/>
      <c r="G677" s="109"/>
    </row>
    <row r="678" spans="3:7" x14ac:dyDescent="0.3">
      <c r="C678" s="109"/>
      <c r="D678" s="109"/>
      <c r="E678" s="109"/>
      <c r="F678" s="110"/>
      <c r="G678" s="109"/>
    </row>
    <row r="679" spans="3:7" x14ac:dyDescent="0.3">
      <c r="C679" s="109"/>
      <c r="D679" s="109"/>
      <c r="E679" s="109"/>
      <c r="F679" s="110"/>
      <c r="G679" s="109"/>
    </row>
    <row r="680" spans="3:7" x14ac:dyDescent="0.3">
      <c r="C680" s="109"/>
      <c r="D680" s="109"/>
      <c r="E680" s="109"/>
      <c r="F680" s="110"/>
      <c r="G680" s="109"/>
    </row>
    <row r="681" spans="3:7" x14ac:dyDescent="0.3">
      <c r="C681" s="109"/>
      <c r="D681" s="109"/>
      <c r="E681" s="109"/>
      <c r="F681" s="110"/>
      <c r="G681" s="109"/>
    </row>
    <row r="682" spans="3:7" x14ac:dyDescent="0.3">
      <c r="C682" s="109"/>
      <c r="D682" s="109"/>
      <c r="E682" s="109"/>
      <c r="F682" s="110"/>
      <c r="G682" s="109"/>
    </row>
    <row r="683" spans="3:7" x14ac:dyDescent="0.3">
      <c r="C683" s="109"/>
      <c r="D683" s="109"/>
      <c r="E683" s="109"/>
      <c r="F683" s="110"/>
      <c r="G683" s="109"/>
    </row>
    <row r="684" spans="3:7" x14ac:dyDescent="0.3">
      <c r="C684" s="109"/>
      <c r="D684" s="109"/>
      <c r="E684" s="109"/>
      <c r="F684" s="110"/>
      <c r="G684" s="109"/>
    </row>
    <row r="685" spans="3:7" x14ac:dyDescent="0.3">
      <c r="C685" s="109"/>
      <c r="D685" s="109"/>
      <c r="E685" s="109"/>
      <c r="F685" s="110"/>
      <c r="G685" s="109"/>
    </row>
    <row r="686" spans="3:7" x14ac:dyDescent="0.3">
      <c r="C686" s="109"/>
      <c r="D686" s="109"/>
      <c r="E686" s="109"/>
      <c r="F686" s="110"/>
      <c r="G686" s="109"/>
    </row>
    <row r="687" spans="3:7" x14ac:dyDescent="0.3">
      <c r="C687" s="109"/>
      <c r="D687" s="109"/>
      <c r="E687" s="109"/>
      <c r="F687" s="110"/>
      <c r="G687" s="109"/>
    </row>
    <row r="688" spans="3:7" x14ac:dyDescent="0.3">
      <c r="C688" s="109"/>
      <c r="D688" s="109"/>
      <c r="E688" s="109"/>
      <c r="F688" s="110"/>
      <c r="G688" s="109"/>
    </row>
    <row r="689" spans="3:7" x14ac:dyDescent="0.3">
      <c r="C689" s="109"/>
      <c r="D689" s="109"/>
      <c r="E689" s="109"/>
      <c r="F689" s="110"/>
      <c r="G689" s="109"/>
    </row>
    <row r="690" spans="3:7" x14ac:dyDescent="0.3">
      <c r="C690" s="109"/>
      <c r="D690" s="109"/>
      <c r="E690" s="109"/>
      <c r="F690" s="110"/>
      <c r="G690" s="109"/>
    </row>
    <row r="691" spans="3:7" x14ac:dyDescent="0.3">
      <c r="C691" s="109"/>
      <c r="D691" s="109"/>
      <c r="E691" s="109"/>
      <c r="F691" s="110"/>
      <c r="G691" s="109"/>
    </row>
    <row r="692" spans="3:7" x14ac:dyDescent="0.3">
      <c r="C692" s="109"/>
      <c r="D692" s="109"/>
      <c r="E692" s="109"/>
      <c r="F692" s="110"/>
      <c r="G692" s="109"/>
    </row>
    <row r="693" spans="3:7" x14ac:dyDescent="0.3">
      <c r="C693" s="109"/>
      <c r="D693" s="109"/>
      <c r="E693" s="109"/>
      <c r="F693" s="110"/>
      <c r="G693" s="109"/>
    </row>
    <row r="694" spans="3:7" x14ac:dyDescent="0.3">
      <c r="C694" s="109"/>
      <c r="D694" s="109"/>
      <c r="E694" s="109"/>
      <c r="F694" s="110"/>
      <c r="G694" s="109"/>
    </row>
    <row r="695" spans="3:7" x14ac:dyDescent="0.3">
      <c r="C695" s="109"/>
      <c r="D695" s="109"/>
      <c r="E695" s="109"/>
      <c r="F695" s="110"/>
      <c r="G695" s="109"/>
    </row>
    <row r="696" spans="3:7" x14ac:dyDescent="0.3">
      <c r="C696" s="109"/>
      <c r="D696" s="109"/>
      <c r="E696" s="109"/>
      <c r="F696" s="110"/>
      <c r="G696" s="109"/>
    </row>
    <row r="697" spans="3:7" x14ac:dyDescent="0.3">
      <c r="C697" s="109"/>
      <c r="D697" s="109"/>
      <c r="E697" s="109"/>
      <c r="F697" s="110"/>
      <c r="G697" s="109"/>
    </row>
    <row r="698" spans="3:7" x14ac:dyDescent="0.3">
      <c r="C698" s="109"/>
      <c r="D698" s="109"/>
      <c r="E698" s="109"/>
      <c r="F698" s="110"/>
      <c r="G698" s="109"/>
    </row>
    <row r="699" spans="3:7" x14ac:dyDescent="0.3">
      <c r="C699" s="109"/>
      <c r="D699" s="109"/>
      <c r="E699" s="109"/>
      <c r="F699" s="110"/>
      <c r="G699" s="109"/>
    </row>
    <row r="700" spans="3:7" x14ac:dyDescent="0.3">
      <c r="C700" s="109"/>
      <c r="D700" s="109"/>
      <c r="E700" s="109"/>
      <c r="F700" s="110"/>
      <c r="G700" s="109"/>
    </row>
    <row r="701" spans="3:7" x14ac:dyDescent="0.3">
      <c r="C701" s="109"/>
      <c r="D701" s="109"/>
      <c r="E701" s="109"/>
      <c r="F701" s="110"/>
      <c r="G701" s="109"/>
    </row>
    <row r="702" spans="3:7" x14ac:dyDescent="0.3">
      <c r="C702" s="109"/>
      <c r="D702" s="109"/>
      <c r="E702" s="109"/>
      <c r="F702" s="110"/>
      <c r="G702" s="109"/>
    </row>
    <row r="703" spans="3:7" x14ac:dyDescent="0.3">
      <c r="C703" s="109"/>
      <c r="D703" s="109"/>
      <c r="E703" s="109"/>
      <c r="F703" s="110"/>
      <c r="G703" s="109"/>
    </row>
    <row r="704" spans="3:7" x14ac:dyDescent="0.3">
      <c r="C704" s="109"/>
      <c r="D704" s="109"/>
      <c r="E704" s="109"/>
      <c r="F704" s="110"/>
      <c r="G704" s="109"/>
    </row>
    <row r="705" spans="3:7" x14ac:dyDescent="0.3">
      <c r="C705" s="109"/>
      <c r="D705" s="109"/>
      <c r="E705" s="109"/>
      <c r="F705" s="110"/>
      <c r="G705" s="109"/>
    </row>
    <row r="706" spans="3:7" x14ac:dyDescent="0.3">
      <c r="C706" s="109"/>
      <c r="D706" s="109"/>
      <c r="E706" s="109"/>
      <c r="F706" s="110"/>
      <c r="G706" s="109"/>
    </row>
    <row r="707" spans="3:7" x14ac:dyDescent="0.3">
      <c r="C707" s="109"/>
      <c r="D707" s="109"/>
      <c r="E707" s="109"/>
      <c r="F707" s="110"/>
      <c r="G707" s="109"/>
    </row>
    <row r="708" spans="3:7" x14ac:dyDescent="0.3">
      <c r="C708" s="109"/>
      <c r="D708" s="109"/>
      <c r="E708" s="109"/>
      <c r="F708" s="110"/>
      <c r="G708" s="109"/>
    </row>
    <row r="709" spans="3:7" x14ac:dyDescent="0.3">
      <c r="C709" s="109"/>
      <c r="D709" s="109"/>
      <c r="E709" s="109"/>
      <c r="F709" s="110"/>
      <c r="G709" s="109"/>
    </row>
    <row r="710" spans="3:7" x14ac:dyDescent="0.3">
      <c r="C710" s="109"/>
      <c r="D710" s="109"/>
      <c r="E710" s="109"/>
      <c r="F710" s="110"/>
      <c r="G710" s="109"/>
    </row>
    <row r="711" spans="3:7" x14ac:dyDescent="0.3">
      <c r="C711" s="109"/>
      <c r="D711" s="109"/>
      <c r="E711" s="109"/>
      <c r="F711" s="110"/>
      <c r="G711" s="109"/>
    </row>
    <row r="712" spans="3:7" x14ac:dyDescent="0.3">
      <c r="C712" s="109"/>
      <c r="D712" s="109"/>
      <c r="E712" s="109"/>
      <c r="F712" s="110"/>
      <c r="G712" s="109"/>
    </row>
    <row r="713" spans="3:7" x14ac:dyDescent="0.3">
      <c r="C713" s="109"/>
      <c r="D713" s="109"/>
      <c r="E713" s="109"/>
      <c r="F713" s="110"/>
      <c r="G713" s="109"/>
    </row>
    <row r="714" spans="3:7" x14ac:dyDescent="0.3">
      <c r="C714" s="109"/>
      <c r="D714" s="109"/>
      <c r="E714" s="109"/>
      <c r="F714" s="110"/>
      <c r="G714" s="109"/>
    </row>
    <row r="715" spans="3:7" x14ac:dyDescent="0.3">
      <c r="C715" s="109"/>
      <c r="D715" s="109"/>
      <c r="E715" s="109"/>
      <c r="F715" s="110"/>
      <c r="G715" s="109"/>
    </row>
    <row r="716" spans="3:7" x14ac:dyDescent="0.3">
      <c r="C716" s="109"/>
      <c r="D716" s="109"/>
      <c r="E716" s="109"/>
      <c r="F716" s="110"/>
      <c r="G716" s="109"/>
    </row>
    <row r="717" spans="3:7" x14ac:dyDescent="0.3">
      <c r="C717" s="109"/>
      <c r="D717" s="109"/>
      <c r="E717" s="109"/>
      <c r="F717" s="110"/>
      <c r="G717" s="109"/>
    </row>
    <row r="718" spans="3:7" x14ac:dyDescent="0.3">
      <c r="C718" s="109"/>
      <c r="D718" s="109"/>
      <c r="E718" s="109"/>
      <c r="F718" s="110"/>
      <c r="G718" s="109"/>
    </row>
    <row r="719" spans="3:7" x14ac:dyDescent="0.3">
      <c r="C719" s="109"/>
      <c r="D719" s="109"/>
      <c r="E719" s="109"/>
      <c r="F719" s="110"/>
      <c r="G719" s="109"/>
    </row>
    <row r="720" spans="3:7" x14ac:dyDescent="0.3">
      <c r="C720" s="109"/>
      <c r="D720" s="109"/>
      <c r="E720" s="109"/>
      <c r="F720" s="110"/>
      <c r="G720" s="109"/>
    </row>
    <row r="721" spans="3:7" x14ac:dyDescent="0.3">
      <c r="C721" s="109"/>
      <c r="D721" s="109"/>
      <c r="E721" s="109"/>
      <c r="F721" s="110"/>
      <c r="G721" s="109"/>
    </row>
    <row r="722" spans="3:7" x14ac:dyDescent="0.3">
      <c r="C722" s="109"/>
      <c r="D722" s="109"/>
      <c r="E722" s="109"/>
      <c r="F722" s="110"/>
      <c r="G722" s="109"/>
    </row>
    <row r="723" spans="3:7" x14ac:dyDescent="0.3">
      <c r="C723" s="109"/>
      <c r="D723" s="109"/>
      <c r="E723" s="109"/>
      <c r="F723" s="110"/>
      <c r="G723" s="109"/>
    </row>
    <row r="724" spans="3:7" x14ac:dyDescent="0.3">
      <c r="C724" s="109"/>
      <c r="D724" s="109"/>
      <c r="E724" s="109"/>
      <c r="F724" s="110"/>
      <c r="G724" s="109"/>
    </row>
    <row r="725" spans="3:7" x14ac:dyDescent="0.3">
      <c r="C725" s="109"/>
      <c r="D725" s="109"/>
      <c r="E725" s="109"/>
      <c r="F725" s="110"/>
      <c r="G725" s="109"/>
    </row>
    <row r="726" spans="3:7" x14ac:dyDescent="0.3">
      <c r="C726" s="109"/>
      <c r="D726" s="109"/>
      <c r="E726" s="109"/>
      <c r="F726" s="110"/>
      <c r="G726" s="109"/>
    </row>
    <row r="727" spans="3:7" x14ac:dyDescent="0.3">
      <c r="C727" s="109"/>
      <c r="D727" s="109"/>
      <c r="E727" s="109"/>
      <c r="F727" s="110"/>
      <c r="G727" s="109"/>
    </row>
    <row r="728" spans="3:7" x14ac:dyDescent="0.3">
      <c r="C728" s="109"/>
      <c r="D728" s="109"/>
      <c r="E728" s="109"/>
      <c r="F728" s="110"/>
      <c r="G728" s="109"/>
    </row>
    <row r="729" spans="3:7" x14ac:dyDescent="0.3">
      <c r="C729" s="109"/>
      <c r="D729" s="109"/>
      <c r="E729" s="109"/>
      <c r="F729" s="110"/>
      <c r="G729" s="109"/>
    </row>
    <row r="730" spans="3:7" x14ac:dyDescent="0.3">
      <c r="C730" s="109"/>
      <c r="D730" s="109"/>
      <c r="E730" s="109"/>
      <c r="F730" s="110"/>
      <c r="G730" s="109"/>
    </row>
    <row r="731" spans="3:7" x14ac:dyDescent="0.3">
      <c r="C731" s="109"/>
      <c r="D731" s="109"/>
      <c r="E731" s="109"/>
      <c r="F731" s="110"/>
      <c r="G731" s="109"/>
    </row>
    <row r="732" spans="3:7" x14ac:dyDescent="0.3">
      <c r="C732" s="109"/>
      <c r="D732" s="109"/>
      <c r="E732" s="109"/>
      <c r="F732" s="110"/>
      <c r="G732" s="109"/>
    </row>
    <row r="733" spans="3:7" x14ac:dyDescent="0.3">
      <c r="C733" s="109"/>
      <c r="D733" s="109"/>
      <c r="E733" s="109"/>
      <c r="F733" s="110"/>
      <c r="G733" s="109"/>
    </row>
    <row r="734" spans="3:7" x14ac:dyDescent="0.3">
      <c r="C734" s="109"/>
      <c r="D734" s="109"/>
      <c r="E734" s="109"/>
      <c r="F734" s="110"/>
      <c r="G734" s="109"/>
    </row>
    <row r="735" spans="3:7" x14ac:dyDescent="0.3">
      <c r="C735" s="109"/>
      <c r="D735" s="109"/>
      <c r="E735" s="109"/>
      <c r="F735" s="110"/>
      <c r="G735" s="109"/>
    </row>
    <row r="736" spans="3:7" x14ac:dyDescent="0.3">
      <c r="C736" s="109"/>
      <c r="D736" s="109"/>
      <c r="E736" s="109"/>
      <c r="F736" s="110"/>
      <c r="G736" s="109"/>
    </row>
    <row r="737" spans="3:7" x14ac:dyDescent="0.3">
      <c r="C737" s="109"/>
      <c r="D737" s="109"/>
      <c r="E737" s="109"/>
      <c r="F737" s="110"/>
      <c r="G737" s="109"/>
    </row>
    <row r="738" spans="3:7" x14ac:dyDescent="0.3">
      <c r="C738" s="109"/>
      <c r="D738" s="109"/>
      <c r="E738" s="109"/>
      <c r="F738" s="110"/>
      <c r="G738" s="109"/>
    </row>
    <row r="739" spans="3:7" x14ac:dyDescent="0.3">
      <c r="C739" s="109"/>
      <c r="D739" s="109"/>
      <c r="E739" s="109"/>
      <c r="F739" s="110"/>
      <c r="G739" s="109"/>
    </row>
    <row r="740" spans="3:7" x14ac:dyDescent="0.3">
      <c r="C740" s="109"/>
      <c r="D740" s="109"/>
      <c r="E740" s="109"/>
      <c r="F740" s="110"/>
      <c r="G740" s="109"/>
    </row>
    <row r="741" spans="3:7" x14ac:dyDescent="0.3">
      <c r="C741" s="109"/>
      <c r="D741" s="109"/>
      <c r="E741" s="109"/>
      <c r="F741" s="110"/>
      <c r="G741" s="109"/>
    </row>
    <row r="742" spans="3:7" x14ac:dyDescent="0.3">
      <c r="C742" s="109"/>
      <c r="D742" s="109"/>
      <c r="E742" s="109"/>
      <c r="F742" s="110"/>
      <c r="G742" s="109"/>
    </row>
    <row r="743" spans="3:7" x14ac:dyDescent="0.3">
      <c r="C743" s="109"/>
      <c r="D743" s="109"/>
      <c r="E743" s="109"/>
      <c r="F743" s="110"/>
      <c r="G743" s="109"/>
    </row>
    <row r="744" spans="3:7" x14ac:dyDescent="0.3">
      <c r="C744" s="109"/>
      <c r="D744" s="109"/>
      <c r="E744" s="109"/>
      <c r="F744" s="110"/>
      <c r="G744" s="109"/>
    </row>
    <row r="745" spans="3:7" x14ac:dyDescent="0.3">
      <c r="C745" s="109"/>
      <c r="D745" s="109"/>
      <c r="E745" s="109"/>
      <c r="F745" s="110"/>
      <c r="G745" s="109"/>
    </row>
    <row r="746" spans="3:7" x14ac:dyDescent="0.3">
      <c r="C746" s="109"/>
      <c r="D746" s="109"/>
      <c r="E746" s="109"/>
      <c r="F746" s="110"/>
      <c r="G746" s="109"/>
    </row>
    <row r="747" spans="3:7" x14ac:dyDescent="0.3">
      <c r="C747" s="109"/>
      <c r="D747" s="109"/>
      <c r="E747" s="109"/>
      <c r="F747" s="110"/>
      <c r="G747" s="109"/>
    </row>
    <row r="748" spans="3:7" x14ac:dyDescent="0.3">
      <c r="C748" s="109"/>
      <c r="D748" s="109"/>
      <c r="E748" s="109"/>
      <c r="F748" s="110"/>
      <c r="G748" s="109"/>
    </row>
    <row r="749" spans="3:7" x14ac:dyDescent="0.3">
      <c r="C749" s="109"/>
      <c r="D749" s="109"/>
      <c r="E749" s="109"/>
      <c r="F749" s="110"/>
      <c r="G749" s="109"/>
    </row>
    <row r="750" spans="3:7" x14ac:dyDescent="0.3">
      <c r="C750" s="109"/>
      <c r="D750" s="109"/>
      <c r="E750" s="109"/>
      <c r="F750" s="110"/>
      <c r="G750" s="109"/>
    </row>
    <row r="751" spans="3:7" x14ac:dyDescent="0.3">
      <c r="C751" s="109"/>
      <c r="D751" s="109"/>
      <c r="E751" s="109"/>
      <c r="F751" s="110"/>
      <c r="G751" s="109"/>
    </row>
    <row r="752" spans="3:7" x14ac:dyDescent="0.3">
      <c r="C752" s="109"/>
      <c r="D752" s="109"/>
      <c r="E752" s="109"/>
      <c r="F752" s="110"/>
      <c r="G752" s="109"/>
    </row>
    <row r="753" spans="3:7" x14ac:dyDescent="0.3">
      <c r="C753" s="109"/>
      <c r="D753" s="109"/>
      <c r="E753" s="109"/>
      <c r="F753" s="110"/>
      <c r="G753" s="109"/>
    </row>
    <row r="754" spans="3:7" x14ac:dyDescent="0.3">
      <c r="C754" s="109"/>
      <c r="D754" s="109"/>
      <c r="E754" s="109"/>
      <c r="F754" s="110"/>
      <c r="G754" s="109"/>
    </row>
    <row r="755" spans="3:7" x14ac:dyDescent="0.3">
      <c r="C755" s="109"/>
      <c r="D755" s="109"/>
      <c r="E755" s="109"/>
      <c r="F755" s="110"/>
      <c r="G755" s="109"/>
    </row>
    <row r="756" spans="3:7" x14ac:dyDescent="0.3">
      <c r="C756" s="109"/>
      <c r="D756" s="109"/>
      <c r="E756" s="109"/>
      <c r="F756" s="110"/>
      <c r="G756" s="109"/>
    </row>
    <row r="757" spans="3:7" x14ac:dyDescent="0.3">
      <c r="C757" s="109"/>
      <c r="D757" s="109"/>
      <c r="E757" s="109"/>
      <c r="F757" s="110"/>
      <c r="G757" s="109"/>
    </row>
    <row r="758" spans="3:7" x14ac:dyDescent="0.3">
      <c r="C758" s="109"/>
      <c r="D758" s="109"/>
      <c r="E758" s="109"/>
      <c r="F758" s="110"/>
      <c r="G758" s="109"/>
    </row>
    <row r="759" spans="3:7" x14ac:dyDescent="0.3">
      <c r="C759" s="109"/>
      <c r="D759" s="109"/>
      <c r="E759" s="109"/>
      <c r="F759" s="110"/>
      <c r="G759" s="109"/>
    </row>
    <row r="760" spans="3:7" x14ac:dyDescent="0.3">
      <c r="C760" s="109"/>
      <c r="D760" s="109"/>
      <c r="E760" s="109"/>
      <c r="F760" s="110"/>
      <c r="G760" s="109"/>
    </row>
    <row r="761" spans="3:7" x14ac:dyDescent="0.3">
      <c r="C761" s="109"/>
      <c r="D761" s="109"/>
      <c r="E761" s="109"/>
      <c r="F761" s="110"/>
      <c r="G761" s="109"/>
    </row>
    <row r="762" spans="3:7" x14ac:dyDescent="0.3">
      <c r="C762" s="109"/>
      <c r="D762" s="109"/>
      <c r="E762" s="109"/>
      <c r="F762" s="110"/>
      <c r="G762" s="109"/>
    </row>
    <row r="763" spans="3:7" x14ac:dyDescent="0.3">
      <c r="C763" s="109"/>
      <c r="D763" s="109"/>
      <c r="E763" s="109"/>
      <c r="F763" s="110"/>
      <c r="G763" s="109"/>
    </row>
    <row r="764" spans="3:7" x14ac:dyDescent="0.3">
      <c r="C764" s="109"/>
      <c r="D764" s="109"/>
      <c r="E764" s="109"/>
      <c r="F764" s="110"/>
      <c r="G764" s="109"/>
    </row>
    <row r="765" spans="3:7" x14ac:dyDescent="0.3">
      <c r="C765" s="109"/>
      <c r="D765" s="109"/>
      <c r="E765" s="109"/>
      <c r="F765" s="110"/>
      <c r="G765" s="109"/>
    </row>
    <row r="766" spans="3:7" x14ac:dyDescent="0.3">
      <c r="C766" s="109"/>
      <c r="D766" s="109"/>
      <c r="E766" s="109"/>
      <c r="F766" s="110"/>
      <c r="G766" s="109"/>
    </row>
    <row r="767" spans="3:7" x14ac:dyDescent="0.3">
      <c r="C767" s="109"/>
      <c r="D767" s="109"/>
      <c r="E767" s="109"/>
      <c r="F767" s="110"/>
      <c r="G767" s="109"/>
    </row>
    <row r="768" spans="3:7" x14ac:dyDescent="0.3">
      <c r="C768" s="109"/>
      <c r="D768" s="109"/>
      <c r="E768" s="109"/>
      <c r="F768" s="110"/>
      <c r="G768" s="109"/>
    </row>
    <row r="769" spans="3:7" x14ac:dyDescent="0.3">
      <c r="C769" s="109"/>
      <c r="D769" s="109"/>
      <c r="E769" s="109"/>
      <c r="F769" s="110"/>
      <c r="G769" s="109"/>
    </row>
    <row r="770" spans="3:7" x14ac:dyDescent="0.3">
      <c r="C770" s="109"/>
      <c r="D770" s="109"/>
      <c r="E770" s="109"/>
      <c r="F770" s="110"/>
      <c r="G770" s="109"/>
    </row>
    <row r="771" spans="3:7" x14ac:dyDescent="0.3">
      <c r="C771" s="109"/>
      <c r="D771" s="109"/>
      <c r="E771" s="109"/>
      <c r="F771" s="110"/>
      <c r="G771" s="109"/>
    </row>
    <row r="772" spans="3:7" x14ac:dyDescent="0.3">
      <c r="C772" s="109"/>
      <c r="D772" s="109"/>
      <c r="E772" s="109"/>
      <c r="F772" s="110"/>
      <c r="G772" s="109"/>
    </row>
    <row r="773" spans="3:7" x14ac:dyDescent="0.3">
      <c r="C773" s="109"/>
      <c r="D773" s="109"/>
      <c r="E773" s="109"/>
      <c r="F773" s="110"/>
      <c r="G773" s="109"/>
    </row>
    <row r="774" spans="3:7" x14ac:dyDescent="0.3">
      <c r="C774" s="109"/>
      <c r="D774" s="109"/>
      <c r="E774" s="109"/>
      <c r="F774" s="110"/>
      <c r="G774" s="109"/>
    </row>
    <row r="775" spans="3:7" x14ac:dyDescent="0.3">
      <c r="C775" s="109"/>
      <c r="D775" s="109"/>
      <c r="E775" s="109"/>
      <c r="F775" s="110"/>
      <c r="G775" s="109"/>
    </row>
    <row r="776" spans="3:7" x14ac:dyDescent="0.3">
      <c r="C776" s="109"/>
      <c r="D776" s="109"/>
      <c r="E776" s="109"/>
      <c r="F776" s="110"/>
      <c r="G776" s="109"/>
    </row>
    <row r="777" spans="3:7" x14ac:dyDescent="0.3">
      <c r="C777" s="109"/>
      <c r="D777" s="109"/>
      <c r="E777" s="109"/>
      <c r="F777" s="110"/>
      <c r="G777" s="109"/>
    </row>
    <row r="778" spans="3:7" x14ac:dyDescent="0.3">
      <c r="C778" s="109"/>
      <c r="D778" s="109"/>
      <c r="E778" s="109"/>
      <c r="F778" s="110"/>
      <c r="G778" s="109"/>
    </row>
    <row r="779" spans="3:7" x14ac:dyDescent="0.3">
      <c r="C779" s="109"/>
      <c r="D779" s="109"/>
      <c r="E779" s="109"/>
      <c r="F779" s="110"/>
      <c r="G779" s="109"/>
    </row>
    <row r="780" spans="3:7" x14ac:dyDescent="0.3">
      <c r="C780" s="109"/>
      <c r="D780" s="109"/>
      <c r="E780" s="109"/>
      <c r="F780" s="110"/>
      <c r="G780" s="109"/>
    </row>
    <row r="781" spans="3:7" x14ac:dyDescent="0.3">
      <c r="C781" s="109"/>
      <c r="D781" s="109"/>
      <c r="E781" s="109"/>
      <c r="F781" s="110"/>
      <c r="G781" s="109"/>
    </row>
    <row r="782" spans="3:7" x14ac:dyDescent="0.3">
      <c r="C782" s="109"/>
      <c r="D782" s="109"/>
      <c r="E782" s="109"/>
      <c r="F782" s="110"/>
      <c r="G782" s="109"/>
    </row>
    <row r="783" spans="3:7" x14ac:dyDescent="0.3">
      <c r="C783" s="109"/>
      <c r="D783" s="109"/>
      <c r="E783" s="109"/>
      <c r="F783" s="110"/>
      <c r="G783" s="109"/>
    </row>
    <row r="784" spans="3:7" x14ac:dyDescent="0.3">
      <c r="C784" s="109"/>
      <c r="D784" s="109"/>
      <c r="E784" s="109"/>
      <c r="F784" s="110"/>
      <c r="G784" s="109"/>
    </row>
    <row r="785" spans="3:7" x14ac:dyDescent="0.3">
      <c r="C785" s="109"/>
      <c r="D785" s="109"/>
      <c r="E785" s="109"/>
      <c r="F785" s="110"/>
      <c r="G785" s="109"/>
    </row>
    <row r="786" spans="3:7" x14ac:dyDescent="0.3">
      <c r="C786" s="109"/>
      <c r="D786" s="109"/>
      <c r="E786" s="109"/>
      <c r="F786" s="110"/>
      <c r="G786" s="109"/>
    </row>
    <row r="787" spans="3:7" x14ac:dyDescent="0.3">
      <c r="C787" s="109"/>
      <c r="D787" s="109"/>
      <c r="E787" s="109"/>
      <c r="F787" s="110"/>
      <c r="G787" s="109"/>
    </row>
    <row r="788" spans="3:7" x14ac:dyDescent="0.3">
      <c r="C788" s="109"/>
      <c r="D788" s="109"/>
      <c r="E788" s="109"/>
      <c r="F788" s="110"/>
      <c r="G788" s="109"/>
    </row>
    <row r="789" spans="3:7" x14ac:dyDescent="0.3">
      <c r="C789" s="109"/>
      <c r="D789" s="109"/>
      <c r="E789" s="109"/>
      <c r="F789" s="110"/>
      <c r="G789" s="109"/>
    </row>
    <row r="790" spans="3:7" x14ac:dyDescent="0.3">
      <c r="C790" s="109"/>
      <c r="D790" s="109"/>
      <c r="E790" s="109"/>
      <c r="F790" s="110"/>
      <c r="G790" s="109"/>
    </row>
    <row r="791" spans="3:7" x14ac:dyDescent="0.3">
      <c r="C791" s="109"/>
      <c r="D791" s="109"/>
      <c r="E791" s="109"/>
      <c r="F791" s="110"/>
      <c r="G791" s="109"/>
    </row>
    <row r="792" spans="3:7" x14ac:dyDescent="0.3">
      <c r="C792" s="109"/>
      <c r="D792" s="109"/>
      <c r="E792" s="109"/>
      <c r="F792" s="110"/>
      <c r="G792" s="109"/>
    </row>
    <row r="793" spans="3:7" x14ac:dyDescent="0.3">
      <c r="C793" s="109"/>
      <c r="D793" s="109"/>
      <c r="E793" s="109"/>
      <c r="F793" s="110"/>
      <c r="G793" s="109"/>
    </row>
    <row r="794" spans="3:7" x14ac:dyDescent="0.3">
      <c r="C794" s="109"/>
      <c r="D794" s="109"/>
      <c r="E794" s="109"/>
      <c r="F794" s="110"/>
      <c r="G794" s="109"/>
    </row>
    <row r="795" spans="3:7" x14ac:dyDescent="0.3">
      <c r="C795" s="109"/>
      <c r="D795" s="109"/>
      <c r="E795" s="109"/>
      <c r="F795" s="110"/>
      <c r="G795" s="109"/>
    </row>
    <row r="796" spans="3:7" x14ac:dyDescent="0.3">
      <c r="C796" s="109"/>
      <c r="D796" s="109"/>
      <c r="E796" s="109"/>
      <c r="F796" s="110"/>
      <c r="G796" s="109"/>
    </row>
    <row r="797" spans="3:7" x14ac:dyDescent="0.3">
      <c r="C797" s="109"/>
      <c r="D797" s="109"/>
      <c r="E797" s="109"/>
      <c r="F797" s="110"/>
      <c r="G797" s="109"/>
    </row>
    <row r="798" spans="3:7" x14ac:dyDescent="0.3">
      <c r="C798" s="109"/>
      <c r="D798" s="109"/>
      <c r="E798" s="109"/>
      <c r="F798" s="110"/>
      <c r="G798" s="109"/>
    </row>
    <row r="799" spans="3:7" x14ac:dyDescent="0.3">
      <c r="C799" s="109"/>
      <c r="D799" s="109"/>
      <c r="E799" s="109"/>
      <c r="F799" s="110"/>
      <c r="G799" s="109"/>
    </row>
    <row r="800" spans="3:7" x14ac:dyDescent="0.3">
      <c r="C800" s="109"/>
      <c r="D800" s="109"/>
      <c r="E800" s="109"/>
      <c r="F800" s="110"/>
      <c r="G800" s="109"/>
    </row>
    <row r="801" spans="3:7" x14ac:dyDescent="0.3">
      <c r="C801" s="109"/>
      <c r="D801" s="109"/>
      <c r="E801" s="109"/>
      <c r="F801" s="110"/>
      <c r="G801" s="109"/>
    </row>
    <row r="802" spans="3:7" x14ac:dyDescent="0.3">
      <c r="C802" s="109"/>
      <c r="D802" s="109"/>
      <c r="E802" s="109"/>
      <c r="F802" s="110"/>
      <c r="G802" s="109"/>
    </row>
    <row r="803" spans="3:7" x14ac:dyDescent="0.3">
      <c r="C803" s="109"/>
      <c r="D803" s="109"/>
      <c r="E803" s="109"/>
      <c r="F803" s="110"/>
      <c r="G803" s="109"/>
    </row>
    <row r="804" spans="3:7" x14ac:dyDescent="0.3">
      <c r="C804" s="109"/>
      <c r="D804" s="109"/>
      <c r="E804" s="109"/>
      <c r="F804" s="110"/>
      <c r="G804" s="109"/>
    </row>
    <row r="805" spans="3:7" x14ac:dyDescent="0.3">
      <c r="C805" s="109"/>
      <c r="D805" s="109"/>
      <c r="E805" s="109"/>
      <c r="F805" s="110"/>
      <c r="G805" s="109"/>
    </row>
    <row r="806" spans="3:7" x14ac:dyDescent="0.3">
      <c r="C806" s="109"/>
      <c r="D806" s="109"/>
      <c r="E806" s="109"/>
      <c r="F806" s="110"/>
      <c r="G806" s="109"/>
    </row>
    <row r="807" spans="3:7" x14ac:dyDescent="0.3">
      <c r="C807" s="109"/>
      <c r="D807" s="109"/>
      <c r="E807" s="109"/>
      <c r="F807" s="110"/>
      <c r="G807" s="109"/>
    </row>
    <row r="808" spans="3:7" x14ac:dyDescent="0.3">
      <c r="C808" s="109"/>
      <c r="D808" s="109"/>
      <c r="E808" s="109"/>
      <c r="F808" s="110"/>
      <c r="G808" s="109"/>
    </row>
    <row r="809" spans="3:7" x14ac:dyDescent="0.3">
      <c r="C809" s="109"/>
      <c r="D809" s="109"/>
      <c r="E809" s="109"/>
      <c r="F809" s="110"/>
      <c r="G809" s="109"/>
    </row>
    <row r="810" spans="3:7" x14ac:dyDescent="0.3">
      <c r="C810" s="109"/>
      <c r="D810" s="109"/>
      <c r="E810" s="109"/>
      <c r="F810" s="110"/>
      <c r="G810" s="109"/>
    </row>
    <row r="811" spans="3:7" x14ac:dyDescent="0.3">
      <c r="C811" s="109"/>
      <c r="D811" s="109"/>
      <c r="E811" s="109"/>
      <c r="F811" s="110"/>
      <c r="G811" s="109"/>
    </row>
    <row r="812" spans="3:7" x14ac:dyDescent="0.3">
      <c r="C812" s="109"/>
      <c r="D812" s="109"/>
      <c r="E812" s="109"/>
      <c r="F812" s="110"/>
      <c r="G812" s="109"/>
    </row>
    <row r="813" spans="3:7" x14ac:dyDescent="0.3">
      <c r="C813" s="109"/>
      <c r="D813" s="109"/>
      <c r="E813" s="109"/>
      <c r="F813" s="110"/>
      <c r="G813" s="109"/>
    </row>
    <row r="814" spans="3:7" x14ac:dyDescent="0.3">
      <c r="C814" s="109"/>
      <c r="D814" s="109"/>
      <c r="E814" s="109"/>
      <c r="F814" s="110"/>
      <c r="G814" s="109"/>
    </row>
    <row r="815" spans="3:7" x14ac:dyDescent="0.3">
      <c r="C815" s="109"/>
      <c r="D815" s="109"/>
      <c r="E815" s="109"/>
      <c r="F815" s="110"/>
      <c r="G815" s="109"/>
    </row>
    <row r="816" spans="3:7" x14ac:dyDescent="0.3">
      <c r="C816" s="109"/>
      <c r="D816" s="109"/>
      <c r="E816" s="109"/>
      <c r="F816" s="110"/>
      <c r="G816" s="109"/>
    </row>
    <row r="817" spans="3:7" x14ac:dyDescent="0.3">
      <c r="C817" s="109"/>
      <c r="D817" s="109"/>
      <c r="E817" s="109"/>
      <c r="F817" s="110"/>
      <c r="G817" s="109"/>
    </row>
    <row r="818" spans="3:7" x14ac:dyDescent="0.3">
      <c r="C818" s="109"/>
      <c r="D818" s="109"/>
      <c r="E818" s="109"/>
      <c r="F818" s="110"/>
      <c r="G818" s="109"/>
    </row>
    <row r="819" spans="3:7" x14ac:dyDescent="0.3">
      <c r="C819" s="109"/>
      <c r="D819" s="109"/>
      <c r="E819" s="109"/>
      <c r="F819" s="110"/>
      <c r="G819" s="109"/>
    </row>
    <row r="820" spans="3:7" x14ac:dyDescent="0.3">
      <c r="C820" s="109"/>
      <c r="D820" s="109"/>
      <c r="E820" s="109"/>
      <c r="F820" s="110"/>
      <c r="G820" s="109"/>
    </row>
    <row r="821" spans="3:7" x14ac:dyDescent="0.3">
      <c r="C821" s="109"/>
      <c r="D821" s="109"/>
      <c r="E821" s="109"/>
      <c r="F821" s="110"/>
      <c r="G821" s="109"/>
    </row>
    <row r="822" spans="3:7" x14ac:dyDescent="0.3">
      <c r="C822" s="109"/>
      <c r="D822" s="109"/>
      <c r="E822" s="109"/>
      <c r="F822" s="110"/>
      <c r="G822" s="109"/>
    </row>
    <row r="823" spans="3:7" x14ac:dyDescent="0.3">
      <c r="C823" s="109"/>
      <c r="D823" s="109"/>
      <c r="E823" s="109"/>
      <c r="F823" s="110"/>
      <c r="G823" s="109"/>
    </row>
    <row r="824" spans="3:7" x14ac:dyDescent="0.3">
      <c r="C824" s="109"/>
      <c r="D824" s="109"/>
      <c r="E824" s="109"/>
      <c r="F824" s="110"/>
      <c r="G824" s="109"/>
    </row>
    <row r="825" spans="3:7" x14ac:dyDescent="0.3">
      <c r="C825" s="109"/>
      <c r="D825" s="109"/>
      <c r="E825" s="109"/>
      <c r="F825" s="110"/>
      <c r="G825" s="109"/>
    </row>
    <row r="826" spans="3:7" x14ac:dyDescent="0.3">
      <c r="C826" s="109"/>
      <c r="D826" s="109"/>
      <c r="E826" s="109"/>
      <c r="F826" s="110"/>
      <c r="G826" s="109"/>
    </row>
    <row r="827" spans="3:7" x14ac:dyDescent="0.3">
      <c r="C827" s="109"/>
      <c r="D827" s="109"/>
      <c r="E827" s="109"/>
      <c r="F827" s="110"/>
      <c r="G827" s="109"/>
    </row>
    <row r="828" spans="3:7" x14ac:dyDescent="0.3">
      <c r="C828" s="109"/>
      <c r="D828" s="109"/>
      <c r="E828" s="109"/>
      <c r="F828" s="110"/>
      <c r="G828" s="109"/>
    </row>
    <row r="829" spans="3:7" x14ac:dyDescent="0.3">
      <c r="C829" s="109"/>
      <c r="D829" s="109"/>
      <c r="E829" s="109"/>
      <c r="F829" s="110"/>
      <c r="G829" s="109"/>
    </row>
    <row r="830" spans="3:7" x14ac:dyDescent="0.3">
      <c r="C830" s="109"/>
      <c r="D830" s="109"/>
      <c r="E830" s="109"/>
      <c r="F830" s="110"/>
      <c r="G830" s="109"/>
    </row>
    <row r="831" spans="3:7" x14ac:dyDescent="0.3">
      <c r="C831" s="109"/>
      <c r="D831" s="109"/>
      <c r="E831" s="109"/>
      <c r="F831" s="110"/>
      <c r="G831" s="109"/>
    </row>
    <row r="832" spans="3:7" x14ac:dyDescent="0.3">
      <c r="C832" s="109"/>
      <c r="D832" s="109"/>
      <c r="E832" s="109"/>
      <c r="F832" s="110"/>
      <c r="G832" s="109"/>
    </row>
    <row r="833" spans="3:7" x14ac:dyDescent="0.3">
      <c r="C833" s="109"/>
      <c r="D833" s="109"/>
      <c r="E833" s="109"/>
      <c r="F833" s="110"/>
      <c r="G833" s="109"/>
    </row>
    <row r="834" spans="3:7" x14ac:dyDescent="0.3">
      <c r="C834" s="109"/>
      <c r="D834" s="109"/>
      <c r="E834" s="109"/>
      <c r="F834" s="110"/>
      <c r="G834" s="109"/>
    </row>
    <row r="835" spans="3:7" x14ac:dyDescent="0.3">
      <c r="C835" s="109"/>
      <c r="D835" s="109"/>
      <c r="E835" s="109"/>
      <c r="F835" s="110"/>
      <c r="G835" s="109"/>
    </row>
    <row r="836" spans="3:7" x14ac:dyDescent="0.3">
      <c r="C836" s="109"/>
      <c r="D836" s="109"/>
      <c r="E836" s="109"/>
      <c r="F836" s="110"/>
      <c r="G836" s="109"/>
    </row>
    <row r="837" spans="3:7" x14ac:dyDescent="0.3">
      <c r="C837" s="109"/>
      <c r="D837" s="109"/>
      <c r="E837" s="109"/>
      <c r="F837" s="110"/>
      <c r="G837" s="109"/>
    </row>
    <row r="838" spans="3:7" x14ac:dyDescent="0.3">
      <c r="C838" s="109"/>
      <c r="D838" s="109"/>
      <c r="E838" s="109"/>
      <c r="F838" s="110"/>
      <c r="G838" s="109"/>
    </row>
    <row r="839" spans="3:7" x14ac:dyDescent="0.3">
      <c r="C839" s="109"/>
      <c r="D839" s="109"/>
      <c r="E839" s="109"/>
      <c r="F839" s="110"/>
      <c r="G839" s="109"/>
    </row>
    <row r="840" spans="3:7" x14ac:dyDescent="0.3">
      <c r="C840" s="109"/>
      <c r="D840" s="109"/>
      <c r="E840" s="109"/>
      <c r="F840" s="110"/>
      <c r="G840" s="109"/>
    </row>
    <row r="841" spans="3:7" x14ac:dyDescent="0.3">
      <c r="C841" s="109"/>
      <c r="D841" s="109"/>
      <c r="E841" s="109"/>
      <c r="F841" s="110"/>
      <c r="G841" s="109"/>
    </row>
    <row r="842" spans="3:7" x14ac:dyDescent="0.3">
      <c r="C842" s="109"/>
      <c r="D842" s="109"/>
      <c r="E842" s="109"/>
      <c r="F842" s="110"/>
      <c r="G842" s="109"/>
    </row>
    <row r="843" spans="3:7" x14ac:dyDescent="0.3">
      <c r="C843" s="109"/>
      <c r="D843" s="109"/>
      <c r="E843" s="109"/>
      <c r="F843" s="110"/>
      <c r="G843" s="109"/>
    </row>
    <row r="844" spans="3:7" x14ac:dyDescent="0.3">
      <c r="C844" s="109"/>
      <c r="D844" s="109"/>
      <c r="E844" s="109"/>
      <c r="F844" s="110"/>
      <c r="G844" s="109"/>
    </row>
    <row r="845" spans="3:7" x14ac:dyDescent="0.3">
      <c r="C845" s="109"/>
      <c r="D845" s="109"/>
      <c r="E845" s="109"/>
      <c r="F845" s="110"/>
      <c r="G845" s="109"/>
    </row>
    <row r="846" spans="3:7" x14ac:dyDescent="0.3">
      <c r="C846" s="109"/>
      <c r="D846" s="109"/>
      <c r="E846" s="109"/>
      <c r="F846" s="110"/>
      <c r="G846" s="109"/>
    </row>
    <row r="847" spans="3:7" x14ac:dyDescent="0.3">
      <c r="C847" s="109"/>
      <c r="D847" s="109"/>
      <c r="E847" s="109"/>
      <c r="F847" s="110"/>
      <c r="G847" s="109"/>
    </row>
    <row r="848" spans="3:7" x14ac:dyDescent="0.3">
      <c r="C848" s="109"/>
      <c r="D848" s="109"/>
      <c r="E848" s="109"/>
      <c r="F848" s="110"/>
      <c r="G848" s="109"/>
    </row>
    <row r="849" spans="3:7" x14ac:dyDescent="0.3">
      <c r="C849" s="109"/>
      <c r="D849" s="109"/>
      <c r="E849" s="109"/>
      <c r="F849" s="110"/>
      <c r="G849" s="109"/>
    </row>
    <row r="850" spans="3:7" x14ac:dyDescent="0.3">
      <c r="C850" s="109"/>
      <c r="D850" s="109"/>
      <c r="E850" s="109"/>
      <c r="F850" s="110"/>
      <c r="G850" s="109"/>
    </row>
    <row r="851" spans="3:7" x14ac:dyDescent="0.3">
      <c r="C851" s="109"/>
      <c r="D851" s="109"/>
      <c r="E851" s="109"/>
      <c r="F851" s="110"/>
      <c r="G851" s="109"/>
    </row>
    <row r="852" spans="3:7" x14ac:dyDescent="0.3">
      <c r="C852" s="109"/>
      <c r="D852" s="109"/>
      <c r="E852" s="109"/>
      <c r="F852" s="110"/>
      <c r="G852" s="109"/>
    </row>
    <row r="853" spans="3:7" x14ac:dyDescent="0.3">
      <c r="C853" s="109"/>
      <c r="D853" s="109"/>
      <c r="E853" s="109"/>
      <c r="F853" s="110"/>
      <c r="G853" s="109"/>
    </row>
    <row r="854" spans="3:7" x14ac:dyDescent="0.3">
      <c r="C854" s="109"/>
      <c r="D854" s="109"/>
      <c r="E854" s="109"/>
      <c r="F854" s="110"/>
      <c r="G854" s="109"/>
    </row>
    <row r="855" spans="3:7" x14ac:dyDescent="0.3">
      <c r="C855" s="109"/>
      <c r="D855" s="109"/>
      <c r="E855" s="109"/>
      <c r="F855" s="110"/>
      <c r="G855" s="109"/>
    </row>
    <row r="856" spans="3:7" x14ac:dyDescent="0.3">
      <c r="C856" s="109"/>
      <c r="D856" s="109"/>
      <c r="E856" s="109"/>
      <c r="F856" s="110"/>
      <c r="G856" s="109"/>
    </row>
    <row r="857" spans="3:7" x14ac:dyDescent="0.3">
      <c r="C857" s="109"/>
      <c r="D857" s="109"/>
      <c r="E857" s="109"/>
      <c r="F857" s="110"/>
      <c r="G857" s="109"/>
    </row>
    <row r="858" spans="3:7" x14ac:dyDescent="0.3">
      <c r="C858" s="109"/>
      <c r="D858" s="109"/>
      <c r="E858" s="109"/>
      <c r="F858" s="110"/>
      <c r="G858" s="109"/>
    </row>
    <row r="859" spans="3:7" x14ac:dyDescent="0.3">
      <c r="C859" s="109"/>
      <c r="D859" s="109"/>
      <c r="E859" s="109"/>
      <c r="F859" s="110"/>
      <c r="G859" s="109"/>
    </row>
    <row r="860" spans="3:7" x14ac:dyDescent="0.3">
      <c r="C860" s="109"/>
      <c r="D860" s="109"/>
      <c r="E860" s="109"/>
      <c r="F860" s="110"/>
      <c r="G860" s="109"/>
    </row>
    <row r="861" spans="3:7" x14ac:dyDescent="0.3">
      <c r="C861" s="109"/>
      <c r="D861" s="109"/>
      <c r="E861" s="109"/>
      <c r="F861" s="110"/>
      <c r="G861" s="109"/>
    </row>
    <row r="862" spans="3:7" x14ac:dyDescent="0.3">
      <c r="C862" s="109"/>
      <c r="D862" s="109"/>
      <c r="E862" s="109"/>
      <c r="F862" s="110"/>
      <c r="G862" s="109"/>
    </row>
    <row r="863" spans="3:7" x14ac:dyDescent="0.3">
      <c r="C863" s="109"/>
      <c r="D863" s="109"/>
      <c r="E863" s="109"/>
      <c r="F863" s="110"/>
      <c r="G863" s="109"/>
    </row>
    <row r="864" spans="3:7" x14ac:dyDescent="0.3">
      <c r="C864" s="109"/>
      <c r="D864" s="109"/>
      <c r="E864" s="109"/>
      <c r="F864" s="110"/>
      <c r="G864" s="109"/>
    </row>
    <row r="865" spans="3:7" x14ac:dyDescent="0.3">
      <c r="C865" s="109"/>
      <c r="D865" s="109"/>
      <c r="E865" s="109"/>
      <c r="F865" s="110"/>
      <c r="G865" s="109"/>
    </row>
    <row r="866" spans="3:7" x14ac:dyDescent="0.3">
      <c r="C866" s="109"/>
      <c r="D866" s="109"/>
      <c r="E866" s="109"/>
      <c r="F866" s="110"/>
      <c r="G866" s="109"/>
    </row>
    <row r="867" spans="3:7" x14ac:dyDescent="0.3">
      <c r="C867" s="109"/>
      <c r="D867" s="109"/>
      <c r="E867" s="109"/>
      <c r="F867" s="110"/>
      <c r="G867" s="109"/>
    </row>
    <row r="868" spans="3:7" x14ac:dyDescent="0.3">
      <c r="C868" s="109"/>
      <c r="D868" s="109"/>
      <c r="E868" s="109"/>
      <c r="F868" s="110"/>
      <c r="G868" s="109"/>
    </row>
    <row r="869" spans="3:7" x14ac:dyDescent="0.3">
      <c r="C869" s="109"/>
      <c r="D869" s="109"/>
      <c r="E869" s="109"/>
      <c r="F869" s="110"/>
      <c r="G869" s="109"/>
    </row>
    <row r="870" spans="3:7" x14ac:dyDescent="0.3">
      <c r="C870" s="109"/>
      <c r="D870" s="109"/>
      <c r="E870" s="109"/>
      <c r="F870" s="110"/>
      <c r="G870" s="109"/>
    </row>
    <row r="871" spans="3:7" x14ac:dyDescent="0.3">
      <c r="C871" s="109"/>
      <c r="D871" s="109"/>
      <c r="E871" s="109"/>
      <c r="F871" s="110"/>
      <c r="G871" s="109"/>
    </row>
    <row r="872" spans="3:7" x14ac:dyDescent="0.3">
      <c r="C872" s="109"/>
      <c r="D872" s="109"/>
      <c r="E872" s="109"/>
      <c r="F872" s="110"/>
      <c r="G872" s="109"/>
    </row>
    <row r="873" spans="3:7" x14ac:dyDescent="0.3">
      <c r="C873" s="109"/>
      <c r="D873" s="109"/>
      <c r="E873" s="109"/>
      <c r="F873" s="110"/>
      <c r="G873" s="109"/>
    </row>
    <row r="874" spans="3:7" x14ac:dyDescent="0.3">
      <c r="C874" s="109"/>
      <c r="D874" s="109"/>
      <c r="E874" s="109"/>
      <c r="F874" s="110"/>
      <c r="G874" s="109"/>
    </row>
    <row r="875" spans="3:7" x14ac:dyDescent="0.3">
      <c r="C875" s="109"/>
      <c r="D875" s="109"/>
      <c r="E875" s="109"/>
      <c r="F875" s="110"/>
      <c r="G875" s="109"/>
    </row>
    <row r="876" spans="3:7" x14ac:dyDescent="0.3">
      <c r="C876" s="109"/>
      <c r="D876" s="109"/>
      <c r="E876" s="109"/>
      <c r="F876" s="110"/>
      <c r="G876" s="109"/>
    </row>
    <row r="877" spans="3:7" x14ac:dyDescent="0.3">
      <c r="C877" s="109"/>
      <c r="D877" s="109"/>
      <c r="E877" s="109"/>
      <c r="F877" s="110"/>
      <c r="G877" s="109"/>
    </row>
    <row r="878" spans="3:7" x14ac:dyDescent="0.3">
      <c r="C878" s="109"/>
      <c r="D878" s="109"/>
      <c r="E878" s="109"/>
      <c r="F878" s="110"/>
      <c r="G878" s="109"/>
    </row>
    <row r="879" spans="3:7" x14ac:dyDescent="0.3">
      <c r="C879" s="109"/>
      <c r="D879" s="109"/>
      <c r="E879" s="109"/>
      <c r="F879" s="110"/>
      <c r="G879" s="109"/>
    </row>
    <row r="880" spans="3:7" x14ac:dyDescent="0.3">
      <c r="C880" s="109"/>
      <c r="D880" s="109"/>
      <c r="E880" s="109"/>
      <c r="F880" s="110"/>
      <c r="G880" s="109"/>
    </row>
    <row r="881" spans="3:7" x14ac:dyDescent="0.3">
      <c r="C881" s="109"/>
      <c r="D881" s="109"/>
      <c r="E881" s="109"/>
      <c r="F881" s="110"/>
      <c r="G881" s="109"/>
    </row>
    <row r="882" spans="3:7" x14ac:dyDescent="0.3">
      <c r="C882" s="109"/>
      <c r="D882" s="109"/>
      <c r="E882" s="109"/>
      <c r="F882" s="110"/>
      <c r="G882" s="109"/>
    </row>
    <row r="883" spans="3:7" x14ac:dyDescent="0.3">
      <c r="C883" s="109"/>
      <c r="D883" s="109"/>
      <c r="E883" s="109"/>
      <c r="F883" s="110"/>
      <c r="G883" s="109"/>
    </row>
    <row r="884" spans="3:7" x14ac:dyDescent="0.3">
      <c r="C884" s="109"/>
      <c r="D884" s="109"/>
      <c r="E884" s="109"/>
      <c r="F884" s="110"/>
      <c r="G884" s="109"/>
    </row>
    <row r="885" spans="3:7" x14ac:dyDescent="0.3">
      <c r="C885" s="109"/>
      <c r="D885" s="109"/>
      <c r="E885" s="109"/>
      <c r="F885" s="110"/>
      <c r="G885" s="109"/>
    </row>
    <row r="886" spans="3:7" x14ac:dyDescent="0.3">
      <c r="C886" s="109"/>
      <c r="D886" s="109"/>
      <c r="E886" s="109"/>
      <c r="F886" s="110"/>
      <c r="G886" s="109"/>
    </row>
    <row r="887" spans="3:7" x14ac:dyDescent="0.3">
      <c r="C887" s="109"/>
      <c r="D887" s="109"/>
      <c r="E887" s="109"/>
      <c r="F887" s="110"/>
      <c r="G887" s="109"/>
    </row>
    <row r="888" spans="3:7" x14ac:dyDescent="0.3">
      <c r="C888" s="109"/>
      <c r="D888" s="109"/>
      <c r="E888" s="109"/>
      <c r="F888" s="110"/>
      <c r="G888" s="109"/>
    </row>
    <row r="889" spans="3:7" x14ac:dyDescent="0.3">
      <c r="C889" s="109"/>
      <c r="D889" s="109"/>
      <c r="E889" s="109"/>
      <c r="F889" s="110"/>
      <c r="G889" s="109"/>
    </row>
    <row r="890" spans="3:7" x14ac:dyDescent="0.3">
      <c r="C890" s="109"/>
      <c r="D890" s="109"/>
      <c r="E890" s="109"/>
      <c r="F890" s="110"/>
      <c r="G890" s="109"/>
    </row>
    <row r="891" spans="3:7" x14ac:dyDescent="0.3">
      <c r="C891" s="109"/>
      <c r="D891" s="109"/>
      <c r="E891" s="109"/>
      <c r="F891" s="110"/>
      <c r="G891" s="109"/>
    </row>
    <row r="892" spans="3:7" x14ac:dyDescent="0.3">
      <c r="C892" s="109"/>
      <c r="D892" s="109"/>
      <c r="E892" s="109"/>
      <c r="F892" s="110"/>
      <c r="G892" s="109"/>
    </row>
    <row r="893" spans="3:7" x14ac:dyDescent="0.3">
      <c r="C893" s="109"/>
      <c r="D893" s="109"/>
      <c r="E893" s="109"/>
      <c r="F893" s="110"/>
      <c r="G893" s="109"/>
    </row>
    <row r="894" spans="3:7" x14ac:dyDescent="0.3">
      <c r="C894" s="109"/>
      <c r="D894" s="109"/>
      <c r="E894" s="109"/>
      <c r="F894" s="110"/>
      <c r="G894" s="109"/>
    </row>
    <row r="895" spans="3:7" x14ac:dyDescent="0.3">
      <c r="C895" s="109"/>
      <c r="D895" s="109"/>
      <c r="E895" s="109"/>
      <c r="F895" s="110"/>
      <c r="G895" s="109"/>
    </row>
    <row r="896" spans="3:7" x14ac:dyDescent="0.3">
      <c r="C896" s="109"/>
      <c r="D896" s="109"/>
      <c r="E896" s="109"/>
      <c r="F896" s="110"/>
      <c r="G896" s="109"/>
    </row>
    <row r="897" spans="3:7" x14ac:dyDescent="0.3">
      <c r="C897" s="109"/>
      <c r="D897" s="109"/>
      <c r="E897" s="109"/>
      <c r="F897" s="110"/>
      <c r="G897" s="109"/>
    </row>
    <row r="898" spans="3:7" x14ac:dyDescent="0.3">
      <c r="C898" s="109"/>
      <c r="D898" s="109"/>
      <c r="E898" s="109"/>
      <c r="F898" s="110"/>
      <c r="G898" s="109"/>
    </row>
    <row r="899" spans="3:7" x14ac:dyDescent="0.3">
      <c r="C899" s="109"/>
      <c r="D899" s="109"/>
      <c r="E899" s="109"/>
      <c r="F899" s="110"/>
      <c r="G899" s="109"/>
    </row>
    <row r="900" spans="3:7" x14ac:dyDescent="0.3">
      <c r="C900" s="109"/>
      <c r="D900" s="109"/>
      <c r="E900" s="109"/>
      <c r="F900" s="110"/>
      <c r="G900" s="109"/>
    </row>
    <row r="901" spans="3:7" x14ac:dyDescent="0.3">
      <c r="C901" s="109"/>
      <c r="D901" s="109"/>
      <c r="E901" s="109"/>
      <c r="F901" s="110"/>
      <c r="G901" s="109"/>
    </row>
    <row r="902" spans="3:7" x14ac:dyDescent="0.3">
      <c r="C902" s="109"/>
      <c r="D902" s="109"/>
      <c r="E902" s="109"/>
      <c r="F902" s="110"/>
      <c r="G902" s="109"/>
    </row>
    <row r="903" spans="3:7" x14ac:dyDescent="0.3">
      <c r="C903" s="109"/>
      <c r="D903" s="109"/>
      <c r="E903" s="109"/>
      <c r="F903" s="110"/>
      <c r="G903" s="109"/>
    </row>
    <row r="904" spans="3:7" x14ac:dyDescent="0.3">
      <c r="C904" s="109"/>
      <c r="D904" s="109"/>
      <c r="E904" s="109"/>
      <c r="F904" s="110"/>
      <c r="G904" s="109"/>
    </row>
    <row r="905" spans="3:7" x14ac:dyDescent="0.3">
      <c r="C905" s="109"/>
      <c r="D905" s="109"/>
      <c r="E905" s="109"/>
      <c r="F905" s="110"/>
      <c r="G905" s="109"/>
    </row>
    <row r="906" spans="3:7" x14ac:dyDescent="0.3">
      <c r="C906" s="109"/>
      <c r="D906" s="109"/>
      <c r="E906" s="109"/>
      <c r="F906" s="110"/>
      <c r="G906" s="109"/>
    </row>
    <row r="907" spans="3:7" x14ac:dyDescent="0.3">
      <c r="C907" s="109"/>
      <c r="D907" s="109"/>
      <c r="E907" s="109"/>
      <c r="F907" s="110"/>
      <c r="G907" s="109"/>
    </row>
    <row r="908" spans="3:7" x14ac:dyDescent="0.3">
      <c r="C908" s="109"/>
      <c r="D908" s="109"/>
      <c r="E908" s="109"/>
      <c r="F908" s="110"/>
      <c r="G908" s="109"/>
    </row>
    <row r="909" spans="3:7" x14ac:dyDescent="0.3">
      <c r="C909" s="109"/>
      <c r="D909" s="109"/>
      <c r="E909" s="109"/>
      <c r="F909" s="110"/>
      <c r="G909" s="109"/>
    </row>
    <row r="910" spans="3:7" x14ac:dyDescent="0.3">
      <c r="C910" s="109"/>
      <c r="D910" s="109"/>
      <c r="E910" s="109"/>
      <c r="F910" s="110"/>
      <c r="G910" s="109"/>
    </row>
    <row r="911" spans="3:7" x14ac:dyDescent="0.3">
      <c r="C911" s="109"/>
      <c r="D911" s="109"/>
      <c r="E911" s="109"/>
      <c r="F911" s="110"/>
      <c r="G911" s="109"/>
    </row>
    <row r="912" spans="3:7" x14ac:dyDescent="0.3">
      <c r="C912" s="109"/>
      <c r="D912" s="109"/>
      <c r="E912" s="109"/>
      <c r="F912" s="110"/>
      <c r="G912" s="109"/>
    </row>
    <row r="913" spans="3:7" x14ac:dyDescent="0.3">
      <c r="C913" s="109"/>
      <c r="D913" s="109"/>
      <c r="E913" s="109"/>
      <c r="F913" s="110"/>
      <c r="G913" s="109"/>
    </row>
    <row r="914" spans="3:7" x14ac:dyDescent="0.3">
      <c r="C914" s="109"/>
      <c r="D914" s="109"/>
      <c r="E914" s="109"/>
      <c r="F914" s="110"/>
      <c r="G914" s="109"/>
    </row>
    <row r="915" spans="3:7" x14ac:dyDescent="0.3">
      <c r="C915" s="109"/>
      <c r="D915" s="109"/>
      <c r="E915" s="109"/>
      <c r="F915" s="110"/>
      <c r="G915" s="109"/>
    </row>
    <row r="916" spans="3:7" x14ac:dyDescent="0.3">
      <c r="C916" s="109"/>
      <c r="D916" s="109"/>
      <c r="E916" s="109"/>
      <c r="F916" s="110"/>
      <c r="G916" s="109"/>
    </row>
    <row r="917" spans="3:7" x14ac:dyDescent="0.3">
      <c r="C917" s="109"/>
      <c r="D917" s="109"/>
      <c r="E917" s="109"/>
      <c r="F917" s="110"/>
      <c r="G917" s="109"/>
    </row>
    <row r="918" spans="3:7" x14ac:dyDescent="0.3">
      <c r="C918" s="109"/>
      <c r="D918" s="109"/>
      <c r="E918" s="109"/>
      <c r="F918" s="110"/>
      <c r="G918" s="109"/>
    </row>
    <row r="919" spans="3:7" x14ac:dyDescent="0.3">
      <c r="C919" s="109"/>
      <c r="D919" s="109"/>
      <c r="E919" s="109"/>
      <c r="F919" s="110"/>
      <c r="G919" s="109"/>
    </row>
    <row r="920" spans="3:7" x14ac:dyDescent="0.3">
      <c r="C920" s="109"/>
      <c r="D920" s="109"/>
      <c r="E920" s="109"/>
      <c r="F920" s="110"/>
      <c r="G920" s="109"/>
    </row>
    <row r="921" spans="3:7" x14ac:dyDescent="0.3">
      <c r="C921" s="109"/>
      <c r="D921" s="109"/>
      <c r="E921" s="109"/>
      <c r="F921" s="110"/>
      <c r="G921" s="109"/>
    </row>
    <row r="922" spans="3:7" x14ac:dyDescent="0.3">
      <c r="C922" s="109"/>
      <c r="D922" s="109"/>
      <c r="E922" s="109"/>
      <c r="F922" s="110"/>
      <c r="G922" s="109"/>
    </row>
    <row r="923" spans="3:7" x14ac:dyDescent="0.3">
      <c r="C923" s="109"/>
      <c r="D923" s="109"/>
      <c r="E923" s="109"/>
      <c r="F923" s="110"/>
      <c r="G923" s="109"/>
    </row>
    <row r="924" spans="3:7" x14ac:dyDescent="0.3">
      <c r="C924" s="109"/>
      <c r="D924" s="109"/>
      <c r="E924" s="109"/>
      <c r="F924" s="110"/>
      <c r="G924" s="109"/>
    </row>
    <row r="925" spans="3:7" x14ac:dyDescent="0.3">
      <c r="C925" s="109"/>
      <c r="D925" s="109"/>
      <c r="E925" s="109"/>
      <c r="F925" s="110"/>
      <c r="G925" s="109"/>
    </row>
    <row r="926" spans="3:7" x14ac:dyDescent="0.3">
      <c r="C926" s="109"/>
      <c r="D926" s="109"/>
      <c r="E926" s="109"/>
      <c r="F926" s="110"/>
      <c r="G926" s="109"/>
    </row>
    <row r="927" spans="3:7" x14ac:dyDescent="0.3">
      <c r="C927" s="109"/>
      <c r="D927" s="109"/>
      <c r="E927" s="109"/>
      <c r="F927" s="110"/>
      <c r="G927" s="109"/>
    </row>
    <row r="928" spans="3:7" x14ac:dyDescent="0.3">
      <c r="C928" s="109"/>
      <c r="D928" s="109"/>
      <c r="E928" s="109"/>
      <c r="F928" s="110"/>
      <c r="G928" s="109"/>
    </row>
    <row r="929" spans="3:7" x14ac:dyDescent="0.3">
      <c r="C929" s="109"/>
      <c r="D929" s="109"/>
      <c r="E929" s="109"/>
      <c r="F929" s="110"/>
      <c r="G929" s="109"/>
    </row>
    <row r="930" spans="3:7" x14ac:dyDescent="0.3">
      <c r="C930" s="109"/>
      <c r="D930" s="109"/>
      <c r="E930" s="109"/>
      <c r="F930" s="110"/>
      <c r="G930" s="109"/>
    </row>
    <row r="931" spans="3:7" x14ac:dyDescent="0.3">
      <c r="C931" s="109"/>
      <c r="D931" s="109"/>
      <c r="E931" s="109"/>
      <c r="F931" s="110"/>
      <c r="G931" s="109"/>
    </row>
    <row r="932" spans="3:7" x14ac:dyDescent="0.3">
      <c r="C932" s="109"/>
      <c r="D932" s="109"/>
      <c r="E932" s="109"/>
      <c r="F932" s="110"/>
      <c r="G932" s="109"/>
    </row>
    <row r="933" spans="3:7" x14ac:dyDescent="0.3">
      <c r="C933" s="109"/>
      <c r="D933" s="109"/>
      <c r="E933" s="109"/>
      <c r="F933" s="110"/>
      <c r="G933" s="109"/>
    </row>
    <row r="934" spans="3:7" x14ac:dyDescent="0.3">
      <c r="C934" s="109"/>
      <c r="D934" s="109"/>
      <c r="E934" s="109"/>
      <c r="F934" s="110"/>
      <c r="G934" s="109"/>
    </row>
    <row r="935" spans="3:7" x14ac:dyDescent="0.3">
      <c r="C935" s="109"/>
      <c r="D935" s="109"/>
      <c r="E935" s="109"/>
      <c r="F935" s="110"/>
      <c r="G935" s="109"/>
    </row>
    <row r="936" spans="3:7" x14ac:dyDescent="0.3">
      <c r="C936" s="109"/>
      <c r="D936" s="109"/>
      <c r="E936" s="109"/>
      <c r="F936" s="110"/>
      <c r="G936" s="109"/>
    </row>
    <row r="937" spans="3:7" x14ac:dyDescent="0.3">
      <c r="C937" s="109"/>
      <c r="D937" s="109"/>
      <c r="E937" s="109"/>
      <c r="F937" s="110"/>
      <c r="G937" s="109"/>
    </row>
    <row r="938" spans="3:7" x14ac:dyDescent="0.3">
      <c r="C938" s="109"/>
      <c r="D938" s="109"/>
      <c r="E938" s="109"/>
      <c r="F938" s="110"/>
      <c r="G938" s="109"/>
    </row>
    <row r="939" spans="3:7" x14ac:dyDescent="0.3">
      <c r="C939" s="109"/>
      <c r="D939" s="109"/>
      <c r="E939" s="109"/>
      <c r="F939" s="110"/>
      <c r="G939" s="109"/>
    </row>
    <row r="940" spans="3:7" x14ac:dyDescent="0.3">
      <c r="C940" s="109"/>
      <c r="D940" s="109"/>
      <c r="E940" s="109"/>
      <c r="F940" s="110"/>
      <c r="G940" s="109"/>
    </row>
    <row r="941" spans="3:7" x14ac:dyDescent="0.3">
      <c r="C941" s="109"/>
      <c r="D941" s="109"/>
      <c r="E941" s="109"/>
      <c r="F941" s="110"/>
      <c r="G941" s="109"/>
    </row>
    <row r="942" spans="3:7" x14ac:dyDescent="0.3">
      <c r="C942" s="109"/>
      <c r="D942" s="109"/>
      <c r="E942" s="109"/>
      <c r="F942" s="110"/>
      <c r="G942" s="109"/>
    </row>
    <row r="943" spans="3:7" x14ac:dyDescent="0.3">
      <c r="C943" s="109"/>
      <c r="D943" s="109"/>
      <c r="E943" s="109"/>
      <c r="F943" s="110"/>
      <c r="G943" s="109"/>
    </row>
    <row r="944" spans="3:7" x14ac:dyDescent="0.3">
      <c r="C944" s="109"/>
      <c r="D944" s="109"/>
      <c r="E944" s="109"/>
      <c r="F944" s="110"/>
      <c r="G944" s="109"/>
    </row>
    <row r="945" spans="3:7" x14ac:dyDescent="0.3">
      <c r="C945" s="109"/>
      <c r="D945" s="109"/>
      <c r="E945" s="109"/>
      <c r="F945" s="110"/>
      <c r="G945" s="109"/>
    </row>
    <row r="946" spans="3:7" x14ac:dyDescent="0.3">
      <c r="C946" s="109"/>
      <c r="D946" s="109"/>
      <c r="E946" s="109"/>
      <c r="F946" s="110"/>
      <c r="G946" s="109"/>
    </row>
    <row r="947" spans="3:7" x14ac:dyDescent="0.3">
      <c r="C947" s="109"/>
      <c r="D947" s="109"/>
      <c r="E947" s="109"/>
      <c r="F947" s="110"/>
      <c r="G947" s="109"/>
    </row>
    <row r="948" spans="3:7" x14ac:dyDescent="0.3">
      <c r="C948" s="109"/>
      <c r="D948" s="109"/>
      <c r="E948" s="109"/>
      <c r="F948" s="110"/>
      <c r="G948" s="109"/>
    </row>
    <row r="949" spans="3:7" x14ac:dyDescent="0.3">
      <c r="C949" s="109"/>
      <c r="D949" s="109"/>
      <c r="E949" s="109"/>
      <c r="F949" s="110"/>
      <c r="G949" s="109"/>
    </row>
    <row r="950" spans="3:7" x14ac:dyDescent="0.3">
      <c r="C950" s="109"/>
      <c r="D950" s="109"/>
      <c r="E950" s="109"/>
      <c r="F950" s="110"/>
      <c r="G950" s="109"/>
    </row>
    <row r="951" spans="3:7" x14ac:dyDescent="0.3">
      <c r="C951" s="109"/>
      <c r="D951" s="109"/>
      <c r="E951" s="109"/>
      <c r="F951" s="110"/>
      <c r="G951" s="109"/>
    </row>
    <row r="952" spans="3:7" x14ac:dyDescent="0.3">
      <c r="C952" s="109"/>
      <c r="D952" s="109"/>
      <c r="E952" s="109"/>
      <c r="F952" s="110"/>
      <c r="G952" s="109"/>
    </row>
    <row r="953" spans="3:7" x14ac:dyDescent="0.3">
      <c r="C953" s="109"/>
      <c r="D953" s="109"/>
      <c r="E953" s="109"/>
      <c r="F953" s="110"/>
      <c r="G953" s="109"/>
    </row>
    <row r="954" spans="3:7" x14ac:dyDescent="0.3">
      <c r="C954" s="109"/>
      <c r="D954" s="109"/>
      <c r="E954" s="109"/>
      <c r="F954" s="110"/>
      <c r="G954" s="109"/>
    </row>
    <row r="955" spans="3:7" x14ac:dyDescent="0.3">
      <c r="C955" s="109"/>
      <c r="D955" s="109"/>
      <c r="E955" s="109"/>
      <c r="F955" s="110"/>
      <c r="G955" s="109"/>
    </row>
    <row r="956" spans="3:7" x14ac:dyDescent="0.3">
      <c r="C956" s="109"/>
      <c r="D956" s="109"/>
      <c r="E956" s="109"/>
      <c r="F956" s="110"/>
      <c r="G956" s="109"/>
    </row>
    <row r="957" spans="3:7" x14ac:dyDescent="0.3">
      <c r="C957" s="109"/>
      <c r="D957" s="109"/>
      <c r="E957" s="109"/>
      <c r="F957" s="110"/>
      <c r="G957" s="109"/>
    </row>
    <row r="958" spans="3:7" x14ac:dyDescent="0.3">
      <c r="C958" s="109"/>
      <c r="D958" s="109"/>
      <c r="E958" s="109"/>
      <c r="F958" s="110"/>
      <c r="G958" s="109"/>
    </row>
    <row r="959" spans="3:7" x14ac:dyDescent="0.3">
      <c r="C959" s="109"/>
      <c r="D959" s="109"/>
      <c r="E959" s="109"/>
      <c r="F959" s="110"/>
      <c r="G959" s="109"/>
    </row>
    <row r="960" spans="3:7" x14ac:dyDescent="0.3">
      <c r="C960" s="109"/>
      <c r="D960" s="109"/>
      <c r="E960" s="109"/>
      <c r="F960" s="110"/>
      <c r="G960" s="109"/>
    </row>
    <row r="961" spans="3:7" x14ac:dyDescent="0.3">
      <c r="C961" s="109"/>
      <c r="D961" s="109"/>
      <c r="E961" s="109"/>
      <c r="F961" s="110"/>
      <c r="G961" s="109"/>
    </row>
    <row r="962" spans="3:7" x14ac:dyDescent="0.3">
      <c r="C962" s="109"/>
      <c r="D962" s="109"/>
      <c r="E962" s="109"/>
      <c r="F962" s="110"/>
      <c r="G962" s="109"/>
    </row>
    <row r="963" spans="3:7" x14ac:dyDescent="0.3">
      <c r="C963" s="109"/>
      <c r="D963" s="109"/>
      <c r="E963" s="109"/>
      <c r="F963" s="110"/>
      <c r="G963" s="109"/>
    </row>
    <row r="964" spans="3:7" x14ac:dyDescent="0.3">
      <c r="C964" s="109"/>
      <c r="D964" s="109"/>
      <c r="E964" s="109"/>
      <c r="F964" s="110"/>
      <c r="G964" s="109"/>
    </row>
    <row r="965" spans="3:7" x14ac:dyDescent="0.3">
      <c r="C965" s="109"/>
      <c r="D965" s="109"/>
      <c r="E965" s="109"/>
      <c r="F965" s="110"/>
      <c r="G965" s="109"/>
    </row>
    <row r="966" spans="3:7" x14ac:dyDescent="0.3">
      <c r="C966" s="109"/>
      <c r="D966" s="109"/>
      <c r="E966" s="109"/>
      <c r="F966" s="110"/>
      <c r="G966" s="109"/>
    </row>
    <row r="967" spans="3:7" x14ac:dyDescent="0.3">
      <c r="C967" s="109"/>
      <c r="D967" s="109"/>
      <c r="E967" s="109"/>
      <c r="F967" s="110"/>
      <c r="G967" s="109"/>
    </row>
    <row r="968" spans="3:7" x14ac:dyDescent="0.3">
      <c r="C968" s="109"/>
      <c r="D968" s="109"/>
      <c r="E968" s="109"/>
      <c r="F968" s="110"/>
      <c r="G968" s="109"/>
    </row>
    <row r="969" spans="3:7" x14ac:dyDescent="0.3">
      <c r="C969" s="109"/>
      <c r="D969" s="109"/>
      <c r="E969" s="109"/>
      <c r="F969" s="110"/>
      <c r="G969" s="109"/>
    </row>
    <row r="970" spans="3:7" x14ac:dyDescent="0.3">
      <c r="C970" s="109"/>
      <c r="D970" s="109"/>
      <c r="E970" s="109"/>
      <c r="F970" s="110"/>
      <c r="G970" s="109"/>
    </row>
    <row r="971" spans="3:7" x14ac:dyDescent="0.3">
      <c r="C971" s="109"/>
      <c r="D971" s="109"/>
      <c r="E971" s="109"/>
      <c r="F971" s="110"/>
      <c r="G971" s="109"/>
    </row>
    <row r="972" spans="3:7" x14ac:dyDescent="0.3">
      <c r="C972" s="109"/>
      <c r="D972" s="109"/>
      <c r="E972" s="109"/>
      <c r="F972" s="110"/>
      <c r="G972" s="109"/>
    </row>
    <row r="973" spans="3:7" x14ac:dyDescent="0.3">
      <c r="C973" s="109"/>
      <c r="D973" s="109"/>
      <c r="E973" s="109"/>
      <c r="F973" s="110"/>
      <c r="G973" s="109"/>
    </row>
    <row r="974" spans="3:7" x14ac:dyDescent="0.3">
      <c r="C974" s="109"/>
      <c r="D974" s="109"/>
      <c r="E974" s="109"/>
      <c r="F974" s="110"/>
      <c r="G974" s="109"/>
    </row>
    <row r="975" spans="3:7" x14ac:dyDescent="0.3">
      <c r="C975" s="109"/>
      <c r="D975" s="109"/>
      <c r="E975" s="109"/>
      <c r="F975" s="110"/>
      <c r="G975" s="109"/>
    </row>
    <row r="976" spans="3:7" x14ac:dyDescent="0.3">
      <c r="C976" s="109"/>
      <c r="D976" s="109"/>
      <c r="E976" s="109"/>
      <c r="F976" s="110"/>
      <c r="G976" s="109"/>
    </row>
    <row r="977" spans="3:7" x14ac:dyDescent="0.3">
      <c r="C977" s="109"/>
      <c r="D977" s="109"/>
      <c r="E977" s="109"/>
      <c r="F977" s="110"/>
      <c r="G977" s="109"/>
    </row>
    <row r="978" spans="3:7" x14ac:dyDescent="0.3">
      <c r="C978" s="109"/>
      <c r="D978" s="109"/>
      <c r="E978" s="109"/>
      <c r="F978" s="110"/>
      <c r="G978" s="109"/>
    </row>
    <row r="979" spans="3:7" x14ac:dyDescent="0.3">
      <c r="C979" s="109"/>
      <c r="D979" s="109"/>
      <c r="E979" s="109"/>
      <c r="F979" s="110"/>
      <c r="G979" s="109"/>
    </row>
    <row r="980" spans="3:7" x14ac:dyDescent="0.3">
      <c r="C980" s="109"/>
      <c r="D980" s="109"/>
      <c r="E980" s="109"/>
      <c r="F980" s="110"/>
      <c r="G980" s="109"/>
    </row>
    <row r="981" spans="3:7" x14ac:dyDescent="0.3">
      <c r="C981" s="109"/>
      <c r="D981" s="109"/>
      <c r="E981" s="109"/>
      <c r="F981" s="110"/>
      <c r="G981" s="109"/>
    </row>
    <row r="982" spans="3:7" x14ac:dyDescent="0.3">
      <c r="C982" s="109"/>
      <c r="D982" s="109"/>
      <c r="E982" s="109"/>
      <c r="F982" s="110"/>
      <c r="G982" s="109"/>
    </row>
    <row r="983" spans="3:7" x14ac:dyDescent="0.3">
      <c r="C983" s="109"/>
      <c r="D983" s="109"/>
      <c r="E983" s="109"/>
      <c r="F983" s="110"/>
      <c r="G983" s="109"/>
    </row>
    <row r="984" spans="3:7" x14ac:dyDescent="0.3">
      <c r="C984" s="109"/>
      <c r="D984" s="109"/>
      <c r="E984" s="109"/>
      <c r="F984" s="110"/>
      <c r="G984" s="109"/>
    </row>
    <row r="985" spans="3:7" x14ac:dyDescent="0.3">
      <c r="C985" s="109"/>
      <c r="D985" s="109"/>
      <c r="E985" s="109"/>
      <c r="F985" s="110"/>
      <c r="G985" s="109"/>
    </row>
    <row r="986" spans="3:7" x14ac:dyDescent="0.3">
      <c r="C986" s="109"/>
      <c r="D986" s="109"/>
      <c r="E986" s="109"/>
      <c r="F986" s="110"/>
      <c r="G986" s="109"/>
    </row>
    <row r="987" spans="3:7" x14ac:dyDescent="0.3">
      <c r="C987" s="109"/>
      <c r="D987" s="109"/>
      <c r="E987" s="109"/>
      <c r="F987" s="110"/>
      <c r="G987" s="109"/>
    </row>
    <row r="988" spans="3:7" x14ac:dyDescent="0.3">
      <c r="C988" s="109"/>
      <c r="D988" s="109"/>
      <c r="E988" s="109"/>
      <c r="F988" s="110"/>
      <c r="G988" s="109"/>
    </row>
    <row r="989" spans="3:7" x14ac:dyDescent="0.3">
      <c r="C989" s="109"/>
      <c r="D989" s="109"/>
      <c r="E989" s="109"/>
      <c r="F989" s="110"/>
      <c r="G989" s="109"/>
    </row>
    <row r="990" spans="3:7" x14ac:dyDescent="0.3">
      <c r="C990" s="109"/>
      <c r="D990" s="109"/>
      <c r="E990" s="109"/>
      <c r="F990" s="110"/>
      <c r="G990" s="109"/>
    </row>
    <row r="991" spans="3:7" x14ac:dyDescent="0.3">
      <c r="C991" s="109"/>
      <c r="D991" s="109"/>
      <c r="E991" s="109"/>
      <c r="F991" s="110"/>
      <c r="G991" s="109"/>
    </row>
    <row r="992" spans="3:7" x14ac:dyDescent="0.3">
      <c r="C992" s="109"/>
      <c r="D992" s="109"/>
      <c r="E992" s="109"/>
      <c r="F992" s="110"/>
      <c r="G992" s="109"/>
    </row>
    <row r="993" spans="3:7" x14ac:dyDescent="0.3">
      <c r="C993" s="109"/>
      <c r="D993" s="109"/>
      <c r="E993" s="109"/>
      <c r="F993" s="110"/>
      <c r="G993" s="109"/>
    </row>
    <row r="994" spans="3:7" x14ac:dyDescent="0.3">
      <c r="C994" s="109"/>
      <c r="D994" s="109"/>
      <c r="E994" s="109"/>
      <c r="F994" s="110"/>
      <c r="G994" s="109"/>
    </row>
    <row r="995" spans="3:7" x14ac:dyDescent="0.3">
      <c r="C995" s="109"/>
      <c r="D995" s="109"/>
      <c r="E995" s="109"/>
      <c r="F995" s="110"/>
      <c r="G995" s="109"/>
    </row>
    <row r="996" spans="3:7" x14ac:dyDescent="0.3">
      <c r="C996" s="109"/>
      <c r="D996" s="109"/>
      <c r="E996" s="109"/>
      <c r="F996" s="110"/>
      <c r="G996" s="109"/>
    </row>
    <row r="997" spans="3:7" x14ac:dyDescent="0.3">
      <c r="C997" s="109"/>
      <c r="D997" s="109"/>
      <c r="E997" s="109"/>
      <c r="F997" s="110"/>
      <c r="G997" s="109"/>
    </row>
    <row r="998" spans="3:7" x14ac:dyDescent="0.3">
      <c r="C998" s="109"/>
      <c r="D998" s="109"/>
      <c r="E998" s="109"/>
      <c r="F998" s="110"/>
      <c r="G998" s="109"/>
    </row>
    <row r="999" spans="3:7" x14ac:dyDescent="0.3">
      <c r="C999" s="109"/>
      <c r="D999" s="109"/>
      <c r="E999" s="109"/>
      <c r="F999" s="110"/>
      <c r="G999" s="109"/>
    </row>
    <row r="1000" spans="3:7" x14ac:dyDescent="0.3">
      <c r="C1000" s="109"/>
      <c r="D1000" s="109"/>
      <c r="E1000" s="109"/>
      <c r="F1000" s="110"/>
      <c r="G1000" s="109"/>
    </row>
    <row r="1001" spans="3:7" x14ac:dyDescent="0.3">
      <c r="C1001" s="109"/>
      <c r="D1001" s="109"/>
      <c r="E1001" s="109"/>
      <c r="F1001" s="110"/>
      <c r="G1001" s="109"/>
    </row>
    <row r="1002" spans="3:7" x14ac:dyDescent="0.3">
      <c r="C1002" s="109"/>
      <c r="D1002" s="109"/>
      <c r="E1002" s="109"/>
      <c r="F1002" s="110"/>
      <c r="G1002" s="109"/>
    </row>
    <row r="1003" spans="3:7" x14ac:dyDescent="0.3">
      <c r="C1003" s="109"/>
      <c r="D1003" s="109"/>
      <c r="E1003" s="109"/>
      <c r="F1003" s="110"/>
      <c r="G1003" s="109"/>
    </row>
    <row r="1004" spans="3:7" x14ac:dyDescent="0.3">
      <c r="C1004" s="109"/>
      <c r="D1004" s="109"/>
      <c r="E1004" s="109"/>
      <c r="F1004" s="110"/>
      <c r="G1004" s="109"/>
    </row>
    <row r="1005" spans="3:7" x14ac:dyDescent="0.3">
      <c r="C1005" s="109"/>
      <c r="D1005" s="109"/>
      <c r="E1005" s="109"/>
      <c r="F1005" s="110"/>
      <c r="G1005" s="109"/>
    </row>
    <row r="1006" spans="3:7" x14ac:dyDescent="0.3">
      <c r="C1006" s="109"/>
      <c r="D1006" s="109"/>
      <c r="E1006" s="109"/>
      <c r="F1006" s="110"/>
      <c r="G1006" s="109"/>
    </row>
    <row r="1007" spans="3:7" x14ac:dyDescent="0.3">
      <c r="C1007" s="109"/>
      <c r="D1007" s="109"/>
      <c r="E1007" s="109"/>
      <c r="F1007" s="110"/>
      <c r="G1007" s="109"/>
    </row>
    <row r="1008" spans="3:7" x14ac:dyDescent="0.3">
      <c r="C1008" s="109"/>
      <c r="D1008" s="109"/>
      <c r="E1008" s="109"/>
      <c r="F1008" s="110"/>
      <c r="G1008" s="109"/>
    </row>
    <row r="1009" spans="3:7" x14ac:dyDescent="0.3">
      <c r="C1009" s="109"/>
      <c r="D1009" s="109"/>
      <c r="E1009" s="109"/>
      <c r="F1009" s="110"/>
      <c r="G1009" s="109"/>
    </row>
    <row r="1010" spans="3:7" x14ac:dyDescent="0.3">
      <c r="C1010" s="109"/>
      <c r="D1010" s="109"/>
      <c r="E1010" s="109"/>
      <c r="F1010" s="110"/>
      <c r="G1010" s="109"/>
    </row>
    <row r="1011" spans="3:7" x14ac:dyDescent="0.3">
      <c r="C1011" s="109"/>
      <c r="D1011" s="109"/>
      <c r="E1011" s="109"/>
      <c r="F1011" s="110"/>
      <c r="G1011" s="109"/>
    </row>
    <row r="1012" spans="3:7" x14ac:dyDescent="0.3">
      <c r="C1012" s="109"/>
      <c r="D1012" s="109"/>
      <c r="E1012" s="109"/>
      <c r="F1012" s="110"/>
      <c r="G1012" s="109"/>
    </row>
    <row r="1013" spans="3:7" x14ac:dyDescent="0.3">
      <c r="C1013" s="109"/>
      <c r="D1013" s="109"/>
      <c r="E1013" s="109"/>
      <c r="F1013" s="110"/>
      <c r="G1013" s="109"/>
    </row>
    <row r="1014" spans="3:7" x14ac:dyDescent="0.3">
      <c r="C1014" s="109"/>
      <c r="D1014" s="109"/>
      <c r="E1014" s="109"/>
      <c r="F1014" s="110"/>
      <c r="G1014" s="109"/>
    </row>
    <row r="1015" spans="3:7" x14ac:dyDescent="0.3">
      <c r="C1015" s="109"/>
      <c r="D1015" s="109"/>
      <c r="E1015" s="109"/>
      <c r="F1015" s="110"/>
      <c r="G1015" s="109"/>
    </row>
    <row r="1016" spans="3:7" x14ac:dyDescent="0.3">
      <c r="C1016" s="109"/>
      <c r="D1016" s="109"/>
      <c r="E1016" s="109"/>
      <c r="F1016" s="110"/>
      <c r="G1016" s="109"/>
    </row>
    <row r="1017" spans="3:7" x14ac:dyDescent="0.3">
      <c r="C1017" s="109"/>
      <c r="D1017" s="109"/>
      <c r="E1017" s="109"/>
      <c r="F1017" s="110"/>
      <c r="G1017" s="109"/>
    </row>
    <row r="1018" spans="3:7" x14ac:dyDescent="0.3">
      <c r="C1018" s="109"/>
      <c r="D1018" s="109"/>
      <c r="E1018" s="109"/>
      <c r="F1018" s="110"/>
      <c r="G1018" s="109"/>
    </row>
    <row r="1019" spans="3:7" x14ac:dyDescent="0.3">
      <c r="C1019" s="109"/>
      <c r="D1019" s="109"/>
      <c r="E1019" s="109"/>
      <c r="F1019" s="110"/>
      <c r="G1019" s="109"/>
    </row>
    <row r="1020" spans="3:7" x14ac:dyDescent="0.3">
      <c r="C1020" s="109"/>
      <c r="D1020" s="109"/>
      <c r="E1020" s="109"/>
      <c r="F1020" s="110"/>
      <c r="G1020" s="109"/>
    </row>
    <row r="1021" spans="3:7" x14ac:dyDescent="0.3">
      <c r="C1021" s="109"/>
      <c r="D1021" s="109"/>
      <c r="E1021" s="109"/>
      <c r="F1021" s="110"/>
      <c r="G1021" s="109"/>
    </row>
    <row r="1022" spans="3:7" x14ac:dyDescent="0.3">
      <c r="C1022" s="109"/>
      <c r="D1022" s="109"/>
      <c r="E1022" s="109"/>
      <c r="F1022" s="110"/>
      <c r="G1022" s="109"/>
    </row>
    <row r="1023" spans="3:7" x14ac:dyDescent="0.3">
      <c r="C1023" s="109"/>
      <c r="D1023" s="109"/>
      <c r="E1023" s="109"/>
      <c r="F1023" s="110"/>
      <c r="G1023" s="109"/>
    </row>
    <row r="1024" spans="3:7" x14ac:dyDescent="0.3">
      <c r="C1024" s="109"/>
      <c r="D1024" s="109"/>
      <c r="E1024" s="109"/>
      <c r="F1024" s="110"/>
      <c r="G1024" s="109"/>
    </row>
    <row r="1025" spans="3:7" x14ac:dyDescent="0.3">
      <c r="C1025" s="109"/>
      <c r="D1025" s="109"/>
      <c r="E1025" s="109"/>
      <c r="F1025" s="110"/>
      <c r="G1025" s="109"/>
    </row>
    <row r="1026" spans="3:7" x14ac:dyDescent="0.3">
      <c r="C1026" s="109"/>
      <c r="D1026" s="109"/>
      <c r="E1026" s="109"/>
      <c r="F1026" s="110"/>
      <c r="G1026" s="109"/>
    </row>
    <row r="1027" spans="3:7" x14ac:dyDescent="0.3">
      <c r="C1027" s="109"/>
      <c r="D1027" s="109"/>
      <c r="E1027" s="109"/>
      <c r="F1027" s="110"/>
      <c r="G1027" s="109"/>
    </row>
    <row r="1028" spans="3:7" x14ac:dyDescent="0.3">
      <c r="C1028" s="109"/>
      <c r="D1028" s="109"/>
      <c r="E1028" s="109"/>
      <c r="F1028" s="110"/>
      <c r="G1028" s="109"/>
    </row>
    <row r="1029" spans="3:7" x14ac:dyDescent="0.3">
      <c r="C1029" s="109"/>
      <c r="D1029" s="109"/>
      <c r="E1029" s="109"/>
      <c r="F1029" s="110"/>
      <c r="G1029" s="109"/>
    </row>
    <row r="1030" spans="3:7" x14ac:dyDescent="0.3">
      <c r="C1030" s="109"/>
      <c r="D1030" s="109"/>
      <c r="E1030" s="109"/>
      <c r="F1030" s="110"/>
      <c r="G1030" s="109"/>
    </row>
    <row r="1031" spans="3:7" x14ac:dyDescent="0.3">
      <c r="C1031" s="109"/>
      <c r="D1031" s="109"/>
      <c r="E1031" s="109"/>
      <c r="F1031" s="110"/>
      <c r="G1031" s="109"/>
    </row>
    <row r="1032" spans="3:7" x14ac:dyDescent="0.3">
      <c r="C1032" s="109"/>
      <c r="D1032" s="109"/>
      <c r="E1032" s="109"/>
      <c r="F1032" s="110"/>
      <c r="G1032" s="109"/>
    </row>
    <row r="1033" spans="3:7" x14ac:dyDescent="0.3">
      <c r="C1033" s="109"/>
      <c r="D1033" s="109"/>
      <c r="E1033" s="109"/>
      <c r="F1033" s="110"/>
      <c r="G1033" s="109"/>
    </row>
    <row r="1034" spans="3:7" x14ac:dyDescent="0.3">
      <c r="C1034" s="109"/>
      <c r="D1034" s="109"/>
      <c r="E1034" s="109"/>
      <c r="F1034" s="110"/>
      <c r="G1034" s="109"/>
    </row>
    <row r="1035" spans="3:7" x14ac:dyDescent="0.3">
      <c r="C1035" s="109"/>
      <c r="D1035" s="109"/>
      <c r="E1035" s="109"/>
      <c r="F1035" s="110"/>
      <c r="G1035" s="109"/>
    </row>
    <row r="1036" spans="3:7" x14ac:dyDescent="0.3">
      <c r="C1036" s="109"/>
      <c r="D1036" s="109"/>
      <c r="E1036" s="109"/>
      <c r="F1036" s="110"/>
      <c r="G1036" s="109"/>
    </row>
    <row r="1037" spans="3:7" x14ac:dyDescent="0.3">
      <c r="C1037" s="109"/>
      <c r="D1037" s="109"/>
      <c r="E1037" s="109"/>
      <c r="F1037" s="110"/>
      <c r="G1037" s="109"/>
    </row>
    <row r="1038" spans="3:7" x14ac:dyDescent="0.3">
      <c r="C1038" s="109"/>
      <c r="D1038" s="109"/>
      <c r="E1038" s="109"/>
      <c r="F1038" s="110"/>
      <c r="G1038" s="109"/>
    </row>
    <row r="1039" spans="3:7" x14ac:dyDescent="0.3">
      <c r="C1039" s="109"/>
      <c r="D1039" s="109"/>
      <c r="E1039" s="109"/>
      <c r="F1039" s="110"/>
      <c r="G1039" s="109"/>
    </row>
    <row r="1040" spans="3:7" x14ac:dyDescent="0.3">
      <c r="C1040" s="109"/>
      <c r="D1040" s="109"/>
      <c r="E1040" s="109"/>
      <c r="F1040" s="110"/>
      <c r="G1040" s="109"/>
    </row>
    <row r="1041" spans="3:7" x14ac:dyDescent="0.3">
      <c r="C1041" s="109"/>
      <c r="D1041" s="109"/>
      <c r="E1041" s="109"/>
      <c r="F1041" s="110"/>
      <c r="G1041" s="109"/>
    </row>
    <row r="1042" spans="3:7" x14ac:dyDescent="0.3">
      <c r="C1042" s="109"/>
      <c r="D1042" s="109"/>
      <c r="E1042" s="109"/>
      <c r="F1042" s="110"/>
      <c r="G1042" s="109"/>
    </row>
    <row r="1043" spans="3:7" x14ac:dyDescent="0.3">
      <c r="C1043" s="109"/>
      <c r="D1043" s="109"/>
      <c r="E1043" s="109"/>
      <c r="F1043" s="110"/>
      <c r="G1043" s="109"/>
    </row>
    <row r="1044" spans="3:7" x14ac:dyDescent="0.3">
      <c r="C1044" s="109"/>
      <c r="D1044" s="109"/>
      <c r="E1044" s="109"/>
      <c r="F1044" s="110"/>
      <c r="G1044" s="109"/>
    </row>
    <row r="1045" spans="3:7" x14ac:dyDescent="0.3">
      <c r="C1045" s="109"/>
      <c r="D1045" s="109"/>
      <c r="E1045" s="109"/>
      <c r="F1045" s="110"/>
      <c r="G1045" s="109"/>
    </row>
    <row r="1046" spans="3:7" x14ac:dyDescent="0.3">
      <c r="C1046" s="109"/>
      <c r="D1046" s="109"/>
      <c r="E1046" s="109"/>
      <c r="F1046" s="110"/>
      <c r="G1046" s="109"/>
    </row>
    <row r="1047" spans="3:7" x14ac:dyDescent="0.3">
      <c r="C1047" s="109"/>
      <c r="D1047" s="109"/>
      <c r="E1047" s="109"/>
      <c r="F1047" s="110"/>
      <c r="G1047" s="109"/>
    </row>
    <row r="1048" spans="3:7" x14ac:dyDescent="0.3">
      <c r="C1048" s="109"/>
      <c r="D1048" s="109"/>
      <c r="E1048" s="109"/>
      <c r="F1048" s="110"/>
      <c r="G1048" s="109"/>
    </row>
    <row r="1049" spans="3:7" x14ac:dyDescent="0.3">
      <c r="C1049" s="109"/>
      <c r="D1049" s="109"/>
      <c r="E1049" s="109"/>
      <c r="F1049" s="110"/>
      <c r="G1049" s="109"/>
    </row>
    <row r="1050" spans="3:7" x14ac:dyDescent="0.3">
      <c r="C1050" s="109"/>
      <c r="D1050" s="109"/>
      <c r="E1050" s="109"/>
      <c r="F1050" s="110"/>
      <c r="G1050" s="109"/>
    </row>
    <row r="1051" spans="3:7" x14ac:dyDescent="0.3">
      <c r="C1051" s="109"/>
      <c r="D1051" s="109"/>
      <c r="E1051" s="109"/>
      <c r="F1051" s="110"/>
      <c r="G1051" s="109"/>
    </row>
    <row r="1052" spans="3:7" x14ac:dyDescent="0.3">
      <c r="C1052" s="109"/>
      <c r="D1052" s="109"/>
      <c r="E1052" s="109"/>
      <c r="F1052" s="110"/>
      <c r="G1052" s="109"/>
    </row>
    <row r="1053" spans="3:7" x14ac:dyDescent="0.3">
      <c r="C1053" s="109"/>
      <c r="D1053" s="109"/>
      <c r="E1053" s="109"/>
      <c r="F1053" s="110"/>
      <c r="G1053" s="109"/>
    </row>
    <row r="1054" spans="3:7" x14ac:dyDescent="0.3">
      <c r="C1054" s="109"/>
      <c r="D1054" s="109"/>
      <c r="E1054" s="109"/>
      <c r="F1054" s="110"/>
      <c r="G1054" s="109"/>
    </row>
    <row r="1055" spans="3:7" x14ac:dyDescent="0.3">
      <c r="C1055" s="109"/>
      <c r="D1055" s="109"/>
      <c r="E1055" s="109"/>
      <c r="F1055" s="110"/>
      <c r="G1055" s="109"/>
    </row>
    <row r="1056" spans="3:7" x14ac:dyDescent="0.3">
      <c r="C1056" s="109"/>
      <c r="D1056" s="109"/>
      <c r="E1056" s="109"/>
      <c r="F1056" s="110"/>
      <c r="G1056" s="109"/>
    </row>
    <row r="1057" spans="3:7" x14ac:dyDescent="0.3">
      <c r="C1057" s="109"/>
      <c r="D1057" s="109"/>
      <c r="E1057" s="109"/>
      <c r="F1057" s="110"/>
      <c r="G1057" s="109"/>
    </row>
    <row r="1058" spans="3:7" x14ac:dyDescent="0.3">
      <c r="C1058" s="109"/>
      <c r="D1058" s="109"/>
      <c r="E1058" s="109"/>
      <c r="F1058" s="110"/>
      <c r="G1058" s="109"/>
    </row>
    <row r="1059" spans="3:7" x14ac:dyDescent="0.3">
      <c r="C1059" s="109"/>
      <c r="D1059" s="109"/>
      <c r="E1059" s="109"/>
      <c r="F1059" s="110"/>
      <c r="G1059" s="109"/>
    </row>
    <row r="1060" spans="3:7" x14ac:dyDescent="0.3">
      <c r="C1060" s="109"/>
      <c r="D1060" s="109"/>
      <c r="E1060" s="109"/>
      <c r="F1060" s="110"/>
      <c r="G1060" s="109"/>
    </row>
    <row r="1061" spans="3:7" x14ac:dyDescent="0.3">
      <c r="C1061" s="109"/>
      <c r="D1061" s="109"/>
      <c r="E1061" s="109"/>
      <c r="F1061" s="110"/>
      <c r="G1061" s="109"/>
    </row>
    <row r="1062" spans="3:7" x14ac:dyDescent="0.3">
      <c r="C1062" s="109"/>
      <c r="D1062" s="109"/>
      <c r="E1062" s="109"/>
      <c r="F1062" s="110"/>
      <c r="G1062" s="109"/>
    </row>
    <row r="1063" spans="3:7" x14ac:dyDescent="0.3">
      <c r="C1063" s="109"/>
      <c r="D1063" s="109"/>
      <c r="E1063" s="109"/>
      <c r="F1063" s="110"/>
      <c r="G1063" s="109"/>
    </row>
    <row r="1064" spans="3:7" x14ac:dyDescent="0.3">
      <c r="C1064" s="109"/>
      <c r="D1064" s="109"/>
      <c r="E1064" s="109"/>
      <c r="F1064" s="110"/>
      <c r="G1064" s="109"/>
    </row>
    <row r="1065" spans="3:7" x14ac:dyDescent="0.3">
      <c r="C1065" s="109"/>
      <c r="D1065" s="109"/>
      <c r="E1065" s="109"/>
      <c r="F1065" s="110"/>
      <c r="G1065" s="109"/>
    </row>
    <row r="1066" spans="3:7" x14ac:dyDescent="0.3">
      <c r="C1066" s="109"/>
      <c r="D1066" s="109"/>
      <c r="E1066" s="109"/>
      <c r="F1066" s="110"/>
      <c r="G1066" s="109"/>
    </row>
    <row r="1067" spans="3:7" x14ac:dyDescent="0.3">
      <c r="C1067" s="109"/>
      <c r="D1067" s="109"/>
      <c r="E1067" s="109"/>
      <c r="F1067" s="110"/>
      <c r="G1067" s="109"/>
    </row>
    <row r="1068" spans="3:7" x14ac:dyDescent="0.3">
      <c r="C1068" s="109"/>
      <c r="D1068" s="109"/>
      <c r="E1068" s="109"/>
      <c r="F1068" s="110"/>
      <c r="G1068" s="109"/>
    </row>
    <row r="1069" spans="3:7" x14ac:dyDescent="0.3">
      <c r="C1069" s="109"/>
      <c r="D1069" s="109"/>
      <c r="E1069" s="109"/>
      <c r="F1069" s="110"/>
      <c r="G1069" s="109"/>
    </row>
    <row r="1070" spans="3:7" x14ac:dyDescent="0.3">
      <c r="C1070" s="109"/>
      <c r="D1070" s="109"/>
      <c r="E1070" s="109"/>
      <c r="F1070" s="110"/>
      <c r="G1070" s="109"/>
    </row>
    <row r="1071" spans="3:7" x14ac:dyDescent="0.3">
      <c r="C1071" s="109"/>
      <c r="D1071" s="109"/>
      <c r="E1071" s="109"/>
      <c r="F1071" s="110"/>
      <c r="G1071" s="109"/>
    </row>
    <row r="1072" spans="3:7" x14ac:dyDescent="0.3">
      <c r="C1072" s="109"/>
      <c r="D1072" s="109"/>
      <c r="E1072" s="109"/>
      <c r="F1072" s="110"/>
      <c r="G1072" s="109"/>
    </row>
    <row r="1073" spans="3:7" x14ac:dyDescent="0.3">
      <c r="C1073" s="109"/>
      <c r="D1073" s="109"/>
      <c r="E1073" s="109"/>
      <c r="F1073" s="110"/>
      <c r="G1073" s="109"/>
    </row>
    <row r="1074" spans="3:7" x14ac:dyDescent="0.3">
      <c r="C1074" s="109"/>
      <c r="D1074" s="109"/>
      <c r="E1074" s="109"/>
      <c r="F1074" s="110"/>
      <c r="G1074" s="109"/>
    </row>
    <row r="1075" spans="3:7" x14ac:dyDescent="0.3">
      <c r="C1075" s="109"/>
      <c r="D1075" s="109"/>
      <c r="E1075" s="109"/>
      <c r="F1075" s="110"/>
      <c r="G1075" s="109"/>
    </row>
    <row r="1076" spans="3:7" x14ac:dyDescent="0.3">
      <c r="C1076" s="109"/>
      <c r="D1076" s="109"/>
      <c r="E1076" s="109"/>
      <c r="F1076" s="110"/>
      <c r="G1076" s="109"/>
    </row>
    <row r="1077" spans="3:7" x14ac:dyDescent="0.3">
      <c r="C1077" s="109"/>
      <c r="D1077" s="109"/>
      <c r="E1077" s="109"/>
      <c r="F1077" s="110"/>
      <c r="G1077" s="109"/>
    </row>
    <row r="1078" spans="3:7" x14ac:dyDescent="0.3">
      <c r="C1078" s="109"/>
      <c r="D1078" s="109"/>
      <c r="E1078" s="109"/>
      <c r="F1078" s="110"/>
      <c r="G1078" s="109"/>
    </row>
    <row r="1079" spans="3:7" x14ac:dyDescent="0.3">
      <c r="C1079" s="109"/>
      <c r="D1079" s="109"/>
      <c r="E1079" s="109"/>
      <c r="F1079" s="110"/>
      <c r="G1079" s="109"/>
    </row>
    <row r="1080" spans="3:7" x14ac:dyDescent="0.3">
      <c r="C1080" s="109"/>
      <c r="D1080" s="109"/>
      <c r="E1080" s="109"/>
      <c r="F1080" s="110"/>
      <c r="G1080" s="109"/>
    </row>
    <row r="1081" spans="3:7" x14ac:dyDescent="0.3">
      <c r="C1081" s="109"/>
      <c r="D1081" s="109"/>
      <c r="E1081" s="109"/>
      <c r="F1081" s="110"/>
      <c r="G1081" s="109"/>
    </row>
    <row r="1082" spans="3:7" x14ac:dyDescent="0.3">
      <c r="C1082" s="109"/>
      <c r="D1082" s="109"/>
      <c r="E1082" s="109"/>
      <c r="F1082" s="110"/>
      <c r="G1082" s="109"/>
    </row>
    <row r="1083" spans="3:7" x14ac:dyDescent="0.3">
      <c r="C1083" s="109"/>
      <c r="D1083" s="109"/>
      <c r="E1083" s="109"/>
      <c r="F1083" s="110"/>
      <c r="G1083" s="109"/>
    </row>
    <row r="1084" spans="3:7" x14ac:dyDescent="0.3">
      <c r="C1084" s="109"/>
      <c r="D1084" s="109"/>
      <c r="E1084" s="109"/>
      <c r="F1084" s="110"/>
      <c r="G1084" s="109"/>
    </row>
    <row r="1085" spans="3:7" x14ac:dyDescent="0.3">
      <c r="C1085" s="109"/>
      <c r="D1085" s="109"/>
      <c r="E1085" s="109"/>
      <c r="F1085" s="110"/>
      <c r="G1085" s="109"/>
    </row>
    <row r="1086" spans="3:7" x14ac:dyDescent="0.3">
      <c r="C1086" s="109"/>
      <c r="D1086" s="109"/>
      <c r="E1086" s="109"/>
      <c r="F1086" s="110"/>
      <c r="G1086" s="109"/>
    </row>
    <row r="1087" spans="3:7" x14ac:dyDescent="0.3">
      <c r="C1087" s="109"/>
      <c r="D1087" s="109"/>
      <c r="E1087" s="109"/>
      <c r="F1087" s="110"/>
      <c r="G1087" s="109"/>
    </row>
    <row r="1088" spans="3:7" x14ac:dyDescent="0.3">
      <c r="C1088" s="109"/>
      <c r="D1088" s="109"/>
      <c r="E1088" s="109"/>
      <c r="F1088" s="110"/>
      <c r="G1088" s="109"/>
    </row>
    <row r="1089" spans="3:7" x14ac:dyDescent="0.3">
      <c r="C1089" s="109"/>
      <c r="D1089" s="109"/>
      <c r="E1089" s="109"/>
      <c r="F1089" s="110"/>
      <c r="G1089" s="109"/>
    </row>
    <row r="1090" spans="3:7" x14ac:dyDescent="0.3">
      <c r="C1090" s="109"/>
      <c r="D1090" s="109"/>
      <c r="E1090" s="109"/>
      <c r="F1090" s="110"/>
      <c r="G1090" s="109"/>
    </row>
    <row r="1091" spans="3:7" x14ac:dyDescent="0.3">
      <c r="C1091" s="109"/>
      <c r="D1091" s="109"/>
      <c r="E1091" s="109"/>
      <c r="F1091" s="110"/>
      <c r="G1091" s="109"/>
    </row>
    <row r="1092" spans="3:7" x14ac:dyDescent="0.3">
      <c r="C1092" s="109"/>
      <c r="D1092" s="109"/>
      <c r="E1092" s="109"/>
      <c r="F1092" s="110"/>
      <c r="G1092" s="109"/>
    </row>
    <row r="1093" spans="3:7" x14ac:dyDescent="0.3">
      <c r="C1093" s="109"/>
      <c r="D1093" s="109"/>
      <c r="E1093" s="109"/>
      <c r="F1093" s="110"/>
      <c r="G1093" s="109"/>
    </row>
    <row r="1094" spans="3:7" x14ac:dyDescent="0.3">
      <c r="C1094" s="109"/>
      <c r="D1094" s="109"/>
      <c r="E1094" s="109"/>
      <c r="F1094" s="110"/>
      <c r="G1094" s="109"/>
    </row>
    <row r="1095" spans="3:7" x14ac:dyDescent="0.3">
      <c r="C1095" s="109"/>
      <c r="D1095" s="109"/>
      <c r="E1095" s="109"/>
      <c r="F1095" s="110"/>
      <c r="G1095" s="109"/>
    </row>
    <row r="1096" spans="3:7" x14ac:dyDescent="0.3">
      <c r="C1096" s="109"/>
      <c r="D1096" s="109"/>
      <c r="E1096" s="109"/>
      <c r="F1096" s="110"/>
      <c r="G1096" s="109"/>
    </row>
    <row r="1097" spans="3:7" x14ac:dyDescent="0.3">
      <c r="C1097" s="109"/>
      <c r="D1097" s="109"/>
      <c r="E1097" s="109"/>
      <c r="F1097" s="110"/>
      <c r="G1097" s="109"/>
    </row>
    <row r="1098" spans="3:7" x14ac:dyDescent="0.3">
      <c r="C1098" s="109"/>
      <c r="D1098" s="109"/>
      <c r="E1098" s="109"/>
      <c r="F1098" s="110"/>
      <c r="G1098" s="109"/>
    </row>
    <row r="1099" spans="3:7" x14ac:dyDescent="0.3">
      <c r="C1099" s="109"/>
      <c r="D1099" s="109"/>
      <c r="E1099" s="109"/>
      <c r="F1099" s="110"/>
      <c r="G1099" s="109"/>
    </row>
    <row r="1100" spans="3:7" x14ac:dyDescent="0.3">
      <c r="C1100" s="109"/>
      <c r="D1100" s="109"/>
      <c r="E1100" s="109"/>
      <c r="F1100" s="110"/>
      <c r="G1100" s="109"/>
    </row>
    <row r="1101" spans="3:7" x14ac:dyDescent="0.3">
      <c r="C1101" s="109"/>
      <c r="D1101" s="109"/>
      <c r="E1101" s="109"/>
      <c r="F1101" s="110"/>
      <c r="G1101" s="109"/>
    </row>
    <row r="1102" spans="3:7" x14ac:dyDescent="0.3">
      <c r="C1102" s="109"/>
      <c r="D1102" s="109"/>
      <c r="E1102" s="109"/>
      <c r="F1102" s="110"/>
      <c r="G1102" s="109"/>
    </row>
    <row r="1103" spans="3:7" x14ac:dyDescent="0.3">
      <c r="C1103" s="109"/>
      <c r="D1103" s="109"/>
      <c r="E1103" s="109"/>
      <c r="F1103" s="110"/>
      <c r="G1103" s="109"/>
    </row>
    <row r="1104" spans="3:7" x14ac:dyDescent="0.3">
      <c r="C1104" s="109"/>
      <c r="D1104" s="109"/>
      <c r="E1104" s="109"/>
      <c r="F1104" s="110"/>
      <c r="G1104" s="109"/>
    </row>
    <row r="1105" spans="3:7" x14ac:dyDescent="0.3">
      <c r="C1105" s="109"/>
      <c r="D1105" s="109"/>
      <c r="E1105" s="109"/>
      <c r="F1105" s="110"/>
      <c r="G1105" s="109"/>
    </row>
    <row r="1106" spans="3:7" x14ac:dyDescent="0.3">
      <c r="C1106" s="109"/>
      <c r="D1106" s="109"/>
      <c r="E1106" s="109"/>
      <c r="F1106" s="110"/>
      <c r="G1106" s="109"/>
    </row>
    <row r="1107" spans="3:7" x14ac:dyDescent="0.3">
      <c r="C1107" s="109"/>
      <c r="D1107" s="109"/>
      <c r="E1107" s="109"/>
      <c r="F1107" s="110"/>
      <c r="G1107" s="109"/>
    </row>
    <row r="1108" spans="3:7" x14ac:dyDescent="0.3">
      <c r="C1108" s="109"/>
      <c r="D1108" s="109"/>
      <c r="E1108" s="109"/>
      <c r="F1108" s="110"/>
      <c r="G1108" s="109"/>
    </row>
    <row r="1109" spans="3:7" x14ac:dyDescent="0.3">
      <c r="C1109" s="109"/>
      <c r="D1109" s="109"/>
      <c r="E1109" s="109"/>
      <c r="F1109" s="110"/>
      <c r="G1109" s="109"/>
    </row>
    <row r="1110" spans="3:7" x14ac:dyDescent="0.3">
      <c r="C1110" s="109"/>
      <c r="D1110" s="109"/>
      <c r="E1110" s="109"/>
      <c r="F1110" s="110"/>
      <c r="G1110" s="109"/>
    </row>
    <row r="1111" spans="3:7" x14ac:dyDescent="0.3">
      <c r="C1111" s="109"/>
      <c r="D1111" s="109"/>
      <c r="E1111" s="109"/>
      <c r="F1111" s="110"/>
      <c r="G1111" s="109"/>
    </row>
    <row r="1112" spans="3:7" x14ac:dyDescent="0.3">
      <c r="C1112" s="109"/>
      <c r="D1112" s="109"/>
      <c r="E1112" s="109"/>
      <c r="F1112" s="110"/>
      <c r="G1112" s="109"/>
    </row>
    <row r="1113" spans="3:7" x14ac:dyDescent="0.3">
      <c r="C1113" s="109"/>
      <c r="D1113" s="109"/>
      <c r="E1113" s="109"/>
      <c r="F1113" s="110"/>
      <c r="G1113" s="109"/>
    </row>
    <row r="1114" spans="3:7" x14ac:dyDescent="0.3">
      <c r="C1114" s="109"/>
      <c r="D1114" s="109"/>
      <c r="E1114" s="109"/>
      <c r="F1114" s="110"/>
      <c r="G1114" s="109"/>
    </row>
    <row r="1115" spans="3:7" x14ac:dyDescent="0.3">
      <c r="C1115" s="109"/>
      <c r="D1115" s="109"/>
      <c r="E1115" s="109"/>
      <c r="F1115" s="110"/>
      <c r="G1115" s="109"/>
    </row>
    <row r="1116" spans="3:7" x14ac:dyDescent="0.3">
      <c r="C1116" s="109"/>
      <c r="D1116" s="109"/>
      <c r="E1116" s="109"/>
      <c r="F1116" s="110"/>
      <c r="G1116" s="109"/>
    </row>
    <row r="1117" spans="3:7" x14ac:dyDescent="0.3">
      <c r="C1117" s="109"/>
      <c r="D1117" s="109"/>
      <c r="E1117" s="109"/>
      <c r="F1117" s="110"/>
      <c r="G1117" s="109"/>
    </row>
    <row r="1118" spans="3:7" x14ac:dyDescent="0.3">
      <c r="C1118" s="109"/>
      <c r="D1118" s="109"/>
      <c r="E1118" s="109"/>
      <c r="F1118" s="110"/>
      <c r="G1118" s="109"/>
    </row>
    <row r="1119" spans="3:7" x14ac:dyDescent="0.3">
      <c r="C1119" s="109"/>
      <c r="D1119" s="109"/>
      <c r="E1119" s="109"/>
      <c r="F1119" s="110"/>
      <c r="G1119" s="109"/>
    </row>
    <row r="1120" spans="3:7" x14ac:dyDescent="0.3">
      <c r="C1120" s="109"/>
      <c r="D1120" s="109"/>
      <c r="E1120" s="109"/>
      <c r="F1120" s="110"/>
      <c r="G1120" s="109"/>
    </row>
    <row r="1121" spans="3:7" x14ac:dyDescent="0.3">
      <c r="C1121" s="109"/>
      <c r="D1121" s="109"/>
      <c r="E1121" s="109"/>
      <c r="F1121" s="110"/>
      <c r="G1121" s="109"/>
    </row>
    <row r="1122" spans="3:7" x14ac:dyDescent="0.3">
      <c r="C1122" s="109"/>
      <c r="D1122" s="109"/>
      <c r="E1122" s="109"/>
      <c r="F1122" s="110"/>
      <c r="G1122" s="109"/>
    </row>
    <row r="1123" spans="3:7" x14ac:dyDescent="0.3">
      <c r="C1123" s="109"/>
      <c r="D1123" s="109"/>
      <c r="E1123" s="109"/>
      <c r="F1123" s="110"/>
      <c r="G1123" s="109"/>
    </row>
    <row r="1124" spans="3:7" x14ac:dyDescent="0.3">
      <c r="C1124" s="109"/>
      <c r="D1124" s="109"/>
      <c r="E1124" s="109"/>
      <c r="F1124" s="110"/>
      <c r="G1124" s="109"/>
    </row>
    <row r="1125" spans="3:7" x14ac:dyDescent="0.3">
      <c r="C1125" s="109"/>
      <c r="D1125" s="109"/>
      <c r="E1125" s="109"/>
      <c r="F1125" s="110"/>
      <c r="G1125" s="109"/>
    </row>
    <row r="1126" spans="3:7" x14ac:dyDescent="0.3">
      <c r="C1126" s="109"/>
      <c r="D1126" s="109"/>
      <c r="E1126" s="109"/>
      <c r="F1126" s="110"/>
      <c r="G1126" s="109"/>
    </row>
    <row r="1127" spans="3:7" x14ac:dyDescent="0.3">
      <c r="C1127" s="109"/>
      <c r="D1127" s="109"/>
      <c r="E1127" s="109"/>
      <c r="F1127" s="110"/>
      <c r="G1127" s="109"/>
    </row>
    <row r="1128" spans="3:7" x14ac:dyDescent="0.3">
      <c r="C1128" s="109"/>
      <c r="D1128" s="109"/>
      <c r="E1128" s="109"/>
      <c r="F1128" s="110"/>
      <c r="G1128" s="109"/>
    </row>
    <row r="1129" spans="3:7" x14ac:dyDescent="0.3">
      <c r="C1129" s="109"/>
      <c r="D1129" s="109"/>
      <c r="E1129" s="109"/>
      <c r="F1129" s="110"/>
      <c r="G1129" s="109"/>
    </row>
    <row r="1130" spans="3:7" x14ac:dyDescent="0.3">
      <c r="C1130" s="109"/>
      <c r="D1130" s="109"/>
      <c r="E1130" s="109"/>
      <c r="F1130" s="110"/>
      <c r="G1130" s="109"/>
    </row>
    <row r="1131" spans="3:7" x14ac:dyDescent="0.3">
      <c r="C1131" s="109"/>
      <c r="D1131" s="109"/>
      <c r="E1131" s="109"/>
      <c r="F1131" s="110"/>
      <c r="G1131" s="109"/>
    </row>
    <row r="1132" spans="3:7" x14ac:dyDescent="0.3">
      <c r="C1132" s="109"/>
      <c r="D1132" s="109"/>
      <c r="E1132" s="109"/>
      <c r="F1132" s="110"/>
      <c r="G1132" s="109"/>
    </row>
    <row r="1133" spans="3:7" x14ac:dyDescent="0.3">
      <c r="C1133" s="109"/>
      <c r="D1133" s="109"/>
      <c r="E1133" s="109"/>
      <c r="F1133" s="110"/>
      <c r="G1133" s="109"/>
    </row>
    <row r="1134" spans="3:7" x14ac:dyDescent="0.3">
      <c r="C1134" s="109"/>
      <c r="D1134" s="109"/>
      <c r="E1134" s="109"/>
      <c r="F1134" s="110"/>
      <c r="G1134" s="109"/>
    </row>
    <row r="1135" spans="3:7" x14ac:dyDescent="0.3">
      <c r="C1135" s="109"/>
      <c r="D1135" s="109"/>
      <c r="E1135" s="109"/>
      <c r="F1135" s="110"/>
      <c r="G1135" s="109"/>
    </row>
    <row r="1136" spans="3:7" x14ac:dyDescent="0.3">
      <c r="C1136" s="109"/>
      <c r="D1136" s="109"/>
      <c r="E1136" s="109"/>
      <c r="F1136" s="110"/>
      <c r="G1136" s="109"/>
    </row>
    <row r="1137" spans="3:7" x14ac:dyDescent="0.3">
      <c r="C1137" s="109"/>
      <c r="D1137" s="109"/>
      <c r="E1137" s="109"/>
      <c r="F1137" s="110"/>
      <c r="G1137" s="109"/>
    </row>
    <row r="1138" spans="3:7" x14ac:dyDescent="0.3">
      <c r="C1138" s="109"/>
      <c r="D1138" s="109"/>
      <c r="E1138" s="109"/>
      <c r="F1138" s="110"/>
      <c r="G1138" s="109"/>
    </row>
    <row r="1139" spans="3:7" x14ac:dyDescent="0.3">
      <c r="C1139" s="109"/>
      <c r="D1139" s="109"/>
      <c r="E1139" s="109"/>
      <c r="F1139" s="110"/>
      <c r="G1139" s="109"/>
    </row>
    <row r="1140" spans="3:7" x14ac:dyDescent="0.3">
      <c r="C1140" s="109"/>
      <c r="D1140" s="109"/>
      <c r="E1140" s="109"/>
      <c r="F1140" s="110"/>
      <c r="G1140" s="109"/>
    </row>
    <row r="1141" spans="3:7" x14ac:dyDescent="0.3">
      <c r="C1141" s="109"/>
      <c r="D1141" s="109"/>
      <c r="E1141" s="109"/>
      <c r="F1141" s="110"/>
      <c r="G1141" s="109"/>
    </row>
    <row r="1142" spans="3:7" x14ac:dyDescent="0.3">
      <c r="C1142" s="109"/>
      <c r="D1142" s="109"/>
      <c r="E1142" s="109"/>
      <c r="F1142" s="110"/>
      <c r="G1142" s="109"/>
    </row>
    <row r="1143" spans="3:7" x14ac:dyDescent="0.3">
      <c r="C1143" s="109"/>
      <c r="D1143" s="109"/>
      <c r="E1143" s="109"/>
      <c r="F1143" s="110"/>
      <c r="G1143" s="109"/>
    </row>
    <row r="1144" spans="3:7" x14ac:dyDescent="0.3">
      <c r="C1144" s="109"/>
      <c r="D1144" s="109"/>
      <c r="E1144" s="109"/>
      <c r="F1144" s="110"/>
      <c r="G1144" s="109"/>
    </row>
    <row r="1145" spans="3:7" x14ac:dyDescent="0.3">
      <c r="C1145" s="109"/>
      <c r="D1145" s="109"/>
      <c r="E1145" s="109"/>
      <c r="F1145" s="110"/>
      <c r="G1145" s="109"/>
    </row>
    <row r="1146" spans="3:7" x14ac:dyDescent="0.3">
      <c r="C1146" s="109"/>
      <c r="D1146" s="109"/>
      <c r="E1146" s="109"/>
      <c r="F1146" s="110"/>
      <c r="G1146" s="109"/>
    </row>
    <row r="1147" spans="3:7" x14ac:dyDescent="0.3">
      <c r="C1147" s="109"/>
      <c r="D1147" s="109"/>
      <c r="E1147" s="109"/>
      <c r="F1147" s="110"/>
      <c r="G1147" s="109"/>
    </row>
    <row r="1148" spans="3:7" x14ac:dyDescent="0.3">
      <c r="C1148" s="109"/>
      <c r="D1148" s="109"/>
      <c r="E1148" s="109"/>
      <c r="F1148" s="110"/>
      <c r="G1148" s="109"/>
    </row>
    <row r="1149" spans="3:7" x14ac:dyDescent="0.3">
      <c r="C1149" s="109"/>
      <c r="D1149" s="109"/>
      <c r="E1149" s="109"/>
      <c r="F1149" s="110"/>
      <c r="G1149" s="109"/>
    </row>
    <row r="1150" spans="3:7" x14ac:dyDescent="0.3">
      <c r="C1150" s="109"/>
      <c r="D1150" s="109"/>
      <c r="E1150" s="109"/>
      <c r="F1150" s="110"/>
      <c r="G1150" s="109"/>
    </row>
    <row r="1151" spans="3:7" x14ac:dyDescent="0.3">
      <c r="C1151" s="109"/>
      <c r="D1151" s="109"/>
      <c r="E1151" s="109"/>
      <c r="F1151" s="110"/>
      <c r="G1151" s="109"/>
    </row>
    <row r="1152" spans="3:7" x14ac:dyDescent="0.3">
      <c r="C1152" s="109"/>
      <c r="D1152" s="109"/>
      <c r="E1152" s="109"/>
      <c r="F1152" s="110"/>
      <c r="G1152" s="109"/>
    </row>
    <row r="1153" spans="3:7" x14ac:dyDescent="0.3">
      <c r="C1153" s="109"/>
      <c r="D1153" s="109"/>
      <c r="E1153" s="109"/>
      <c r="F1153" s="110"/>
      <c r="G1153" s="109"/>
    </row>
    <row r="1154" spans="3:7" x14ac:dyDescent="0.3">
      <c r="C1154" s="109"/>
      <c r="D1154" s="109"/>
      <c r="E1154" s="109"/>
      <c r="F1154" s="110"/>
      <c r="G1154" s="109"/>
    </row>
    <row r="1155" spans="3:7" x14ac:dyDescent="0.3">
      <c r="C1155" s="109"/>
      <c r="D1155" s="109"/>
      <c r="E1155" s="109"/>
      <c r="F1155" s="110"/>
      <c r="G1155" s="109"/>
    </row>
    <row r="1156" spans="3:7" x14ac:dyDescent="0.3">
      <c r="C1156" s="109"/>
      <c r="D1156" s="109"/>
      <c r="E1156" s="109"/>
      <c r="F1156" s="110"/>
      <c r="G1156" s="109"/>
    </row>
    <row r="1157" spans="3:7" x14ac:dyDescent="0.3">
      <c r="C1157" s="109"/>
      <c r="D1157" s="109"/>
      <c r="E1157" s="109"/>
      <c r="F1157" s="110"/>
      <c r="G1157" s="109"/>
    </row>
    <row r="1158" spans="3:7" x14ac:dyDescent="0.3">
      <c r="C1158" s="109"/>
      <c r="D1158" s="109"/>
      <c r="E1158" s="109"/>
      <c r="F1158" s="110"/>
      <c r="G1158" s="109"/>
    </row>
    <row r="1159" spans="3:7" x14ac:dyDescent="0.3">
      <c r="C1159" s="109"/>
      <c r="D1159" s="109"/>
      <c r="E1159" s="109"/>
      <c r="F1159" s="110"/>
      <c r="G1159" s="109"/>
    </row>
    <row r="1160" spans="3:7" x14ac:dyDescent="0.3">
      <c r="C1160" s="109"/>
      <c r="D1160" s="109"/>
      <c r="E1160" s="109"/>
      <c r="F1160" s="110"/>
      <c r="G1160" s="109"/>
    </row>
    <row r="1161" spans="3:7" x14ac:dyDescent="0.3">
      <c r="C1161" s="109"/>
      <c r="D1161" s="109"/>
      <c r="E1161" s="109"/>
      <c r="F1161" s="110"/>
      <c r="G1161" s="109"/>
    </row>
    <row r="1162" spans="3:7" x14ac:dyDescent="0.3">
      <c r="C1162" s="109"/>
      <c r="D1162" s="109"/>
      <c r="E1162" s="109"/>
      <c r="F1162" s="110"/>
      <c r="G1162" s="109"/>
    </row>
    <row r="1163" spans="3:7" x14ac:dyDescent="0.3">
      <c r="C1163" s="109"/>
      <c r="D1163" s="109"/>
      <c r="E1163" s="109"/>
      <c r="F1163" s="110"/>
      <c r="G1163" s="109"/>
    </row>
    <row r="1164" spans="3:7" x14ac:dyDescent="0.3">
      <c r="C1164" s="109"/>
      <c r="D1164" s="109"/>
      <c r="E1164" s="109"/>
      <c r="F1164" s="110"/>
      <c r="G1164" s="109"/>
    </row>
    <row r="1165" spans="3:7" x14ac:dyDescent="0.3">
      <c r="C1165" s="109"/>
      <c r="D1165" s="109"/>
      <c r="E1165" s="109"/>
      <c r="F1165" s="110"/>
      <c r="G1165" s="109"/>
    </row>
    <row r="1166" spans="3:7" x14ac:dyDescent="0.3">
      <c r="C1166" s="109"/>
      <c r="D1166" s="109"/>
      <c r="E1166" s="109"/>
      <c r="F1166" s="110"/>
      <c r="G1166" s="109"/>
    </row>
    <row r="1167" spans="3:7" x14ac:dyDescent="0.3">
      <c r="C1167" s="109"/>
      <c r="D1167" s="109"/>
      <c r="E1167" s="109"/>
      <c r="F1167" s="110"/>
      <c r="G1167" s="109"/>
    </row>
    <row r="1168" spans="3:7" x14ac:dyDescent="0.3">
      <c r="C1168" s="109"/>
      <c r="D1168" s="109"/>
      <c r="E1168" s="109"/>
      <c r="F1168" s="110"/>
      <c r="G1168" s="109"/>
    </row>
    <row r="1169" spans="3:7" x14ac:dyDescent="0.3">
      <c r="C1169" s="109"/>
      <c r="D1169" s="109"/>
      <c r="E1169" s="109"/>
      <c r="F1169" s="110"/>
      <c r="G1169" s="109"/>
    </row>
    <row r="1170" spans="3:7" x14ac:dyDescent="0.3">
      <c r="C1170" s="109"/>
      <c r="D1170" s="109"/>
      <c r="E1170" s="109"/>
      <c r="F1170" s="110"/>
      <c r="G1170" s="109"/>
    </row>
    <row r="1171" spans="3:7" x14ac:dyDescent="0.3">
      <c r="C1171" s="109"/>
      <c r="D1171" s="109"/>
      <c r="E1171" s="109"/>
      <c r="F1171" s="110"/>
      <c r="G1171" s="109"/>
    </row>
    <row r="1172" spans="3:7" x14ac:dyDescent="0.3">
      <c r="C1172" s="109"/>
      <c r="D1172" s="109"/>
      <c r="E1172" s="109"/>
      <c r="F1172" s="110"/>
      <c r="G1172" s="109"/>
    </row>
    <row r="1173" spans="3:7" x14ac:dyDescent="0.3">
      <c r="C1173" s="109"/>
      <c r="D1173" s="109"/>
      <c r="E1173" s="109"/>
      <c r="F1173" s="110"/>
      <c r="G1173" s="109"/>
    </row>
    <row r="1174" spans="3:7" x14ac:dyDescent="0.3">
      <c r="C1174" s="109"/>
      <c r="D1174" s="109"/>
      <c r="E1174" s="109"/>
      <c r="F1174" s="110"/>
      <c r="G1174" s="109"/>
    </row>
    <row r="1175" spans="3:7" x14ac:dyDescent="0.3">
      <c r="C1175" s="109"/>
      <c r="D1175" s="109"/>
      <c r="E1175" s="109"/>
      <c r="F1175" s="110"/>
      <c r="G1175" s="109"/>
    </row>
    <row r="1176" spans="3:7" x14ac:dyDescent="0.3">
      <c r="C1176" s="109"/>
      <c r="D1176" s="109"/>
      <c r="E1176" s="109"/>
      <c r="F1176" s="110"/>
      <c r="G1176" s="109"/>
    </row>
    <row r="1177" spans="3:7" x14ac:dyDescent="0.3">
      <c r="C1177" s="109"/>
      <c r="D1177" s="109"/>
      <c r="E1177" s="109"/>
      <c r="F1177" s="110"/>
      <c r="G1177" s="109"/>
    </row>
    <row r="1178" spans="3:7" x14ac:dyDescent="0.3">
      <c r="C1178" s="109"/>
      <c r="D1178" s="109"/>
      <c r="E1178" s="109"/>
      <c r="F1178" s="110"/>
      <c r="G1178" s="109"/>
    </row>
    <row r="1179" spans="3:7" x14ac:dyDescent="0.3">
      <c r="C1179" s="109"/>
      <c r="D1179" s="109"/>
      <c r="E1179" s="109"/>
      <c r="F1179" s="110"/>
      <c r="G1179" s="109"/>
    </row>
    <row r="1180" spans="3:7" x14ac:dyDescent="0.3">
      <c r="C1180" s="109"/>
      <c r="D1180" s="109"/>
      <c r="E1180" s="109"/>
      <c r="F1180" s="110"/>
      <c r="G1180" s="109"/>
    </row>
    <row r="1181" spans="3:7" x14ac:dyDescent="0.3">
      <c r="C1181" s="109"/>
      <c r="D1181" s="109"/>
      <c r="E1181" s="109"/>
      <c r="F1181" s="110"/>
      <c r="G1181" s="109"/>
    </row>
    <row r="1182" spans="3:7" x14ac:dyDescent="0.3">
      <c r="C1182" s="109"/>
      <c r="D1182" s="109"/>
      <c r="E1182" s="109"/>
      <c r="F1182" s="110"/>
      <c r="G1182" s="109"/>
    </row>
    <row r="1183" spans="3:7" x14ac:dyDescent="0.3">
      <c r="C1183" s="109"/>
      <c r="D1183" s="109"/>
      <c r="E1183" s="109"/>
      <c r="F1183" s="110"/>
      <c r="G1183" s="109"/>
    </row>
    <row r="1184" spans="3:7" x14ac:dyDescent="0.3">
      <c r="C1184" s="109"/>
      <c r="D1184" s="109"/>
      <c r="E1184" s="109"/>
      <c r="F1184" s="110"/>
      <c r="G1184" s="109"/>
    </row>
    <row r="1185" spans="3:7" x14ac:dyDescent="0.3">
      <c r="C1185" s="109"/>
      <c r="D1185" s="109"/>
      <c r="E1185" s="109"/>
      <c r="F1185" s="110"/>
      <c r="G1185" s="109"/>
    </row>
    <row r="1186" spans="3:7" x14ac:dyDescent="0.3">
      <c r="C1186" s="109"/>
      <c r="D1186" s="109"/>
      <c r="E1186" s="109"/>
      <c r="F1186" s="110"/>
      <c r="G1186" s="109"/>
    </row>
    <row r="1187" spans="3:7" x14ac:dyDescent="0.3">
      <c r="C1187" s="109"/>
      <c r="D1187" s="109"/>
      <c r="E1187" s="109"/>
      <c r="F1187" s="110"/>
      <c r="G1187" s="109"/>
    </row>
    <row r="1188" spans="3:7" x14ac:dyDescent="0.3">
      <c r="C1188" s="109"/>
      <c r="D1188" s="109"/>
      <c r="E1188" s="109"/>
      <c r="F1188" s="110"/>
      <c r="G1188" s="109"/>
    </row>
    <row r="1189" spans="3:7" x14ac:dyDescent="0.3">
      <c r="C1189" s="109"/>
      <c r="D1189" s="109"/>
      <c r="E1189" s="109"/>
      <c r="F1189" s="110"/>
      <c r="G1189" s="109"/>
    </row>
    <row r="1190" spans="3:7" x14ac:dyDescent="0.3">
      <c r="C1190" s="109"/>
      <c r="D1190" s="109"/>
      <c r="E1190" s="109"/>
      <c r="F1190" s="110"/>
      <c r="G1190" s="109"/>
    </row>
    <row r="1191" spans="3:7" x14ac:dyDescent="0.3">
      <c r="C1191" s="109"/>
      <c r="D1191" s="109"/>
      <c r="E1191" s="109"/>
      <c r="F1191" s="110"/>
      <c r="G1191" s="109"/>
    </row>
    <row r="1192" spans="3:7" x14ac:dyDescent="0.3">
      <c r="C1192" s="109"/>
      <c r="D1192" s="109"/>
      <c r="E1192" s="109"/>
      <c r="F1192" s="110"/>
      <c r="G1192" s="109"/>
    </row>
    <row r="1193" spans="3:7" x14ac:dyDescent="0.3">
      <c r="C1193" s="109"/>
      <c r="D1193" s="109"/>
      <c r="E1193" s="109"/>
      <c r="F1193" s="110"/>
      <c r="G1193" s="109"/>
    </row>
    <row r="1194" spans="3:7" x14ac:dyDescent="0.3">
      <c r="C1194" s="109"/>
      <c r="D1194" s="109"/>
      <c r="E1194" s="109"/>
      <c r="F1194" s="110"/>
      <c r="G1194" s="109"/>
    </row>
    <row r="1195" spans="3:7" x14ac:dyDescent="0.3">
      <c r="C1195" s="109"/>
      <c r="D1195" s="109"/>
      <c r="E1195" s="109"/>
      <c r="F1195" s="110"/>
      <c r="G1195" s="109"/>
    </row>
    <row r="1196" spans="3:7" x14ac:dyDescent="0.3">
      <c r="C1196" s="109"/>
      <c r="D1196" s="109"/>
      <c r="E1196" s="109"/>
      <c r="F1196" s="110"/>
      <c r="G1196" s="109"/>
    </row>
    <row r="1197" spans="3:7" x14ac:dyDescent="0.3">
      <c r="C1197" s="109"/>
      <c r="D1197" s="109"/>
      <c r="E1197" s="109"/>
      <c r="F1197" s="110"/>
      <c r="G1197" s="109"/>
    </row>
    <row r="1198" spans="3:7" x14ac:dyDescent="0.3">
      <c r="C1198" s="109"/>
      <c r="D1198" s="109"/>
      <c r="E1198" s="109"/>
      <c r="F1198" s="110"/>
      <c r="G1198" s="109"/>
    </row>
    <row r="1199" spans="3:7" x14ac:dyDescent="0.3">
      <c r="C1199" s="109"/>
      <c r="D1199" s="109"/>
      <c r="E1199" s="109"/>
      <c r="F1199" s="110"/>
      <c r="G1199" s="109"/>
    </row>
    <row r="1200" spans="3:7" x14ac:dyDescent="0.3">
      <c r="C1200" s="109"/>
      <c r="D1200" s="109"/>
      <c r="E1200" s="109"/>
      <c r="F1200" s="110"/>
      <c r="G1200" s="109"/>
    </row>
    <row r="1201" spans="3:7" x14ac:dyDescent="0.3">
      <c r="C1201" s="109"/>
      <c r="D1201" s="109"/>
      <c r="E1201" s="109"/>
      <c r="F1201" s="110"/>
      <c r="G1201" s="109"/>
    </row>
    <row r="1202" spans="3:7" x14ac:dyDescent="0.3">
      <c r="C1202" s="109"/>
      <c r="D1202" s="109"/>
      <c r="E1202" s="109"/>
      <c r="F1202" s="110"/>
      <c r="G1202" s="109"/>
    </row>
    <row r="1203" spans="3:7" x14ac:dyDescent="0.3">
      <c r="C1203" s="109"/>
      <c r="D1203" s="109"/>
      <c r="E1203" s="109"/>
      <c r="F1203" s="110"/>
      <c r="G1203" s="109"/>
    </row>
    <row r="1204" spans="3:7" x14ac:dyDescent="0.3">
      <c r="C1204" s="109"/>
      <c r="D1204" s="109"/>
      <c r="E1204" s="109"/>
      <c r="F1204" s="110"/>
      <c r="G1204" s="109"/>
    </row>
    <row r="1205" spans="3:7" x14ac:dyDescent="0.3">
      <c r="C1205" s="109"/>
      <c r="D1205" s="109"/>
      <c r="E1205" s="109"/>
      <c r="F1205" s="110"/>
      <c r="G1205" s="109"/>
    </row>
    <row r="1206" spans="3:7" x14ac:dyDescent="0.3">
      <c r="C1206" s="109"/>
      <c r="D1206" s="109"/>
      <c r="E1206" s="109"/>
      <c r="F1206" s="110"/>
      <c r="G1206" s="109"/>
    </row>
    <row r="1207" spans="3:7" x14ac:dyDescent="0.3">
      <c r="C1207" s="109"/>
      <c r="D1207" s="109"/>
      <c r="E1207" s="109"/>
      <c r="F1207" s="110"/>
      <c r="G1207" s="109"/>
    </row>
    <row r="1208" spans="3:7" x14ac:dyDescent="0.3">
      <c r="C1208" s="109"/>
      <c r="D1208" s="109"/>
      <c r="E1208" s="109"/>
      <c r="F1208" s="110"/>
      <c r="G1208" s="109"/>
    </row>
    <row r="1209" spans="3:7" x14ac:dyDescent="0.3">
      <c r="C1209" s="109"/>
      <c r="D1209" s="109"/>
      <c r="E1209" s="109"/>
      <c r="F1209" s="110"/>
      <c r="G1209" s="109"/>
    </row>
    <row r="1210" spans="3:7" x14ac:dyDescent="0.3">
      <c r="C1210" s="109"/>
      <c r="D1210" s="109"/>
      <c r="E1210" s="109"/>
      <c r="F1210" s="110"/>
      <c r="G1210" s="109"/>
    </row>
    <row r="1211" spans="3:7" x14ac:dyDescent="0.3">
      <c r="C1211" s="109"/>
      <c r="D1211" s="109"/>
      <c r="E1211" s="109"/>
      <c r="F1211" s="110"/>
      <c r="G1211" s="109"/>
    </row>
    <row r="1212" spans="3:7" x14ac:dyDescent="0.3">
      <c r="C1212" s="109"/>
      <c r="D1212" s="109"/>
      <c r="E1212" s="109"/>
      <c r="F1212" s="110"/>
      <c r="G1212" s="109"/>
    </row>
    <row r="1213" spans="3:7" x14ac:dyDescent="0.3">
      <c r="C1213" s="109"/>
      <c r="D1213" s="109"/>
      <c r="E1213" s="109"/>
      <c r="F1213" s="110"/>
      <c r="G1213" s="109"/>
    </row>
    <row r="1214" spans="3:7" x14ac:dyDescent="0.3">
      <c r="C1214" s="109"/>
      <c r="D1214" s="109"/>
      <c r="E1214" s="109"/>
      <c r="F1214" s="110"/>
      <c r="G1214" s="109"/>
    </row>
    <row r="1215" spans="3:7" x14ac:dyDescent="0.3">
      <c r="C1215" s="109"/>
      <c r="D1215" s="109"/>
      <c r="E1215" s="109"/>
      <c r="F1215" s="110"/>
      <c r="G1215" s="109"/>
    </row>
    <row r="1216" spans="3:7" x14ac:dyDescent="0.3">
      <c r="C1216" s="109"/>
      <c r="D1216" s="109"/>
      <c r="E1216" s="109"/>
      <c r="F1216" s="110"/>
      <c r="G1216" s="109"/>
    </row>
    <row r="1217" spans="3:7" x14ac:dyDescent="0.3">
      <c r="C1217" s="109"/>
      <c r="D1217" s="109"/>
      <c r="E1217" s="109"/>
      <c r="F1217" s="110"/>
      <c r="G1217" s="109"/>
    </row>
    <row r="1218" spans="3:7" x14ac:dyDescent="0.3">
      <c r="C1218" s="109"/>
      <c r="D1218" s="109"/>
      <c r="E1218" s="109"/>
      <c r="F1218" s="110"/>
      <c r="G1218" s="109"/>
    </row>
    <row r="1219" spans="3:7" x14ac:dyDescent="0.3">
      <c r="C1219" s="109"/>
      <c r="D1219" s="109"/>
      <c r="E1219" s="109"/>
      <c r="F1219" s="110"/>
      <c r="G1219" s="109"/>
    </row>
    <row r="1220" spans="3:7" x14ac:dyDescent="0.3">
      <c r="C1220" s="109"/>
      <c r="D1220" s="109"/>
      <c r="E1220" s="109"/>
      <c r="F1220" s="110"/>
      <c r="G1220" s="109"/>
    </row>
    <row r="1221" spans="3:7" x14ac:dyDescent="0.3">
      <c r="C1221" s="109"/>
      <c r="D1221" s="109"/>
      <c r="E1221" s="109"/>
      <c r="F1221" s="110"/>
      <c r="G1221" s="109"/>
    </row>
    <row r="1222" spans="3:7" x14ac:dyDescent="0.3">
      <c r="C1222" s="109"/>
      <c r="D1222" s="109"/>
      <c r="E1222" s="109"/>
      <c r="F1222" s="110"/>
      <c r="G1222" s="109"/>
    </row>
    <row r="1223" spans="3:7" x14ac:dyDescent="0.3">
      <c r="C1223" s="109"/>
      <c r="D1223" s="109"/>
      <c r="E1223" s="109"/>
      <c r="F1223" s="110"/>
      <c r="G1223" s="109"/>
    </row>
    <row r="1224" spans="3:7" x14ac:dyDescent="0.3">
      <c r="C1224" s="109"/>
      <c r="D1224" s="109"/>
      <c r="E1224" s="109"/>
      <c r="F1224" s="110"/>
      <c r="G1224" s="109"/>
    </row>
    <row r="1225" spans="3:7" x14ac:dyDescent="0.3">
      <c r="C1225" s="109"/>
      <c r="D1225" s="109"/>
      <c r="E1225" s="109"/>
      <c r="F1225" s="110"/>
      <c r="G1225" s="109"/>
    </row>
    <row r="1226" spans="3:7" x14ac:dyDescent="0.3">
      <c r="C1226" s="109"/>
      <c r="D1226" s="109"/>
      <c r="E1226" s="109"/>
      <c r="F1226" s="110"/>
      <c r="G1226" s="109"/>
    </row>
    <row r="1227" spans="3:7" x14ac:dyDescent="0.3">
      <c r="C1227" s="109"/>
      <c r="D1227" s="109"/>
      <c r="E1227" s="109"/>
      <c r="F1227" s="110"/>
      <c r="G1227" s="109"/>
    </row>
    <row r="1228" spans="3:7" x14ac:dyDescent="0.3">
      <c r="C1228" s="109"/>
      <c r="D1228" s="109"/>
      <c r="E1228" s="109"/>
      <c r="F1228" s="110"/>
      <c r="G1228" s="109"/>
    </row>
    <row r="1229" spans="3:7" x14ac:dyDescent="0.3">
      <c r="C1229" s="109"/>
      <c r="D1229" s="109"/>
      <c r="E1229" s="109"/>
      <c r="F1229" s="110"/>
      <c r="G1229" s="109"/>
    </row>
    <row r="1230" spans="3:7" x14ac:dyDescent="0.3">
      <c r="C1230" s="109"/>
      <c r="D1230" s="109"/>
      <c r="E1230" s="109"/>
      <c r="F1230" s="110"/>
      <c r="G1230" s="109"/>
    </row>
    <row r="1231" spans="3:7" x14ac:dyDescent="0.3">
      <c r="C1231" s="109"/>
      <c r="D1231" s="109"/>
      <c r="E1231" s="109"/>
      <c r="F1231" s="110"/>
      <c r="G1231" s="109"/>
    </row>
    <row r="1232" spans="3:7" x14ac:dyDescent="0.3">
      <c r="C1232" s="109"/>
      <c r="D1232" s="109"/>
      <c r="E1232" s="109"/>
      <c r="F1232" s="110"/>
      <c r="G1232" s="109"/>
    </row>
    <row r="1233" spans="3:7" x14ac:dyDescent="0.3">
      <c r="C1233" s="109"/>
      <c r="D1233" s="109"/>
      <c r="E1233" s="109"/>
      <c r="F1233" s="110"/>
      <c r="G1233" s="109"/>
    </row>
    <row r="1234" spans="3:7" x14ac:dyDescent="0.3">
      <c r="C1234" s="109"/>
      <c r="D1234" s="109"/>
      <c r="E1234" s="109"/>
      <c r="F1234" s="110"/>
      <c r="G1234" s="109"/>
    </row>
    <row r="1235" spans="3:7" x14ac:dyDescent="0.3">
      <c r="C1235" s="109"/>
      <c r="D1235" s="109"/>
      <c r="E1235" s="109"/>
      <c r="F1235" s="110"/>
      <c r="G1235" s="109"/>
    </row>
    <row r="1236" spans="3:7" x14ac:dyDescent="0.3">
      <c r="C1236" s="109"/>
      <c r="D1236" s="109"/>
      <c r="E1236" s="109"/>
      <c r="F1236" s="110"/>
      <c r="G1236" s="109"/>
    </row>
    <row r="1237" spans="3:7" x14ac:dyDescent="0.3">
      <c r="C1237" s="109"/>
      <c r="D1237" s="109"/>
      <c r="E1237" s="109"/>
      <c r="F1237" s="110"/>
      <c r="G1237" s="109"/>
    </row>
    <row r="1238" spans="3:7" x14ac:dyDescent="0.3">
      <c r="C1238" s="109"/>
      <c r="D1238" s="109"/>
      <c r="E1238" s="109"/>
      <c r="F1238" s="110"/>
      <c r="G1238" s="109"/>
    </row>
    <row r="1239" spans="3:7" x14ac:dyDescent="0.3">
      <c r="C1239" s="109"/>
      <c r="D1239" s="109"/>
      <c r="E1239" s="109"/>
      <c r="F1239" s="110"/>
      <c r="G1239" s="109"/>
    </row>
    <row r="1240" spans="3:7" x14ac:dyDescent="0.3">
      <c r="C1240" s="109"/>
      <c r="D1240" s="109"/>
      <c r="E1240" s="109"/>
      <c r="F1240" s="110"/>
      <c r="G1240" s="109"/>
    </row>
    <row r="1241" spans="3:7" x14ac:dyDescent="0.3">
      <c r="C1241" s="109"/>
      <c r="D1241" s="109"/>
      <c r="E1241" s="109"/>
      <c r="F1241" s="110"/>
      <c r="G1241" s="109"/>
    </row>
    <row r="1242" spans="3:7" x14ac:dyDescent="0.3">
      <c r="C1242" s="109"/>
      <c r="D1242" s="109"/>
      <c r="E1242" s="109"/>
      <c r="F1242" s="110"/>
      <c r="G1242" s="109"/>
    </row>
    <row r="1243" spans="3:7" x14ac:dyDescent="0.3">
      <c r="C1243" s="109"/>
      <c r="D1243" s="109"/>
      <c r="E1243" s="109"/>
      <c r="F1243" s="110"/>
      <c r="G1243" s="109"/>
    </row>
    <row r="1244" spans="3:7" x14ac:dyDescent="0.3">
      <c r="C1244" s="109"/>
      <c r="D1244" s="109"/>
      <c r="E1244" s="109"/>
      <c r="F1244" s="110"/>
      <c r="G1244" s="109"/>
    </row>
    <row r="1245" spans="3:7" x14ac:dyDescent="0.3">
      <c r="C1245" s="109"/>
      <c r="D1245" s="109"/>
      <c r="E1245" s="109"/>
      <c r="F1245" s="110"/>
      <c r="G1245" s="109"/>
    </row>
    <row r="1246" spans="3:7" x14ac:dyDescent="0.3">
      <c r="C1246" s="109"/>
      <c r="D1246" s="109"/>
      <c r="E1246" s="109"/>
      <c r="F1246" s="110"/>
      <c r="G1246" s="109"/>
    </row>
    <row r="1247" spans="3:7" x14ac:dyDescent="0.3">
      <c r="C1247" s="109"/>
      <c r="D1247" s="109"/>
      <c r="E1247" s="109"/>
      <c r="F1247" s="110"/>
      <c r="G1247" s="109"/>
    </row>
    <row r="1248" spans="3:7" x14ac:dyDescent="0.3">
      <c r="C1248" s="109"/>
      <c r="D1248" s="109"/>
      <c r="E1248" s="109"/>
      <c r="F1248" s="110"/>
      <c r="G1248" s="109"/>
    </row>
    <row r="1249" spans="3:7" x14ac:dyDescent="0.3">
      <c r="C1249" s="109"/>
      <c r="D1249" s="109"/>
      <c r="E1249" s="109"/>
      <c r="F1249" s="110"/>
      <c r="G1249" s="109"/>
    </row>
    <row r="1250" spans="3:7" x14ac:dyDescent="0.3">
      <c r="C1250" s="109"/>
      <c r="D1250" s="109"/>
      <c r="E1250" s="109"/>
      <c r="F1250" s="110"/>
      <c r="G1250" s="109"/>
    </row>
    <row r="1251" spans="3:7" x14ac:dyDescent="0.3">
      <c r="C1251" s="109"/>
      <c r="D1251" s="109"/>
      <c r="E1251" s="109"/>
      <c r="F1251" s="110"/>
      <c r="G1251" s="109"/>
    </row>
    <row r="1252" spans="3:7" x14ac:dyDescent="0.3">
      <c r="C1252" s="109"/>
      <c r="D1252" s="109"/>
      <c r="E1252" s="109"/>
      <c r="F1252" s="110"/>
      <c r="G1252" s="109"/>
    </row>
    <row r="1253" spans="3:7" x14ac:dyDescent="0.3">
      <c r="C1253" s="109"/>
      <c r="D1253" s="109"/>
      <c r="E1253" s="109"/>
      <c r="F1253" s="110"/>
      <c r="G1253" s="109"/>
    </row>
    <row r="1254" spans="3:7" x14ac:dyDescent="0.3">
      <c r="C1254" s="109"/>
      <c r="D1254" s="109"/>
      <c r="E1254" s="109"/>
      <c r="F1254" s="110"/>
      <c r="G1254" s="109"/>
    </row>
    <row r="1255" spans="3:7" x14ac:dyDescent="0.3">
      <c r="C1255" s="109"/>
      <c r="D1255" s="109"/>
      <c r="E1255" s="109"/>
      <c r="F1255" s="110"/>
      <c r="G1255" s="109"/>
    </row>
    <row r="1256" spans="3:7" x14ac:dyDescent="0.3">
      <c r="C1256" s="109"/>
      <c r="D1256" s="109"/>
      <c r="E1256" s="109"/>
      <c r="F1256" s="110"/>
      <c r="G1256" s="109"/>
    </row>
    <row r="1257" spans="3:7" x14ac:dyDescent="0.3">
      <c r="C1257" s="109"/>
      <c r="D1257" s="109"/>
      <c r="E1257" s="109"/>
      <c r="F1257" s="110"/>
      <c r="G1257" s="109"/>
    </row>
    <row r="1258" spans="3:7" x14ac:dyDescent="0.3">
      <c r="C1258" s="109"/>
      <c r="D1258" s="109"/>
      <c r="E1258" s="109"/>
      <c r="F1258" s="110"/>
      <c r="G1258" s="109"/>
    </row>
    <row r="1259" spans="3:7" x14ac:dyDescent="0.3">
      <c r="C1259" s="109"/>
      <c r="D1259" s="109"/>
      <c r="E1259" s="109"/>
      <c r="F1259" s="110"/>
      <c r="G1259" s="109"/>
    </row>
    <row r="1260" spans="3:7" x14ac:dyDescent="0.3">
      <c r="C1260" s="109"/>
      <c r="D1260" s="109"/>
      <c r="E1260" s="109"/>
      <c r="F1260" s="110"/>
      <c r="G1260" s="109"/>
    </row>
    <row r="1261" spans="3:7" x14ac:dyDescent="0.3">
      <c r="C1261" s="109"/>
      <c r="D1261" s="109"/>
      <c r="E1261" s="109"/>
      <c r="F1261" s="110"/>
      <c r="G1261" s="109"/>
    </row>
    <row r="1262" spans="3:7" x14ac:dyDescent="0.3">
      <c r="C1262" s="109"/>
      <c r="D1262" s="109"/>
      <c r="E1262" s="109"/>
      <c r="F1262" s="110"/>
      <c r="G1262" s="109"/>
    </row>
    <row r="1263" spans="3:7" x14ac:dyDescent="0.3">
      <c r="C1263" s="109"/>
      <c r="D1263" s="109"/>
      <c r="E1263" s="109"/>
      <c r="F1263" s="110"/>
      <c r="G1263" s="109"/>
    </row>
    <row r="1264" spans="3:7" x14ac:dyDescent="0.3">
      <c r="C1264" s="109"/>
      <c r="D1264" s="109"/>
      <c r="E1264" s="109"/>
      <c r="F1264" s="110"/>
      <c r="G1264" s="109"/>
    </row>
    <row r="1265" spans="3:7" x14ac:dyDescent="0.3">
      <c r="C1265" s="109"/>
      <c r="D1265" s="109"/>
      <c r="E1265" s="109"/>
      <c r="F1265" s="110"/>
      <c r="G1265" s="109"/>
    </row>
    <row r="1266" spans="3:7" x14ac:dyDescent="0.3">
      <c r="C1266" s="109"/>
      <c r="D1266" s="109"/>
      <c r="E1266" s="109"/>
      <c r="F1266" s="110"/>
      <c r="G1266" s="109"/>
    </row>
    <row r="1267" spans="3:7" x14ac:dyDescent="0.3">
      <c r="C1267" s="109"/>
      <c r="D1267" s="109"/>
      <c r="E1267" s="109"/>
      <c r="F1267" s="110"/>
      <c r="G1267" s="109"/>
    </row>
    <row r="1268" spans="3:7" x14ac:dyDescent="0.3">
      <c r="C1268" s="109"/>
      <c r="D1268" s="109"/>
      <c r="E1268" s="109"/>
      <c r="F1268" s="110"/>
      <c r="G1268" s="109"/>
    </row>
    <row r="1269" spans="3:7" x14ac:dyDescent="0.3">
      <c r="C1269" s="109"/>
      <c r="D1269" s="109"/>
      <c r="E1269" s="109"/>
      <c r="F1269" s="110"/>
      <c r="G1269" s="109"/>
    </row>
    <row r="1270" spans="3:7" x14ac:dyDescent="0.3">
      <c r="C1270" s="109"/>
      <c r="D1270" s="109"/>
      <c r="E1270" s="109"/>
      <c r="F1270" s="110"/>
      <c r="G1270" s="109"/>
    </row>
    <row r="1271" spans="3:7" x14ac:dyDescent="0.3">
      <c r="C1271" s="109"/>
      <c r="D1271" s="109"/>
      <c r="E1271" s="109"/>
      <c r="F1271" s="110"/>
      <c r="G1271" s="109"/>
    </row>
    <row r="1272" spans="3:7" x14ac:dyDescent="0.3">
      <c r="C1272" s="109"/>
      <c r="D1272" s="109"/>
      <c r="E1272" s="109"/>
      <c r="F1272" s="110"/>
      <c r="G1272" s="109"/>
    </row>
    <row r="1273" spans="3:7" x14ac:dyDescent="0.3">
      <c r="C1273" s="109"/>
      <c r="D1273" s="109"/>
      <c r="E1273" s="109"/>
      <c r="F1273" s="110"/>
      <c r="G1273" s="109"/>
    </row>
    <row r="1274" spans="3:7" x14ac:dyDescent="0.3">
      <c r="C1274" s="109"/>
      <c r="D1274" s="109"/>
      <c r="E1274" s="109"/>
      <c r="F1274" s="110"/>
      <c r="G1274" s="109"/>
    </row>
    <row r="1275" spans="3:7" x14ac:dyDescent="0.3">
      <c r="C1275" s="109"/>
      <c r="D1275" s="109"/>
      <c r="E1275" s="109"/>
      <c r="F1275" s="110"/>
      <c r="G1275" s="109"/>
    </row>
    <row r="1276" spans="3:7" x14ac:dyDescent="0.3">
      <c r="C1276" s="109"/>
      <c r="D1276" s="109"/>
      <c r="E1276" s="109"/>
      <c r="F1276" s="110"/>
      <c r="G1276" s="109"/>
    </row>
    <row r="1277" spans="3:7" x14ac:dyDescent="0.3">
      <c r="C1277" s="109"/>
      <c r="D1277" s="109"/>
      <c r="E1277" s="109"/>
      <c r="F1277" s="110"/>
      <c r="G1277" s="109"/>
    </row>
    <row r="1278" spans="3:7" x14ac:dyDescent="0.3">
      <c r="C1278" s="109"/>
      <c r="D1278" s="109"/>
      <c r="E1278" s="109"/>
      <c r="F1278" s="110"/>
      <c r="G1278" s="109"/>
    </row>
    <row r="1279" spans="3:7" x14ac:dyDescent="0.3">
      <c r="C1279" s="109"/>
      <c r="D1279" s="109"/>
      <c r="E1279" s="109"/>
      <c r="F1279" s="110"/>
      <c r="G1279" s="109"/>
    </row>
    <row r="1280" spans="3:7" x14ac:dyDescent="0.3">
      <c r="C1280" s="109"/>
      <c r="D1280" s="109"/>
      <c r="E1280" s="109"/>
      <c r="F1280" s="110"/>
      <c r="G1280" s="109"/>
    </row>
    <row r="1281" spans="3:7" x14ac:dyDescent="0.3">
      <c r="C1281" s="109"/>
      <c r="D1281" s="109"/>
      <c r="E1281" s="109"/>
      <c r="F1281" s="110"/>
      <c r="G1281" s="109"/>
    </row>
    <row r="1282" spans="3:7" x14ac:dyDescent="0.3">
      <c r="C1282" s="109"/>
      <c r="D1282" s="109"/>
      <c r="E1282" s="109"/>
      <c r="F1282" s="110"/>
      <c r="G1282" s="109"/>
    </row>
    <row r="1283" spans="3:7" x14ac:dyDescent="0.3">
      <c r="C1283" s="109"/>
      <c r="D1283" s="109"/>
      <c r="E1283" s="109"/>
      <c r="F1283" s="110"/>
      <c r="G1283" s="109"/>
    </row>
    <row r="1284" spans="3:7" x14ac:dyDescent="0.3">
      <c r="C1284" s="109"/>
      <c r="D1284" s="109"/>
      <c r="E1284" s="109"/>
      <c r="F1284" s="110"/>
      <c r="G1284" s="109"/>
    </row>
    <row r="1285" spans="3:7" x14ac:dyDescent="0.3">
      <c r="C1285" s="109"/>
      <c r="D1285" s="109"/>
      <c r="E1285" s="109"/>
      <c r="F1285" s="110"/>
      <c r="G1285" s="109"/>
    </row>
    <row r="1286" spans="3:7" x14ac:dyDescent="0.3">
      <c r="C1286" s="109"/>
      <c r="D1286" s="109"/>
      <c r="E1286" s="109"/>
      <c r="F1286" s="110"/>
      <c r="G1286" s="109"/>
    </row>
    <row r="1287" spans="3:7" x14ac:dyDescent="0.3">
      <c r="C1287" s="109"/>
      <c r="D1287" s="109"/>
      <c r="E1287" s="109"/>
      <c r="F1287" s="110"/>
      <c r="G1287" s="109"/>
    </row>
    <row r="1288" spans="3:7" x14ac:dyDescent="0.3">
      <c r="C1288" s="109"/>
      <c r="D1288" s="109"/>
      <c r="E1288" s="109"/>
      <c r="F1288" s="110"/>
      <c r="G1288" s="109"/>
    </row>
    <row r="1289" spans="3:7" x14ac:dyDescent="0.3">
      <c r="C1289" s="109"/>
      <c r="D1289" s="109"/>
      <c r="E1289" s="109"/>
      <c r="F1289" s="110"/>
      <c r="G1289" s="109"/>
    </row>
    <row r="1290" spans="3:7" x14ac:dyDescent="0.3">
      <c r="C1290" s="109"/>
      <c r="D1290" s="109"/>
      <c r="E1290" s="109"/>
      <c r="F1290" s="110"/>
      <c r="G1290" s="109"/>
    </row>
    <row r="1291" spans="3:7" x14ac:dyDescent="0.3">
      <c r="C1291" s="109"/>
      <c r="D1291" s="109"/>
      <c r="E1291" s="109"/>
      <c r="F1291" s="110"/>
      <c r="G1291" s="109"/>
    </row>
    <row r="1292" spans="3:7" x14ac:dyDescent="0.3">
      <c r="C1292" s="109"/>
      <c r="D1292" s="109"/>
      <c r="E1292" s="109"/>
      <c r="F1292" s="110"/>
      <c r="G1292" s="109"/>
    </row>
    <row r="1293" spans="3:7" x14ac:dyDescent="0.3">
      <c r="C1293" s="109"/>
      <c r="D1293" s="109"/>
      <c r="E1293" s="109"/>
      <c r="F1293" s="110"/>
      <c r="G1293" s="109"/>
    </row>
    <row r="1294" spans="3:7" x14ac:dyDescent="0.3">
      <c r="C1294" s="109"/>
      <c r="D1294" s="109"/>
      <c r="E1294" s="109"/>
      <c r="F1294" s="110"/>
      <c r="G1294" s="109"/>
    </row>
    <row r="1295" spans="3:7" x14ac:dyDescent="0.3">
      <c r="C1295" s="109"/>
      <c r="D1295" s="109"/>
      <c r="E1295" s="109"/>
      <c r="F1295" s="110"/>
      <c r="G1295" s="109"/>
    </row>
    <row r="1296" spans="3:7" x14ac:dyDescent="0.3">
      <c r="C1296" s="109"/>
      <c r="D1296" s="109"/>
      <c r="E1296" s="109"/>
      <c r="F1296" s="110"/>
      <c r="G1296" s="109"/>
    </row>
    <row r="1297" spans="3:7" x14ac:dyDescent="0.3">
      <c r="C1297" s="109"/>
      <c r="D1297" s="109"/>
      <c r="E1297" s="109"/>
      <c r="F1297" s="110"/>
      <c r="G1297" s="109"/>
    </row>
    <row r="1298" spans="3:7" x14ac:dyDescent="0.3">
      <c r="C1298" s="109"/>
      <c r="D1298" s="109"/>
      <c r="E1298" s="109"/>
      <c r="F1298" s="110"/>
      <c r="G1298" s="109"/>
    </row>
    <row r="1299" spans="3:7" x14ac:dyDescent="0.3">
      <c r="C1299" s="109"/>
      <c r="D1299" s="109"/>
      <c r="E1299" s="109"/>
      <c r="F1299" s="110"/>
      <c r="G1299" s="109"/>
    </row>
    <row r="1300" spans="3:7" x14ac:dyDescent="0.3">
      <c r="C1300" s="109"/>
      <c r="D1300" s="109"/>
      <c r="E1300" s="109"/>
      <c r="F1300" s="110"/>
      <c r="G1300" s="109"/>
    </row>
    <row r="1301" spans="3:7" x14ac:dyDescent="0.3">
      <c r="C1301" s="109"/>
      <c r="D1301" s="109"/>
      <c r="E1301" s="109"/>
      <c r="F1301" s="110"/>
      <c r="G1301" s="109"/>
    </row>
    <row r="1302" spans="3:7" x14ac:dyDescent="0.3">
      <c r="C1302" s="109"/>
      <c r="D1302" s="109"/>
      <c r="E1302" s="109"/>
      <c r="F1302" s="110"/>
      <c r="G1302" s="109"/>
    </row>
    <row r="1303" spans="3:7" x14ac:dyDescent="0.3">
      <c r="C1303" s="109"/>
      <c r="D1303" s="109"/>
      <c r="E1303" s="109"/>
      <c r="F1303" s="110"/>
      <c r="G1303" s="109"/>
    </row>
    <row r="1304" spans="3:7" x14ac:dyDescent="0.3">
      <c r="C1304" s="109"/>
      <c r="D1304" s="109"/>
      <c r="E1304" s="109"/>
      <c r="F1304" s="110"/>
      <c r="G1304" s="109"/>
    </row>
    <row r="1305" spans="3:7" x14ac:dyDescent="0.3">
      <c r="C1305" s="109"/>
      <c r="D1305" s="109"/>
      <c r="E1305" s="109"/>
      <c r="F1305" s="110"/>
      <c r="G1305" s="109"/>
    </row>
    <row r="1306" spans="3:7" x14ac:dyDescent="0.3">
      <c r="C1306" s="109"/>
      <c r="D1306" s="109"/>
      <c r="E1306" s="109"/>
      <c r="F1306" s="110"/>
      <c r="G1306" s="109"/>
    </row>
    <row r="1307" spans="3:7" x14ac:dyDescent="0.3">
      <c r="C1307" s="109"/>
      <c r="D1307" s="109"/>
      <c r="E1307" s="109"/>
      <c r="F1307" s="110"/>
      <c r="G1307" s="109"/>
    </row>
    <row r="1308" spans="3:7" x14ac:dyDescent="0.3">
      <c r="C1308" s="109"/>
      <c r="D1308" s="109"/>
      <c r="E1308" s="109"/>
      <c r="F1308" s="110"/>
      <c r="G1308" s="109"/>
    </row>
    <row r="1309" spans="3:7" x14ac:dyDescent="0.3">
      <c r="C1309" s="109"/>
      <c r="D1309" s="109"/>
      <c r="E1309" s="109"/>
      <c r="F1309" s="110"/>
      <c r="G1309" s="109"/>
    </row>
    <row r="1310" spans="3:7" x14ac:dyDescent="0.3">
      <c r="C1310" s="109"/>
      <c r="D1310" s="109"/>
      <c r="E1310" s="109"/>
      <c r="F1310" s="110"/>
      <c r="G1310" s="109"/>
    </row>
    <row r="1311" spans="3:7" x14ac:dyDescent="0.3">
      <c r="C1311" s="109"/>
      <c r="D1311" s="109"/>
      <c r="E1311" s="109"/>
      <c r="F1311" s="110"/>
      <c r="G1311" s="109"/>
    </row>
    <row r="1312" spans="3:7" x14ac:dyDescent="0.3">
      <c r="C1312" s="109"/>
      <c r="D1312" s="109"/>
      <c r="E1312" s="109"/>
      <c r="F1312" s="110"/>
      <c r="G1312" s="109"/>
    </row>
    <row r="1313" spans="3:7" x14ac:dyDescent="0.3">
      <c r="C1313" s="109"/>
      <c r="D1313" s="109"/>
      <c r="E1313" s="109"/>
      <c r="F1313" s="110"/>
      <c r="G1313" s="109"/>
    </row>
    <row r="1314" spans="3:7" x14ac:dyDescent="0.3">
      <c r="C1314" s="109"/>
      <c r="D1314" s="109"/>
      <c r="E1314" s="109"/>
      <c r="F1314" s="110"/>
      <c r="G1314" s="109"/>
    </row>
    <row r="1315" spans="3:7" x14ac:dyDescent="0.3">
      <c r="C1315" s="109"/>
      <c r="D1315" s="109"/>
      <c r="E1315" s="109"/>
      <c r="F1315" s="110"/>
      <c r="G1315" s="109"/>
    </row>
    <row r="1316" spans="3:7" x14ac:dyDescent="0.3">
      <c r="C1316" s="109"/>
      <c r="D1316" s="109"/>
      <c r="E1316" s="109"/>
      <c r="F1316" s="110"/>
      <c r="G1316" s="109"/>
    </row>
    <row r="1317" spans="3:7" x14ac:dyDescent="0.3">
      <c r="C1317" s="109"/>
      <c r="D1317" s="109"/>
      <c r="E1317" s="109"/>
      <c r="F1317" s="110"/>
      <c r="G1317" s="109"/>
    </row>
    <row r="1318" spans="3:7" x14ac:dyDescent="0.3">
      <c r="C1318" s="109"/>
      <c r="D1318" s="109"/>
      <c r="E1318" s="109"/>
      <c r="F1318" s="110"/>
      <c r="G1318" s="109"/>
    </row>
    <row r="1319" spans="3:7" x14ac:dyDescent="0.3">
      <c r="C1319" s="109"/>
      <c r="D1319" s="109"/>
      <c r="E1319" s="109"/>
      <c r="F1319" s="110"/>
      <c r="G1319" s="109"/>
    </row>
    <row r="1320" spans="3:7" x14ac:dyDescent="0.3">
      <c r="C1320" s="109"/>
      <c r="D1320" s="109"/>
      <c r="E1320" s="109"/>
      <c r="F1320" s="110"/>
      <c r="G1320" s="109"/>
    </row>
    <row r="1321" spans="3:7" x14ac:dyDescent="0.3">
      <c r="C1321" s="109"/>
      <c r="D1321" s="109"/>
      <c r="E1321" s="109"/>
      <c r="F1321" s="110"/>
      <c r="G1321" s="109"/>
    </row>
    <row r="1322" spans="3:7" x14ac:dyDescent="0.3">
      <c r="C1322" s="109"/>
      <c r="D1322" s="109"/>
      <c r="E1322" s="109"/>
      <c r="F1322" s="110"/>
      <c r="G1322" s="109"/>
    </row>
    <row r="1323" spans="3:7" x14ac:dyDescent="0.3">
      <c r="C1323" s="109"/>
      <c r="D1323" s="109"/>
      <c r="E1323" s="109"/>
      <c r="F1323" s="110"/>
      <c r="G1323" s="109"/>
    </row>
    <row r="1324" spans="3:7" x14ac:dyDescent="0.3">
      <c r="C1324" s="109"/>
      <c r="D1324" s="109"/>
      <c r="E1324" s="109"/>
      <c r="F1324" s="110"/>
      <c r="G1324" s="109"/>
    </row>
    <row r="1325" spans="3:7" x14ac:dyDescent="0.3">
      <c r="C1325" s="109"/>
      <c r="D1325" s="109"/>
      <c r="E1325" s="109"/>
      <c r="F1325" s="110"/>
      <c r="G1325" s="109"/>
    </row>
    <row r="1326" spans="3:7" x14ac:dyDescent="0.3">
      <c r="C1326" s="109"/>
      <c r="D1326" s="109"/>
      <c r="E1326" s="109"/>
      <c r="F1326" s="110"/>
      <c r="G1326" s="109"/>
    </row>
    <row r="1327" spans="3:7" x14ac:dyDescent="0.3">
      <c r="C1327" s="109"/>
      <c r="D1327" s="109"/>
      <c r="E1327" s="109"/>
      <c r="F1327" s="110"/>
      <c r="G1327" s="109"/>
    </row>
    <row r="1328" spans="3:7" x14ac:dyDescent="0.3">
      <c r="C1328" s="109"/>
      <c r="D1328" s="109"/>
      <c r="E1328" s="109"/>
      <c r="F1328" s="110"/>
      <c r="G1328" s="109"/>
    </row>
    <row r="1329" spans="3:7" x14ac:dyDescent="0.3">
      <c r="C1329" s="109"/>
      <c r="D1329" s="109"/>
      <c r="E1329" s="109"/>
      <c r="F1329" s="110"/>
      <c r="G1329" s="109"/>
    </row>
    <row r="1330" spans="3:7" x14ac:dyDescent="0.3">
      <c r="C1330" s="109"/>
      <c r="D1330" s="109"/>
      <c r="E1330" s="109"/>
      <c r="F1330" s="110"/>
      <c r="G1330" s="109"/>
    </row>
    <row r="1331" spans="3:7" x14ac:dyDescent="0.3">
      <c r="C1331" s="109"/>
      <c r="D1331" s="109"/>
      <c r="E1331" s="109"/>
      <c r="F1331" s="110"/>
      <c r="G1331" s="109"/>
    </row>
    <row r="1332" spans="3:7" x14ac:dyDescent="0.3">
      <c r="C1332" s="109"/>
      <c r="D1332" s="109"/>
      <c r="E1332" s="109"/>
      <c r="F1332" s="110"/>
      <c r="G1332" s="109"/>
    </row>
    <row r="1333" spans="3:7" x14ac:dyDescent="0.3">
      <c r="C1333" s="109"/>
      <c r="D1333" s="109"/>
      <c r="E1333" s="109"/>
      <c r="F1333" s="110"/>
      <c r="G1333" s="109"/>
    </row>
    <row r="1334" spans="3:7" x14ac:dyDescent="0.3">
      <c r="C1334" s="109"/>
      <c r="D1334" s="109"/>
      <c r="E1334" s="109"/>
      <c r="F1334" s="110"/>
      <c r="G1334" s="109"/>
    </row>
    <row r="1335" spans="3:7" x14ac:dyDescent="0.3">
      <c r="C1335" s="109"/>
      <c r="D1335" s="109"/>
      <c r="E1335" s="109"/>
      <c r="F1335" s="110"/>
      <c r="G1335" s="109"/>
    </row>
    <row r="1336" spans="3:7" x14ac:dyDescent="0.3">
      <c r="C1336" s="109"/>
      <c r="D1336" s="109"/>
      <c r="E1336" s="109"/>
      <c r="F1336" s="110"/>
      <c r="G1336" s="109"/>
    </row>
    <row r="1337" spans="3:7" x14ac:dyDescent="0.3">
      <c r="C1337" s="109"/>
      <c r="D1337" s="109"/>
      <c r="E1337" s="109"/>
      <c r="F1337" s="110"/>
      <c r="G1337" s="109"/>
    </row>
    <row r="1338" spans="3:7" x14ac:dyDescent="0.3">
      <c r="C1338" s="109"/>
      <c r="D1338" s="109"/>
      <c r="E1338" s="109"/>
      <c r="F1338" s="110"/>
      <c r="G1338" s="109"/>
    </row>
    <row r="1339" spans="3:7" x14ac:dyDescent="0.3">
      <c r="C1339" s="109"/>
      <c r="D1339" s="109"/>
      <c r="E1339" s="109"/>
      <c r="F1339" s="110"/>
      <c r="G1339" s="109"/>
    </row>
    <row r="1340" spans="3:7" x14ac:dyDescent="0.3">
      <c r="C1340" s="109"/>
      <c r="D1340" s="109"/>
      <c r="E1340" s="109"/>
      <c r="F1340" s="110"/>
      <c r="G1340" s="109"/>
    </row>
    <row r="1341" spans="3:7" x14ac:dyDescent="0.3">
      <c r="C1341" s="109"/>
      <c r="D1341" s="109"/>
      <c r="E1341" s="109"/>
      <c r="F1341" s="110"/>
      <c r="G1341" s="109"/>
    </row>
    <row r="1342" spans="3:7" x14ac:dyDescent="0.3">
      <c r="C1342" s="109"/>
      <c r="D1342" s="109"/>
      <c r="E1342" s="109"/>
      <c r="F1342" s="110"/>
      <c r="G1342" s="109"/>
    </row>
    <row r="1343" spans="3:7" x14ac:dyDescent="0.3">
      <c r="C1343" s="109"/>
      <c r="D1343" s="109"/>
      <c r="E1343" s="109"/>
      <c r="F1343" s="110"/>
      <c r="G1343" s="109"/>
    </row>
    <row r="1344" spans="3:7" x14ac:dyDescent="0.3">
      <c r="C1344" s="109"/>
      <c r="D1344" s="109"/>
      <c r="E1344" s="109"/>
      <c r="F1344" s="110"/>
      <c r="G1344" s="109"/>
    </row>
    <row r="1345" spans="3:7" x14ac:dyDescent="0.3">
      <c r="C1345" s="109"/>
      <c r="D1345" s="109"/>
      <c r="E1345" s="109"/>
      <c r="F1345" s="110"/>
      <c r="G1345" s="109"/>
    </row>
    <row r="1346" spans="3:7" x14ac:dyDescent="0.3">
      <c r="C1346" s="109"/>
      <c r="D1346" s="109"/>
      <c r="E1346" s="109"/>
      <c r="F1346" s="110"/>
      <c r="G1346" s="109"/>
    </row>
    <row r="1347" spans="3:7" x14ac:dyDescent="0.3">
      <c r="C1347" s="109"/>
      <c r="D1347" s="109"/>
      <c r="E1347" s="109"/>
      <c r="F1347" s="110"/>
      <c r="G1347" s="109"/>
    </row>
    <row r="1348" spans="3:7" x14ac:dyDescent="0.3">
      <c r="C1348" s="109"/>
      <c r="D1348" s="109"/>
      <c r="E1348" s="109"/>
      <c r="F1348" s="110"/>
      <c r="G1348" s="109"/>
    </row>
    <row r="1349" spans="3:7" x14ac:dyDescent="0.3">
      <c r="C1349" s="109"/>
      <c r="D1349" s="109"/>
      <c r="E1349" s="109"/>
      <c r="F1349" s="110"/>
      <c r="G1349" s="109"/>
    </row>
    <row r="1350" spans="3:7" x14ac:dyDescent="0.3">
      <c r="C1350" s="109"/>
      <c r="D1350" s="109"/>
      <c r="E1350" s="109"/>
      <c r="F1350" s="110"/>
      <c r="G1350" s="109"/>
    </row>
    <row r="1351" spans="3:7" x14ac:dyDescent="0.3">
      <c r="C1351" s="109"/>
      <c r="D1351" s="109"/>
      <c r="E1351" s="109"/>
      <c r="F1351" s="110"/>
      <c r="G1351" s="109"/>
    </row>
    <row r="1352" spans="3:7" x14ac:dyDescent="0.3">
      <c r="C1352" s="109"/>
      <c r="D1352" s="109"/>
      <c r="E1352" s="109"/>
      <c r="F1352" s="110"/>
      <c r="G1352" s="109"/>
    </row>
    <row r="1353" spans="3:7" x14ac:dyDescent="0.3">
      <c r="C1353" s="109"/>
      <c r="D1353" s="109"/>
      <c r="E1353" s="109"/>
      <c r="F1353" s="110"/>
      <c r="G1353" s="109"/>
    </row>
    <row r="1354" spans="3:7" x14ac:dyDescent="0.3">
      <c r="C1354" s="109"/>
      <c r="D1354" s="109"/>
      <c r="E1354" s="109"/>
      <c r="F1354" s="110"/>
      <c r="G1354" s="109"/>
    </row>
    <row r="1355" spans="3:7" x14ac:dyDescent="0.3">
      <c r="C1355" s="109"/>
      <c r="D1355" s="109"/>
      <c r="E1355" s="109"/>
      <c r="F1355" s="110"/>
      <c r="G1355" s="109"/>
    </row>
    <row r="1356" spans="3:7" x14ac:dyDescent="0.3">
      <c r="C1356" s="109"/>
      <c r="D1356" s="109"/>
      <c r="E1356" s="109"/>
      <c r="F1356" s="110"/>
      <c r="G1356" s="109"/>
    </row>
    <row r="1357" spans="3:7" x14ac:dyDescent="0.3">
      <c r="C1357" s="109"/>
      <c r="D1357" s="109"/>
      <c r="E1357" s="109"/>
      <c r="F1357" s="110"/>
      <c r="G1357" s="109"/>
    </row>
    <row r="1358" spans="3:7" x14ac:dyDescent="0.3">
      <c r="C1358" s="109"/>
      <c r="D1358" s="109"/>
      <c r="E1358" s="109"/>
      <c r="F1358" s="110"/>
      <c r="G1358" s="109"/>
    </row>
    <row r="1359" spans="3:7" x14ac:dyDescent="0.3">
      <c r="C1359" s="109"/>
      <c r="D1359" s="109"/>
      <c r="E1359" s="109"/>
      <c r="F1359" s="110"/>
      <c r="G1359" s="109"/>
    </row>
    <row r="1360" spans="3:7" x14ac:dyDescent="0.3">
      <c r="C1360" s="109"/>
      <c r="D1360" s="109"/>
      <c r="E1360" s="109"/>
      <c r="F1360" s="110"/>
      <c r="G1360" s="109"/>
    </row>
    <row r="1361" spans="3:7" x14ac:dyDescent="0.3">
      <c r="C1361" s="109"/>
      <c r="D1361" s="109"/>
      <c r="E1361" s="109"/>
      <c r="F1361" s="110"/>
      <c r="G1361" s="109"/>
    </row>
    <row r="1362" spans="3:7" x14ac:dyDescent="0.3">
      <c r="C1362" s="109"/>
      <c r="D1362" s="109"/>
      <c r="E1362" s="109"/>
      <c r="F1362" s="110"/>
      <c r="G1362" s="109"/>
    </row>
    <row r="1363" spans="3:7" x14ac:dyDescent="0.3">
      <c r="C1363" s="109"/>
      <c r="D1363" s="109"/>
      <c r="E1363" s="109"/>
      <c r="F1363" s="110"/>
      <c r="G1363" s="109"/>
    </row>
    <row r="1364" spans="3:7" x14ac:dyDescent="0.3">
      <c r="C1364" s="109"/>
      <c r="D1364" s="109"/>
      <c r="E1364" s="109"/>
      <c r="F1364" s="110"/>
      <c r="G1364" s="109"/>
    </row>
    <row r="1365" spans="3:7" x14ac:dyDescent="0.3">
      <c r="C1365" s="109"/>
      <c r="D1365" s="109"/>
      <c r="E1365" s="109"/>
      <c r="F1365" s="110"/>
      <c r="G1365" s="109"/>
    </row>
    <row r="1366" spans="3:7" x14ac:dyDescent="0.3">
      <c r="C1366" s="109"/>
      <c r="D1366" s="109"/>
      <c r="E1366" s="109"/>
      <c r="F1366" s="110"/>
      <c r="G1366" s="109"/>
    </row>
    <row r="1367" spans="3:7" x14ac:dyDescent="0.3">
      <c r="C1367" s="109"/>
      <c r="D1367" s="109"/>
      <c r="E1367" s="109"/>
      <c r="F1367" s="110"/>
      <c r="G1367" s="109"/>
    </row>
    <row r="1368" spans="3:7" x14ac:dyDescent="0.3">
      <c r="C1368" s="109"/>
      <c r="D1368" s="109"/>
      <c r="E1368" s="109"/>
      <c r="F1368" s="110"/>
      <c r="G1368" s="109"/>
    </row>
    <row r="1369" spans="3:7" x14ac:dyDescent="0.3">
      <c r="C1369" s="109"/>
      <c r="D1369" s="109"/>
      <c r="E1369" s="109"/>
      <c r="F1369" s="110"/>
      <c r="G1369" s="109"/>
    </row>
    <row r="1370" spans="3:7" x14ac:dyDescent="0.3">
      <c r="C1370" s="109"/>
      <c r="D1370" s="109"/>
      <c r="E1370" s="109"/>
      <c r="F1370" s="110"/>
      <c r="G1370" s="109"/>
    </row>
    <row r="1371" spans="3:7" x14ac:dyDescent="0.3">
      <c r="C1371" s="109"/>
      <c r="D1371" s="109"/>
      <c r="E1371" s="109"/>
      <c r="F1371" s="110"/>
      <c r="G1371" s="109"/>
    </row>
    <row r="1372" spans="3:7" x14ac:dyDescent="0.3">
      <c r="C1372" s="109"/>
      <c r="D1372" s="109"/>
      <c r="E1372" s="109"/>
      <c r="F1372" s="110"/>
      <c r="G1372" s="109"/>
    </row>
    <row r="1373" spans="3:7" x14ac:dyDescent="0.3">
      <c r="C1373" s="109"/>
      <c r="D1373" s="109"/>
      <c r="E1373" s="109"/>
      <c r="F1373" s="110"/>
      <c r="G1373" s="109"/>
    </row>
    <row r="1374" spans="3:7" x14ac:dyDescent="0.3">
      <c r="C1374" s="109"/>
      <c r="D1374" s="109"/>
      <c r="E1374" s="109"/>
      <c r="F1374" s="110"/>
      <c r="G1374" s="109"/>
    </row>
    <row r="1375" spans="3:7" x14ac:dyDescent="0.3">
      <c r="C1375" s="109"/>
      <c r="D1375" s="109"/>
      <c r="E1375" s="109"/>
      <c r="F1375" s="110"/>
      <c r="G1375" s="109"/>
    </row>
    <row r="1376" spans="3:7" x14ac:dyDescent="0.3">
      <c r="C1376" s="109"/>
      <c r="D1376" s="109"/>
      <c r="E1376" s="109"/>
      <c r="F1376" s="110"/>
      <c r="G1376" s="109"/>
    </row>
    <row r="1377" spans="3:7" x14ac:dyDescent="0.3">
      <c r="C1377" s="109"/>
      <c r="D1377" s="109"/>
      <c r="E1377" s="109"/>
      <c r="F1377" s="110"/>
      <c r="G1377" s="109"/>
    </row>
    <row r="1378" spans="3:7" x14ac:dyDescent="0.3">
      <c r="C1378" s="109"/>
      <c r="D1378" s="109"/>
      <c r="E1378" s="109"/>
      <c r="F1378" s="110"/>
      <c r="G1378" s="109"/>
    </row>
    <row r="1379" spans="3:7" x14ac:dyDescent="0.3">
      <c r="C1379" s="109"/>
      <c r="D1379" s="109"/>
      <c r="E1379" s="109"/>
      <c r="F1379" s="110"/>
      <c r="G1379" s="109"/>
    </row>
    <row r="1380" spans="3:7" x14ac:dyDescent="0.3">
      <c r="C1380" s="109"/>
      <c r="D1380" s="109"/>
      <c r="E1380" s="109"/>
      <c r="F1380" s="110"/>
      <c r="G1380" s="109"/>
    </row>
    <row r="1381" spans="3:7" x14ac:dyDescent="0.3">
      <c r="C1381" s="109"/>
      <c r="D1381" s="109"/>
      <c r="E1381" s="109"/>
      <c r="F1381" s="110"/>
      <c r="G1381" s="109"/>
    </row>
    <row r="1382" spans="3:7" x14ac:dyDescent="0.3">
      <c r="C1382" s="109"/>
      <c r="D1382" s="109"/>
      <c r="E1382" s="109"/>
      <c r="F1382" s="110"/>
      <c r="G1382" s="109"/>
    </row>
    <row r="1383" spans="3:7" x14ac:dyDescent="0.3">
      <c r="C1383" s="109"/>
      <c r="D1383" s="109"/>
      <c r="E1383" s="109"/>
      <c r="F1383" s="110"/>
      <c r="G1383" s="109"/>
    </row>
    <row r="1384" spans="3:7" x14ac:dyDescent="0.3">
      <c r="C1384" s="109"/>
      <c r="D1384" s="109"/>
      <c r="E1384" s="109"/>
      <c r="F1384" s="110"/>
      <c r="G1384" s="109"/>
    </row>
    <row r="1385" spans="3:7" x14ac:dyDescent="0.3">
      <c r="C1385" s="109"/>
      <c r="D1385" s="109"/>
      <c r="E1385" s="109"/>
      <c r="F1385" s="110"/>
      <c r="G1385" s="109"/>
    </row>
    <row r="1386" spans="3:7" x14ac:dyDescent="0.3">
      <c r="C1386" s="109"/>
      <c r="D1386" s="109"/>
      <c r="E1386" s="109"/>
      <c r="F1386" s="110"/>
      <c r="G1386" s="109"/>
    </row>
    <row r="1387" spans="3:7" x14ac:dyDescent="0.3">
      <c r="C1387" s="109"/>
      <c r="D1387" s="109"/>
      <c r="E1387" s="109"/>
      <c r="F1387" s="110"/>
      <c r="G1387" s="109"/>
    </row>
    <row r="1388" spans="3:7" x14ac:dyDescent="0.3">
      <c r="C1388" s="109"/>
      <c r="D1388" s="109"/>
      <c r="E1388" s="109"/>
      <c r="F1388" s="110"/>
      <c r="G1388" s="109"/>
    </row>
    <row r="1389" spans="3:7" x14ac:dyDescent="0.3">
      <c r="C1389" s="109"/>
      <c r="D1389" s="109"/>
      <c r="E1389" s="109"/>
      <c r="F1389" s="110"/>
      <c r="G1389" s="109"/>
    </row>
    <row r="1390" spans="3:7" x14ac:dyDescent="0.3">
      <c r="C1390" s="109"/>
      <c r="D1390" s="109"/>
      <c r="E1390" s="109"/>
      <c r="F1390" s="110"/>
      <c r="G1390" s="109"/>
    </row>
    <row r="1391" spans="3:7" x14ac:dyDescent="0.3">
      <c r="C1391" s="109"/>
      <c r="D1391" s="109"/>
      <c r="E1391" s="109"/>
      <c r="F1391" s="110"/>
      <c r="G1391" s="109"/>
    </row>
    <row r="1392" spans="3:7" x14ac:dyDescent="0.3">
      <c r="C1392" s="109"/>
      <c r="D1392" s="109"/>
      <c r="E1392" s="109"/>
      <c r="F1392" s="110"/>
      <c r="G1392" s="109"/>
    </row>
    <row r="1393" spans="3:7" x14ac:dyDescent="0.3">
      <c r="C1393" s="109"/>
      <c r="D1393" s="109"/>
      <c r="E1393" s="109"/>
      <c r="F1393" s="110"/>
      <c r="G1393" s="109"/>
    </row>
    <row r="1394" spans="3:7" x14ac:dyDescent="0.3">
      <c r="C1394" s="109"/>
      <c r="D1394" s="109"/>
      <c r="E1394" s="109"/>
      <c r="F1394" s="110"/>
      <c r="G1394" s="109"/>
    </row>
    <row r="1395" spans="3:7" x14ac:dyDescent="0.3">
      <c r="C1395" s="109"/>
      <c r="D1395" s="109"/>
      <c r="E1395" s="109"/>
      <c r="F1395" s="110"/>
      <c r="G1395" s="109"/>
    </row>
    <row r="1396" spans="3:7" x14ac:dyDescent="0.3">
      <c r="C1396" s="109"/>
      <c r="D1396" s="109"/>
      <c r="E1396" s="109"/>
      <c r="F1396" s="110"/>
      <c r="G1396" s="109"/>
    </row>
    <row r="1397" spans="3:7" x14ac:dyDescent="0.3">
      <c r="C1397" s="109"/>
      <c r="D1397" s="109"/>
      <c r="E1397" s="109"/>
      <c r="F1397" s="110"/>
      <c r="G1397" s="109"/>
    </row>
    <row r="1398" spans="3:7" x14ac:dyDescent="0.3">
      <c r="C1398" s="109"/>
      <c r="D1398" s="109"/>
      <c r="E1398" s="109"/>
      <c r="F1398" s="110"/>
      <c r="G1398" s="109"/>
    </row>
    <row r="1399" spans="3:7" x14ac:dyDescent="0.3">
      <c r="C1399" s="109"/>
      <c r="D1399" s="109"/>
      <c r="E1399" s="109"/>
      <c r="F1399" s="110"/>
      <c r="G1399" s="109"/>
    </row>
    <row r="1400" spans="3:7" x14ac:dyDescent="0.3">
      <c r="C1400" s="109"/>
      <c r="D1400" s="109"/>
      <c r="E1400" s="109"/>
      <c r="F1400" s="110"/>
      <c r="G1400" s="109"/>
    </row>
    <row r="1401" spans="3:7" x14ac:dyDescent="0.3">
      <c r="C1401" s="109"/>
      <c r="D1401" s="109"/>
      <c r="E1401" s="109"/>
      <c r="F1401" s="110"/>
      <c r="G1401" s="109"/>
    </row>
    <row r="1402" spans="3:7" x14ac:dyDescent="0.3">
      <c r="C1402" s="109"/>
      <c r="D1402" s="109"/>
      <c r="E1402" s="109"/>
      <c r="F1402" s="110"/>
      <c r="G1402" s="109"/>
    </row>
    <row r="1403" spans="3:7" x14ac:dyDescent="0.3">
      <c r="C1403" s="109"/>
      <c r="D1403" s="109"/>
      <c r="E1403" s="109"/>
      <c r="F1403" s="110"/>
      <c r="G1403" s="109"/>
    </row>
    <row r="1404" spans="3:7" x14ac:dyDescent="0.3">
      <c r="C1404" s="109"/>
      <c r="D1404" s="109"/>
      <c r="E1404" s="109"/>
      <c r="F1404" s="110"/>
      <c r="G1404" s="109"/>
    </row>
    <row r="1405" spans="3:7" x14ac:dyDescent="0.3">
      <c r="C1405" s="109"/>
      <c r="D1405" s="109"/>
      <c r="E1405" s="109"/>
      <c r="F1405" s="110"/>
      <c r="G1405" s="109"/>
    </row>
    <row r="1406" spans="3:7" x14ac:dyDescent="0.3">
      <c r="C1406" s="109"/>
      <c r="D1406" s="109"/>
      <c r="E1406" s="109"/>
      <c r="F1406" s="110"/>
      <c r="G1406" s="109"/>
    </row>
    <row r="1407" spans="3:7" x14ac:dyDescent="0.3">
      <c r="C1407" s="109"/>
      <c r="D1407" s="109"/>
      <c r="E1407" s="109"/>
      <c r="F1407" s="110"/>
      <c r="G1407" s="109"/>
    </row>
    <row r="1408" spans="3:7" x14ac:dyDescent="0.3">
      <c r="C1408" s="109"/>
      <c r="D1408" s="109"/>
      <c r="E1408" s="109"/>
      <c r="F1408" s="110"/>
      <c r="G1408" s="109"/>
    </row>
    <row r="1409" spans="3:7" x14ac:dyDescent="0.3">
      <c r="C1409" s="109"/>
      <c r="D1409" s="109"/>
      <c r="E1409" s="109"/>
      <c r="F1409" s="110"/>
      <c r="G1409" s="109"/>
    </row>
    <row r="1410" spans="3:7" x14ac:dyDescent="0.3">
      <c r="C1410" s="109"/>
      <c r="D1410" s="109"/>
      <c r="E1410" s="109"/>
      <c r="F1410" s="110"/>
      <c r="G1410" s="109"/>
    </row>
    <row r="1411" spans="3:7" x14ac:dyDescent="0.3">
      <c r="C1411" s="109"/>
      <c r="D1411" s="109"/>
      <c r="E1411" s="109"/>
      <c r="F1411" s="110"/>
      <c r="G1411" s="109"/>
    </row>
    <row r="1412" spans="3:7" x14ac:dyDescent="0.3">
      <c r="C1412" s="109"/>
      <c r="D1412" s="109"/>
      <c r="E1412" s="109"/>
      <c r="F1412" s="110"/>
      <c r="G1412" s="109"/>
    </row>
    <row r="1413" spans="3:7" x14ac:dyDescent="0.3">
      <c r="C1413" s="109"/>
      <c r="D1413" s="109"/>
      <c r="E1413" s="109"/>
      <c r="F1413" s="110"/>
      <c r="G1413" s="109"/>
    </row>
    <row r="1414" spans="3:7" x14ac:dyDescent="0.3">
      <c r="C1414" s="109"/>
      <c r="D1414" s="109"/>
      <c r="E1414" s="109"/>
      <c r="F1414" s="110"/>
      <c r="G1414" s="109"/>
    </row>
    <row r="1415" spans="3:7" x14ac:dyDescent="0.3">
      <c r="C1415" s="109"/>
      <c r="D1415" s="109"/>
      <c r="E1415" s="109"/>
      <c r="F1415" s="110"/>
      <c r="G1415" s="109"/>
    </row>
    <row r="1416" spans="3:7" x14ac:dyDescent="0.3">
      <c r="C1416" s="109"/>
      <c r="D1416" s="109"/>
      <c r="E1416" s="109"/>
      <c r="F1416" s="110"/>
      <c r="G1416" s="109"/>
    </row>
    <row r="1417" spans="3:7" x14ac:dyDescent="0.3">
      <c r="C1417" s="109"/>
      <c r="D1417" s="109"/>
      <c r="E1417" s="109"/>
      <c r="F1417" s="110"/>
      <c r="G1417" s="109"/>
    </row>
    <row r="1418" spans="3:7" x14ac:dyDescent="0.3">
      <c r="C1418" s="109"/>
      <c r="D1418" s="109"/>
      <c r="E1418" s="109"/>
      <c r="F1418" s="110"/>
      <c r="G1418" s="109"/>
    </row>
    <row r="1419" spans="3:7" x14ac:dyDescent="0.3">
      <c r="C1419" s="109"/>
      <c r="D1419" s="109"/>
      <c r="E1419" s="109"/>
      <c r="F1419" s="110"/>
      <c r="G1419" s="109"/>
    </row>
    <row r="1420" spans="3:7" x14ac:dyDescent="0.3">
      <c r="C1420" s="109"/>
      <c r="D1420" s="109"/>
      <c r="E1420" s="109"/>
      <c r="F1420" s="110"/>
      <c r="G1420" s="109"/>
    </row>
    <row r="1421" spans="3:7" x14ac:dyDescent="0.3">
      <c r="C1421" s="109"/>
      <c r="D1421" s="109"/>
      <c r="E1421" s="109"/>
      <c r="F1421" s="110"/>
      <c r="G1421" s="109"/>
    </row>
    <row r="1422" spans="3:7" x14ac:dyDescent="0.3">
      <c r="C1422" s="109"/>
      <c r="D1422" s="109"/>
      <c r="E1422" s="109"/>
      <c r="F1422" s="110"/>
      <c r="G1422" s="109"/>
    </row>
    <row r="1423" spans="3:7" x14ac:dyDescent="0.3">
      <c r="C1423" s="109"/>
      <c r="D1423" s="109"/>
      <c r="E1423" s="109"/>
      <c r="F1423" s="110"/>
      <c r="G1423" s="109"/>
    </row>
    <row r="1424" spans="3:7" x14ac:dyDescent="0.3">
      <c r="C1424" s="109"/>
      <c r="D1424" s="109"/>
      <c r="E1424" s="109"/>
      <c r="F1424" s="110"/>
      <c r="G1424" s="109"/>
    </row>
    <row r="1425" spans="3:7" x14ac:dyDescent="0.3">
      <c r="C1425" s="109"/>
      <c r="D1425" s="109"/>
      <c r="E1425" s="109"/>
      <c r="F1425" s="110"/>
      <c r="G1425" s="109"/>
    </row>
    <row r="1426" spans="3:7" x14ac:dyDescent="0.3">
      <c r="C1426" s="109"/>
      <c r="D1426" s="109"/>
      <c r="E1426" s="109"/>
      <c r="F1426" s="110"/>
      <c r="G1426" s="109"/>
    </row>
    <row r="1427" spans="3:7" x14ac:dyDescent="0.3">
      <c r="C1427" s="109"/>
      <c r="D1427" s="109"/>
      <c r="E1427" s="109"/>
      <c r="F1427" s="110"/>
      <c r="G1427" s="109"/>
    </row>
    <row r="1428" spans="3:7" x14ac:dyDescent="0.3">
      <c r="C1428" s="109"/>
      <c r="D1428" s="109"/>
      <c r="E1428" s="109"/>
      <c r="F1428" s="110"/>
      <c r="G1428" s="109"/>
    </row>
    <row r="1429" spans="3:7" x14ac:dyDescent="0.3">
      <c r="C1429" s="109"/>
      <c r="D1429" s="109"/>
      <c r="E1429" s="109"/>
      <c r="F1429" s="110"/>
      <c r="G1429" s="109"/>
    </row>
    <row r="1430" spans="3:7" x14ac:dyDescent="0.3">
      <c r="C1430" s="109"/>
      <c r="D1430" s="109"/>
      <c r="E1430" s="109"/>
      <c r="F1430" s="110"/>
      <c r="G1430" s="109"/>
    </row>
    <row r="1431" spans="3:7" x14ac:dyDescent="0.3">
      <c r="C1431" s="109"/>
      <c r="D1431" s="109"/>
      <c r="E1431" s="109"/>
      <c r="F1431" s="110"/>
      <c r="G1431" s="109"/>
    </row>
    <row r="1432" spans="3:7" x14ac:dyDescent="0.3">
      <c r="C1432" s="109"/>
      <c r="D1432" s="109"/>
      <c r="E1432" s="109"/>
      <c r="F1432" s="110"/>
      <c r="G1432" s="109"/>
    </row>
    <row r="1433" spans="3:7" x14ac:dyDescent="0.3">
      <c r="C1433" s="109"/>
      <c r="D1433" s="109"/>
      <c r="E1433" s="109"/>
      <c r="F1433" s="110"/>
      <c r="G1433" s="109"/>
    </row>
    <row r="1434" spans="3:7" x14ac:dyDescent="0.3">
      <c r="C1434" s="109"/>
      <c r="D1434" s="109"/>
      <c r="E1434" s="109"/>
      <c r="F1434" s="110"/>
      <c r="G1434" s="109"/>
    </row>
    <row r="1435" spans="3:7" x14ac:dyDescent="0.3">
      <c r="C1435" s="109"/>
      <c r="D1435" s="109"/>
      <c r="E1435" s="109"/>
      <c r="F1435" s="110"/>
      <c r="G1435" s="109"/>
    </row>
    <row r="1436" spans="3:7" x14ac:dyDescent="0.3">
      <c r="C1436" s="109"/>
      <c r="D1436" s="109"/>
      <c r="E1436" s="109"/>
      <c r="F1436" s="110"/>
      <c r="G1436" s="109"/>
    </row>
    <row r="1437" spans="3:7" x14ac:dyDescent="0.3">
      <c r="C1437" s="109"/>
      <c r="D1437" s="109"/>
      <c r="E1437" s="109"/>
      <c r="F1437" s="110"/>
      <c r="G1437" s="109"/>
    </row>
    <row r="1438" spans="3:7" x14ac:dyDescent="0.3">
      <c r="C1438" s="109"/>
      <c r="D1438" s="109"/>
      <c r="E1438" s="109"/>
      <c r="F1438" s="110"/>
      <c r="G1438" s="109"/>
    </row>
    <row r="1439" spans="3:7" x14ac:dyDescent="0.3">
      <c r="C1439" s="109"/>
      <c r="D1439" s="109"/>
      <c r="E1439" s="109"/>
      <c r="F1439" s="110"/>
      <c r="G1439" s="109"/>
    </row>
    <row r="1440" spans="3:7" x14ac:dyDescent="0.3">
      <c r="C1440" s="109"/>
      <c r="D1440" s="109"/>
      <c r="E1440" s="109"/>
      <c r="F1440" s="110"/>
      <c r="G1440" s="109"/>
    </row>
    <row r="1441" spans="3:7" x14ac:dyDescent="0.3">
      <c r="C1441" s="109"/>
      <c r="D1441" s="109"/>
      <c r="E1441" s="109"/>
      <c r="F1441" s="110"/>
      <c r="G1441" s="109"/>
    </row>
    <row r="1442" spans="3:7" x14ac:dyDescent="0.3">
      <c r="C1442" s="109"/>
      <c r="D1442" s="109"/>
      <c r="E1442" s="109"/>
      <c r="F1442" s="110"/>
      <c r="G1442" s="109"/>
    </row>
    <row r="1443" spans="3:7" x14ac:dyDescent="0.3">
      <c r="C1443" s="109"/>
      <c r="D1443" s="109"/>
      <c r="E1443" s="109"/>
      <c r="F1443" s="110"/>
      <c r="G1443" s="109"/>
    </row>
    <row r="1444" spans="3:7" x14ac:dyDescent="0.3">
      <c r="C1444" s="109"/>
      <c r="D1444" s="109"/>
      <c r="E1444" s="109"/>
      <c r="F1444" s="110"/>
      <c r="G1444" s="109"/>
    </row>
    <row r="1445" spans="3:7" x14ac:dyDescent="0.3">
      <c r="C1445" s="109"/>
      <c r="D1445" s="109"/>
      <c r="E1445" s="109"/>
      <c r="F1445" s="110"/>
      <c r="G1445" s="109"/>
    </row>
    <row r="1446" spans="3:7" x14ac:dyDescent="0.3">
      <c r="C1446" s="109"/>
      <c r="D1446" s="109"/>
      <c r="E1446" s="109"/>
      <c r="F1446" s="110"/>
      <c r="G1446" s="109"/>
    </row>
    <row r="1447" spans="3:7" x14ac:dyDescent="0.3">
      <c r="C1447" s="109"/>
      <c r="D1447" s="109"/>
      <c r="E1447" s="109"/>
      <c r="F1447" s="110"/>
      <c r="G1447" s="109"/>
    </row>
    <row r="1448" spans="3:7" x14ac:dyDescent="0.3">
      <c r="C1448" s="109"/>
      <c r="D1448" s="109"/>
      <c r="E1448" s="109"/>
      <c r="F1448" s="110"/>
      <c r="G1448" s="109"/>
    </row>
    <row r="1449" spans="3:7" x14ac:dyDescent="0.3">
      <c r="C1449" s="109"/>
      <c r="D1449" s="109"/>
      <c r="E1449" s="109"/>
      <c r="F1449" s="110"/>
      <c r="G1449" s="109"/>
    </row>
    <row r="1450" spans="3:7" x14ac:dyDescent="0.3">
      <c r="C1450" s="109"/>
      <c r="D1450" s="109"/>
      <c r="E1450" s="109"/>
      <c r="F1450" s="110"/>
      <c r="G1450" s="109"/>
    </row>
    <row r="1451" spans="3:7" x14ac:dyDescent="0.3">
      <c r="C1451" s="109"/>
      <c r="D1451" s="109"/>
      <c r="E1451" s="109"/>
      <c r="F1451" s="110"/>
      <c r="G1451" s="109"/>
    </row>
    <row r="1452" spans="3:7" x14ac:dyDescent="0.3">
      <c r="C1452" s="109"/>
      <c r="D1452" s="109"/>
      <c r="E1452" s="109"/>
      <c r="F1452" s="110"/>
      <c r="G1452" s="109"/>
    </row>
    <row r="1453" spans="3:7" x14ac:dyDescent="0.3">
      <c r="C1453" s="109"/>
      <c r="D1453" s="109"/>
      <c r="E1453" s="109"/>
      <c r="F1453" s="110"/>
      <c r="G1453" s="109"/>
    </row>
    <row r="1454" spans="3:7" x14ac:dyDescent="0.3">
      <c r="C1454" s="109"/>
      <c r="D1454" s="109"/>
      <c r="E1454" s="109"/>
      <c r="F1454" s="110"/>
      <c r="G1454" s="109"/>
    </row>
    <row r="1455" spans="3:7" x14ac:dyDescent="0.3">
      <c r="C1455" s="109"/>
      <c r="D1455" s="109"/>
      <c r="E1455" s="109"/>
      <c r="F1455" s="110"/>
      <c r="G1455" s="109"/>
    </row>
    <row r="1456" spans="3:7" x14ac:dyDescent="0.3">
      <c r="C1456" s="109"/>
      <c r="D1456" s="109"/>
      <c r="E1456" s="109"/>
      <c r="F1456" s="110"/>
      <c r="G1456" s="109"/>
    </row>
    <row r="1457" spans="3:7" x14ac:dyDescent="0.3">
      <c r="C1457" s="109"/>
      <c r="D1457" s="109"/>
      <c r="E1457" s="109"/>
      <c r="F1457" s="110"/>
      <c r="G1457" s="109"/>
    </row>
    <row r="1458" spans="3:7" x14ac:dyDescent="0.3">
      <c r="C1458" s="109"/>
      <c r="D1458" s="109"/>
      <c r="E1458" s="109"/>
      <c r="F1458" s="110"/>
      <c r="G1458" s="109"/>
    </row>
    <row r="1459" spans="3:7" x14ac:dyDescent="0.3">
      <c r="C1459" s="109"/>
      <c r="D1459" s="109"/>
      <c r="E1459" s="109"/>
      <c r="F1459" s="110"/>
      <c r="G1459" s="109"/>
    </row>
    <row r="1460" spans="3:7" x14ac:dyDescent="0.3">
      <c r="C1460" s="109"/>
      <c r="D1460" s="109"/>
      <c r="E1460" s="109"/>
      <c r="F1460" s="110"/>
      <c r="G1460" s="109"/>
    </row>
    <row r="1461" spans="3:7" x14ac:dyDescent="0.3">
      <c r="C1461" s="109"/>
      <c r="D1461" s="109"/>
      <c r="E1461" s="109"/>
      <c r="F1461" s="110"/>
      <c r="G1461" s="109"/>
    </row>
    <row r="1462" spans="3:7" x14ac:dyDescent="0.3">
      <c r="C1462" s="109"/>
      <c r="D1462" s="109"/>
      <c r="E1462" s="109"/>
      <c r="F1462" s="110"/>
      <c r="G1462" s="109"/>
    </row>
    <row r="1463" spans="3:7" x14ac:dyDescent="0.3">
      <c r="C1463" s="109"/>
      <c r="D1463" s="109"/>
      <c r="E1463" s="109"/>
      <c r="F1463" s="110"/>
      <c r="G1463" s="109"/>
    </row>
    <row r="1464" spans="3:7" x14ac:dyDescent="0.3">
      <c r="C1464" s="109"/>
      <c r="D1464" s="109"/>
      <c r="E1464" s="109"/>
      <c r="F1464" s="110"/>
      <c r="G1464" s="109"/>
    </row>
    <row r="1465" spans="3:7" x14ac:dyDescent="0.3">
      <c r="C1465" s="109"/>
      <c r="D1465" s="109"/>
      <c r="E1465" s="109"/>
      <c r="F1465" s="110"/>
      <c r="G1465" s="109"/>
    </row>
    <row r="1466" spans="3:7" x14ac:dyDescent="0.3">
      <c r="C1466" s="109"/>
      <c r="D1466" s="109"/>
      <c r="E1466" s="109"/>
      <c r="F1466" s="110"/>
      <c r="G1466" s="109"/>
    </row>
    <row r="1467" spans="3:7" x14ac:dyDescent="0.3">
      <c r="C1467" s="109"/>
      <c r="D1467" s="109"/>
      <c r="E1467" s="109"/>
      <c r="F1467" s="110"/>
      <c r="G1467" s="109"/>
    </row>
    <row r="1468" spans="3:7" x14ac:dyDescent="0.3">
      <c r="C1468" s="109"/>
      <c r="D1468" s="109"/>
      <c r="E1468" s="109"/>
      <c r="F1468" s="110"/>
      <c r="G1468" s="109"/>
    </row>
    <row r="1469" spans="3:7" x14ac:dyDescent="0.3">
      <c r="C1469" s="109"/>
      <c r="D1469" s="109"/>
      <c r="E1469" s="109"/>
      <c r="F1469" s="110"/>
      <c r="G1469" s="109"/>
    </row>
    <row r="1470" spans="3:7" x14ac:dyDescent="0.3">
      <c r="C1470" s="109"/>
      <c r="D1470" s="109"/>
      <c r="E1470" s="109"/>
      <c r="F1470" s="110"/>
      <c r="G1470" s="109"/>
    </row>
    <row r="1471" spans="3:7" x14ac:dyDescent="0.3">
      <c r="C1471" s="109"/>
      <c r="D1471" s="109"/>
      <c r="E1471" s="109"/>
      <c r="F1471" s="110"/>
      <c r="G1471" s="109"/>
    </row>
    <row r="1472" spans="3:7" x14ac:dyDescent="0.3">
      <c r="C1472" s="109"/>
      <c r="D1472" s="109"/>
      <c r="E1472" s="109"/>
      <c r="F1472" s="110"/>
      <c r="G1472" s="109"/>
    </row>
    <row r="1473" spans="3:7" x14ac:dyDescent="0.3">
      <c r="C1473" s="109"/>
      <c r="D1473" s="109"/>
      <c r="E1473" s="109"/>
      <c r="F1473" s="110"/>
      <c r="G1473" s="109"/>
    </row>
    <row r="1474" spans="3:7" x14ac:dyDescent="0.3">
      <c r="C1474" s="109"/>
      <c r="D1474" s="109"/>
      <c r="E1474" s="109"/>
      <c r="F1474" s="110"/>
      <c r="G1474" s="109"/>
    </row>
    <row r="1475" spans="3:7" x14ac:dyDescent="0.3">
      <c r="C1475" s="109"/>
      <c r="D1475" s="109"/>
      <c r="E1475" s="109"/>
      <c r="F1475" s="110"/>
      <c r="G1475" s="109"/>
    </row>
    <row r="1476" spans="3:7" x14ac:dyDescent="0.3">
      <c r="C1476" s="109"/>
      <c r="D1476" s="109"/>
      <c r="E1476" s="109"/>
      <c r="F1476" s="110"/>
      <c r="G1476" s="109"/>
    </row>
    <row r="1477" spans="3:7" x14ac:dyDescent="0.3">
      <c r="C1477" s="109"/>
      <c r="D1477" s="109"/>
      <c r="E1477" s="109"/>
      <c r="F1477" s="110"/>
      <c r="G1477" s="109"/>
    </row>
    <row r="1478" spans="3:7" x14ac:dyDescent="0.3">
      <c r="C1478" s="109"/>
      <c r="D1478" s="109"/>
      <c r="E1478" s="109"/>
      <c r="F1478" s="110"/>
      <c r="G1478" s="109"/>
    </row>
    <row r="1479" spans="3:7" x14ac:dyDescent="0.3">
      <c r="C1479" s="109"/>
      <c r="D1479" s="109"/>
      <c r="E1479" s="109"/>
      <c r="F1479" s="110"/>
      <c r="G1479" s="109"/>
    </row>
    <row r="1480" spans="3:7" x14ac:dyDescent="0.3">
      <c r="C1480" s="109"/>
      <c r="D1480" s="109"/>
      <c r="E1480" s="109"/>
      <c r="F1480" s="110"/>
      <c r="G1480" s="109"/>
    </row>
    <row r="1481" spans="3:7" x14ac:dyDescent="0.3">
      <c r="C1481" s="109"/>
      <c r="D1481" s="109"/>
      <c r="E1481" s="109"/>
      <c r="F1481" s="110"/>
      <c r="G1481" s="109"/>
    </row>
    <row r="1482" spans="3:7" x14ac:dyDescent="0.3">
      <c r="C1482" s="109"/>
      <c r="D1482" s="109"/>
      <c r="E1482" s="109"/>
      <c r="F1482" s="110"/>
      <c r="G1482" s="109"/>
    </row>
    <row r="1483" spans="3:7" x14ac:dyDescent="0.3">
      <c r="C1483" s="109"/>
      <c r="D1483" s="109"/>
      <c r="E1483" s="109"/>
      <c r="F1483" s="110"/>
      <c r="G1483" s="109"/>
    </row>
    <row r="1484" spans="3:7" x14ac:dyDescent="0.3">
      <c r="C1484" s="109"/>
      <c r="D1484" s="109"/>
      <c r="E1484" s="109"/>
      <c r="F1484" s="110"/>
      <c r="G1484" s="109"/>
    </row>
    <row r="1485" spans="3:7" x14ac:dyDescent="0.3">
      <c r="C1485" s="109"/>
      <c r="D1485" s="109"/>
      <c r="E1485" s="109"/>
      <c r="F1485" s="110"/>
      <c r="G1485" s="109"/>
    </row>
    <row r="1486" spans="3:7" x14ac:dyDescent="0.3">
      <c r="C1486" s="109"/>
      <c r="D1486" s="109"/>
      <c r="E1486" s="109"/>
      <c r="F1486" s="110"/>
      <c r="G1486" s="109"/>
    </row>
    <row r="1487" spans="3:7" x14ac:dyDescent="0.3">
      <c r="C1487" s="109"/>
      <c r="D1487" s="109"/>
      <c r="E1487" s="109"/>
      <c r="F1487" s="110"/>
      <c r="G1487" s="109"/>
    </row>
    <row r="1488" spans="3:7" x14ac:dyDescent="0.3">
      <c r="C1488" s="109"/>
      <c r="D1488" s="109"/>
      <c r="E1488" s="109"/>
      <c r="F1488" s="110"/>
      <c r="G1488" s="109"/>
    </row>
    <row r="1489" spans="3:7" x14ac:dyDescent="0.3">
      <c r="C1489" s="109"/>
      <c r="D1489" s="109"/>
      <c r="E1489" s="109"/>
      <c r="F1489" s="110"/>
      <c r="G1489" s="109"/>
    </row>
    <row r="1490" spans="3:7" x14ac:dyDescent="0.3">
      <c r="C1490" s="109"/>
      <c r="D1490" s="109"/>
      <c r="E1490" s="109"/>
      <c r="F1490" s="110"/>
      <c r="G1490" s="109"/>
    </row>
    <row r="1491" spans="3:7" x14ac:dyDescent="0.3">
      <c r="C1491" s="109"/>
      <c r="D1491" s="109"/>
      <c r="E1491" s="109"/>
      <c r="F1491" s="110"/>
      <c r="G1491" s="109"/>
    </row>
    <row r="1492" spans="3:7" x14ac:dyDescent="0.3">
      <c r="C1492" s="109"/>
      <c r="D1492" s="109"/>
      <c r="E1492" s="109"/>
      <c r="F1492" s="110"/>
      <c r="G1492" s="109"/>
    </row>
    <row r="1493" spans="3:7" x14ac:dyDescent="0.3">
      <c r="C1493" s="109"/>
      <c r="D1493" s="109"/>
      <c r="E1493" s="109"/>
      <c r="F1493" s="110"/>
      <c r="G1493" s="109"/>
    </row>
    <row r="1494" spans="3:7" x14ac:dyDescent="0.3">
      <c r="C1494" s="109"/>
      <c r="D1494" s="109"/>
      <c r="E1494" s="109"/>
      <c r="F1494" s="110"/>
      <c r="G1494" s="109"/>
    </row>
    <row r="1495" spans="3:7" x14ac:dyDescent="0.3">
      <c r="C1495" s="109"/>
      <c r="D1495" s="109"/>
      <c r="E1495" s="109"/>
      <c r="F1495" s="110"/>
      <c r="G1495" s="109"/>
    </row>
    <row r="1496" spans="3:7" x14ac:dyDescent="0.3">
      <c r="C1496" s="109"/>
      <c r="D1496" s="109"/>
      <c r="E1496" s="109"/>
      <c r="F1496" s="110"/>
      <c r="G1496" s="109"/>
    </row>
    <row r="1497" spans="3:7" x14ac:dyDescent="0.3">
      <c r="C1497" s="109"/>
      <c r="D1497" s="109"/>
      <c r="E1497" s="109"/>
      <c r="F1497" s="110"/>
      <c r="G1497" s="109"/>
    </row>
    <row r="1498" spans="3:7" x14ac:dyDescent="0.3">
      <c r="C1498" s="109"/>
      <c r="D1498" s="109"/>
      <c r="E1498" s="109"/>
      <c r="F1498" s="110"/>
      <c r="G1498" s="109"/>
    </row>
    <row r="1499" spans="3:7" x14ac:dyDescent="0.3">
      <c r="C1499" s="109"/>
      <c r="D1499" s="109"/>
      <c r="E1499" s="109"/>
      <c r="F1499" s="110"/>
      <c r="G1499" s="109"/>
    </row>
    <row r="1500" spans="3:7" x14ac:dyDescent="0.3">
      <c r="C1500" s="109"/>
      <c r="D1500" s="109"/>
      <c r="E1500" s="109"/>
      <c r="F1500" s="110"/>
      <c r="G1500" s="109"/>
    </row>
    <row r="1501" spans="3:7" x14ac:dyDescent="0.3">
      <c r="C1501" s="109"/>
      <c r="D1501" s="109"/>
      <c r="E1501" s="109"/>
      <c r="F1501" s="110"/>
      <c r="G1501" s="109"/>
    </row>
    <row r="1502" spans="3:7" x14ac:dyDescent="0.3">
      <c r="C1502" s="109"/>
      <c r="D1502" s="109"/>
      <c r="E1502" s="109"/>
      <c r="F1502" s="110"/>
      <c r="G1502" s="109"/>
    </row>
    <row r="1503" spans="3:7" x14ac:dyDescent="0.3">
      <c r="C1503" s="109"/>
      <c r="D1503" s="109"/>
      <c r="E1503" s="109"/>
      <c r="F1503" s="110"/>
      <c r="G1503" s="109"/>
    </row>
    <row r="1504" spans="3:7" x14ac:dyDescent="0.3">
      <c r="C1504" s="109"/>
      <c r="D1504" s="109"/>
      <c r="E1504" s="109"/>
      <c r="F1504" s="110"/>
      <c r="G1504" s="109"/>
    </row>
    <row r="1505" spans="3:7" x14ac:dyDescent="0.3">
      <c r="C1505" s="109"/>
      <c r="D1505" s="109"/>
      <c r="E1505" s="109"/>
      <c r="F1505" s="110"/>
      <c r="G1505" s="109"/>
    </row>
    <row r="1506" spans="3:7" x14ac:dyDescent="0.3">
      <c r="C1506" s="109"/>
      <c r="D1506" s="109"/>
      <c r="E1506" s="109"/>
      <c r="F1506" s="110"/>
      <c r="G1506" s="109"/>
    </row>
    <row r="1507" spans="3:7" x14ac:dyDescent="0.3">
      <c r="C1507" s="109"/>
      <c r="D1507" s="109"/>
      <c r="E1507" s="109"/>
      <c r="F1507" s="110"/>
      <c r="G1507" s="109"/>
    </row>
    <row r="1508" spans="3:7" x14ac:dyDescent="0.3">
      <c r="C1508" s="109"/>
      <c r="D1508" s="109"/>
      <c r="E1508" s="109"/>
      <c r="F1508" s="110"/>
      <c r="G1508" s="109"/>
    </row>
    <row r="1509" spans="3:7" x14ac:dyDescent="0.3">
      <c r="C1509" s="109"/>
      <c r="D1509" s="109"/>
      <c r="E1509" s="109"/>
      <c r="F1509" s="110"/>
      <c r="G1509" s="109"/>
    </row>
    <row r="1510" spans="3:7" x14ac:dyDescent="0.3">
      <c r="C1510" s="109"/>
      <c r="D1510" s="109"/>
      <c r="E1510" s="109"/>
      <c r="F1510" s="110"/>
      <c r="G1510" s="109"/>
    </row>
    <row r="1511" spans="3:7" x14ac:dyDescent="0.3">
      <c r="C1511" s="109"/>
      <c r="D1511" s="109"/>
      <c r="E1511" s="109"/>
      <c r="F1511" s="110"/>
      <c r="G1511" s="109"/>
    </row>
    <row r="1512" spans="3:7" x14ac:dyDescent="0.3">
      <c r="C1512" s="109"/>
      <c r="D1512" s="109"/>
      <c r="E1512" s="109"/>
      <c r="F1512" s="110"/>
      <c r="G1512" s="109"/>
    </row>
    <row r="1513" spans="3:7" x14ac:dyDescent="0.3">
      <c r="C1513" s="109"/>
      <c r="D1513" s="109"/>
      <c r="E1513" s="109"/>
      <c r="F1513" s="110"/>
      <c r="G1513" s="109"/>
    </row>
    <row r="1514" spans="3:7" x14ac:dyDescent="0.3">
      <c r="C1514" s="109"/>
      <c r="D1514" s="109"/>
      <c r="E1514" s="109"/>
      <c r="F1514" s="110"/>
      <c r="G1514" s="109"/>
    </row>
    <row r="1515" spans="3:7" x14ac:dyDescent="0.3">
      <c r="C1515" s="109"/>
      <c r="D1515" s="109"/>
      <c r="E1515" s="109"/>
      <c r="F1515" s="110"/>
      <c r="G1515" s="109"/>
    </row>
    <row r="1516" spans="3:7" x14ac:dyDescent="0.3">
      <c r="C1516" s="109"/>
      <c r="D1516" s="109"/>
      <c r="E1516" s="109"/>
      <c r="F1516" s="110"/>
      <c r="G1516" s="109"/>
    </row>
    <row r="1517" spans="3:7" x14ac:dyDescent="0.3">
      <c r="C1517" s="109"/>
      <c r="D1517" s="109"/>
      <c r="E1517" s="109"/>
      <c r="F1517" s="110"/>
      <c r="G1517" s="109"/>
    </row>
    <row r="1518" spans="3:7" x14ac:dyDescent="0.3">
      <c r="C1518" s="109"/>
      <c r="D1518" s="109"/>
      <c r="E1518" s="109"/>
      <c r="F1518" s="110"/>
      <c r="G1518" s="109"/>
    </row>
    <row r="1519" spans="3:7" x14ac:dyDescent="0.3">
      <c r="C1519" s="109"/>
      <c r="D1519" s="109"/>
      <c r="E1519" s="109"/>
      <c r="F1519" s="110"/>
      <c r="G1519" s="109"/>
    </row>
    <row r="1520" spans="3:7" x14ac:dyDescent="0.3">
      <c r="C1520" s="109"/>
      <c r="D1520" s="109"/>
      <c r="E1520" s="109"/>
      <c r="F1520" s="110"/>
      <c r="G1520" s="109"/>
    </row>
    <row r="1521" spans="3:7" x14ac:dyDescent="0.3">
      <c r="C1521" s="109"/>
      <c r="D1521" s="109"/>
      <c r="E1521" s="109"/>
      <c r="F1521" s="110"/>
      <c r="G1521" s="109"/>
    </row>
    <row r="1522" spans="3:7" x14ac:dyDescent="0.3">
      <c r="C1522" s="109"/>
      <c r="D1522" s="109"/>
      <c r="E1522" s="109"/>
      <c r="F1522" s="110"/>
      <c r="G1522" s="109"/>
    </row>
    <row r="1523" spans="3:7" x14ac:dyDescent="0.3">
      <c r="C1523" s="109"/>
      <c r="D1523" s="109"/>
      <c r="E1523" s="109"/>
      <c r="F1523" s="110"/>
      <c r="G1523" s="109"/>
    </row>
    <row r="1524" spans="3:7" x14ac:dyDescent="0.3">
      <c r="C1524" s="109"/>
      <c r="D1524" s="109"/>
      <c r="E1524" s="109"/>
      <c r="F1524" s="110"/>
      <c r="G1524" s="109"/>
    </row>
    <row r="1525" spans="3:7" x14ac:dyDescent="0.3">
      <c r="C1525" s="109"/>
      <c r="D1525" s="109"/>
      <c r="E1525" s="109"/>
      <c r="F1525" s="110"/>
      <c r="G1525" s="109"/>
    </row>
    <row r="1526" spans="3:7" x14ac:dyDescent="0.3">
      <c r="C1526" s="109"/>
      <c r="D1526" s="109"/>
      <c r="E1526" s="109"/>
      <c r="F1526" s="110"/>
      <c r="G1526" s="109"/>
    </row>
    <row r="1527" spans="3:7" x14ac:dyDescent="0.3">
      <c r="C1527" s="109"/>
      <c r="D1527" s="109"/>
      <c r="E1527" s="109"/>
      <c r="F1527" s="110"/>
      <c r="G1527" s="109"/>
    </row>
    <row r="1528" spans="3:7" x14ac:dyDescent="0.3">
      <c r="C1528" s="109"/>
      <c r="D1528" s="109"/>
      <c r="E1528" s="109"/>
      <c r="F1528" s="110"/>
      <c r="G1528" s="109"/>
    </row>
    <row r="1529" spans="3:7" x14ac:dyDescent="0.3">
      <c r="C1529" s="109"/>
      <c r="D1529" s="109"/>
      <c r="E1529" s="109"/>
      <c r="F1529" s="110"/>
      <c r="G1529" s="109"/>
    </row>
    <row r="1530" spans="3:7" x14ac:dyDescent="0.3">
      <c r="C1530" s="109"/>
      <c r="D1530" s="109"/>
      <c r="E1530" s="109"/>
      <c r="F1530" s="110"/>
      <c r="G1530" s="109"/>
    </row>
    <row r="1531" spans="3:7" x14ac:dyDescent="0.3">
      <c r="C1531" s="109"/>
      <c r="D1531" s="109"/>
      <c r="E1531" s="109"/>
      <c r="F1531" s="110"/>
      <c r="G1531" s="109"/>
    </row>
    <row r="1532" spans="3:7" x14ac:dyDescent="0.3">
      <c r="C1532" s="109"/>
      <c r="D1532" s="109"/>
      <c r="E1532" s="109"/>
      <c r="F1532" s="110"/>
      <c r="G1532" s="109"/>
    </row>
    <row r="1533" spans="3:7" x14ac:dyDescent="0.3">
      <c r="C1533" s="109"/>
      <c r="D1533" s="109"/>
      <c r="E1533" s="109"/>
      <c r="F1533" s="110"/>
      <c r="G1533" s="109"/>
    </row>
    <row r="1534" spans="3:7" x14ac:dyDescent="0.3">
      <c r="C1534" s="109"/>
      <c r="D1534" s="109"/>
      <c r="E1534" s="109"/>
      <c r="F1534" s="110"/>
      <c r="G1534" s="109"/>
    </row>
    <row r="1535" spans="3:7" x14ac:dyDescent="0.3">
      <c r="C1535" s="109"/>
      <c r="D1535" s="109"/>
      <c r="E1535" s="109"/>
      <c r="F1535" s="110"/>
      <c r="G1535" s="109"/>
    </row>
    <row r="1536" spans="3:7" x14ac:dyDescent="0.3">
      <c r="C1536" s="109"/>
      <c r="D1536" s="109"/>
      <c r="E1536" s="109"/>
      <c r="F1536" s="110"/>
      <c r="G1536" s="109"/>
    </row>
    <row r="1537" spans="3:7" x14ac:dyDescent="0.3">
      <c r="C1537" s="109"/>
      <c r="D1537" s="109"/>
      <c r="E1537" s="109"/>
      <c r="F1537" s="110"/>
      <c r="G1537" s="109"/>
    </row>
    <row r="1538" spans="3:7" x14ac:dyDescent="0.3">
      <c r="C1538" s="109"/>
      <c r="D1538" s="109"/>
      <c r="E1538" s="109"/>
      <c r="F1538" s="110"/>
      <c r="G1538" s="109"/>
    </row>
    <row r="1539" spans="3:7" x14ac:dyDescent="0.3">
      <c r="C1539" s="109"/>
      <c r="D1539" s="109"/>
      <c r="E1539" s="109"/>
      <c r="F1539" s="110"/>
      <c r="G1539" s="109"/>
    </row>
    <row r="1540" spans="3:7" x14ac:dyDescent="0.3">
      <c r="C1540" s="109"/>
      <c r="D1540" s="109"/>
      <c r="E1540" s="109"/>
      <c r="F1540" s="110"/>
      <c r="G1540" s="109"/>
    </row>
    <row r="1541" spans="3:7" x14ac:dyDescent="0.3">
      <c r="C1541" s="109"/>
      <c r="D1541" s="109"/>
      <c r="E1541" s="109"/>
      <c r="F1541" s="110"/>
      <c r="G1541" s="109"/>
    </row>
    <row r="1542" spans="3:7" x14ac:dyDescent="0.3">
      <c r="C1542" s="109"/>
      <c r="D1542" s="109"/>
      <c r="E1542" s="109"/>
      <c r="F1542" s="110"/>
      <c r="G1542" s="109"/>
    </row>
    <row r="1543" spans="3:7" x14ac:dyDescent="0.3">
      <c r="C1543" s="109"/>
      <c r="D1543" s="109"/>
      <c r="E1543" s="109"/>
      <c r="F1543" s="110"/>
      <c r="G1543" s="109"/>
    </row>
    <row r="1544" spans="3:7" x14ac:dyDescent="0.3">
      <c r="C1544" s="109"/>
      <c r="D1544" s="109"/>
      <c r="E1544" s="109"/>
      <c r="F1544" s="110"/>
      <c r="G1544" s="109"/>
    </row>
    <row r="1545" spans="3:7" x14ac:dyDescent="0.3">
      <c r="C1545" s="109"/>
      <c r="D1545" s="109"/>
      <c r="E1545" s="109"/>
      <c r="F1545" s="110"/>
      <c r="G1545" s="109"/>
    </row>
    <row r="1546" spans="3:7" x14ac:dyDescent="0.3">
      <c r="C1546" s="109"/>
      <c r="D1546" s="109"/>
      <c r="E1546" s="109"/>
      <c r="F1546" s="110"/>
      <c r="G1546" s="109"/>
    </row>
    <row r="1547" spans="3:7" x14ac:dyDescent="0.3">
      <c r="C1547" s="109"/>
      <c r="D1547" s="109"/>
      <c r="E1547" s="109"/>
      <c r="F1547" s="110"/>
      <c r="G1547" s="109"/>
    </row>
    <row r="1548" spans="3:7" x14ac:dyDescent="0.3">
      <c r="C1548" s="109"/>
      <c r="D1548" s="109"/>
      <c r="E1548" s="109"/>
      <c r="F1548" s="110"/>
      <c r="G1548" s="109"/>
    </row>
    <row r="1549" spans="3:7" x14ac:dyDescent="0.3">
      <c r="C1549" s="109"/>
      <c r="D1549" s="109"/>
      <c r="E1549" s="109"/>
      <c r="F1549" s="110"/>
      <c r="G1549" s="109"/>
    </row>
    <row r="1550" spans="3:7" x14ac:dyDescent="0.3">
      <c r="C1550" s="109"/>
      <c r="D1550" s="109"/>
      <c r="E1550" s="109"/>
      <c r="F1550" s="110"/>
      <c r="G1550" s="109"/>
    </row>
    <row r="1551" spans="3:7" x14ac:dyDescent="0.3">
      <c r="C1551" s="109"/>
      <c r="D1551" s="109"/>
      <c r="E1551" s="109"/>
      <c r="F1551" s="110"/>
      <c r="G1551" s="109"/>
    </row>
    <row r="1552" spans="3:7" x14ac:dyDescent="0.3">
      <c r="C1552" s="109"/>
      <c r="D1552" s="109"/>
      <c r="E1552" s="109"/>
      <c r="F1552" s="110"/>
      <c r="G1552" s="109"/>
    </row>
    <row r="1553" spans="3:7" x14ac:dyDescent="0.3">
      <c r="C1553" s="109"/>
      <c r="D1553" s="109"/>
      <c r="E1553" s="109"/>
      <c r="F1553" s="110"/>
      <c r="G1553" s="109"/>
    </row>
    <row r="1554" spans="3:7" x14ac:dyDescent="0.3">
      <c r="C1554" s="109"/>
      <c r="D1554" s="109"/>
      <c r="E1554" s="109"/>
      <c r="F1554" s="110"/>
      <c r="G1554" s="109"/>
    </row>
    <row r="1555" spans="3:7" x14ac:dyDescent="0.3">
      <c r="C1555" s="109"/>
      <c r="D1555" s="109"/>
      <c r="E1555" s="109"/>
      <c r="F1555" s="110"/>
      <c r="G1555" s="109"/>
    </row>
    <row r="1556" spans="3:7" x14ac:dyDescent="0.3">
      <c r="C1556" s="109"/>
      <c r="D1556" s="109"/>
      <c r="E1556" s="109"/>
      <c r="F1556" s="110"/>
      <c r="G1556" s="109"/>
    </row>
    <row r="1557" spans="3:7" x14ac:dyDescent="0.3">
      <c r="C1557" s="109"/>
      <c r="D1557" s="109"/>
      <c r="E1557" s="109"/>
      <c r="F1557" s="110"/>
      <c r="G1557" s="109"/>
    </row>
    <row r="1558" spans="3:7" x14ac:dyDescent="0.3">
      <c r="C1558" s="109"/>
      <c r="D1558" s="109"/>
      <c r="E1558" s="109"/>
      <c r="F1558" s="110"/>
      <c r="G1558" s="109"/>
    </row>
    <row r="1559" spans="3:7" x14ac:dyDescent="0.3">
      <c r="C1559" s="109"/>
      <c r="D1559" s="109"/>
      <c r="E1559" s="109"/>
      <c r="F1559" s="110"/>
      <c r="G1559" s="109"/>
    </row>
    <row r="1560" spans="3:7" x14ac:dyDescent="0.3">
      <c r="C1560" s="109"/>
      <c r="D1560" s="109"/>
      <c r="E1560" s="109"/>
      <c r="F1560" s="110"/>
      <c r="G1560" s="109"/>
    </row>
    <row r="1561" spans="3:7" x14ac:dyDescent="0.3">
      <c r="C1561" s="109"/>
      <c r="D1561" s="109"/>
      <c r="E1561" s="109"/>
      <c r="F1561" s="110"/>
      <c r="G1561" s="109"/>
    </row>
    <row r="1562" spans="3:7" x14ac:dyDescent="0.3">
      <c r="C1562" s="109"/>
      <c r="D1562" s="109"/>
      <c r="E1562" s="109"/>
      <c r="F1562" s="110"/>
      <c r="G1562" s="109"/>
    </row>
    <row r="1563" spans="3:7" x14ac:dyDescent="0.3">
      <c r="C1563" s="109"/>
      <c r="D1563" s="109"/>
      <c r="E1563" s="109"/>
      <c r="F1563" s="110"/>
      <c r="G1563" s="109"/>
    </row>
    <row r="1564" spans="3:7" x14ac:dyDescent="0.3">
      <c r="C1564" s="109"/>
      <c r="D1564" s="109"/>
      <c r="E1564" s="109"/>
      <c r="F1564" s="110"/>
      <c r="G1564" s="109"/>
    </row>
    <row r="1565" spans="3:7" x14ac:dyDescent="0.3">
      <c r="C1565" s="109"/>
      <c r="D1565" s="109"/>
      <c r="E1565" s="109"/>
      <c r="F1565" s="110"/>
      <c r="G1565" s="109"/>
    </row>
    <row r="1566" spans="3:7" x14ac:dyDescent="0.3">
      <c r="C1566" s="109"/>
      <c r="D1566" s="109"/>
      <c r="E1566" s="109"/>
      <c r="F1566" s="110"/>
      <c r="G1566" s="109"/>
    </row>
    <row r="1567" spans="3:7" x14ac:dyDescent="0.3">
      <c r="C1567" s="109"/>
      <c r="D1567" s="109"/>
      <c r="E1567" s="109"/>
      <c r="F1567" s="110"/>
      <c r="G1567" s="109"/>
    </row>
    <row r="1568" spans="3:7" x14ac:dyDescent="0.3">
      <c r="C1568" s="109"/>
      <c r="D1568" s="109"/>
      <c r="E1568" s="109"/>
      <c r="F1568" s="110"/>
      <c r="G1568" s="109"/>
    </row>
    <row r="1569" spans="3:7" x14ac:dyDescent="0.3">
      <c r="C1569" s="109"/>
      <c r="D1569" s="109"/>
      <c r="E1569" s="109"/>
      <c r="F1569" s="110"/>
      <c r="G1569" s="109"/>
    </row>
    <row r="1570" spans="3:7" x14ac:dyDescent="0.3">
      <c r="C1570" s="109"/>
      <c r="D1570" s="109"/>
      <c r="E1570" s="109"/>
      <c r="F1570" s="110"/>
      <c r="G1570" s="109"/>
    </row>
    <row r="1571" spans="3:7" x14ac:dyDescent="0.3">
      <c r="C1571" s="109"/>
      <c r="D1571" s="109"/>
      <c r="E1571" s="109"/>
      <c r="F1571" s="110"/>
      <c r="G1571" s="109"/>
    </row>
    <row r="1572" spans="3:7" x14ac:dyDescent="0.3">
      <c r="C1572" s="109"/>
      <c r="D1572" s="109"/>
      <c r="E1572" s="109"/>
      <c r="F1572" s="110"/>
      <c r="G1572" s="109"/>
    </row>
    <row r="1573" spans="3:7" x14ac:dyDescent="0.3">
      <c r="C1573" s="109"/>
      <c r="D1573" s="109"/>
      <c r="E1573" s="109"/>
      <c r="F1573" s="110"/>
      <c r="G1573" s="109"/>
    </row>
    <row r="1574" spans="3:7" x14ac:dyDescent="0.3">
      <c r="C1574" s="109"/>
      <c r="D1574" s="109"/>
      <c r="E1574" s="109"/>
      <c r="F1574" s="110"/>
      <c r="G1574" s="109"/>
    </row>
    <row r="1575" spans="3:7" x14ac:dyDescent="0.3">
      <c r="C1575" s="109"/>
      <c r="D1575" s="109"/>
      <c r="E1575" s="109"/>
      <c r="F1575" s="110"/>
      <c r="G1575" s="109"/>
    </row>
    <row r="1576" spans="3:7" x14ac:dyDescent="0.3">
      <c r="C1576" s="109"/>
      <c r="D1576" s="109"/>
      <c r="E1576" s="109"/>
      <c r="F1576" s="110"/>
      <c r="G1576" s="109"/>
    </row>
    <row r="1577" spans="3:7" x14ac:dyDescent="0.3">
      <c r="C1577" s="109"/>
      <c r="D1577" s="109"/>
      <c r="E1577" s="109"/>
      <c r="F1577" s="110"/>
      <c r="G1577" s="109"/>
    </row>
    <row r="1578" spans="3:7" x14ac:dyDescent="0.3">
      <c r="C1578" s="109"/>
      <c r="D1578" s="109"/>
      <c r="E1578" s="109"/>
      <c r="F1578" s="110"/>
      <c r="G1578" s="109"/>
    </row>
    <row r="1579" spans="3:7" x14ac:dyDescent="0.3">
      <c r="C1579" s="109"/>
      <c r="D1579" s="109"/>
      <c r="E1579" s="109"/>
      <c r="F1579" s="110"/>
      <c r="G1579" s="109"/>
    </row>
    <row r="1580" spans="3:7" x14ac:dyDescent="0.3">
      <c r="C1580" s="109"/>
      <c r="D1580" s="109"/>
      <c r="E1580" s="109"/>
      <c r="F1580" s="110"/>
      <c r="G1580" s="109"/>
    </row>
    <row r="1581" spans="3:7" x14ac:dyDescent="0.3">
      <c r="C1581" s="109"/>
      <c r="D1581" s="109"/>
      <c r="E1581" s="109"/>
      <c r="F1581" s="110"/>
      <c r="G1581" s="109"/>
    </row>
    <row r="1582" spans="3:7" x14ac:dyDescent="0.3">
      <c r="C1582" s="109"/>
      <c r="D1582" s="109"/>
      <c r="E1582" s="109"/>
      <c r="F1582" s="110"/>
      <c r="G1582" s="109"/>
    </row>
    <row r="1583" spans="3:7" x14ac:dyDescent="0.3">
      <c r="C1583" s="109"/>
      <c r="D1583" s="109"/>
      <c r="E1583" s="109"/>
      <c r="F1583" s="110"/>
      <c r="G1583" s="109"/>
    </row>
    <row r="1584" spans="3:7" x14ac:dyDescent="0.3">
      <c r="C1584" s="109"/>
      <c r="D1584" s="109"/>
      <c r="E1584" s="109"/>
      <c r="F1584" s="110"/>
      <c r="G1584" s="109"/>
    </row>
    <row r="1585" spans="3:7" x14ac:dyDescent="0.3">
      <c r="C1585" s="109"/>
      <c r="D1585" s="109"/>
      <c r="E1585" s="109"/>
      <c r="F1585" s="110"/>
      <c r="G1585" s="109"/>
    </row>
    <row r="1586" spans="3:7" x14ac:dyDescent="0.3">
      <c r="C1586" s="109"/>
      <c r="D1586" s="109"/>
      <c r="E1586" s="109"/>
      <c r="F1586" s="110"/>
      <c r="G1586" s="109"/>
    </row>
    <row r="1587" spans="3:7" x14ac:dyDescent="0.3">
      <c r="C1587" s="109"/>
      <c r="D1587" s="109"/>
      <c r="E1587" s="109"/>
      <c r="F1587" s="110"/>
      <c r="G1587" s="109"/>
    </row>
    <row r="1588" spans="3:7" x14ac:dyDescent="0.3">
      <c r="C1588" s="109"/>
      <c r="D1588" s="109"/>
      <c r="E1588" s="109"/>
      <c r="F1588" s="110"/>
      <c r="G1588" s="109"/>
    </row>
    <row r="1589" spans="3:7" x14ac:dyDescent="0.3">
      <c r="C1589" s="109"/>
      <c r="D1589" s="109"/>
      <c r="E1589" s="109"/>
      <c r="F1589" s="110"/>
      <c r="G1589" s="109"/>
    </row>
    <row r="1590" spans="3:7" x14ac:dyDescent="0.3">
      <c r="C1590" s="109"/>
      <c r="D1590" s="109"/>
      <c r="E1590" s="109"/>
      <c r="F1590" s="110"/>
      <c r="G1590" s="109"/>
    </row>
    <row r="1591" spans="3:7" x14ac:dyDescent="0.3">
      <c r="C1591" s="109"/>
      <c r="D1591" s="109"/>
      <c r="E1591" s="109"/>
      <c r="F1591" s="110"/>
      <c r="G1591" s="109"/>
    </row>
    <row r="1592" spans="3:7" x14ac:dyDescent="0.3">
      <c r="C1592" s="109"/>
      <c r="D1592" s="109"/>
      <c r="E1592" s="109"/>
      <c r="F1592" s="110"/>
      <c r="G1592" s="109"/>
    </row>
    <row r="1593" spans="3:7" x14ac:dyDescent="0.3">
      <c r="C1593" s="109"/>
      <c r="D1593" s="109"/>
      <c r="E1593" s="109"/>
      <c r="F1593" s="110"/>
      <c r="G1593" s="109"/>
    </row>
    <row r="1594" spans="3:7" x14ac:dyDescent="0.3">
      <c r="C1594" s="109"/>
      <c r="D1594" s="109"/>
      <c r="E1594" s="109"/>
      <c r="F1594" s="110"/>
      <c r="G1594" s="109"/>
    </row>
    <row r="1595" spans="3:7" x14ac:dyDescent="0.3">
      <c r="C1595" s="109"/>
      <c r="D1595" s="109"/>
      <c r="E1595" s="109"/>
      <c r="F1595" s="110"/>
      <c r="G1595" s="109"/>
    </row>
    <row r="1596" spans="3:7" x14ac:dyDescent="0.3">
      <c r="C1596" s="109"/>
      <c r="D1596" s="109"/>
      <c r="E1596" s="109"/>
      <c r="F1596" s="110"/>
      <c r="G1596" s="109"/>
    </row>
    <row r="1597" spans="3:7" x14ac:dyDescent="0.3">
      <c r="C1597" s="109"/>
      <c r="D1597" s="109"/>
      <c r="E1597" s="109"/>
      <c r="F1597" s="110"/>
      <c r="G1597" s="109"/>
    </row>
    <row r="1598" spans="3:7" x14ac:dyDescent="0.3">
      <c r="C1598" s="109"/>
      <c r="D1598" s="109"/>
      <c r="E1598" s="109"/>
      <c r="F1598" s="110"/>
      <c r="G1598" s="109"/>
    </row>
    <row r="1599" spans="3:7" x14ac:dyDescent="0.3">
      <c r="C1599" s="109"/>
      <c r="D1599" s="109"/>
      <c r="E1599" s="109"/>
      <c r="F1599" s="110"/>
      <c r="G1599" s="109"/>
    </row>
    <row r="1600" spans="3:7" x14ac:dyDescent="0.3">
      <c r="C1600" s="109"/>
      <c r="D1600" s="109"/>
      <c r="E1600" s="109"/>
      <c r="F1600" s="110"/>
      <c r="G1600" s="109"/>
    </row>
    <row r="1601" spans="3:7" x14ac:dyDescent="0.3">
      <c r="C1601" s="109"/>
      <c r="D1601" s="109"/>
      <c r="E1601" s="109"/>
      <c r="F1601" s="110"/>
      <c r="G1601" s="109"/>
    </row>
    <row r="1602" spans="3:7" x14ac:dyDescent="0.3">
      <c r="C1602" s="109"/>
      <c r="D1602" s="109"/>
      <c r="E1602" s="109"/>
      <c r="F1602" s="110"/>
      <c r="G1602" s="109"/>
    </row>
    <row r="1603" spans="3:7" x14ac:dyDescent="0.3">
      <c r="C1603" s="109"/>
      <c r="D1603" s="109"/>
      <c r="E1603" s="109"/>
      <c r="F1603" s="110"/>
      <c r="G1603" s="109"/>
    </row>
    <row r="1604" spans="3:7" x14ac:dyDescent="0.3">
      <c r="C1604" s="109"/>
      <c r="D1604" s="109"/>
      <c r="E1604" s="109"/>
      <c r="F1604" s="110"/>
      <c r="G1604" s="109"/>
    </row>
    <row r="1605" spans="3:7" x14ac:dyDescent="0.3">
      <c r="C1605" s="109"/>
      <c r="D1605" s="109"/>
      <c r="E1605" s="109"/>
      <c r="F1605" s="110"/>
      <c r="G1605" s="109"/>
    </row>
    <row r="1606" spans="3:7" x14ac:dyDescent="0.3">
      <c r="C1606" s="109"/>
      <c r="D1606" s="109"/>
      <c r="E1606" s="109"/>
      <c r="F1606" s="110"/>
      <c r="G1606" s="109"/>
    </row>
    <row r="1607" spans="3:7" x14ac:dyDescent="0.3">
      <c r="C1607" s="109"/>
      <c r="D1607" s="109"/>
      <c r="E1607" s="109"/>
      <c r="F1607" s="110"/>
      <c r="G1607" s="109"/>
    </row>
    <row r="1608" spans="3:7" x14ac:dyDescent="0.3">
      <c r="C1608" s="109"/>
      <c r="D1608" s="109"/>
      <c r="E1608" s="109"/>
      <c r="F1608" s="110"/>
      <c r="G1608" s="109"/>
    </row>
    <row r="1609" spans="3:7" x14ac:dyDescent="0.3">
      <c r="C1609" s="109"/>
      <c r="D1609" s="109"/>
      <c r="E1609" s="109"/>
      <c r="F1609" s="110"/>
      <c r="G1609" s="109"/>
    </row>
    <row r="1610" spans="3:7" x14ac:dyDescent="0.3">
      <c r="C1610" s="109"/>
      <c r="D1610" s="109"/>
      <c r="E1610" s="109"/>
      <c r="F1610" s="110"/>
      <c r="G1610" s="109"/>
    </row>
    <row r="1611" spans="3:7" x14ac:dyDescent="0.3">
      <c r="C1611" s="109"/>
      <c r="D1611" s="109"/>
      <c r="E1611" s="109"/>
      <c r="F1611" s="110"/>
      <c r="G1611" s="109"/>
    </row>
    <row r="1612" spans="3:7" x14ac:dyDescent="0.3">
      <c r="C1612" s="109"/>
      <c r="D1612" s="109"/>
      <c r="E1612" s="109"/>
      <c r="F1612" s="110"/>
      <c r="G1612" s="109"/>
    </row>
    <row r="1613" spans="3:7" x14ac:dyDescent="0.3">
      <c r="C1613" s="109"/>
      <c r="D1613" s="109"/>
      <c r="E1613" s="109"/>
      <c r="F1613" s="110"/>
      <c r="G1613" s="109"/>
    </row>
    <row r="1614" spans="3:7" x14ac:dyDescent="0.3">
      <c r="C1614" s="109"/>
      <c r="D1614" s="109"/>
      <c r="E1614" s="109"/>
      <c r="F1614" s="110"/>
      <c r="G1614" s="109"/>
    </row>
    <row r="1615" spans="3:7" x14ac:dyDescent="0.3">
      <c r="C1615" s="109"/>
      <c r="D1615" s="109"/>
      <c r="E1615" s="109"/>
      <c r="F1615" s="110"/>
      <c r="G1615" s="109"/>
    </row>
    <row r="1616" spans="3:7" x14ac:dyDescent="0.3">
      <c r="C1616" s="109"/>
      <c r="D1616" s="109"/>
      <c r="E1616" s="109"/>
      <c r="F1616" s="110"/>
      <c r="G1616" s="109"/>
    </row>
    <row r="1617" spans="3:7" x14ac:dyDescent="0.3">
      <c r="C1617" s="109"/>
      <c r="D1617" s="109"/>
      <c r="E1617" s="109"/>
      <c r="F1617" s="110"/>
      <c r="G1617" s="109"/>
    </row>
    <row r="1618" spans="3:7" x14ac:dyDescent="0.3">
      <c r="C1618" s="109"/>
      <c r="D1618" s="109"/>
      <c r="E1618" s="109"/>
      <c r="F1618" s="110"/>
      <c r="G1618" s="109"/>
    </row>
    <row r="1619" spans="3:7" x14ac:dyDescent="0.3">
      <c r="C1619" s="109"/>
      <c r="D1619" s="109"/>
      <c r="E1619" s="109"/>
      <c r="F1619" s="110"/>
      <c r="G1619" s="109"/>
    </row>
    <row r="1620" spans="3:7" x14ac:dyDescent="0.3">
      <c r="C1620" s="109"/>
      <c r="D1620" s="109"/>
      <c r="E1620" s="109"/>
      <c r="F1620" s="110"/>
      <c r="G1620" s="109"/>
    </row>
    <row r="1621" spans="3:7" x14ac:dyDescent="0.3">
      <c r="C1621" s="109"/>
      <c r="D1621" s="109"/>
      <c r="E1621" s="109"/>
      <c r="F1621" s="110"/>
      <c r="G1621" s="109"/>
    </row>
    <row r="1622" spans="3:7" x14ac:dyDescent="0.3">
      <c r="C1622" s="109"/>
      <c r="D1622" s="109"/>
      <c r="E1622" s="109"/>
      <c r="F1622" s="110"/>
      <c r="G1622" s="109"/>
    </row>
    <row r="1623" spans="3:7" x14ac:dyDescent="0.3">
      <c r="C1623" s="109"/>
      <c r="D1623" s="109"/>
      <c r="E1623" s="109"/>
      <c r="F1623" s="110"/>
      <c r="G1623" s="109"/>
    </row>
    <row r="1624" spans="3:7" x14ac:dyDescent="0.3">
      <c r="C1624" s="109"/>
      <c r="D1624" s="109"/>
      <c r="E1624" s="109"/>
      <c r="F1624" s="110"/>
      <c r="G1624" s="109"/>
    </row>
    <row r="1625" spans="3:7" x14ac:dyDescent="0.3">
      <c r="C1625" s="109"/>
      <c r="D1625" s="109"/>
      <c r="E1625" s="109"/>
      <c r="F1625" s="110"/>
      <c r="G1625" s="109"/>
    </row>
    <row r="1626" spans="3:7" x14ac:dyDescent="0.3">
      <c r="C1626" s="109"/>
      <c r="D1626" s="109"/>
      <c r="E1626" s="109"/>
      <c r="F1626" s="110"/>
      <c r="G1626" s="109"/>
    </row>
    <row r="1627" spans="3:7" x14ac:dyDescent="0.3">
      <c r="C1627" s="109"/>
      <c r="D1627" s="109"/>
      <c r="E1627" s="109"/>
      <c r="F1627" s="110"/>
      <c r="G1627" s="109"/>
    </row>
    <row r="1628" spans="3:7" x14ac:dyDescent="0.3">
      <c r="C1628" s="109"/>
      <c r="D1628" s="109"/>
      <c r="E1628" s="109"/>
      <c r="F1628" s="110"/>
      <c r="G1628" s="109"/>
    </row>
    <row r="1629" spans="3:7" x14ac:dyDescent="0.3">
      <c r="C1629" s="109"/>
      <c r="D1629" s="109"/>
      <c r="E1629" s="109"/>
      <c r="F1629" s="110"/>
      <c r="G1629" s="109"/>
    </row>
    <row r="1630" spans="3:7" x14ac:dyDescent="0.3">
      <c r="C1630" s="109"/>
      <c r="D1630" s="109"/>
      <c r="E1630" s="109"/>
      <c r="F1630" s="110"/>
      <c r="G1630" s="109"/>
    </row>
    <row r="1631" spans="3:7" x14ac:dyDescent="0.3">
      <c r="C1631" s="109"/>
      <c r="D1631" s="109"/>
      <c r="E1631" s="109"/>
      <c r="F1631" s="110"/>
      <c r="G1631" s="109"/>
    </row>
    <row r="1632" spans="3:7" x14ac:dyDescent="0.3">
      <c r="C1632" s="109"/>
      <c r="D1632" s="109"/>
      <c r="E1632" s="109"/>
      <c r="F1632" s="110"/>
      <c r="G1632" s="109"/>
    </row>
    <row r="1633" spans="3:7" x14ac:dyDescent="0.3">
      <c r="C1633" s="109"/>
      <c r="D1633" s="109"/>
      <c r="E1633" s="109"/>
      <c r="F1633" s="110"/>
      <c r="G1633" s="109"/>
    </row>
    <row r="1634" spans="3:7" x14ac:dyDescent="0.3">
      <c r="C1634" s="109"/>
      <c r="D1634" s="109"/>
      <c r="E1634" s="109"/>
      <c r="F1634" s="110"/>
      <c r="G1634" s="109"/>
    </row>
    <row r="1635" spans="3:7" x14ac:dyDescent="0.3">
      <c r="C1635" s="109"/>
      <c r="D1635" s="109"/>
      <c r="E1635" s="109"/>
      <c r="F1635" s="110"/>
      <c r="G1635" s="109"/>
    </row>
    <row r="1636" spans="3:7" x14ac:dyDescent="0.3">
      <c r="C1636" s="109"/>
      <c r="D1636" s="109"/>
      <c r="E1636" s="109"/>
      <c r="F1636" s="110"/>
      <c r="G1636" s="109"/>
    </row>
    <row r="1637" spans="3:7" x14ac:dyDescent="0.3">
      <c r="C1637" s="109"/>
      <c r="D1637" s="109"/>
      <c r="E1637" s="109"/>
      <c r="F1637" s="110"/>
      <c r="G1637" s="109"/>
    </row>
    <row r="1638" spans="3:7" x14ac:dyDescent="0.3">
      <c r="C1638" s="109"/>
      <c r="D1638" s="109"/>
      <c r="E1638" s="109"/>
      <c r="F1638" s="110"/>
      <c r="G1638" s="109"/>
    </row>
    <row r="1639" spans="3:7" x14ac:dyDescent="0.3">
      <c r="C1639" s="109"/>
      <c r="D1639" s="109"/>
      <c r="E1639" s="109"/>
      <c r="F1639" s="110"/>
      <c r="G1639" s="109"/>
    </row>
    <row r="1640" spans="3:7" x14ac:dyDescent="0.3">
      <c r="C1640" s="109"/>
      <c r="D1640" s="109"/>
      <c r="E1640" s="109"/>
      <c r="F1640" s="110"/>
      <c r="G1640" s="109"/>
    </row>
    <row r="1641" spans="3:7" x14ac:dyDescent="0.3">
      <c r="C1641" s="109"/>
      <c r="D1641" s="109"/>
      <c r="E1641" s="109"/>
      <c r="F1641" s="110"/>
      <c r="G1641" s="109"/>
    </row>
    <row r="1642" spans="3:7" x14ac:dyDescent="0.3">
      <c r="C1642" s="109"/>
      <c r="D1642" s="109"/>
      <c r="E1642" s="109"/>
      <c r="F1642" s="110"/>
      <c r="G1642" s="109"/>
    </row>
    <row r="1643" spans="3:7" x14ac:dyDescent="0.3">
      <c r="C1643" s="109"/>
      <c r="D1643" s="109"/>
      <c r="E1643" s="109"/>
      <c r="F1643" s="110"/>
      <c r="G1643" s="109"/>
    </row>
    <row r="1644" spans="3:7" x14ac:dyDescent="0.3">
      <c r="C1644" s="109"/>
      <c r="D1644" s="109"/>
      <c r="E1644" s="109"/>
      <c r="F1644" s="110"/>
      <c r="G1644" s="109"/>
    </row>
    <row r="1645" spans="3:7" x14ac:dyDescent="0.3">
      <c r="C1645" s="109"/>
      <c r="D1645" s="109"/>
      <c r="E1645" s="109"/>
      <c r="F1645" s="110"/>
      <c r="G1645" s="109"/>
    </row>
    <row r="1646" spans="3:7" x14ac:dyDescent="0.3">
      <c r="C1646" s="109"/>
      <c r="D1646" s="109"/>
      <c r="E1646" s="109"/>
      <c r="F1646" s="110"/>
      <c r="G1646" s="109"/>
    </row>
    <row r="1647" spans="3:7" x14ac:dyDescent="0.3">
      <c r="C1647" s="109"/>
      <c r="D1647" s="109"/>
      <c r="E1647" s="109"/>
      <c r="F1647" s="110"/>
      <c r="G1647" s="109"/>
    </row>
    <row r="1648" spans="3:7" x14ac:dyDescent="0.3">
      <c r="C1648" s="109"/>
      <c r="D1648" s="109"/>
      <c r="E1648" s="109"/>
      <c r="F1648" s="110"/>
      <c r="G1648" s="109"/>
    </row>
    <row r="1649" spans="3:7" x14ac:dyDescent="0.3">
      <c r="C1649" s="109"/>
      <c r="D1649" s="109"/>
      <c r="E1649" s="109"/>
      <c r="F1649" s="110"/>
      <c r="G1649" s="109"/>
    </row>
    <row r="1650" spans="3:7" x14ac:dyDescent="0.3">
      <c r="C1650" s="109"/>
      <c r="D1650" s="109"/>
      <c r="E1650" s="109"/>
      <c r="F1650" s="110"/>
      <c r="G1650" s="109"/>
    </row>
    <row r="1651" spans="3:7" x14ac:dyDescent="0.3">
      <c r="C1651" s="109"/>
      <c r="D1651" s="109"/>
      <c r="E1651" s="109"/>
      <c r="F1651" s="110"/>
      <c r="G1651" s="109"/>
    </row>
    <row r="1652" spans="3:7" x14ac:dyDescent="0.3">
      <c r="C1652" s="109"/>
      <c r="D1652" s="109"/>
      <c r="E1652" s="109"/>
      <c r="F1652" s="110"/>
      <c r="G1652" s="109"/>
    </row>
    <row r="1653" spans="3:7" x14ac:dyDescent="0.3">
      <c r="C1653" s="109"/>
      <c r="D1653" s="109"/>
      <c r="E1653" s="109"/>
      <c r="F1653" s="110"/>
      <c r="G1653" s="109"/>
    </row>
    <row r="1654" spans="3:7" x14ac:dyDescent="0.3">
      <c r="C1654" s="109"/>
      <c r="D1654" s="109"/>
      <c r="E1654" s="109"/>
      <c r="F1654" s="110"/>
      <c r="G1654" s="109"/>
    </row>
    <row r="1655" spans="3:7" x14ac:dyDescent="0.3">
      <c r="C1655" s="109"/>
      <c r="D1655" s="109"/>
      <c r="E1655" s="109"/>
      <c r="F1655" s="110"/>
      <c r="G1655" s="109"/>
    </row>
    <row r="1656" spans="3:7" x14ac:dyDescent="0.3">
      <c r="C1656" s="109"/>
      <c r="D1656" s="109"/>
      <c r="E1656" s="109"/>
      <c r="F1656" s="110"/>
      <c r="G1656" s="109"/>
    </row>
    <row r="1657" spans="3:7" x14ac:dyDescent="0.3">
      <c r="C1657" s="109"/>
      <c r="D1657" s="109"/>
      <c r="E1657" s="109"/>
      <c r="F1657" s="110"/>
      <c r="G1657" s="109"/>
    </row>
    <row r="1658" spans="3:7" x14ac:dyDescent="0.3">
      <c r="C1658" s="109"/>
      <c r="D1658" s="109"/>
      <c r="E1658" s="109"/>
      <c r="F1658" s="110"/>
      <c r="G1658" s="109"/>
    </row>
    <row r="1659" spans="3:7" x14ac:dyDescent="0.3">
      <c r="C1659" s="109"/>
      <c r="D1659" s="109"/>
      <c r="E1659" s="109"/>
      <c r="F1659" s="110"/>
      <c r="G1659" s="109"/>
    </row>
    <row r="1660" spans="3:7" x14ac:dyDescent="0.3">
      <c r="C1660" s="109"/>
      <c r="D1660" s="109"/>
      <c r="E1660" s="109"/>
      <c r="F1660" s="110"/>
      <c r="G1660" s="109"/>
    </row>
    <row r="1661" spans="3:7" x14ac:dyDescent="0.3">
      <c r="C1661" s="109"/>
      <c r="D1661" s="109"/>
      <c r="E1661" s="109"/>
      <c r="F1661" s="110"/>
      <c r="G1661" s="109"/>
    </row>
    <row r="1662" spans="3:7" x14ac:dyDescent="0.3">
      <c r="C1662" s="109"/>
      <c r="D1662" s="109"/>
      <c r="E1662" s="109"/>
      <c r="F1662" s="110"/>
      <c r="G1662" s="109"/>
    </row>
    <row r="1663" spans="3:7" x14ac:dyDescent="0.3">
      <c r="C1663" s="109"/>
      <c r="D1663" s="109"/>
      <c r="E1663" s="109"/>
      <c r="F1663" s="110"/>
      <c r="G1663" s="109"/>
    </row>
    <row r="1664" spans="3:7" x14ac:dyDescent="0.3">
      <c r="C1664" s="109"/>
      <c r="D1664" s="109"/>
      <c r="E1664" s="109"/>
      <c r="F1664" s="110"/>
      <c r="G1664" s="109"/>
    </row>
    <row r="1665" spans="3:7" x14ac:dyDescent="0.3">
      <c r="C1665" s="109"/>
      <c r="D1665" s="109"/>
      <c r="E1665" s="109"/>
      <c r="F1665" s="110"/>
      <c r="G1665" s="109"/>
    </row>
    <row r="1666" spans="3:7" x14ac:dyDescent="0.3">
      <c r="C1666" s="109"/>
      <c r="D1666" s="109"/>
      <c r="E1666" s="109"/>
      <c r="F1666" s="110"/>
      <c r="G1666" s="109"/>
    </row>
    <row r="1667" spans="3:7" x14ac:dyDescent="0.3">
      <c r="C1667" s="109"/>
      <c r="D1667" s="109"/>
      <c r="E1667" s="109"/>
      <c r="F1667" s="110"/>
      <c r="G1667" s="109"/>
    </row>
    <row r="1668" spans="3:7" x14ac:dyDescent="0.3">
      <c r="C1668" s="109"/>
      <c r="D1668" s="109"/>
      <c r="E1668" s="109"/>
      <c r="F1668" s="110"/>
      <c r="G1668" s="109"/>
    </row>
    <row r="1669" spans="3:7" x14ac:dyDescent="0.3">
      <c r="C1669" s="109"/>
      <c r="D1669" s="109"/>
      <c r="E1669" s="109"/>
      <c r="F1669" s="110"/>
      <c r="G1669" s="109"/>
    </row>
    <row r="1670" spans="3:7" x14ac:dyDescent="0.3">
      <c r="C1670" s="109"/>
      <c r="D1670" s="109"/>
      <c r="E1670" s="109"/>
      <c r="F1670" s="110"/>
      <c r="G1670" s="109"/>
    </row>
    <row r="1671" spans="3:7" x14ac:dyDescent="0.3">
      <c r="C1671" s="109"/>
      <c r="D1671" s="109"/>
      <c r="E1671" s="109"/>
      <c r="F1671" s="110"/>
      <c r="G1671" s="109"/>
    </row>
    <row r="1672" spans="3:7" x14ac:dyDescent="0.3">
      <c r="C1672" s="109"/>
      <c r="D1672" s="109"/>
      <c r="E1672" s="109"/>
      <c r="F1672" s="110"/>
      <c r="G1672" s="109"/>
    </row>
    <row r="1673" spans="3:7" x14ac:dyDescent="0.3">
      <c r="C1673" s="109"/>
      <c r="D1673" s="109"/>
      <c r="E1673" s="109"/>
      <c r="F1673" s="110"/>
      <c r="G1673" s="109"/>
    </row>
    <row r="1674" spans="3:7" x14ac:dyDescent="0.3">
      <c r="C1674" s="109"/>
      <c r="D1674" s="109"/>
      <c r="E1674" s="109"/>
      <c r="F1674" s="110"/>
      <c r="G1674" s="109"/>
    </row>
    <row r="1675" spans="3:7" x14ac:dyDescent="0.3">
      <c r="C1675" s="109"/>
      <c r="D1675" s="109"/>
      <c r="E1675" s="109"/>
      <c r="F1675" s="110"/>
      <c r="G1675" s="109"/>
    </row>
    <row r="1676" spans="3:7" x14ac:dyDescent="0.3">
      <c r="C1676" s="109"/>
      <c r="D1676" s="109"/>
      <c r="E1676" s="109"/>
      <c r="F1676" s="110"/>
      <c r="G1676" s="109"/>
    </row>
    <row r="1677" spans="3:7" x14ac:dyDescent="0.3">
      <c r="C1677" s="109"/>
      <c r="D1677" s="109"/>
      <c r="E1677" s="109"/>
      <c r="F1677" s="110"/>
      <c r="G1677" s="109"/>
    </row>
    <row r="1678" spans="3:7" x14ac:dyDescent="0.3">
      <c r="C1678" s="109"/>
      <c r="D1678" s="109"/>
      <c r="E1678" s="109"/>
      <c r="F1678" s="110"/>
      <c r="G1678" s="109"/>
    </row>
    <row r="1679" spans="3:7" x14ac:dyDescent="0.3">
      <c r="C1679" s="109"/>
      <c r="D1679" s="109"/>
      <c r="E1679" s="109"/>
      <c r="F1679" s="110"/>
      <c r="G1679" s="109"/>
    </row>
    <row r="1680" spans="3:7" x14ac:dyDescent="0.3">
      <c r="C1680" s="109"/>
      <c r="D1680" s="109"/>
      <c r="E1680" s="109"/>
      <c r="F1680" s="110"/>
      <c r="G1680" s="109"/>
    </row>
    <row r="1681" spans="3:7" x14ac:dyDescent="0.3">
      <c r="C1681" s="109"/>
      <c r="D1681" s="109"/>
      <c r="E1681" s="109"/>
      <c r="F1681" s="110"/>
      <c r="G1681" s="109"/>
    </row>
    <row r="1682" spans="3:7" x14ac:dyDescent="0.3">
      <c r="C1682" s="109"/>
      <c r="D1682" s="109"/>
      <c r="E1682" s="109"/>
      <c r="F1682" s="110"/>
      <c r="G1682" s="109"/>
    </row>
    <row r="1683" spans="3:7" x14ac:dyDescent="0.3">
      <c r="C1683" s="109"/>
      <c r="D1683" s="109"/>
      <c r="E1683" s="109"/>
      <c r="F1683" s="110"/>
      <c r="G1683" s="109"/>
    </row>
    <row r="1684" spans="3:7" x14ac:dyDescent="0.3">
      <c r="C1684" s="109"/>
      <c r="D1684" s="109"/>
      <c r="E1684" s="109"/>
      <c r="F1684" s="110"/>
      <c r="G1684" s="109"/>
    </row>
    <row r="1685" spans="3:7" x14ac:dyDescent="0.3">
      <c r="C1685" s="109"/>
      <c r="D1685" s="109"/>
      <c r="E1685" s="109"/>
      <c r="F1685" s="110"/>
      <c r="G1685" s="109"/>
    </row>
    <row r="1686" spans="3:7" x14ac:dyDescent="0.3">
      <c r="C1686" s="109"/>
      <c r="D1686" s="109"/>
      <c r="E1686" s="109"/>
      <c r="F1686" s="110"/>
      <c r="G1686" s="109"/>
    </row>
    <row r="1687" spans="3:7" x14ac:dyDescent="0.3">
      <c r="C1687" s="109"/>
      <c r="D1687" s="109"/>
      <c r="E1687" s="109"/>
      <c r="F1687" s="110"/>
      <c r="G1687" s="109"/>
    </row>
    <row r="1688" spans="3:7" x14ac:dyDescent="0.3">
      <c r="C1688" s="109"/>
      <c r="D1688" s="109"/>
      <c r="E1688" s="109"/>
      <c r="F1688" s="110"/>
      <c r="G1688" s="109"/>
    </row>
    <row r="1689" spans="3:7" x14ac:dyDescent="0.3">
      <c r="C1689" s="109"/>
      <c r="D1689" s="109"/>
      <c r="E1689" s="109"/>
      <c r="F1689" s="110"/>
      <c r="G1689" s="109"/>
    </row>
    <row r="1690" spans="3:7" x14ac:dyDescent="0.3">
      <c r="C1690" s="109"/>
      <c r="D1690" s="109"/>
      <c r="E1690" s="109"/>
      <c r="F1690" s="110"/>
      <c r="G1690" s="109"/>
    </row>
    <row r="1691" spans="3:7" x14ac:dyDescent="0.3">
      <c r="C1691" s="109"/>
      <c r="D1691" s="109"/>
      <c r="E1691" s="109"/>
      <c r="F1691" s="110"/>
      <c r="G1691" s="109"/>
    </row>
    <row r="1692" spans="3:7" x14ac:dyDescent="0.3">
      <c r="C1692" s="109"/>
      <c r="D1692" s="109"/>
      <c r="E1692" s="109"/>
      <c r="F1692" s="110"/>
      <c r="G1692" s="109"/>
    </row>
    <row r="1693" spans="3:7" x14ac:dyDescent="0.3">
      <c r="C1693" s="109"/>
      <c r="D1693" s="109"/>
      <c r="E1693" s="109"/>
      <c r="F1693" s="110"/>
      <c r="G1693" s="109"/>
    </row>
    <row r="1694" spans="3:7" x14ac:dyDescent="0.3">
      <c r="C1694" s="109"/>
      <c r="D1694" s="109"/>
      <c r="E1694" s="109"/>
      <c r="F1694" s="110"/>
      <c r="G1694" s="109"/>
    </row>
    <row r="1695" spans="3:7" x14ac:dyDescent="0.3">
      <c r="C1695" s="109"/>
      <c r="D1695" s="109"/>
      <c r="E1695" s="109"/>
      <c r="F1695" s="110"/>
      <c r="G1695" s="109"/>
    </row>
    <row r="1696" spans="3:7" x14ac:dyDescent="0.3">
      <c r="C1696" s="109"/>
      <c r="D1696" s="109"/>
      <c r="E1696" s="109"/>
      <c r="F1696" s="110"/>
      <c r="G1696" s="109"/>
    </row>
    <row r="1697" spans="3:7" x14ac:dyDescent="0.3">
      <c r="C1697" s="109"/>
      <c r="D1697" s="109"/>
      <c r="E1697" s="109"/>
      <c r="F1697" s="110"/>
      <c r="G1697" s="109"/>
    </row>
    <row r="1698" spans="3:7" x14ac:dyDescent="0.3">
      <c r="C1698" s="109"/>
      <c r="D1698" s="109"/>
      <c r="E1698" s="109"/>
      <c r="F1698" s="110"/>
      <c r="G1698" s="109"/>
    </row>
    <row r="1699" spans="3:7" x14ac:dyDescent="0.3">
      <c r="C1699" s="109"/>
      <c r="D1699" s="109"/>
      <c r="E1699" s="109"/>
      <c r="F1699" s="110"/>
      <c r="G1699" s="109"/>
    </row>
    <row r="1700" spans="3:7" x14ac:dyDescent="0.3">
      <c r="C1700" s="109"/>
      <c r="D1700" s="109"/>
      <c r="E1700" s="109"/>
      <c r="F1700" s="110"/>
      <c r="G1700" s="109"/>
    </row>
    <row r="1701" spans="3:7" x14ac:dyDescent="0.3">
      <c r="C1701" s="109"/>
      <c r="D1701" s="109"/>
      <c r="E1701" s="109"/>
      <c r="F1701" s="110"/>
      <c r="G1701" s="109"/>
    </row>
    <row r="1702" spans="3:7" x14ac:dyDescent="0.3">
      <c r="C1702" s="109"/>
      <c r="D1702" s="109"/>
      <c r="E1702" s="109"/>
      <c r="F1702" s="110"/>
      <c r="G1702" s="109"/>
    </row>
    <row r="1703" spans="3:7" x14ac:dyDescent="0.3">
      <c r="C1703" s="109"/>
      <c r="D1703" s="109"/>
      <c r="E1703" s="109"/>
      <c r="F1703" s="110"/>
      <c r="G1703" s="109"/>
    </row>
    <row r="1704" spans="3:7" x14ac:dyDescent="0.3">
      <c r="C1704" s="109"/>
      <c r="D1704" s="109"/>
      <c r="E1704" s="109"/>
      <c r="F1704" s="110"/>
      <c r="G1704" s="109"/>
    </row>
    <row r="1705" spans="3:7" x14ac:dyDescent="0.3">
      <c r="C1705" s="109"/>
      <c r="D1705" s="109"/>
      <c r="E1705" s="109"/>
      <c r="F1705" s="110"/>
      <c r="G1705" s="109"/>
    </row>
    <row r="1706" spans="3:7" x14ac:dyDescent="0.3">
      <c r="C1706" s="109"/>
      <c r="D1706" s="109"/>
      <c r="E1706" s="109"/>
      <c r="F1706" s="110"/>
      <c r="G1706" s="109"/>
    </row>
    <row r="1707" spans="3:7" x14ac:dyDescent="0.3">
      <c r="C1707" s="109"/>
      <c r="D1707" s="109"/>
      <c r="E1707" s="109"/>
      <c r="F1707" s="110"/>
      <c r="G1707" s="109"/>
    </row>
    <row r="1708" spans="3:7" x14ac:dyDescent="0.3">
      <c r="C1708" s="109"/>
      <c r="D1708" s="109"/>
      <c r="E1708" s="109"/>
      <c r="F1708" s="110"/>
      <c r="G1708" s="109"/>
    </row>
    <row r="1709" spans="3:7" x14ac:dyDescent="0.3">
      <c r="C1709" s="109"/>
      <c r="D1709" s="109"/>
      <c r="E1709" s="109"/>
      <c r="F1709" s="110"/>
      <c r="G1709" s="109"/>
    </row>
    <row r="1710" spans="3:7" x14ac:dyDescent="0.3">
      <c r="C1710" s="109"/>
      <c r="D1710" s="109"/>
      <c r="E1710" s="109"/>
      <c r="F1710" s="110"/>
      <c r="G1710" s="109"/>
    </row>
    <row r="1711" spans="3:7" x14ac:dyDescent="0.3">
      <c r="C1711" s="109"/>
      <c r="D1711" s="109"/>
      <c r="E1711" s="109"/>
      <c r="F1711" s="110"/>
      <c r="G1711" s="109"/>
    </row>
    <row r="1712" spans="3:7" x14ac:dyDescent="0.3">
      <c r="C1712" s="109"/>
      <c r="D1712" s="109"/>
      <c r="E1712" s="109"/>
      <c r="F1712" s="110"/>
      <c r="G1712" s="109"/>
    </row>
    <row r="1713" spans="3:7" x14ac:dyDescent="0.3">
      <c r="C1713" s="109"/>
      <c r="D1713" s="109"/>
      <c r="E1713" s="109"/>
      <c r="F1713" s="110"/>
      <c r="G1713" s="109"/>
    </row>
    <row r="1714" spans="3:7" x14ac:dyDescent="0.3">
      <c r="C1714" s="109"/>
      <c r="D1714" s="109"/>
      <c r="E1714" s="109"/>
      <c r="F1714" s="110"/>
      <c r="G1714" s="109"/>
    </row>
    <row r="1715" spans="3:7" x14ac:dyDescent="0.3">
      <c r="C1715" s="109"/>
      <c r="D1715" s="109"/>
      <c r="E1715" s="109"/>
      <c r="F1715" s="110"/>
      <c r="G1715" s="109"/>
    </row>
    <row r="1716" spans="3:7" x14ac:dyDescent="0.3">
      <c r="C1716" s="109"/>
      <c r="D1716" s="109"/>
      <c r="E1716" s="109"/>
      <c r="F1716" s="110"/>
      <c r="G1716" s="109"/>
    </row>
    <row r="1717" spans="3:7" x14ac:dyDescent="0.3">
      <c r="C1717" s="109"/>
      <c r="D1717" s="109"/>
      <c r="E1717" s="109"/>
      <c r="F1717" s="110"/>
      <c r="G1717" s="109"/>
    </row>
    <row r="1718" spans="3:7" x14ac:dyDescent="0.3">
      <c r="C1718" s="109"/>
      <c r="D1718" s="109"/>
      <c r="E1718" s="109"/>
      <c r="F1718" s="110"/>
      <c r="G1718" s="109"/>
    </row>
    <row r="1719" spans="3:7" x14ac:dyDescent="0.3">
      <c r="C1719" s="109"/>
      <c r="D1719" s="109"/>
      <c r="E1719" s="109"/>
      <c r="F1719" s="110"/>
      <c r="G1719" s="109"/>
    </row>
    <row r="1720" spans="3:7" x14ac:dyDescent="0.3">
      <c r="C1720" s="109"/>
      <c r="D1720" s="109"/>
      <c r="E1720" s="109"/>
      <c r="F1720" s="110"/>
      <c r="G1720" s="109"/>
    </row>
    <row r="1721" spans="3:7" x14ac:dyDescent="0.3">
      <c r="C1721" s="109"/>
      <c r="D1721" s="109"/>
      <c r="E1721" s="109"/>
      <c r="F1721" s="110"/>
      <c r="G1721" s="109"/>
    </row>
    <row r="1722" spans="3:7" x14ac:dyDescent="0.3">
      <c r="C1722" s="109"/>
      <c r="D1722" s="109"/>
      <c r="E1722" s="109"/>
      <c r="F1722" s="110"/>
      <c r="G1722" s="109"/>
    </row>
    <row r="1723" spans="3:7" x14ac:dyDescent="0.3">
      <c r="C1723" s="109"/>
      <c r="D1723" s="109"/>
      <c r="E1723" s="109"/>
      <c r="F1723" s="110"/>
      <c r="G1723" s="109"/>
    </row>
    <row r="1724" spans="3:7" x14ac:dyDescent="0.3">
      <c r="C1724" s="109"/>
      <c r="D1724" s="109"/>
      <c r="E1724" s="109"/>
      <c r="F1724" s="110"/>
      <c r="G1724" s="109"/>
    </row>
    <row r="1725" spans="3:7" x14ac:dyDescent="0.3">
      <c r="C1725" s="109"/>
      <c r="D1725" s="109"/>
      <c r="E1725" s="109"/>
      <c r="F1725" s="110"/>
      <c r="G1725" s="109"/>
    </row>
    <row r="1726" spans="3:7" x14ac:dyDescent="0.3">
      <c r="C1726" s="109"/>
      <c r="D1726" s="109"/>
      <c r="E1726" s="109"/>
      <c r="F1726" s="110"/>
      <c r="G1726" s="109"/>
    </row>
    <row r="1727" spans="3:7" x14ac:dyDescent="0.3">
      <c r="C1727" s="109"/>
      <c r="D1727" s="109"/>
      <c r="E1727" s="109"/>
      <c r="F1727" s="110"/>
      <c r="G1727" s="109"/>
    </row>
    <row r="1728" spans="3:7" x14ac:dyDescent="0.3">
      <c r="C1728" s="109"/>
      <c r="D1728" s="109"/>
      <c r="E1728" s="109"/>
      <c r="F1728" s="110"/>
      <c r="G1728" s="109"/>
    </row>
    <row r="1729" spans="3:7" x14ac:dyDescent="0.3">
      <c r="C1729" s="109"/>
      <c r="D1729" s="109"/>
      <c r="E1729" s="109"/>
      <c r="F1729" s="110"/>
      <c r="G1729" s="109"/>
    </row>
    <row r="1730" spans="3:7" x14ac:dyDescent="0.3">
      <c r="C1730" s="109"/>
      <c r="D1730" s="109"/>
      <c r="E1730" s="109"/>
      <c r="F1730" s="110"/>
      <c r="G1730" s="109"/>
    </row>
    <row r="1731" spans="3:7" x14ac:dyDescent="0.3">
      <c r="C1731" s="109"/>
      <c r="D1731" s="109"/>
      <c r="E1731" s="109"/>
      <c r="F1731" s="110"/>
      <c r="G1731" s="109"/>
    </row>
    <row r="1732" spans="3:7" x14ac:dyDescent="0.3">
      <c r="C1732" s="109"/>
      <c r="D1732" s="109"/>
      <c r="E1732" s="109"/>
      <c r="F1732" s="110"/>
      <c r="G1732" s="109"/>
    </row>
    <row r="1733" spans="3:7" x14ac:dyDescent="0.3">
      <c r="C1733" s="109"/>
      <c r="D1733" s="109"/>
      <c r="E1733" s="109"/>
      <c r="F1733" s="110"/>
      <c r="G1733" s="109"/>
    </row>
    <row r="1734" spans="3:7" x14ac:dyDescent="0.3">
      <c r="C1734" s="109"/>
      <c r="D1734" s="109"/>
      <c r="E1734" s="109"/>
      <c r="F1734" s="110"/>
      <c r="G1734" s="109"/>
    </row>
    <row r="1735" spans="3:7" x14ac:dyDescent="0.3">
      <c r="C1735" s="109"/>
      <c r="D1735" s="109"/>
      <c r="E1735" s="109"/>
      <c r="F1735" s="110"/>
      <c r="G1735" s="109"/>
    </row>
    <row r="1736" spans="3:7" x14ac:dyDescent="0.3">
      <c r="C1736" s="109"/>
      <c r="D1736" s="109"/>
      <c r="E1736" s="109"/>
      <c r="F1736" s="110"/>
      <c r="G1736" s="109"/>
    </row>
    <row r="1737" spans="3:7" x14ac:dyDescent="0.3">
      <c r="C1737" s="109"/>
      <c r="D1737" s="109"/>
      <c r="E1737" s="109"/>
      <c r="F1737" s="110"/>
      <c r="G1737" s="109"/>
    </row>
    <row r="1738" spans="3:7" x14ac:dyDescent="0.3">
      <c r="C1738" s="109"/>
      <c r="D1738" s="109"/>
      <c r="E1738" s="109"/>
      <c r="F1738" s="110"/>
      <c r="G1738" s="109"/>
    </row>
    <row r="1739" spans="3:7" x14ac:dyDescent="0.3">
      <c r="C1739" s="109"/>
      <c r="D1739" s="109"/>
      <c r="E1739" s="109"/>
      <c r="F1739" s="110"/>
      <c r="G1739" s="109"/>
    </row>
    <row r="1740" spans="3:7" x14ac:dyDescent="0.3">
      <c r="C1740" s="109"/>
      <c r="D1740" s="109"/>
      <c r="E1740" s="109"/>
      <c r="F1740" s="110"/>
      <c r="G1740" s="109"/>
    </row>
    <row r="1741" spans="3:7" x14ac:dyDescent="0.3">
      <c r="C1741" s="109"/>
      <c r="D1741" s="109"/>
      <c r="E1741" s="109"/>
      <c r="F1741" s="110"/>
      <c r="G1741" s="109"/>
    </row>
    <row r="1742" spans="3:7" x14ac:dyDescent="0.3">
      <c r="C1742" s="109"/>
      <c r="D1742" s="109"/>
      <c r="E1742" s="109"/>
      <c r="F1742" s="110"/>
      <c r="G1742" s="109"/>
    </row>
    <row r="1743" spans="3:7" x14ac:dyDescent="0.3">
      <c r="C1743" s="109"/>
      <c r="D1743" s="109"/>
      <c r="E1743" s="109"/>
      <c r="F1743" s="110"/>
      <c r="G1743" s="109"/>
    </row>
    <row r="1744" spans="3:7" x14ac:dyDescent="0.3">
      <c r="C1744" s="109"/>
      <c r="D1744" s="109"/>
      <c r="E1744" s="109"/>
      <c r="F1744" s="110"/>
      <c r="G1744" s="109"/>
    </row>
    <row r="1745" spans="3:7" x14ac:dyDescent="0.3">
      <c r="C1745" s="109"/>
      <c r="D1745" s="109"/>
      <c r="E1745" s="109"/>
      <c r="F1745" s="110"/>
      <c r="G1745" s="109"/>
    </row>
    <row r="1746" spans="3:7" x14ac:dyDescent="0.3">
      <c r="C1746" s="109"/>
      <c r="D1746" s="109"/>
      <c r="E1746" s="109"/>
      <c r="F1746" s="110"/>
      <c r="G1746" s="109"/>
    </row>
    <row r="1747" spans="3:7" x14ac:dyDescent="0.3">
      <c r="C1747" s="109"/>
      <c r="D1747" s="109"/>
      <c r="E1747" s="109"/>
      <c r="F1747" s="110"/>
      <c r="G1747" s="109"/>
    </row>
    <row r="1748" spans="3:7" x14ac:dyDescent="0.3">
      <c r="C1748" s="109"/>
      <c r="D1748" s="109"/>
      <c r="E1748" s="109"/>
      <c r="F1748" s="110"/>
      <c r="G1748" s="109"/>
    </row>
    <row r="1749" spans="3:7" x14ac:dyDescent="0.3">
      <c r="C1749" s="109"/>
      <c r="D1749" s="109"/>
      <c r="E1749" s="109"/>
      <c r="F1749" s="110"/>
      <c r="G1749" s="109"/>
    </row>
    <row r="1750" spans="3:7" x14ac:dyDescent="0.3">
      <c r="C1750" s="109"/>
      <c r="D1750" s="109"/>
      <c r="E1750" s="109"/>
      <c r="F1750" s="110"/>
      <c r="G1750" s="109"/>
    </row>
    <row r="1751" spans="3:7" x14ac:dyDescent="0.3">
      <c r="C1751" s="109"/>
      <c r="D1751" s="109"/>
      <c r="E1751" s="109"/>
      <c r="F1751" s="110"/>
      <c r="G1751" s="109"/>
    </row>
    <row r="1752" spans="3:7" x14ac:dyDescent="0.3">
      <c r="C1752" s="109"/>
      <c r="D1752" s="109"/>
      <c r="E1752" s="109"/>
      <c r="F1752" s="110"/>
      <c r="G1752" s="109"/>
    </row>
    <row r="1753" spans="3:7" x14ac:dyDescent="0.3">
      <c r="C1753" s="109"/>
      <c r="D1753" s="109"/>
      <c r="E1753" s="109"/>
      <c r="F1753" s="110"/>
      <c r="G1753" s="109"/>
    </row>
    <row r="1754" spans="3:7" x14ac:dyDescent="0.3">
      <c r="C1754" s="109"/>
      <c r="D1754" s="109"/>
      <c r="E1754" s="109"/>
      <c r="F1754" s="110"/>
      <c r="G1754" s="109"/>
    </row>
    <row r="1755" spans="3:7" x14ac:dyDescent="0.3">
      <c r="C1755" s="109"/>
      <c r="D1755" s="109"/>
      <c r="E1755" s="109"/>
      <c r="F1755" s="110"/>
      <c r="G1755" s="109"/>
    </row>
    <row r="1756" spans="3:7" x14ac:dyDescent="0.3">
      <c r="C1756" s="109"/>
      <c r="D1756" s="109"/>
      <c r="E1756" s="109"/>
      <c r="F1756" s="110"/>
      <c r="G1756" s="109"/>
    </row>
    <row r="1757" spans="3:7" x14ac:dyDescent="0.3">
      <c r="C1757" s="109"/>
      <c r="D1757" s="109"/>
      <c r="E1757" s="109"/>
      <c r="F1757" s="110"/>
      <c r="G1757" s="109"/>
    </row>
    <row r="1758" spans="3:7" x14ac:dyDescent="0.3">
      <c r="C1758" s="109"/>
      <c r="D1758" s="109"/>
      <c r="E1758" s="109"/>
      <c r="F1758" s="110"/>
      <c r="G1758" s="109"/>
    </row>
    <row r="1759" spans="3:7" x14ac:dyDescent="0.3">
      <c r="C1759" s="109"/>
      <c r="D1759" s="109"/>
      <c r="E1759" s="109"/>
      <c r="F1759" s="110"/>
      <c r="G1759" s="109"/>
    </row>
    <row r="1760" spans="3:7" x14ac:dyDescent="0.3">
      <c r="C1760" s="109"/>
      <c r="D1760" s="109"/>
      <c r="E1760" s="109"/>
      <c r="F1760" s="110"/>
      <c r="G1760" s="109"/>
    </row>
    <row r="1761" spans="3:7" x14ac:dyDescent="0.3">
      <c r="C1761" s="109"/>
      <c r="D1761" s="109"/>
      <c r="E1761" s="109"/>
      <c r="F1761" s="110"/>
      <c r="G1761" s="109"/>
    </row>
    <row r="1762" spans="3:7" x14ac:dyDescent="0.3">
      <c r="C1762" s="109"/>
      <c r="D1762" s="109"/>
      <c r="E1762" s="109"/>
      <c r="F1762" s="110"/>
      <c r="G1762" s="109"/>
    </row>
    <row r="1763" spans="3:7" x14ac:dyDescent="0.3">
      <c r="C1763" s="109"/>
      <c r="D1763" s="109"/>
      <c r="E1763" s="109"/>
      <c r="F1763" s="110"/>
      <c r="G1763" s="109"/>
    </row>
    <row r="1764" spans="3:7" x14ac:dyDescent="0.3">
      <c r="C1764" s="109"/>
      <c r="D1764" s="109"/>
      <c r="E1764" s="109"/>
      <c r="F1764" s="110"/>
      <c r="G1764" s="109"/>
    </row>
    <row r="1765" spans="3:7" x14ac:dyDescent="0.3">
      <c r="C1765" s="109"/>
      <c r="D1765" s="109"/>
      <c r="E1765" s="109"/>
      <c r="F1765" s="110"/>
      <c r="G1765" s="109"/>
    </row>
    <row r="1766" spans="3:7" x14ac:dyDescent="0.3">
      <c r="C1766" s="109"/>
      <c r="D1766" s="109"/>
      <c r="E1766" s="109"/>
      <c r="F1766" s="110"/>
      <c r="G1766" s="109"/>
    </row>
    <row r="1767" spans="3:7" x14ac:dyDescent="0.3">
      <c r="C1767" s="109"/>
      <c r="D1767" s="109"/>
      <c r="E1767" s="109"/>
      <c r="F1767" s="110"/>
      <c r="G1767" s="109"/>
    </row>
    <row r="1768" spans="3:7" x14ac:dyDescent="0.3">
      <c r="C1768" s="109"/>
      <c r="D1768" s="109"/>
      <c r="E1768" s="109"/>
      <c r="F1768" s="110"/>
      <c r="G1768" s="109"/>
    </row>
    <row r="1769" spans="3:7" x14ac:dyDescent="0.3">
      <c r="C1769" s="109"/>
      <c r="D1769" s="109"/>
      <c r="E1769" s="109"/>
      <c r="F1769" s="110"/>
      <c r="G1769" s="109"/>
    </row>
    <row r="1770" spans="3:7" x14ac:dyDescent="0.3">
      <c r="C1770" s="109"/>
      <c r="D1770" s="109"/>
      <c r="E1770" s="109"/>
      <c r="F1770" s="110"/>
      <c r="G1770" s="109"/>
    </row>
    <row r="1771" spans="3:7" x14ac:dyDescent="0.3">
      <c r="C1771" s="109"/>
      <c r="D1771" s="109"/>
      <c r="E1771" s="109"/>
      <c r="F1771" s="110"/>
      <c r="G1771" s="109"/>
    </row>
    <row r="1772" spans="3:7" x14ac:dyDescent="0.3">
      <c r="C1772" s="109"/>
      <c r="D1772" s="109"/>
      <c r="E1772" s="109"/>
      <c r="F1772" s="110"/>
      <c r="G1772" s="109"/>
    </row>
    <row r="1773" spans="3:7" x14ac:dyDescent="0.3">
      <c r="C1773" s="109"/>
      <c r="D1773" s="109"/>
      <c r="E1773" s="109"/>
      <c r="F1773" s="110"/>
      <c r="G1773" s="109"/>
    </row>
    <row r="1774" spans="3:7" x14ac:dyDescent="0.3">
      <c r="C1774" s="109"/>
      <c r="D1774" s="109"/>
      <c r="E1774" s="109"/>
      <c r="F1774" s="110"/>
      <c r="G1774" s="109"/>
    </row>
    <row r="1775" spans="3:7" x14ac:dyDescent="0.3">
      <c r="C1775" s="109"/>
      <c r="D1775" s="109"/>
      <c r="E1775" s="109"/>
      <c r="F1775" s="110"/>
      <c r="G1775" s="109"/>
    </row>
    <row r="1776" spans="3:7" x14ac:dyDescent="0.3">
      <c r="C1776" s="109"/>
      <c r="D1776" s="109"/>
      <c r="E1776" s="109"/>
      <c r="F1776" s="110"/>
      <c r="G1776" s="109"/>
    </row>
    <row r="1777" spans="3:7" x14ac:dyDescent="0.3">
      <c r="C1777" s="109"/>
      <c r="D1777" s="109"/>
      <c r="E1777" s="109"/>
      <c r="F1777" s="110"/>
      <c r="G1777" s="109"/>
    </row>
    <row r="1778" spans="3:7" x14ac:dyDescent="0.3">
      <c r="C1778" s="109"/>
      <c r="D1778" s="109"/>
      <c r="E1778" s="109"/>
      <c r="F1778" s="110"/>
      <c r="G1778" s="109"/>
    </row>
    <row r="1779" spans="3:7" x14ac:dyDescent="0.3">
      <c r="C1779" s="109"/>
      <c r="D1779" s="109"/>
      <c r="E1779" s="109"/>
      <c r="F1779" s="110"/>
      <c r="G1779" s="109"/>
    </row>
    <row r="1780" spans="3:7" x14ac:dyDescent="0.3">
      <c r="C1780" s="109"/>
      <c r="D1780" s="109"/>
      <c r="E1780" s="109"/>
      <c r="F1780" s="110"/>
      <c r="G1780" s="109"/>
    </row>
    <row r="1781" spans="3:7" x14ac:dyDescent="0.3">
      <c r="C1781" s="109"/>
      <c r="D1781" s="109"/>
      <c r="E1781" s="109"/>
      <c r="F1781" s="110"/>
      <c r="G1781" s="109"/>
    </row>
    <row r="1782" spans="3:7" x14ac:dyDescent="0.3">
      <c r="C1782" s="109"/>
      <c r="D1782" s="109"/>
      <c r="E1782" s="109"/>
      <c r="F1782" s="110"/>
      <c r="G1782" s="109"/>
    </row>
    <row r="1783" spans="3:7" x14ac:dyDescent="0.3">
      <c r="C1783" s="109"/>
      <c r="D1783" s="109"/>
      <c r="E1783" s="109"/>
      <c r="F1783" s="110"/>
      <c r="G1783" s="109"/>
    </row>
    <row r="1784" spans="3:7" x14ac:dyDescent="0.3">
      <c r="C1784" s="109"/>
      <c r="D1784" s="109"/>
      <c r="E1784" s="109"/>
      <c r="F1784" s="110"/>
      <c r="G1784" s="109"/>
    </row>
    <row r="1785" spans="3:7" x14ac:dyDescent="0.3">
      <c r="C1785" s="109"/>
      <c r="D1785" s="109"/>
      <c r="E1785" s="109"/>
      <c r="F1785" s="110"/>
      <c r="G1785" s="109"/>
    </row>
    <row r="1786" spans="3:7" x14ac:dyDescent="0.3">
      <c r="C1786" s="109"/>
      <c r="D1786" s="109"/>
      <c r="E1786" s="109"/>
      <c r="F1786" s="110"/>
      <c r="G1786" s="109"/>
    </row>
    <row r="1787" spans="3:7" x14ac:dyDescent="0.3">
      <c r="C1787" s="109"/>
      <c r="D1787" s="109"/>
      <c r="E1787" s="109"/>
      <c r="F1787" s="110"/>
      <c r="G1787" s="109"/>
    </row>
    <row r="1788" spans="3:7" x14ac:dyDescent="0.3">
      <c r="C1788" s="109"/>
      <c r="D1788" s="109"/>
      <c r="E1788" s="109"/>
      <c r="F1788" s="110"/>
      <c r="G1788" s="109"/>
    </row>
    <row r="1789" spans="3:7" x14ac:dyDescent="0.3">
      <c r="C1789" s="109"/>
      <c r="D1789" s="109"/>
      <c r="E1789" s="109"/>
      <c r="F1789" s="110"/>
      <c r="G1789" s="109"/>
    </row>
    <row r="1790" spans="3:7" x14ac:dyDescent="0.3">
      <c r="C1790" s="109"/>
      <c r="D1790" s="109"/>
      <c r="E1790" s="109"/>
      <c r="F1790" s="110"/>
      <c r="G1790" s="109"/>
    </row>
    <row r="1791" spans="3:7" x14ac:dyDescent="0.3">
      <c r="C1791" s="109"/>
      <c r="D1791" s="109"/>
      <c r="E1791" s="109"/>
      <c r="F1791" s="110"/>
      <c r="G1791" s="109"/>
    </row>
    <row r="1792" spans="3:7" x14ac:dyDescent="0.3">
      <c r="C1792" s="109"/>
      <c r="D1792" s="109"/>
      <c r="E1792" s="109"/>
      <c r="F1792" s="110"/>
      <c r="G1792" s="109"/>
    </row>
    <row r="1793" spans="3:7" x14ac:dyDescent="0.3">
      <c r="C1793" s="109"/>
      <c r="D1793" s="109"/>
      <c r="E1793" s="109"/>
      <c r="F1793" s="110"/>
      <c r="G1793" s="109"/>
    </row>
    <row r="1794" spans="3:7" x14ac:dyDescent="0.3">
      <c r="C1794" s="109"/>
      <c r="D1794" s="109"/>
      <c r="E1794" s="109"/>
      <c r="F1794" s="110"/>
      <c r="G1794" s="109"/>
    </row>
    <row r="1795" spans="3:7" x14ac:dyDescent="0.3">
      <c r="C1795" s="109"/>
      <c r="D1795" s="109"/>
      <c r="E1795" s="109"/>
      <c r="F1795" s="110"/>
      <c r="G1795" s="109"/>
    </row>
    <row r="1796" spans="3:7" x14ac:dyDescent="0.3">
      <c r="C1796" s="109"/>
      <c r="D1796" s="109"/>
      <c r="E1796" s="109"/>
      <c r="F1796" s="110"/>
      <c r="G1796" s="109"/>
    </row>
    <row r="1797" spans="3:7" x14ac:dyDescent="0.3">
      <c r="C1797" s="109"/>
      <c r="D1797" s="109"/>
      <c r="E1797" s="109"/>
      <c r="F1797" s="110"/>
      <c r="G1797" s="109"/>
    </row>
    <row r="1798" spans="3:7" x14ac:dyDescent="0.3">
      <c r="C1798" s="109"/>
      <c r="D1798" s="109"/>
      <c r="E1798" s="109"/>
      <c r="F1798" s="110"/>
      <c r="G1798" s="109"/>
    </row>
    <row r="1799" spans="3:7" x14ac:dyDescent="0.3">
      <c r="C1799" s="109"/>
      <c r="D1799" s="109"/>
      <c r="E1799" s="109"/>
      <c r="F1799" s="110"/>
      <c r="G1799" s="109"/>
    </row>
    <row r="1800" spans="3:7" x14ac:dyDescent="0.3">
      <c r="C1800" s="109"/>
      <c r="D1800" s="109"/>
      <c r="E1800" s="109"/>
      <c r="F1800" s="110"/>
      <c r="G1800" s="109"/>
    </row>
    <row r="1801" spans="3:7" x14ac:dyDescent="0.3">
      <c r="C1801" s="109"/>
      <c r="D1801" s="109"/>
      <c r="E1801" s="109"/>
      <c r="F1801" s="110"/>
      <c r="G1801" s="109"/>
    </row>
    <row r="1802" spans="3:7" x14ac:dyDescent="0.3">
      <c r="C1802" s="109"/>
      <c r="D1802" s="109"/>
      <c r="E1802" s="109"/>
      <c r="F1802" s="110"/>
      <c r="G1802" s="109"/>
    </row>
    <row r="1803" spans="3:7" x14ac:dyDescent="0.3">
      <c r="C1803" s="109"/>
      <c r="D1803" s="109"/>
      <c r="E1803" s="109"/>
      <c r="F1803" s="110"/>
      <c r="G1803" s="109"/>
    </row>
    <row r="1804" spans="3:7" x14ac:dyDescent="0.3">
      <c r="C1804" s="109"/>
      <c r="D1804" s="109"/>
      <c r="E1804" s="109"/>
      <c r="F1804" s="110"/>
      <c r="G1804" s="109"/>
    </row>
    <row r="1805" spans="3:7" x14ac:dyDescent="0.3">
      <c r="C1805" s="109"/>
      <c r="D1805" s="109"/>
      <c r="E1805" s="109"/>
      <c r="F1805" s="110"/>
      <c r="G1805" s="109"/>
    </row>
    <row r="1806" spans="3:7" x14ac:dyDescent="0.3">
      <c r="C1806" s="109"/>
      <c r="D1806" s="109"/>
      <c r="E1806" s="109"/>
      <c r="F1806" s="110"/>
      <c r="G1806" s="109"/>
    </row>
    <row r="1807" spans="3:7" x14ac:dyDescent="0.3">
      <c r="C1807" s="109"/>
      <c r="D1807" s="109"/>
      <c r="E1807" s="109"/>
      <c r="F1807" s="110"/>
      <c r="G1807" s="109"/>
    </row>
    <row r="1808" spans="3:7" x14ac:dyDescent="0.3">
      <c r="C1808" s="109"/>
      <c r="D1808" s="109"/>
      <c r="E1808" s="109"/>
      <c r="F1808" s="110"/>
      <c r="G1808" s="109"/>
    </row>
    <row r="1809" spans="3:7" x14ac:dyDescent="0.3">
      <c r="C1809" s="109"/>
      <c r="D1809" s="109"/>
      <c r="E1809" s="109"/>
      <c r="F1809" s="110"/>
      <c r="G1809" s="109"/>
    </row>
    <row r="1810" spans="3:7" x14ac:dyDescent="0.3">
      <c r="C1810" s="109"/>
      <c r="D1810" s="109"/>
      <c r="E1810" s="109"/>
      <c r="F1810" s="110"/>
      <c r="G1810" s="109"/>
    </row>
    <row r="1811" spans="3:7" x14ac:dyDescent="0.3">
      <c r="C1811" s="109"/>
      <c r="D1811" s="109"/>
      <c r="E1811" s="109"/>
      <c r="F1811" s="110"/>
      <c r="G1811" s="109"/>
    </row>
    <row r="1812" spans="3:7" x14ac:dyDescent="0.3">
      <c r="C1812" s="109"/>
      <c r="D1812" s="109"/>
      <c r="E1812" s="109"/>
      <c r="F1812" s="110"/>
      <c r="G1812" s="109"/>
    </row>
    <row r="1813" spans="3:7" x14ac:dyDescent="0.3">
      <c r="C1813" s="109"/>
      <c r="D1813" s="109"/>
      <c r="E1813" s="109"/>
      <c r="F1813" s="110"/>
      <c r="G1813" s="109"/>
    </row>
    <row r="1814" spans="3:7" x14ac:dyDescent="0.3">
      <c r="C1814" s="109"/>
      <c r="D1814" s="109"/>
      <c r="E1814" s="109"/>
      <c r="F1814" s="110"/>
      <c r="G1814" s="109"/>
    </row>
    <row r="1815" spans="3:7" x14ac:dyDescent="0.3">
      <c r="C1815" s="109"/>
      <c r="D1815" s="109"/>
      <c r="E1815" s="109"/>
      <c r="F1815" s="110"/>
      <c r="G1815" s="109"/>
    </row>
    <row r="1816" spans="3:7" x14ac:dyDescent="0.3">
      <c r="C1816" s="109"/>
      <c r="D1816" s="109"/>
      <c r="E1816" s="109"/>
      <c r="F1816" s="110"/>
      <c r="G1816" s="109"/>
    </row>
    <row r="1817" spans="3:7" x14ac:dyDescent="0.3">
      <c r="C1817" s="109"/>
      <c r="D1817" s="109"/>
      <c r="E1817" s="109"/>
      <c r="F1817" s="110"/>
      <c r="G1817" s="109"/>
    </row>
    <row r="1818" spans="3:7" x14ac:dyDescent="0.3">
      <c r="C1818" s="109"/>
      <c r="D1818" s="109"/>
      <c r="E1818" s="109"/>
      <c r="F1818" s="110"/>
      <c r="G1818" s="109"/>
    </row>
    <row r="1819" spans="3:7" x14ac:dyDescent="0.3">
      <c r="C1819" s="109"/>
      <c r="D1819" s="109"/>
      <c r="E1819" s="109"/>
      <c r="F1819" s="110"/>
      <c r="G1819" s="109"/>
    </row>
    <row r="1820" spans="3:7" x14ac:dyDescent="0.3">
      <c r="C1820" s="109"/>
      <c r="D1820" s="109"/>
      <c r="E1820" s="109"/>
      <c r="F1820" s="110"/>
      <c r="G1820" s="109"/>
    </row>
    <row r="1821" spans="3:7" x14ac:dyDescent="0.3">
      <c r="C1821" s="109"/>
      <c r="D1821" s="109"/>
      <c r="E1821" s="109"/>
      <c r="F1821" s="110"/>
      <c r="G1821" s="109"/>
    </row>
    <row r="1822" spans="3:7" x14ac:dyDescent="0.3">
      <c r="C1822" s="109"/>
      <c r="D1822" s="109"/>
      <c r="E1822" s="109"/>
      <c r="F1822" s="110"/>
      <c r="G1822" s="109"/>
    </row>
    <row r="1823" spans="3:7" x14ac:dyDescent="0.3">
      <c r="C1823" s="109"/>
      <c r="D1823" s="109"/>
      <c r="E1823" s="109"/>
      <c r="F1823" s="110"/>
      <c r="G1823" s="109"/>
    </row>
    <row r="1824" spans="3:7" x14ac:dyDescent="0.3">
      <c r="C1824" s="109"/>
      <c r="D1824" s="109"/>
      <c r="E1824" s="109"/>
      <c r="F1824" s="110"/>
      <c r="G1824" s="109"/>
    </row>
    <row r="1825" spans="3:7" x14ac:dyDescent="0.3">
      <c r="C1825" s="109"/>
      <c r="D1825" s="109"/>
      <c r="E1825" s="109"/>
      <c r="F1825" s="110"/>
      <c r="G1825" s="109"/>
    </row>
    <row r="1826" spans="3:7" x14ac:dyDescent="0.3">
      <c r="C1826" s="109"/>
      <c r="D1826" s="109"/>
      <c r="E1826" s="109"/>
      <c r="F1826" s="110"/>
      <c r="G1826" s="109"/>
    </row>
    <row r="1827" spans="3:7" x14ac:dyDescent="0.3">
      <c r="C1827" s="109"/>
      <c r="D1827" s="109"/>
      <c r="E1827" s="109"/>
      <c r="F1827" s="110"/>
      <c r="G1827" s="109"/>
    </row>
    <row r="1828" spans="3:7" x14ac:dyDescent="0.3">
      <c r="C1828" s="109"/>
      <c r="D1828" s="109"/>
      <c r="E1828" s="109"/>
      <c r="F1828" s="110"/>
      <c r="G1828" s="109"/>
    </row>
    <row r="1829" spans="3:7" x14ac:dyDescent="0.3">
      <c r="C1829" s="109"/>
      <c r="D1829" s="109"/>
      <c r="E1829" s="109"/>
      <c r="F1829" s="110"/>
      <c r="G1829" s="109"/>
    </row>
    <row r="1830" spans="3:7" x14ac:dyDescent="0.3">
      <c r="C1830" s="109"/>
      <c r="D1830" s="109"/>
      <c r="E1830" s="109"/>
      <c r="F1830" s="110"/>
      <c r="G1830" s="109"/>
    </row>
    <row r="1831" spans="3:7" x14ac:dyDescent="0.3">
      <c r="C1831" s="109"/>
      <c r="D1831" s="109"/>
      <c r="E1831" s="109"/>
      <c r="F1831" s="110"/>
      <c r="G1831" s="109"/>
    </row>
    <row r="1832" spans="3:7" x14ac:dyDescent="0.3">
      <c r="C1832" s="109"/>
      <c r="D1832" s="109"/>
      <c r="E1832" s="109"/>
      <c r="F1832" s="110"/>
      <c r="G1832" s="109"/>
    </row>
    <row r="1833" spans="3:7" x14ac:dyDescent="0.3">
      <c r="C1833" s="109"/>
      <c r="D1833" s="109"/>
      <c r="E1833" s="109"/>
      <c r="F1833" s="110"/>
      <c r="G1833" s="109"/>
    </row>
    <row r="1834" spans="3:7" x14ac:dyDescent="0.3">
      <c r="C1834" s="109"/>
      <c r="D1834" s="109"/>
      <c r="E1834" s="109"/>
      <c r="F1834" s="110"/>
      <c r="G1834" s="109"/>
    </row>
    <row r="1835" spans="3:7" x14ac:dyDescent="0.3">
      <c r="C1835" s="109"/>
      <c r="D1835" s="109"/>
      <c r="E1835" s="109"/>
      <c r="F1835" s="110"/>
      <c r="G1835" s="109"/>
    </row>
    <row r="1836" spans="3:7" x14ac:dyDescent="0.3">
      <c r="C1836" s="109"/>
      <c r="D1836" s="109"/>
      <c r="E1836" s="109"/>
      <c r="F1836" s="110"/>
      <c r="G1836" s="109"/>
    </row>
    <row r="1837" spans="3:7" x14ac:dyDescent="0.3">
      <c r="C1837" s="109"/>
      <c r="D1837" s="109"/>
      <c r="E1837" s="109"/>
      <c r="F1837" s="110"/>
      <c r="G1837" s="109"/>
    </row>
    <row r="1838" spans="3:7" x14ac:dyDescent="0.3">
      <c r="C1838" s="109"/>
      <c r="D1838" s="109"/>
      <c r="E1838" s="109"/>
      <c r="F1838" s="110"/>
      <c r="G1838" s="109"/>
    </row>
    <row r="1839" spans="3:7" x14ac:dyDescent="0.3">
      <c r="C1839" s="109"/>
      <c r="D1839" s="109"/>
      <c r="E1839" s="109"/>
      <c r="F1839" s="110"/>
      <c r="G1839" s="109"/>
    </row>
    <row r="1840" spans="3:7" x14ac:dyDescent="0.3">
      <c r="C1840" s="109"/>
      <c r="D1840" s="109"/>
      <c r="E1840" s="109"/>
      <c r="F1840" s="110"/>
      <c r="G1840" s="109"/>
    </row>
    <row r="1841" spans="3:7" x14ac:dyDescent="0.3">
      <c r="C1841" s="109"/>
      <c r="D1841" s="109"/>
      <c r="E1841" s="109"/>
      <c r="F1841" s="110"/>
      <c r="G1841" s="109"/>
    </row>
    <row r="1842" spans="3:7" x14ac:dyDescent="0.3">
      <c r="C1842" s="109"/>
      <c r="D1842" s="109"/>
      <c r="E1842" s="109"/>
      <c r="F1842" s="110"/>
      <c r="G1842" s="109"/>
    </row>
    <row r="1843" spans="3:7" x14ac:dyDescent="0.3">
      <c r="C1843" s="109"/>
      <c r="D1843" s="109"/>
      <c r="E1843" s="109"/>
      <c r="F1843" s="110"/>
      <c r="G1843" s="109"/>
    </row>
    <row r="1844" spans="3:7" x14ac:dyDescent="0.3">
      <c r="C1844" s="109"/>
      <c r="D1844" s="109"/>
      <c r="E1844" s="109"/>
      <c r="F1844" s="110"/>
      <c r="G1844" s="109"/>
    </row>
    <row r="1845" spans="3:7" x14ac:dyDescent="0.3">
      <c r="C1845" s="109"/>
      <c r="D1845" s="109"/>
      <c r="E1845" s="109"/>
      <c r="F1845" s="110"/>
      <c r="G1845" s="109"/>
    </row>
    <row r="1846" spans="3:7" x14ac:dyDescent="0.3">
      <c r="C1846" s="109"/>
      <c r="D1846" s="109"/>
      <c r="E1846" s="109"/>
      <c r="F1846" s="110"/>
      <c r="G1846" s="109"/>
    </row>
    <row r="1847" spans="3:7" x14ac:dyDescent="0.3">
      <c r="C1847" s="109"/>
      <c r="D1847" s="109"/>
      <c r="E1847" s="109"/>
      <c r="F1847" s="110"/>
      <c r="G1847" s="109"/>
    </row>
    <row r="1848" spans="3:7" x14ac:dyDescent="0.3">
      <c r="C1848" s="109"/>
      <c r="D1848" s="109"/>
      <c r="E1848" s="109"/>
      <c r="F1848" s="110"/>
      <c r="G1848" s="109"/>
    </row>
    <row r="1849" spans="3:7" x14ac:dyDescent="0.3">
      <c r="C1849" s="109"/>
      <c r="D1849" s="109"/>
      <c r="E1849" s="109"/>
      <c r="F1849" s="110"/>
      <c r="G1849" s="109"/>
    </row>
    <row r="1850" spans="3:7" x14ac:dyDescent="0.3">
      <c r="C1850" s="109"/>
      <c r="D1850" s="109"/>
      <c r="E1850" s="109"/>
      <c r="F1850" s="110"/>
      <c r="G1850" s="109"/>
    </row>
    <row r="1851" spans="3:7" x14ac:dyDescent="0.3">
      <c r="C1851" s="109"/>
      <c r="D1851" s="109"/>
      <c r="E1851" s="109"/>
      <c r="F1851" s="110"/>
      <c r="G1851" s="109"/>
    </row>
    <row r="1852" spans="3:7" x14ac:dyDescent="0.3">
      <c r="C1852" s="109"/>
      <c r="D1852" s="109"/>
      <c r="E1852" s="109"/>
      <c r="F1852" s="110"/>
      <c r="G1852" s="109"/>
    </row>
    <row r="1853" spans="3:7" x14ac:dyDescent="0.3">
      <c r="C1853" s="109"/>
      <c r="D1853" s="109"/>
      <c r="E1853" s="109"/>
      <c r="F1853" s="110"/>
      <c r="G1853" s="109"/>
    </row>
    <row r="1854" spans="3:7" x14ac:dyDescent="0.3">
      <c r="C1854" s="109"/>
      <c r="D1854" s="109"/>
      <c r="E1854" s="109"/>
      <c r="F1854" s="110"/>
      <c r="G1854" s="109"/>
    </row>
    <row r="1855" spans="3:7" x14ac:dyDescent="0.3">
      <c r="C1855" s="109"/>
      <c r="D1855" s="109"/>
      <c r="E1855" s="109"/>
      <c r="F1855" s="110"/>
      <c r="G1855" s="109"/>
    </row>
    <row r="1856" spans="3:7" x14ac:dyDescent="0.3">
      <c r="C1856" s="109"/>
      <c r="D1856" s="109"/>
      <c r="E1856" s="109"/>
      <c r="F1856" s="110"/>
      <c r="G1856" s="109"/>
    </row>
    <row r="1857" spans="3:7" x14ac:dyDescent="0.3">
      <c r="C1857" s="109"/>
      <c r="D1857" s="109"/>
      <c r="E1857" s="109"/>
      <c r="F1857" s="110"/>
      <c r="G1857" s="109"/>
    </row>
    <row r="1858" spans="3:7" x14ac:dyDescent="0.3">
      <c r="C1858" s="109"/>
      <c r="D1858" s="109"/>
      <c r="E1858" s="109"/>
      <c r="F1858" s="110"/>
      <c r="G1858" s="109"/>
    </row>
    <row r="1859" spans="3:7" x14ac:dyDescent="0.3">
      <c r="C1859" s="109"/>
      <c r="D1859" s="109"/>
      <c r="E1859" s="109"/>
      <c r="F1859" s="110"/>
      <c r="G1859" s="109"/>
    </row>
    <row r="1860" spans="3:7" x14ac:dyDescent="0.3">
      <c r="C1860" s="109"/>
      <c r="D1860" s="109"/>
      <c r="E1860" s="109"/>
      <c r="F1860" s="110"/>
      <c r="G1860" s="109"/>
    </row>
    <row r="1861" spans="3:7" x14ac:dyDescent="0.3">
      <c r="C1861" s="109"/>
      <c r="D1861" s="109"/>
      <c r="E1861" s="109"/>
      <c r="F1861" s="110"/>
      <c r="G1861" s="109"/>
    </row>
    <row r="1862" spans="3:7" x14ac:dyDescent="0.3">
      <c r="C1862" s="109"/>
      <c r="D1862" s="109"/>
      <c r="E1862" s="109"/>
      <c r="F1862" s="110"/>
      <c r="G1862" s="109"/>
    </row>
    <row r="1863" spans="3:7" x14ac:dyDescent="0.3">
      <c r="C1863" s="109"/>
      <c r="D1863" s="109"/>
      <c r="E1863" s="109"/>
      <c r="F1863" s="110"/>
      <c r="G1863" s="109"/>
    </row>
    <row r="1864" spans="3:7" x14ac:dyDescent="0.3">
      <c r="C1864" s="109"/>
      <c r="D1864" s="109"/>
      <c r="E1864" s="109"/>
      <c r="F1864" s="110"/>
      <c r="G1864" s="109"/>
    </row>
    <row r="1865" spans="3:7" x14ac:dyDescent="0.3">
      <c r="C1865" s="109"/>
      <c r="D1865" s="109"/>
      <c r="E1865" s="109"/>
      <c r="F1865" s="110"/>
      <c r="G1865" s="109"/>
    </row>
    <row r="1866" spans="3:7" x14ac:dyDescent="0.3">
      <c r="C1866" s="109"/>
      <c r="D1866" s="109"/>
      <c r="E1866" s="109"/>
      <c r="F1866" s="110"/>
      <c r="G1866" s="109"/>
    </row>
    <row r="1867" spans="3:7" x14ac:dyDescent="0.3">
      <c r="C1867" s="109"/>
      <c r="D1867" s="109"/>
      <c r="E1867" s="109"/>
      <c r="F1867" s="110"/>
      <c r="G1867" s="109"/>
    </row>
    <row r="1868" spans="3:7" x14ac:dyDescent="0.3">
      <c r="C1868" s="109"/>
      <c r="D1868" s="109"/>
      <c r="E1868" s="109"/>
      <c r="F1868" s="110"/>
      <c r="G1868" s="109"/>
    </row>
    <row r="1869" spans="3:7" x14ac:dyDescent="0.3">
      <c r="C1869" s="109"/>
      <c r="D1869" s="109"/>
      <c r="E1869" s="109"/>
      <c r="F1869" s="110"/>
      <c r="G1869" s="109"/>
    </row>
    <row r="1870" spans="3:7" x14ac:dyDescent="0.3">
      <c r="C1870" s="109"/>
      <c r="D1870" s="109"/>
      <c r="E1870" s="109"/>
      <c r="F1870" s="110"/>
      <c r="G1870" s="109"/>
    </row>
    <row r="1871" spans="3:7" x14ac:dyDescent="0.3">
      <c r="C1871" s="109"/>
      <c r="D1871" s="109"/>
      <c r="E1871" s="109"/>
      <c r="F1871" s="110"/>
      <c r="G1871" s="109"/>
    </row>
    <row r="1872" spans="3:7" x14ac:dyDescent="0.3">
      <c r="C1872" s="109"/>
      <c r="D1872" s="109"/>
      <c r="E1872" s="109"/>
      <c r="F1872" s="110"/>
      <c r="G1872" s="109"/>
    </row>
    <row r="1873" spans="3:7" x14ac:dyDescent="0.3">
      <c r="C1873" s="109"/>
      <c r="D1873" s="109"/>
      <c r="E1873" s="109"/>
      <c r="F1873" s="110"/>
      <c r="G1873" s="109"/>
    </row>
    <row r="1874" spans="3:7" x14ac:dyDescent="0.3">
      <c r="C1874" s="109"/>
      <c r="D1874" s="109"/>
      <c r="E1874" s="109"/>
      <c r="F1874" s="110"/>
      <c r="G1874" s="109"/>
    </row>
    <row r="1875" spans="3:7" x14ac:dyDescent="0.3">
      <c r="C1875" s="109"/>
      <c r="D1875" s="109"/>
      <c r="E1875" s="109"/>
      <c r="F1875" s="110"/>
      <c r="G1875" s="109"/>
    </row>
    <row r="1876" spans="3:7" x14ac:dyDescent="0.3">
      <c r="C1876" s="109"/>
      <c r="D1876" s="109"/>
      <c r="E1876" s="109"/>
      <c r="F1876" s="110"/>
      <c r="G1876" s="109"/>
    </row>
    <row r="1877" spans="3:7" x14ac:dyDescent="0.3">
      <c r="C1877" s="109"/>
      <c r="D1877" s="109"/>
      <c r="E1877" s="109"/>
      <c r="F1877" s="110"/>
      <c r="G1877" s="109"/>
    </row>
    <row r="1878" spans="3:7" x14ac:dyDescent="0.3">
      <c r="C1878" s="109"/>
      <c r="D1878" s="109"/>
      <c r="E1878" s="109"/>
      <c r="F1878" s="110"/>
      <c r="G1878" s="109"/>
    </row>
    <row r="1879" spans="3:7" x14ac:dyDescent="0.3">
      <c r="C1879" s="109"/>
      <c r="D1879" s="109"/>
      <c r="E1879" s="109"/>
      <c r="F1879" s="110"/>
      <c r="G1879" s="109"/>
    </row>
    <row r="1880" spans="3:7" x14ac:dyDescent="0.3">
      <c r="C1880" s="109"/>
      <c r="D1880" s="109"/>
      <c r="E1880" s="109"/>
      <c r="F1880" s="110"/>
      <c r="G1880" s="109"/>
    </row>
    <row r="1881" spans="3:7" x14ac:dyDescent="0.3">
      <c r="C1881" s="109"/>
      <c r="D1881" s="109"/>
      <c r="E1881" s="109"/>
      <c r="F1881" s="110"/>
      <c r="G1881" s="109"/>
    </row>
    <row r="1882" spans="3:7" x14ac:dyDescent="0.3">
      <c r="C1882" s="109"/>
      <c r="D1882" s="109"/>
      <c r="E1882" s="109"/>
      <c r="F1882" s="110"/>
      <c r="G1882" s="109"/>
    </row>
    <row r="1883" spans="3:7" x14ac:dyDescent="0.3">
      <c r="C1883" s="109"/>
      <c r="D1883" s="109"/>
      <c r="E1883" s="109"/>
      <c r="F1883" s="110"/>
      <c r="G1883" s="109"/>
    </row>
    <row r="1884" spans="3:7" x14ac:dyDescent="0.3">
      <c r="C1884" s="109"/>
      <c r="D1884" s="109"/>
      <c r="E1884" s="109"/>
      <c r="F1884" s="110"/>
      <c r="G1884" s="109"/>
    </row>
    <row r="1885" spans="3:7" x14ac:dyDescent="0.3">
      <c r="C1885" s="109"/>
      <c r="D1885" s="109"/>
      <c r="E1885" s="109"/>
      <c r="F1885" s="110"/>
      <c r="G1885" s="109"/>
    </row>
    <row r="1886" spans="3:7" x14ac:dyDescent="0.3">
      <c r="C1886" s="109"/>
      <c r="D1886" s="109"/>
      <c r="E1886" s="109"/>
      <c r="F1886" s="110"/>
      <c r="G1886" s="109"/>
    </row>
    <row r="1887" spans="3:7" x14ac:dyDescent="0.3">
      <c r="C1887" s="109"/>
      <c r="D1887" s="109"/>
      <c r="E1887" s="109"/>
      <c r="F1887" s="110"/>
      <c r="G1887" s="109"/>
    </row>
    <row r="1888" spans="3:7" x14ac:dyDescent="0.3">
      <c r="C1888" s="109"/>
      <c r="D1888" s="109"/>
      <c r="E1888" s="109"/>
      <c r="F1888" s="110"/>
      <c r="G1888" s="109"/>
    </row>
    <row r="1889" spans="3:7" x14ac:dyDescent="0.3">
      <c r="C1889" s="109"/>
      <c r="D1889" s="109"/>
      <c r="E1889" s="109"/>
      <c r="F1889" s="110"/>
      <c r="G1889" s="109"/>
    </row>
    <row r="1890" spans="3:7" x14ac:dyDescent="0.3">
      <c r="C1890" s="109"/>
      <c r="D1890" s="109"/>
      <c r="E1890" s="109"/>
      <c r="F1890" s="110"/>
      <c r="G1890" s="109"/>
    </row>
    <row r="1891" spans="3:7" x14ac:dyDescent="0.3">
      <c r="C1891" s="109"/>
      <c r="D1891" s="109"/>
      <c r="E1891" s="109"/>
      <c r="F1891" s="110"/>
      <c r="G1891" s="109"/>
    </row>
    <row r="1892" spans="3:7" x14ac:dyDescent="0.3">
      <c r="C1892" s="109"/>
      <c r="D1892" s="109"/>
      <c r="E1892" s="109"/>
      <c r="F1892" s="110"/>
      <c r="G1892" s="109"/>
    </row>
    <row r="1893" spans="3:7" x14ac:dyDescent="0.3">
      <c r="C1893" s="109"/>
      <c r="D1893" s="109"/>
      <c r="E1893" s="109"/>
      <c r="F1893" s="110"/>
      <c r="G1893" s="109"/>
    </row>
    <row r="1894" spans="3:7" x14ac:dyDescent="0.3">
      <c r="C1894" s="109"/>
      <c r="D1894" s="109"/>
      <c r="E1894" s="109"/>
      <c r="F1894" s="110"/>
      <c r="G1894" s="109"/>
    </row>
    <row r="1895" spans="3:7" x14ac:dyDescent="0.3">
      <c r="C1895" s="109"/>
      <c r="D1895" s="109"/>
      <c r="E1895" s="109"/>
      <c r="F1895" s="110"/>
      <c r="G1895" s="109"/>
    </row>
    <row r="1896" spans="3:7" x14ac:dyDescent="0.3">
      <c r="C1896" s="109"/>
      <c r="D1896" s="109"/>
      <c r="E1896" s="109"/>
      <c r="F1896" s="110"/>
      <c r="G1896" s="109"/>
    </row>
    <row r="1897" spans="3:7" x14ac:dyDescent="0.3">
      <c r="C1897" s="109"/>
      <c r="D1897" s="109"/>
      <c r="E1897" s="109"/>
      <c r="F1897" s="110"/>
      <c r="G1897" s="109"/>
    </row>
    <row r="1898" spans="3:7" x14ac:dyDescent="0.3">
      <c r="C1898" s="109"/>
      <c r="D1898" s="109"/>
      <c r="E1898" s="109"/>
      <c r="F1898" s="110"/>
      <c r="G1898" s="109"/>
    </row>
    <row r="1899" spans="3:7" x14ac:dyDescent="0.3">
      <c r="C1899" s="109"/>
      <c r="D1899" s="109"/>
      <c r="E1899" s="109"/>
      <c r="F1899" s="110"/>
      <c r="G1899" s="109"/>
    </row>
    <row r="1900" spans="3:7" x14ac:dyDescent="0.3">
      <c r="C1900" s="109"/>
      <c r="D1900" s="109"/>
      <c r="E1900" s="109"/>
      <c r="F1900" s="110"/>
      <c r="G1900" s="109"/>
    </row>
    <row r="1901" spans="3:7" x14ac:dyDescent="0.3">
      <c r="C1901" s="109"/>
      <c r="D1901" s="109"/>
      <c r="E1901" s="109"/>
      <c r="F1901" s="110"/>
      <c r="G1901" s="109"/>
    </row>
    <row r="1902" spans="3:7" x14ac:dyDescent="0.3">
      <c r="C1902" s="109"/>
      <c r="D1902" s="109"/>
      <c r="E1902" s="109"/>
      <c r="F1902" s="110"/>
      <c r="G1902" s="109"/>
    </row>
    <row r="1903" spans="3:7" x14ac:dyDescent="0.3">
      <c r="C1903" s="109"/>
      <c r="D1903" s="109"/>
      <c r="E1903" s="109"/>
      <c r="F1903" s="110"/>
      <c r="G1903" s="109"/>
    </row>
    <row r="1904" spans="3:7" x14ac:dyDescent="0.3">
      <c r="C1904" s="109"/>
      <c r="D1904" s="109"/>
      <c r="E1904" s="109"/>
      <c r="F1904" s="110"/>
      <c r="G1904" s="109"/>
    </row>
    <row r="1905" spans="3:7" x14ac:dyDescent="0.3">
      <c r="C1905" s="109"/>
      <c r="D1905" s="109"/>
      <c r="E1905" s="109"/>
      <c r="F1905" s="110"/>
      <c r="G1905" s="109"/>
    </row>
    <row r="1906" spans="3:7" x14ac:dyDescent="0.3">
      <c r="C1906" s="109"/>
      <c r="D1906" s="109"/>
      <c r="E1906" s="109"/>
      <c r="F1906" s="110"/>
      <c r="G1906" s="109"/>
    </row>
    <row r="1907" spans="3:7" x14ac:dyDescent="0.3">
      <c r="C1907" s="109"/>
      <c r="D1907" s="109"/>
      <c r="E1907" s="109"/>
      <c r="F1907" s="110"/>
      <c r="G1907" s="109"/>
    </row>
    <row r="1908" spans="3:7" x14ac:dyDescent="0.3">
      <c r="C1908" s="109"/>
      <c r="D1908" s="109"/>
      <c r="E1908" s="109"/>
      <c r="F1908" s="110"/>
      <c r="G1908" s="109"/>
    </row>
    <row r="1909" spans="3:7" x14ac:dyDescent="0.3">
      <c r="C1909" s="109"/>
      <c r="D1909" s="109"/>
      <c r="E1909" s="109"/>
      <c r="F1909" s="110"/>
      <c r="G1909" s="109"/>
    </row>
    <row r="1910" spans="3:7" x14ac:dyDescent="0.3">
      <c r="C1910" s="109"/>
      <c r="D1910" s="109"/>
      <c r="E1910" s="109"/>
      <c r="F1910" s="110"/>
      <c r="G1910" s="109"/>
    </row>
    <row r="1911" spans="3:7" x14ac:dyDescent="0.3">
      <c r="C1911" s="109"/>
      <c r="D1911" s="109"/>
      <c r="E1911" s="109"/>
      <c r="F1911" s="110"/>
      <c r="G1911" s="109"/>
    </row>
    <row r="1912" spans="3:7" x14ac:dyDescent="0.3">
      <c r="C1912" s="109"/>
      <c r="D1912" s="109"/>
      <c r="E1912" s="109"/>
      <c r="F1912" s="110"/>
      <c r="G1912" s="109"/>
    </row>
    <row r="1913" spans="3:7" x14ac:dyDescent="0.3">
      <c r="C1913" s="109"/>
      <c r="D1913" s="109"/>
      <c r="E1913" s="109"/>
      <c r="F1913" s="110"/>
      <c r="G1913" s="109"/>
    </row>
    <row r="1914" spans="3:7" x14ac:dyDescent="0.3">
      <c r="C1914" s="109"/>
      <c r="D1914" s="109"/>
      <c r="E1914" s="109"/>
      <c r="F1914" s="110"/>
      <c r="G1914" s="109"/>
    </row>
    <row r="1915" spans="3:7" x14ac:dyDescent="0.3">
      <c r="C1915" s="109"/>
      <c r="D1915" s="109"/>
      <c r="E1915" s="109"/>
      <c r="F1915" s="110"/>
      <c r="G1915" s="109"/>
    </row>
    <row r="1916" spans="3:7" x14ac:dyDescent="0.3">
      <c r="C1916" s="109"/>
      <c r="D1916" s="109"/>
      <c r="E1916" s="109"/>
      <c r="F1916" s="110"/>
      <c r="G1916" s="109"/>
    </row>
    <row r="1917" spans="3:7" x14ac:dyDescent="0.3">
      <c r="C1917" s="109"/>
      <c r="D1917" s="109"/>
      <c r="E1917" s="109"/>
      <c r="F1917" s="110"/>
      <c r="G1917" s="109"/>
    </row>
    <row r="1918" spans="3:7" x14ac:dyDescent="0.3">
      <c r="C1918" s="109"/>
      <c r="D1918" s="109"/>
      <c r="E1918" s="109"/>
      <c r="F1918" s="110"/>
      <c r="G1918" s="109"/>
    </row>
    <row r="1919" spans="3:7" x14ac:dyDescent="0.3">
      <c r="C1919" s="109"/>
      <c r="D1919" s="109"/>
      <c r="E1919" s="109"/>
      <c r="F1919" s="110"/>
      <c r="G1919" s="109"/>
    </row>
    <row r="1920" spans="3:7" x14ac:dyDescent="0.3">
      <c r="C1920" s="109"/>
      <c r="D1920" s="109"/>
      <c r="E1920" s="109"/>
      <c r="F1920" s="110"/>
      <c r="G1920" s="109"/>
    </row>
    <row r="1921" spans="3:7" x14ac:dyDescent="0.3">
      <c r="C1921" s="109"/>
      <c r="D1921" s="109"/>
      <c r="E1921" s="109"/>
      <c r="F1921" s="110"/>
      <c r="G1921" s="109"/>
    </row>
    <row r="1922" spans="3:7" x14ac:dyDescent="0.3">
      <c r="C1922" s="109"/>
      <c r="D1922" s="109"/>
      <c r="E1922" s="109"/>
      <c r="F1922" s="110"/>
      <c r="G1922" s="109"/>
    </row>
    <row r="1923" spans="3:7" x14ac:dyDescent="0.3">
      <c r="C1923" s="109"/>
      <c r="D1923" s="109"/>
      <c r="E1923" s="109"/>
      <c r="F1923" s="110"/>
      <c r="G1923" s="109"/>
    </row>
    <row r="1924" spans="3:7" x14ac:dyDescent="0.3">
      <c r="C1924" s="109"/>
      <c r="D1924" s="109"/>
      <c r="E1924" s="109"/>
      <c r="F1924" s="110"/>
      <c r="G1924" s="109"/>
    </row>
    <row r="1925" spans="3:7" x14ac:dyDescent="0.3">
      <c r="C1925" s="109"/>
      <c r="D1925" s="109"/>
      <c r="E1925" s="109"/>
      <c r="F1925" s="110"/>
      <c r="G1925" s="109"/>
    </row>
    <row r="1926" spans="3:7" x14ac:dyDescent="0.3">
      <c r="C1926" s="109"/>
      <c r="D1926" s="109"/>
      <c r="E1926" s="109"/>
      <c r="F1926" s="110"/>
      <c r="G1926" s="109"/>
    </row>
    <row r="1927" spans="3:7" x14ac:dyDescent="0.3">
      <c r="C1927" s="109"/>
      <c r="D1927" s="109"/>
      <c r="E1927" s="109"/>
      <c r="F1927" s="110"/>
      <c r="G1927" s="109"/>
    </row>
    <row r="1928" spans="3:7" x14ac:dyDescent="0.3">
      <c r="C1928" s="109"/>
      <c r="D1928" s="109"/>
      <c r="E1928" s="109"/>
      <c r="F1928" s="110"/>
      <c r="G1928" s="109"/>
    </row>
    <row r="1929" spans="3:7" x14ac:dyDescent="0.3">
      <c r="C1929" s="109"/>
      <c r="D1929" s="109"/>
      <c r="E1929" s="109"/>
      <c r="F1929" s="110"/>
      <c r="G1929" s="109"/>
    </row>
    <row r="1930" spans="3:7" x14ac:dyDescent="0.3">
      <c r="C1930" s="109"/>
      <c r="D1930" s="109"/>
      <c r="E1930" s="109"/>
      <c r="F1930" s="110"/>
      <c r="G1930" s="109"/>
    </row>
    <row r="1931" spans="3:7" x14ac:dyDescent="0.3">
      <c r="C1931" s="109"/>
      <c r="D1931" s="109"/>
      <c r="E1931" s="109"/>
      <c r="F1931" s="110"/>
      <c r="G1931" s="109"/>
    </row>
    <row r="1932" spans="3:7" x14ac:dyDescent="0.3">
      <c r="C1932" s="109"/>
      <c r="D1932" s="109"/>
      <c r="E1932" s="109"/>
      <c r="F1932" s="110"/>
      <c r="G1932" s="109"/>
    </row>
    <row r="1933" spans="3:7" x14ac:dyDescent="0.3">
      <c r="C1933" s="109"/>
      <c r="D1933" s="109"/>
      <c r="E1933" s="109"/>
      <c r="F1933" s="110"/>
      <c r="G1933" s="109"/>
    </row>
    <row r="1934" spans="3:7" x14ac:dyDescent="0.3">
      <c r="C1934" s="109"/>
      <c r="D1934" s="109"/>
      <c r="E1934" s="109"/>
      <c r="F1934" s="110"/>
      <c r="G1934" s="109"/>
    </row>
    <row r="1935" spans="3:7" x14ac:dyDescent="0.3">
      <c r="C1935" s="109"/>
      <c r="D1935" s="109"/>
      <c r="E1935" s="109"/>
      <c r="F1935" s="110"/>
      <c r="G1935" s="109"/>
    </row>
    <row r="1936" spans="3:7" x14ac:dyDescent="0.3">
      <c r="C1936" s="109"/>
      <c r="D1936" s="109"/>
      <c r="E1936" s="109"/>
      <c r="F1936" s="110"/>
      <c r="G1936" s="109"/>
    </row>
    <row r="1937" spans="3:7" x14ac:dyDescent="0.3">
      <c r="C1937" s="109"/>
      <c r="D1937" s="109"/>
      <c r="E1937" s="109"/>
      <c r="F1937" s="110"/>
      <c r="G1937" s="109"/>
    </row>
    <row r="1938" spans="3:7" x14ac:dyDescent="0.3">
      <c r="C1938" s="109"/>
      <c r="D1938" s="109"/>
      <c r="E1938" s="109"/>
      <c r="F1938" s="110"/>
      <c r="G1938" s="109"/>
    </row>
    <row r="1939" spans="3:7" x14ac:dyDescent="0.3">
      <c r="C1939" s="109"/>
      <c r="D1939" s="109"/>
      <c r="E1939" s="109"/>
      <c r="F1939" s="110"/>
      <c r="G1939" s="109"/>
    </row>
    <row r="1940" spans="3:7" x14ac:dyDescent="0.3">
      <c r="C1940" s="109"/>
      <c r="D1940" s="109"/>
      <c r="E1940" s="109"/>
      <c r="F1940" s="110"/>
      <c r="G1940" s="109"/>
    </row>
    <row r="1941" spans="3:7" x14ac:dyDescent="0.3">
      <c r="C1941" s="109"/>
      <c r="D1941" s="109"/>
      <c r="E1941" s="109"/>
      <c r="F1941" s="110"/>
      <c r="G1941" s="109"/>
    </row>
    <row r="1942" spans="3:7" x14ac:dyDescent="0.3">
      <c r="C1942" s="109"/>
      <c r="D1942" s="109"/>
      <c r="E1942" s="109"/>
      <c r="F1942" s="110"/>
      <c r="G1942" s="109"/>
    </row>
    <row r="1943" spans="3:7" x14ac:dyDescent="0.3">
      <c r="C1943" s="109"/>
      <c r="D1943" s="109"/>
      <c r="E1943" s="109"/>
      <c r="F1943" s="110"/>
      <c r="G1943" s="109"/>
    </row>
    <row r="1944" spans="3:7" x14ac:dyDescent="0.3">
      <c r="C1944" s="109"/>
      <c r="D1944" s="109"/>
      <c r="E1944" s="109"/>
      <c r="F1944" s="110"/>
      <c r="G1944" s="109"/>
    </row>
    <row r="1945" spans="3:7" x14ac:dyDescent="0.3">
      <c r="C1945" s="109"/>
      <c r="D1945" s="109"/>
      <c r="E1945" s="109"/>
      <c r="F1945" s="110"/>
      <c r="G1945" s="109"/>
    </row>
    <row r="1946" spans="3:7" x14ac:dyDescent="0.3">
      <c r="C1946" s="109"/>
      <c r="D1946" s="109"/>
      <c r="E1946" s="109"/>
      <c r="F1946" s="110"/>
      <c r="G1946" s="109"/>
    </row>
    <row r="1947" spans="3:7" x14ac:dyDescent="0.3">
      <c r="C1947" s="109"/>
      <c r="D1947" s="109"/>
      <c r="E1947" s="109"/>
      <c r="F1947" s="110"/>
      <c r="G1947" s="109"/>
    </row>
    <row r="1948" spans="3:7" x14ac:dyDescent="0.3">
      <c r="C1948" s="109"/>
      <c r="D1948" s="109"/>
      <c r="E1948" s="109"/>
      <c r="F1948" s="110"/>
      <c r="G1948" s="109"/>
    </row>
    <row r="1949" spans="3:7" x14ac:dyDescent="0.3">
      <c r="C1949" s="109"/>
      <c r="D1949" s="109"/>
      <c r="E1949" s="109"/>
      <c r="F1949" s="110"/>
      <c r="G1949" s="109"/>
    </row>
    <row r="1950" spans="3:7" x14ac:dyDescent="0.3">
      <c r="C1950" s="109"/>
      <c r="D1950" s="109"/>
      <c r="E1950" s="109"/>
      <c r="F1950" s="110"/>
      <c r="G1950" s="109"/>
    </row>
    <row r="1951" spans="3:7" x14ac:dyDescent="0.3">
      <c r="C1951" s="109"/>
      <c r="D1951" s="109"/>
      <c r="E1951" s="109"/>
      <c r="F1951" s="110"/>
      <c r="G1951" s="109"/>
    </row>
    <row r="1952" spans="3:7" x14ac:dyDescent="0.3">
      <c r="C1952" s="109"/>
      <c r="D1952" s="109"/>
      <c r="E1952" s="109"/>
      <c r="F1952" s="110"/>
      <c r="G1952" s="109"/>
    </row>
    <row r="1953" spans="3:7" x14ac:dyDescent="0.3">
      <c r="C1953" s="109"/>
      <c r="D1953" s="109"/>
      <c r="E1953" s="109"/>
      <c r="F1953" s="110"/>
      <c r="G1953" s="109"/>
    </row>
    <row r="1954" spans="3:7" x14ac:dyDescent="0.3">
      <c r="C1954" s="109"/>
      <c r="D1954" s="109"/>
      <c r="E1954" s="109"/>
      <c r="F1954" s="110"/>
      <c r="G1954" s="109"/>
    </row>
    <row r="1955" spans="3:7" x14ac:dyDescent="0.3">
      <c r="C1955" s="109"/>
      <c r="D1955" s="109"/>
      <c r="E1955" s="109"/>
      <c r="F1955" s="110"/>
      <c r="G1955" s="109"/>
    </row>
    <row r="1956" spans="3:7" x14ac:dyDescent="0.3">
      <c r="C1956" s="109"/>
      <c r="D1956" s="109"/>
      <c r="E1956" s="109"/>
      <c r="F1956" s="110"/>
      <c r="G1956" s="109"/>
    </row>
    <row r="1957" spans="3:7" x14ac:dyDescent="0.3">
      <c r="C1957" s="109"/>
      <c r="D1957" s="109"/>
      <c r="E1957" s="109"/>
      <c r="F1957" s="110"/>
      <c r="G1957" s="109"/>
    </row>
    <row r="1958" spans="3:7" x14ac:dyDescent="0.3">
      <c r="C1958" s="109"/>
      <c r="D1958" s="109"/>
      <c r="E1958" s="109"/>
      <c r="F1958" s="110"/>
      <c r="G1958" s="109"/>
    </row>
    <row r="1959" spans="3:7" x14ac:dyDescent="0.3">
      <c r="C1959" s="109"/>
      <c r="D1959" s="109"/>
      <c r="E1959" s="109"/>
      <c r="F1959" s="110"/>
      <c r="G1959" s="109"/>
    </row>
    <row r="1960" spans="3:7" x14ac:dyDescent="0.3">
      <c r="C1960" s="109"/>
      <c r="D1960" s="109"/>
      <c r="E1960" s="109"/>
      <c r="F1960" s="110"/>
      <c r="G1960" s="109"/>
    </row>
    <row r="1961" spans="3:7" x14ac:dyDescent="0.3">
      <c r="C1961" s="109"/>
      <c r="D1961" s="109"/>
      <c r="E1961" s="109"/>
      <c r="F1961" s="110"/>
      <c r="G1961" s="109"/>
    </row>
    <row r="1962" spans="3:7" x14ac:dyDescent="0.3">
      <c r="C1962" s="109"/>
      <c r="D1962" s="109"/>
      <c r="E1962" s="109"/>
      <c r="F1962" s="110"/>
      <c r="G1962" s="109"/>
    </row>
    <row r="1963" spans="3:7" x14ac:dyDescent="0.3">
      <c r="C1963" s="109"/>
      <c r="D1963" s="109"/>
      <c r="E1963" s="109"/>
      <c r="F1963" s="110"/>
      <c r="G1963" s="109"/>
    </row>
    <row r="1964" spans="3:7" x14ac:dyDescent="0.3">
      <c r="C1964" s="109"/>
      <c r="D1964" s="109"/>
      <c r="E1964" s="109"/>
      <c r="F1964" s="110"/>
      <c r="G1964" s="109"/>
    </row>
    <row r="1965" spans="3:7" x14ac:dyDescent="0.3">
      <c r="C1965" s="109"/>
      <c r="D1965" s="109"/>
      <c r="E1965" s="109"/>
      <c r="F1965" s="110"/>
      <c r="G1965" s="109"/>
    </row>
    <row r="1966" spans="3:7" x14ac:dyDescent="0.3">
      <c r="C1966" s="109"/>
      <c r="D1966" s="109"/>
      <c r="E1966" s="109"/>
      <c r="F1966" s="110"/>
      <c r="G1966" s="109"/>
    </row>
    <row r="1967" spans="3:7" x14ac:dyDescent="0.3">
      <c r="C1967" s="109"/>
      <c r="D1967" s="109"/>
      <c r="E1967" s="109"/>
      <c r="F1967" s="110"/>
      <c r="G1967" s="109"/>
    </row>
    <row r="1968" spans="3:7" x14ac:dyDescent="0.3">
      <c r="C1968" s="109"/>
      <c r="D1968" s="109"/>
      <c r="E1968" s="109"/>
      <c r="F1968" s="110"/>
      <c r="G1968" s="109"/>
    </row>
    <row r="1969" spans="3:7" x14ac:dyDescent="0.3">
      <c r="C1969" s="109"/>
      <c r="D1969" s="109"/>
      <c r="E1969" s="109"/>
      <c r="F1969" s="110"/>
      <c r="G1969" s="109"/>
    </row>
    <row r="1970" spans="3:7" x14ac:dyDescent="0.3">
      <c r="C1970" s="109"/>
      <c r="D1970" s="109"/>
      <c r="E1970" s="109"/>
      <c r="F1970" s="110"/>
      <c r="G1970" s="109"/>
    </row>
    <row r="1971" spans="3:7" x14ac:dyDescent="0.3">
      <c r="C1971" s="109"/>
      <c r="D1971" s="109"/>
      <c r="E1971" s="109"/>
      <c r="F1971" s="110"/>
      <c r="G1971" s="109"/>
    </row>
    <row r="1972" spans="3:7" x14ac:dyDescent="0.3">
      <c r="C1972" s="109"/>
      <c r="D1972" s="109"/>
      <c r="E1972" s="109"/>
      <c r="F1972" s="110"/>
      <c r="G1972" s="109"/>
    </row>
    <row r="1973" spans="3:7" x14ac:dyDescent="0.3">
      <c r="C1973" s="109"/>
      <c r="D1973" s="109"/>
      <c r="E1973" s="109"/>
      <c r="F1973" s="110"/>
      <c r="G1973" s="109"/>
    </row>
    <row r="1974" spans="3:7" x14ac:dyDescent="0.3">
      <c r="C1974" s="109"/>
      <c r="D1974" s="109"/>
      <c r="E1974" s="109"/>
      <c r="F1974" s="110"/>
      <c r="G1974" s="109"/>
    </row>
    <row r="1975" spans="3:7" x14ac:dyDescent="0.3">
      <c r="C1975" s="109"/>
      <c r="D1975" s="109"/>
      <c r="E1975" s="109"/>
      <c r="F1975" s="110"/>
      <c r="G1975" s="109"/>
    </row>
    <row r="1976" spans="3:7" x14ac:dyDescent="0.3">
      <c r="C1976" s="109"/>
      <c r="D1976" s="109"/>
      <c r="E1976" s="109"/>
      <c r="F1976" s="110"/>
      <c r="G1976" s="109"/>
    </row>
    <row r="1977" spans="3:7" x14ac:dyDescent="0.3">
      <c r="C1977" s="109"/>
      <c r="D1977" s="109"/>
      <c r="E1977" s="109"/>
      <c r="F1977" s="110"/>
      <c r="G1977" s="109"/>
    </row>
    <row r="1978" spans="3:7" x14ac:dyDescent="0.3">
      <c r="C1978" s="109"/>
      <c r="D1978" s="109"/>
      <c r="E1978" s="109"/>
      <c r="F1978" s="110"/>
      <c r="G1978" s="109"/>
    </row>
    <row r="1979" spans="3:7" x14ac:dyDescent="0.3">
      <c r="C1979" s="109"/>
      <c r="D1979" s="109"/>
      <c r="E1979" s="109"/>
      <c r="F1979" s="110"/>
      <c r="G1979" s="109"/>
    </row>
    <row r="1980" spans="3:7" x14ac:dyDescent="0.3">
      <c r="C1980" s="109"/>
      <c r="D1980" s="109"/>
      <c r="E1980" s="109"/>
      <c r="F1980" s="110"/>
      <c r="G1980" s="109"/>
    </row>
    <row r="1981" spans="3:7" x14ac:dyDescent="0.3">
      <c r="C1981" s="109"/>
      <c r="D1981" s="109"/>
      <c r="E1981" s="109"/>
      <c r="F1981" s="110"/>
      <c r="G1981" s="109"/>
    </row>
    <row r="1982" spans="3:7" x14ac:dyDescent="0.3">
      <c r="C1982" s="109"/>
      <c r="D1982" s="109"/>
      <c r="E1982" s="109"/>
      <c r="F1982" s="110"/>
      <c r="G1982" s="109"/>
    </row>
    <row r="1983" spans="3:7" x14ac:dyDescent="0.3">
      <c r="C1983" s="109"/>
      <c r="D1983" s="109"/>
      <c r="E1983" s="109"/>
      <c r="F1983" s="110"/>
      <c r="G1983" s="109"/>
    </row>
    <row r="1984" spans="3:7" x14ac:dyDescent="0.3">
      <c r="C1984" s="109"/>
      <c r="D1984" s="109"/>
      <c r="E1984" s="109"/>
      <c r="F1984" s="110"/>
      <c r="G1984" s="109"/>
    </row>
    <row r="1985" spans="3:7" x14ac:dyDescent="0.3">
      <c r="C1985" s="109"/>
      <c r="D1985" s="109"/>
      <c r="E1985" s="109"/>
      <c r="F1985" s="110"/>
      <c r="G1985" s="109"/>
    </row>
    <row r="1986" spans="3:7" x14ac:dyDescent="0.3">
      <c r="C1986" s="109"/>
      <c r="D1986" s="109"/>
      <c r="E1986" s="109"/>
      <c r="F1986" s="110"/>
      <c r="G1986" s="109"/>
    </row>
    <row r="1987" spans="3:7" x14ac:dyDescent="0.3">
      <c r="C1987" s="109"/>
      <c r="D1987" s="109"/>
      <c r="E1987" s="109"/>
      <c r="F1987" s="110"/>
      <c r="G1987" s="109"/>
    </row>
    <row r="1988" spans="3:7" x14ac:dyDescent="0.3">
      <c r="C1988" s="109"/>
      <c r="D1988" s="109"/>
      <c r="E1988" s="109"/>
      <c r="F1988" s="110"/>
      <c r="G1988" s="109"/>
    </row>
    <row r="1989" spans="3:7" x14ac:dyDescent="0.3">
      <c r="C1989" s="109"/>
      <c r="D1989" s="109"/>
      <c r="E1989" s="109"/>
      <c r="F1989" s="110"/>
      <c r="G1989" s="109"/>
    </row>
    <row r="1990" spans="3:7" x14ac:dyDescent="0.3">
      <c r="C1990" s="109"/>
      <c r="D1990" s="109"/>
      <c r="E1990" s="109"/>
      <c r="F1990" s="110"/>
      <c r="G1990" s="109"/>
    </row>
    <row r="1991" spans="3:7" x14ac:dyDescent="0.3">
      <c r="C1991" s="109"/>
      <c r="D1991" s="109"/>
      <c r="E1991" s="109"/>
      <c r="F1991" s="110"/>
      <c r="G1991" s="109"/>
    </row>
    <row r="1992" spans="3:7" x14ac:dyDescent="0.3">
      <c r="C1992" s="109"/>
      <c r="D1992" s="109"/>
      <c r="E1992" s="109"/>
      <c r="F1992" s="110"/>
      <c r="G1992" s="109"/>
    </row>
    <row r="1993" spans="3:7" x14ac:dyDescent="0.3">
      <c r="C1993" s="109"/>
      <c r="D1993" s="109"/>
      <c r="E1993" s="109"/>
      <c r="F1993" s="110"/>
      <c r="G1993" s="109"/>
    </row>
    <row r="1994" spans="3:7" x14ac:dyDescent="0.3">
      <c r="C1994" s="109"/>
      <c r="D1994" s="109"/>
      <c r="E1994" s="109"/>
      <c r="F1994" s="110"/>
      <c r="G1994" s="109"/>
    </row>
    <row r="1995" spans="3:7" x14ac:dyDescent="0.3">
      <c r="C1995" s="109"/>
      <c r="D1995" s="109"/>
      <c r="E1995" s="109"/>
      <c r="F1995" s="110"/>
      <c r="G1995" s="109"/>
    </row>
    <row r="1996" spans="3:7" x14ac:dyDescent="0.3">
      <c r="C1996" s="109"/>
      <c r="D1996" s="109"/>
      <c r="E1996" s="109"/>
      <c r="F1996" s="110"/>
      <c r="G1996" s="109"/>
    </row>
    <row r="1997" spans="3:7" x14ac:dyDescent="0.3">
      <c r="C1997" s="109"/>
      <c r="D1997" s="109"/>
      <c r="E1997" s="109"/>
      <c r="F1997" s="110"/>
      <c r="G1997" s="109"/>
    </row>
    <row r="1998" spans="3:7" x14ac:dyDescent="0.3">
      <c r="C1998" s="109"/>
      <c r="D1998" s="109"/>
      <c r="E1998" s="109"/>
      <c r="F1998" s="110"/>
      <c r="G1998" s="109"/>
    </row>
    <row r="1999" spans="3:7" x14ac:dyDescent="0.3">
      <c r="C1999" s="109"/>
      <c r="D1999" s="109"/>
      <c r="E1999" s="109"/>
      <c r="F1999" s="110"/>
      <c r="G1999" s="109"/>
    </row>
    <row r="2000" spans="3:7" x14ac:dyDescent="0.3">
      <c r="C2000" s="109"/>
      <c r="D2000" s="109"/>
      <c r="E2000" s="109"/>
      <c r="F2000" s="110"/>
      <c r="G2000" s="109"/>
    </row>
    <row r="2001" spans="3:7" x14ac:dyDescent="0.3">
      <c r="C2001" s="109"/>
      <c r="D2001" s="109"/>
      <c r="E2001" s="109"/>
      <c r="F2001" s="110"/>
      <c r="G2001" s="109"/>
    </row>
    <row r="2002" spans="3:7" x14ac:dyDescent="0.3">
      <c r="C2002" s="109"/>
      <c r="D2002" s="109"/>
      <c r="E2002" s="109"/>
      <c r="F2002" s="110"/>
      <c r="G2002" s="109"/>
    </row>
    <row r="2003" spans="3:7" x14ac:dyDescent="0.3">
      <c r="C2003" s="109"/>
      <c r="D2003" s="109"/>
      <c r="E2003" s="109"/>
      <c r="F2003" s="110"/>
      <c r="G2003" s="109"/>
    </row>
    <row r="2004" spans="3:7" x14ac:dyDescent="0.3">
      <c r="C2004" s="109"/>
      <c r="D2004" s="109"/>
      <c r="E2004" s="109"/>
      <c r="F2004" s="110"/>
      <c r="G2004" s="109"/>
    </row>
    <row r="2005" spans="3:7" x14ac:dyDescent="0.3">
      <c r="C2005" s="109"/>
      <c r="D2005" s="109"/>
      <c r="E2005" s="109"/>
      <c r="F2005" s="110"/>
      <c r="G2005" s="109"/>
    </row>
    <row r="2006" spans="3:7" x14ac:dyDescent="0.3">
      <c r="C2006" s="109"/>
      <c r="D2006" s="109"/>
      <c r="E2006" s="109"/>
      <c r="F2006" s="110"/>
      <c r="G2006" s="109"/>
    </row>
    <row r="2007" spans="3:7" x14ac:dyDescent="0.3">
      <c r="C2007" s="109"/>
      <c r="D2007" s="109"/>
      <c r="E2007" s="109"/>
      <c r="F2007" s="110"/>
      <c r="G2007" s="109"/>
    </row>
    <row r="2008" spans="3:7" x14ac:dyDescent="0.3">
      <c r="C2008" s="109"/>
      <c r="D2008" s="109"/>
      <c r="E2008" s="109"/>
      <c r="F2008" s="110"/>
      <c r="G2008" s="109"/>
    </row>
    <row r="2009" spans="3:7" x14ac:dyDescent="0.3">
      <c r="C2009" s="109"/>
      <c r="D2009" s="109"/>
      <c r="E2009" s="109"/>
      <c r="F2009" s="110"/>
      <c r="G2009" s="109"/>
    </row>
    <row r="2010" spans="3:7" x14ac:dyDescent="0.3">
      <c r="C2010" s="109"/>
      <c r="D2010" s="109"/>
      <c r="E2010" s="109"/>
      <c r="F2010" s="110"/>
      <c r="G2010" s="109"/>
    </row>
    <row r="2011" spans="3:7" x14ac:dyDescent="0.3">
      <c r="C2011" s="109"/>
      <c r="D2011" s="109"/>
      <c r="E2011" s="109"/>
      <c r="F2011" s="110"/>
      <c r="G2011" s="109"/>
    </row>
    <row r="2012" spans="3:7" x14ac:dyDescent="0.3">
      <c r="C2012" s="109"/>
      <c r="D2012" s="109"/>
      <c r="E2012" s="109"/>
      <c r="F2012" s="110"/>
      <c r="G2012" s="109"/>
    </row>
    <row r="2013" spans="3:7" x14ac:dyDescent="0.3">
      <c r="C2013" s="109"/>
      <c r="D2013" s="109"/>
      <c r="E2013" s="109"/>
      <c r="F2013" s="110"/>
      <c r="G2013" s="109"/>
    </row>
    <row r="2014" spans="3:7" x14ac:dyDescent="0.3">
      <c r="C2014" s="109"/>
      <c r="D2014" s="109"/>
      <c r="E2014" s="109"/>
      <c r="F2014" s="110"/>
      <c r="G2014" s="109"/>
    </row>
    <row r="2015" spans="3:7" x14ac:dyDescent="0.3">
      <c r="C2015" s="109"/>
      <c r="D2015" s="109"/>
      <c r="E2015" s="109"/>
      <c r="F2015" s="110"/>
      <c r="G2015" s="109"/>
    </row>
    <row r="2016" spans="3:7" x14ac:dyDescent="0.3">
      <c r="C2016" s="109"/>
      <c r="D2016" s="109"/>
      <c r="E2016" s="109"/>
      <c r="F2016" s="110"/>
      <c r="G2016" s="109"/>
    </row>
    <row r="2017" spans="3:7" x14ac:dyDescent="0.3">
      <c r="C2017" s="109"/>
      <c r="D2017" s="109"/>
      <c r="E2017" s="109"/>
      <c r="F2017" s="110"/>
      <c r="G2017" s="109"/>
    </row>
    <row r="2018" spans="3:7" x14ac:dyDescent="0.3">
      <c r="C2018" s="109"/>
      <c r="D2018" s="109"/>
      <c r="E2018" s="109"/>
      <c r="F2018" s="110"/>
      <c r="G2018" s="109"/>
    </row>
    <row r="2019" spans="3:7" x14ac:dyDescent="0.3">
      <c r="C2019" s="109"/>
      <c r="D2019" s="109"/>
      <c r="E2019" s="109"/>
      <c r="F2019" s="110"/>
      <c r="G2019" s="109"/>
    </row>
    <row r="2020" spans="3:7" x14ac:dyDescent="0.3">
      <c r="C2020" s="109"/>
      <c r="D2020" s="109"/>
      <c r="E2020" s="109"/>
      <c r="F2020" s="110"/>
      <c r="G2020" s="109"/>
    </row>
    <row r="2021" spans="3:7" x14ac:dyDescent="0.3">
      <c r="C2021" s="109"/>
      <c r="D2021" s="109"/>
      <c r="E2021" s="109"/>
      <c r="F2021" s="110"/>
      <c r="G2021" s="109"/>
    </row>
    <row r="2022" spans="3:7" x14ac:dyDescent="0.3">
      <c r="C2022" s="109"/>
      <c r="D2022" s="109"/>
      <c r="E2022" s="109"/>
      <c r="F2022" s="110"/>
      <c r="G2022" s="109"/>
    </row>
    <row r="2023" spans="3:7" x14ac:dyDescent="0.3">
      <c r="C2023" s="109"/>
      <c r="D2023" s="109"/>
      <c r="E2023" s="109"/>
      <c r="F2023" s="110"/>
      <c r="G2023" s="109"/>
    </row>
    <row r="2024" spans="3:7" x14ac:dyDescent="0.3">
      <c r="C2024" s="109"/>
      <c r="D2024" s="109"/>
      <c r="E2024" s="109"/>
      <c r="F2024" s="110"/>
      <c r="G2024" s="109"/>
    </row>
    <row r="2025" spans="3:7" x14ac:dyDescent="0.3">
      <c r="C2025" s="109"/>
      <c r="D2025" s="109"/>
      <c r="E2025" s="109"/>
      <c r="F2025" s="110"/>
      <c r="G2025" s="109"/>
    </row>
    <row r="2026" spans="3:7" x14ac:dyDescent="0.3">
      <c r="C2026" s="109"/>
      <c r="D2026" s="109"/>
      <c r="E2026" s="109"/>
      <c r="F2026" s="110"/>
      <c r="G2026" s="109"/>
    </row>
    <row r="2027" spans="3:7" x14ac:dyDescent="0.3">
      <c r="C2027" s="109"/>
      <c r="D2027" s="109"/>
      <c r="E2027" s="109"/>
      <c r="F2027" s="110"/>
      <c r="G2027" s="109"/>
    </row>
    <row r="2028" spans="3:7" x14ac:dyDescent="0.3">
      <c r="C2028" s="109"/>
      <c r="D2028" s="109"/>
      <c r="E2028" s="109"/>
      <c r="F2028" s="110"/>
      <c r="G2028" s="109"/>
    </row>
    <row r="2029" spans="3:7" x14ac:dyDescent="0.3">
      <c r="C2029" s="109"/>
      <c r="D2029" s="109"/>
      <c r="E2029" s="109"/>
      <c r="F2029" s="110"/>
      <c r="G2029" s="109"/>
    </row>
    <row r="2030" spans="3:7" x14ac:dyDescent="0.3">
      <c r="C2030" s="109"/>
      <c r="D2030" s="109"/>
      <c r="E2030" s="109"/>
      <c r="F2030" s="110"/>
      <c r="G2030" s="109"/>
    </row>
    <row r="2031" spans="3:7" x14ac:dyDescent="0.3">
      <c r="C2031" s="109"/>
      <c r="D2031" s="109"/>
      <c r="E2031" s="109"/>
      <c r="F2031" s="110"/>
      <c r="G2031" s="109"/>
    </row>
    <row r="2032" spans="3:7" x14ac:dyDescent="0.3">
      <c r="C2032" s="109"/>
      <c r="D2032" s="109"/>
      <c r="E2032" s="109"/>
      <c r="F2032" s="110"/>
      <c r="G2032" s="109"/>
    </row>
    <row r="2033" spans="3:7" x14ac:dyDescent="0.3">
      <c r="C2033" s="109"/>
      <c r="D2033" s="109"/>
      <c r="E2033" s="109"/>
      <c r="F2033" s="110"/>
      <c r="G2033" s="109"/>
    </row>
    <row r="2034" spans="3:7" x14ac:dyDescent="0.3">
      <c r="C2034" s="109"/>
      <c r="D2034" s="109"/>
      <c r="E2034" s="109"/>
      <c r="F2034" s="110"/>
      <c r="G2034" s="109"/>
    </row>
    <row r="2035" spans="3:7" x14ac:dyDescent="0.3">
      <c r="C2035" s="109"/>
      <c r="D2035" s="109"/>
      <c r="E2035" s="109"/>
      <c r="F2035" s="110"/>
      <c r="G2035" s="109"/>
    </row>
    <row r="2036" spans="3:7" x14ac:dyDescent="0.3">
      <c r="C2036" s="109"/>
      <c r="D2036" s="109"/>
      <c r="E2036" s="109"/>
      <c r="F2036" s="110"/>
      <c r="G2036" s="109"/>
    </row>
    <row r="2037" spans="3:7" x14ac:dyDescent="0.3">
      <c r="C2037" s="109"/>
      <c r="D2037" s="109"/>
      <c r="E2037" s="109"/>
      <c r="F2037" s="110"/>
      <c r="G2037" s="109"/>
    </row>
    <row r="2038" spans="3:7" x14ac:dyDescent="0.3">
      <c r="C2038" s="109"/>
      <c r="D2038" s="109"/>
      <c r="E2038" s="109"/>
      <c r="F2038" s="110"/>
      <c r="G2038" s="109"/>
    </row>
    <row r="2039" spans="3:7" x14ac:dyDescent="0.3">
      <c r="C2039" s="109"/>
      <c r="D2039" s="109"/>
      <c r="E2039" s="109"/>
      <c r="F2039" s="110"/>
      <c r="G2039" s="109"/>
    </row>
    <row r="2040" spans="3:7" x14ac:dyDescent="0.3">
      <c r="C2040" s="109"/>
      <c r="D2040" s="109"/>
      <c r="E2040" s="109"/>
      <c r="F2040" s="110"/>
      <c r="G2040" s="109"/>
    </row>
    <row r="2041" spans="3:7" x14ac:dyDescent="0.3">
      <c r="C2041" s="109"/>
      <c r="D2041" s="109"/>
      <c r="E2041" s="109"/>
      <c r="F2041" s="110"/>
      <c r="G2041" s="109"/>
    </row>
    <row r="2042" spans="3:7" x14ac:dyDescent="0.3">
      <c r="C2042" s="109"/>
      <c r="D2042" s="109"/>
      <c r="E2042" s="109"/>
      <c r="F2042" s="110"/>
      <c r="G2042" s="109"/>
    </row>
    <row r="2043" spans="3:7" x14ac:dyDescent="0.3">
      <c r="C2043" s="109"/>
      <c r="D2043" s="109"/>
      <c r="E2043" s="109"/>
      <c r="F2043" s="110"/>
      <c r="G2043" s="109"/>
    </row>
    <row r="2044" spans="3:7" x14ac:dyDescent="0.3">
      <c r="C2044" s="109"/>
      <c r="D2044" s="109"/>
      <c r="E2044" s="109"/>
      <c r="F2044" s="110"/>
      <c r="G2044" s="109"/>
    </row>
    <row r="2045" spans="3:7" x14ac:dyDescent="0.3">
      <c r="C2045" s="109"/>
      <c r="D2045" s="109"/>
      <c r="E2045" s="109"/>
      <c r="F2045" s="110"/>
      <c r="G2045" s="109"/>
    </row>
    <row r="2046" spans="3:7" x14ac:dyDescent="0.3">
      <c r="C2046" s="109"/>
      <c r="D2046" s="109"/>
      <c r="E2046" s="109"/>
      <c r="F2046" s="110"/>
      <c r="G2046" s="109"/>
    </row>
    <row r="2047" spans="3:7" x14ac:dyDescent="0.3">
      <c r="C2047" s="109"/>
      <c r="D2047" s="109"/>
      <c r="E2047" s="109"/>
      <c r="F2047" s="110"/>
      <c r="G2047" s="109"/>
    </row>
    <row r="2048" spans="3:7" x14ac:dyDescent="0.3">
      <c r="C2048" s="109"/>
      <c r="D2048" s="109"/>
      <c r="E2048" s="109"/>
      <c r="F2048" s="110"/>
      <c r="G2048" s="109"/>
    </row>
    <row r="2049" spans="3:7" x14ac:dyDescent="0.3">
      <c r="C2049" s="109"/>
      <c r="D2049" s="109"/>
      <c r="E2049" s="109"/>
      <c r="F2049" s="110"/>
      <c r="G2049" s="109"/>
    </row>
    <row r="2050" spans="3:7" x14ac:dyDescent="0.3">
      <c r="C2050" s="109"/>
      <c r="D2050" s="109"/>
      <c r="E2050" s="109"/>
      <c r="F2050" s="110"/>
      <c r="G2050" s="109"/>
    </row>
    <row r="2051" spans="3:7" x14ac:dyDescent="0.3">
      <c r="C2051" s="109"/>
      <c r="D2051" s="109"/>
      <c r="E2051" s="109"/>
      <c r="F2051" s="110"/>
      <c r="G2051" s="109"/>
    </row>
    <row r="2052" spans="3:7" x14ac:dyDescent="0.3">
      <c r="C2052" s="109"/>
      <c r="D2052" s="109"/>
      <c r="E2052" s="109"/>
      <c r="F2052" s="110"/>
      <c r="G2052" s="109"/>
    </row>
    <row r="2053" spans="3:7" x14ac:dyDescent="0.3">
      <c r="C2053" s="109"/>
      <c r="D2053" s="109"/>
      <c r="E2053" s="109"/>
      <c r="F2053" s="110"/>
      <c r="G2053" s="109"/>
    </row>
    <row r="2054" spans="3:7" x14ac:dyDescent="0.3">
      <c r="C2054" s="109"/>
      <c r="D2054" s="109"/>
      <c r="E2054" s="109"/>
      <c r="F2054" s="110"/>
      <c r="G2054" s="109"/>
    </row>
    <row r="2055" spans="3:7" x14ac:dyDescent="0.3">
      <c r="C2055" s="109"/>
      <c r="D2055" s="109"/>
      <c r="E2055" s="109"/>
      <c r="F2055" s="110"/>
      <c r="G2055" s="109"/>
    </row>
    <row r="2056" spans="3:7" x14ac:dyDescent="0.3">
      <c r="C2056" s="109"/>
      <c r="D2056" s="109"/>
      <c r="E2056" s="109"/>
      <c r="F2056" s="110"/>
      <c r="G2056" s="109"/>
    </row>
    <row r="2057" spans="3:7" x14ac:dyDescent="0.3">
      <c r="C2057" s="109"/>
      <c r="D2057" s="109"/>
      <c r="E2057" s="109"/>
      <c r="F2057" s="110"/>
      <c r="G2057" s="109"/>
    </row>
    <row r="2058" spans="3:7" x14ac:dyDescent="0.3">
      <c r="C2058" s="109"/>
      <c r="D2058" s="109"/>
      <c r="E2058" s="109"/>
      <c r="F2058" s="110"/>
      <c r="G2058" s="109"/>
    </row>
    <row r="2059" spans="3:7" x14ac:dyDescent="0.3">
      <c r="C2059" s="109"/>
      <c r="D2059" s="109"/>
      <c r="E2059" s="109"/>
      <c r="F2059" s="110"/>
      <c r="G2059" s="109"/>
    </row>
    <row r="2060" spans="3:7" x14ac:dyDescent="0.3">
      <c r="C2060" s="109"/>
      <c r="D2060" s="109"/>
      <c r="E2060" s="109"/>
      <c r="F2060" s="110"/>
      <c r="G2060" s="109"/>
    </row>
    <row r="2061" spans="3:7" x14ac:dyDescent="0.3">
      <c r="C2061" s="109"/>
      <c r="D2061" s="109"/>
      <c r="E2061" s="109"/>
      <c r="F2061" s="110"/>
      <c r="G2061" s="109"/>
    </row>
    <row r="2062" spans="3:7" x14ac:dyDescent="0.3">
      <c r="C2062" s="109"/>
      <c r="D2062" s="109"/>
      <c r="E2062" s="109"/>
      <c r="F2062" s="110"/>
      <c r="G2062" s="109"/>
    </row>
    <row r="2063" spans="3:7" x14ac:dyDescent="0.3">
      <c r="C2063" s="109"/>
      <c r="D2063" s="109"/>
      <c r="E2063" s="109"/>
      <c r="F2063" s="110"/>
      <c r="G2063" s="109"/>
    </row>
    <row r="2064" spans="3:7" x14ac:dyDescent="0.3">
      <c r="C2064" s="109"/>
      <c r="D2064" s="109"/>
      <c r="E2064" s="109"/>
      <c r="F2064" s="110"/>
      <c r="G2064" s="109"/>
    </row>
    <row r="2065" spans="3:7" x14ac:dyDescent="0.3">
      <c r="C2065" s="109"/>
      <c r="D2065" s="109"/>
      <c r="E2065" s="109"/>
      <c r="F2065" s="110"/>
      <c r="G2065" s="109"/>
    </row>
    <row r="2066" spans="3:7" x14ac:dyDescent="0.3">
      <c r="C2066" s="109"/>
      <c r="D2066" s="109"/>
      <c r="E2066" s="109"/>
      <c r="F2066" s="110"/>
      <c r="G2066" s="109"/>
    </row>
    <row r="2067" spans="3:7" x14ac:dyDescent="0.3">
      <c r="C2067" s="109"/>
      <c r="D2067" s="109"/>
      <c r="E2067" s="109"/>
      <c r="F2067" s="110"/>
      <c r="G2067" s="109"/>
    </row>
    <row r="2068" spans="3:7" x14ac:dyDescent="0.3">
      <c r="C2068" s="109"/>
      <c r="D2068" s="109"/>
      <c r="E2068" s="109"/>
      <c r="F2068" s="110"/>
      <c r="G2068" s="109"/>
    </row>
    <row r="2069" spans="3:7" x14ac:dyDescent="0.3">
      <c r="C2069" s="109"/>
      <c r="D2069" s="109"/>
      <c r="E2069" s="109"/>
      <c r="F2069" s="110"/>
      <c r="G2069" s="109"/>
    </row>
    <row r="2070" spans="3:7" x14ac:dyDescent="0.3">
      <c r="C2070" s="109"/>
      <c r="D2070" s="109"/>
      <c r="E2070" s="109"/>
      <c r="F2070" s="110"/>
      <c r="G2070" s="109"/>
    </row>
    <row r="2071" spans="3:7" x14ac:dyDescent="0.3">
      <c r="C2071" s="109"/>
      <c r="D2071" s="109"/>
      <c r="E2071" s="109"/>
      <c r="F2071" s="110"/>
      <c r="G2071" s="109"/>
    </row>
    <row r="2072" spans="3:7" x14ac:dyDescent="0.3">
      <c r="C2072" s="109"/>
      <c r="D2072" s="109"/>
      <c r="E2072" s="109"/>
      <c r="F2072" s="110"/>
      <c r="G2072" s="109"/>
    </row>
    <row r="2073" spans="3:7" x14ac:dyDescent="0.3">
      <c r="C2073" s="109"/>
      <c r="D2073" s="109"/>
      <c r="E2073" s="109"/>
      <c r="F2073" s="110"/>
      <c r="G2073" s="109"/>
    </row>
    <row r="2074" spans="3:7" x14ac:dyDescent="0.3">
      <c r="C2074" s="109"/>
      <c r="D2074" s="109"/>
      <c r="E2074" s="109"/>
      <c r="F2074" s="110"/>
      <c r="G2074" s="109"/>
    </row>
    <row r="2075" spans="3:7" x14ac:dyDescent="0.3">
      <c r="C2075" s="109"/>
      <c r="D2075" s="109"/>
      <c r="E2075" s="109"/>
      <c r="F2075" s="110"/>
      <c r="G2075" s="109"/>
    </row>
    <row r="2076" spans="3:7" x14ac:dyDescent="0.3">
      <c r="C2076" s="109"/>
      <c r="D2076" s="109"/>
      <c r="E2076" s="109"/>
      <c r="F2076" s="110"/>
      <c r="G2076" s="109"/>
    </row>
    <row r="2077" spans="3:7" x14ac:dyDescent="0.3">
      <c r="C2077" s="109"/>
      <c r="D2077" s="109"/>
      <c r="E2077" s="109"/>
      <c r="F2077" s="110"/>
      <c r="G2077" s="109"/>
    </row>
    <row r="2078" spans="3:7" x14ac:dyDescent="0.3">
      <c r="C2078" s="109"/>
      <c r="D2078" s="109"/>
      <c r="E2078" s="109"/>
      <c r="F2078" s="110"/>
      <c r="G2078" s="109"/>
    </row>
    <row r="2079" spans="3:7" x14ac:dyDescent="0.3">
      <c r="C2079" s="109"/>
      <c r="D2079" s="109"/>
      <c r="E2079" s="109"/>
      <c r="F2079" s="110"/>
      <c r="G2079" s="109"/>
    </row>
    <row r="2080" spans="3:7" x14ac:dyDescent="0.3">
      <c r="C2080" s="109"/>
      <c r="D2080" s="109"/>
      <c r="E2080" s="109"/>
      <c r="F2080" s="110"/>
      <c r="G2080" s="109"/>
    </row>
    <row r="2081" spans="3:7" x14ac:dyDescent="0.3">
      <c r="C2081" s="109"/>
      <c r="D2081" s="109"/>
      <c r="E2081" s="109"/>
      <c r="F2081" s="110"/>
      <c r="G2081" s="109"/>
    </row>
    <row r="2082" spans="3:7" x14ac:dyDescent="0.3">
      <c r="C2082" s="109"/>
      <c r="D2082" s="109"/>
      <c r="E2082" s="109"/>
      <c r="F2082" s="110"/>
      <c r="G2082" s="109"/>
    </row>
    <row r="2083" spans="3:7" x14ac:dyDescent="0.3">
      <c r="C2083" s="109"/>
      <c r="D2083" s="109"/>
      <c r="E2083" s="109"/>
      <c r="F2083" s="110"/>
      <c r="G2083" s="109"/>
    </row>
    <row r="2084" spans="3:7" x14ac:dyDescent="0.3">
      <c r="C2084" s="109"/>
      <c r="D2084" s="109"/>
      <c r="E2084" s="109"/>
      <c r="F2084" s="110"/>
      <c r="G2084" s="109"/>
    </row>
    <row r="2085" spans="3:7" x14ac:dyDescent="0.3">
      <c r="C2085" s="109"/>
      <c r="D2085" s="109"/>
      <c r="E2085" s="109"/>
      <c r="F2085" s="110"/>
      <c r="G2085" s="109"/>
    </row>
    <row r="2086" spans="3:7" x14ac:dyDescent="0.3">
      <c r="C2086" s="109"/>
      <c r="D2086" s="109"/>
      <c r="E2086" s="109"/>
      <c r="F2086" s="110"/>
      <c r="G2086" s="109"/>
    </row>
    <row r="2087" spans="3:7" x14ac:dyDescent="0.3">
      <c r="C2087" s="109"/>
      <c r="D2087" s="109"/>
      <c r="E2087" s="109"/>
      <c r="F2087" s="110"/>
      <c r="G2087" s="109"/>
    </row>
    <row r="2088" spans="3:7" x14ac:dyDescent="0.3">
      <c r="C2088" s="109"/>
      <c r="D2088" s="109"/>
      <c r="E2088" s="109"/>
      <c r="F2088" s="110"/>
      <c r="G2088" s="109"/>
    </row>
    <row r="2089" spans="3:7" x14ac:dyDescent="0.3">
      <c r="C2089" s="109"/>
      <c r="D2089" s="109"/>
      <c r="E2089" s="109"/>
      <c r="F2089" s="110"/>
      <c r="G2089" s="109"/>
    </row>
    <row r="2090" spans="3:7" x14ac:dyDescent="0.3">
      <c r="C2090" s="109"/>
      <c r="D2090" s="109"/>
      <c r="E2090" s="109"/>
      <c r="F2090" s="110"/>
      <c r="G2090" s="109"/>
    </row>
    <row r="2091" spans="3:7" x14ac:dyDescent="0.3">
      <c r="C2091" s="109"/>
      <c r="D2091" s="109"/>
      <c r="E2091" s="109"/>
      <c r="F2091" s="110"/>
      <c r="G2091" s="109"/>
    </row>
    <row r="2092" spans="3:7" x14ac:dyDescent="0.3">
      <c r="C2092" s="109"/>
      <c r="D2092" s="109"/>
      <c r="E2092" s="109"/>
      <c r="F2092" s="110"/>
      <c r="G2092" s="109"/>
    </row>
    <row r="2093" spans="3:7" x14ac:dyDescent="0.3">
      <c r="C2093" s="109"/>
      <c r="D2093" s="109"/>
      <c r="E2093" s="109"/>
      <c r="F2093" s="110"/>
      <c r="G2093" s="109"/>
    </row>
    <row r="2094" spans="3:7" x14ac:dyDescent="0.3">
      <c r="C2094" s="109"/>
      <c r="D2094" s="109"/>
      <c r="E2094" s="109"/>
      <c r="F2094" s="110"/>
      <c r="G2094" s="109"/>
    </row>
    <row r="2095" spans="3:7" x14ac:dyDescent="0.3">
      <c r="C2095" s="109"/>
      <c r="D2095" s="109"/>
      <c r="E2095" s="109"/>
      <c r="F2095" s="110"/>
      <c r="G2095" s="109"/>
    </row>
    <row r="2096" spans="3:7" x14ac:dyDescent="0.3">
      <c r="C2096" s="109"/>
      <c r="D2096" s="109"/>
      <c r="E2096" s="109"/>
      <c r="F2096" s="110"/>
      <c r="G2096" s="109"/>
    </row>
    <row r="2097" spans="3:7" x14ac:dyDescent="0.3">
      <c r="C2097" s="109"/>
      <c r="D2097" s="109"/>
      <c r="E2097" s="109"/>
      <c r="F2097" s="110"/>
      <c r="G2097" s="109"/>
    </row>
    <row r="2098" spans="3:7" x14ac:dyDescent="0.3">
      <c r="C2098" s="109"/>
      <c r="D2098" s="109"/>
      <c r="E2098" s="109"/>
      <c r="F2098" s="110"/>
      <c r="G2098" s="109"/>
    </row>
    <row r="2099" spans="3:7" x14ac:dyDescent="0.3">
      <c r="C2099" s="109"/>
      <c r="D2099" s="109"/>
      <c r="E2099" s="109"/>
      <c r="F2099" s="110"/>
      <c r="G2099" s="109"/>
    </row>
    <row r="2100" spans="3:7" x14ac:dyDescent="0.3">
      <c r="C2100" s="109"/>
      <c r="D2100" s="109"/>
      <c r="E2100" s="109"/>
      <c r="F2100" s="110"/>
      <c r="G2100" s="109"/>
    </row>
    <row r="2101" spans="3:7" x14ac:dyDescent="0.3">
      <c r="C2101" s="109"/>
      <c r="D2101" s="109"/>
      <c r="E2101" s="109"/>
      <c r="F2101" s="110"/>
      <c r="G2101" s="109"/>
    </row>
    <row r="2102" spans="3:7" x14ac:dyDescent="0.3">
      <c r="C2102" s="109"/>
      <c r="D2102" s="109"/>
      <c r="E2102" s="109"/>
      <c r="F2102" s="110"/>
      <c r="G2102" s="109"/>
    </row>
    <row r="2103" spans="3:7" x14ac:dyDescent="0.3">
      <c r="C2103" s="109"/>
      <c r="D2103" s="109"/>
      <c r="E2103" s="109"/>
      <c r="F2103" s="110"/>
      <c r="G2103" s="109"/>
    </row>
    <row r="2104" spans="3:7" x14ac:dyDescent="0.3">
      <c r="C2104" s="109"/>
      <c r="D2104" s="109"/>
      <c r="E2104" s="109"/>
      <c r="F2104" s="110"/>
      <c r="G2104" s="109"/>
    </row>
    <row r="2105" spans="3:7" x14ac:dyDescent="0.3">
      <c r="C2105" s="109"/>
      <c r="D2105" s="109"/>
      <c r="E2105" s="109"/>
      <c r="F2105" s="110"/>
      <c r="G2105" s="109"/>
    </row>
    <row r="2106" spans="3:7" x14ac:dyDescent="0.3">
      <c r="C2106" s="109"/>
      <c r="D2106" s="109"/>
      <c r="E2106" s="109"/>
      <c r="F2106" s="110"/>
      <c r="G2106" s="109"/>
    </row>
    <row r="2107" spans="3:7" x14ac:dyDescent="0.3">
      <c r="C2107" s="109"/>
      <c r="D2107" s="109"/>
      <c r="E2107" s="109"/>
      <c r="F2107" s="110"/>
      <c r="G2107" s="109"/>
    </row>
    <row r="2108" spans="3:7" x14ac:dyDescent="0.3">
      <c r="C2108" s="109"/>
      <c r="D2108" s="109"/>
      <c r="E2108" s="109"/>
      <c r="F2108" s="110"/>
      <c r="G2108" s="109"/>
    </row>
    <row r="2109" spans="3:7" x14ac:dyDescent="0.3">
      <c r="C2109" s="109"/>
      <c r="D2109" s="109"/>
      <c r="E2109" s="109"/>
      <c r="F2109" s="110"/>
      <c r="G2109" s="109"/>
    </row>
    <row r="2110" spans="3:7" x14ac:dyDescent="0.3">
      <c r="C2110" s="109"/>
      <c r="D2110" s="109"/>
      <c r="E2110" s="109"/>
      <c r="F2110" s="110"/>
      <c r="G2110" s="109"/>
    </row>
    <row r="2111" spans="3:7" x14ac:dyDescent="0.3">
      <c r="C2111" s="109"/>
      <c r="D2111" s="109"/>
      <c r="E2111" s="109"/>
      <c r="F2111" s="110"/>
      <c r="G2111" s="109"/>
    </row>
    <row r="2112" spans="3:7" x14ac:dyDescent="0.3">
      <c r="C2112" s="109"/>
      <c r="D2112" s="109"/>
      <c r="E2112" s="109"/>
      <c r="F2112" s="110"/>
      <c r="G2112" s="109"/>
    </row>
    <row r="2113" spans="3:7" x14ac:dyDescent="0.3">
      <c r="C2113" s="109"/>
      <c r="D2113" s="109"/>
      <c r="E2113" s="109"/>
      <c r="F2113" s="110"/>
      <c r="G2113" s="109"/>
    </row>
    <row r="2114" spans="3:7" x14ac:dyDescent="0.3">
      <c r="C2114" s="109"/>
      <c r="D2114" s="109"/>
      <c r="E2114" s="109"/>
      <c r="F2114" s="110"/>
      <c r="G2114" s="109"/>
    </row>
    <row r="2115" spans="3:7" x14ac:dyDescent="0.3">
      <c r="C2115" s="109"/>
      <c r="D2115" s="109"/>
      <c r="E2115" s="109"/>
      <c r="F2115" s="110"/>
      <c r="G2115" s="109"/>
    </row>
    <row r="2116" spans="3:7" x14ac:dyDescent="0.3">
      <c r="C2116" s="109"/>
      <c r="D2116" s="109"/>
      <c r="E2116" s="109"/>
      <c r="F2116" s="110"/>
      <c r="G2116" s="109"/>
    </row>
    <row r="2117" spans="3:7" x14ac:dyDescent="0.3">
      <c r="C2117" s="109"/>
      <c r="D2117" s="109"/>
      <c r="E2117" s="109"/>
      <c r="F2117" s="110"/>
      <c r="G2117" s="109"/>
    </row>
    <row r="2118" spans="3:7" x14ac:dyDescent="0.3">
      <c r="C2118" s="109"/>
      <c r="D2118" s="109"/>
      <c r="E2118" s="109"/>
      <c r="F2118" s="110"/>
      <c r="G2118" s="109"/>
    </row>
    <row r="2119" spans="3:7" x14ac:dyDescent="0.3">
      <c r="C2119" s="109"/>
      <c r="D2119" s="109"/>
      <c r="E2119" s="109"/>
      <c r="F2119" s="110"/>
      <c r="G2119" s="109"/>
    </row>
    <row r="2120" spans="3:7" x14ac:dyDescent="0.3">
      <c r="C2120" s="109"/>
      <c r="D2120" s="109"/>
      <c r="E2120" s="109"/>
      <c r="F2120" s="110"/>
      <c r="G2120" s="109"/>
    </row>
    <row r="2121" spans="3:7" x14ac:dyDescent="0.3">
      <c r="C2121" s="109"/>
      <c r="D2121" s="109"/>
      <c r="E2121" s="109"/>
      <c r="F2121" s="110"/>
      <c r="G2121" s="109"/>
    </row>
    <row r="2122" spans="3:7" x14ac:dyDescent="0.3">
      <c r="C2122" s="109"/>
      <c r="D2122" s="109"/>
      <c r="E2122" s="109"/>
      <c r="F2122" s="110"/>
      <c r="G2122" s="109"/>
    </row>
    <row r="2123" spans="3:7" x14ac:dyDescent="0.3">
      <c r="C2123" s="109"/>
      <c r="D2123" s="109"/>
      <c r="E2123" s="109"/>
      <c r="F2123" s="110"/>
      <c r="G2123" s="109"/>
    </row>
    <row r="2124" spans="3:7" x14ac:dyDescent="0.3">
      <c r="C2124" s="109"/>
      <c r="D2124" s="109"/>
      <c r="E2124" s="109"/>
      <c r="F2124" s="110"/>
      <c r="G2124" s="109"/>
    </row>
    <row r="2125" spans="3:7" x14ac:dyDescent="0.3">
      <c r="C2125" s="109"/>
      <c r="D2125" s="109"/>
      <c r="E2125" s="109"/>
      <c r="F2125" s="110"/>
      <c r="G2125" s="109"/>
    </row>
    <row r="2126" spans="3:7" x14ac:dyDescent="0.3">
      <c r="C2126" s="109"/>
      <c r="D2126" s="109"/>
      <c r="E2126" s="109"/>
      <c r="F2126" s="110"/>
      <c r="G2126" s="109"/>
    </row>
    <row r="2127" spans="3:7" x14ac:dyDescent="0.3">
      <c r="C2127" s="109"/>
      <c r="D2127" s="109"/>
      <c r="E2127" s="109"/>
      <c r="F2127" s="110"/>
      <c r="G2127" s="109"/>
    </row>
    <row r="2128" spans="3:7" x14ac:dyDescent="0.3">
      <c r="C2128" s="109"/>
      <c r="D2128" s="109"/>
      <c r="E2128" s="109"/>
      <c r="F2128" s="110"/>
      <c r="G2128" s="109"/>
    </row>
    <row r="2129" spans="3:7" x14ac:dyDescent="0.3">
      <c r="C2129" s="109"/>
      <c r="D2129" s="109"/>
      <c r="E2129" s="109"/>
      <c r="F2129" s="110"/>
      <c r="G2129" s="109"/>
    </row>
    <row r="2130" spans="3:7" x14ac:dyDescent="0.3">
      <c r="C2130" s="109"/>
      <c r="D2130" s="109"/>
      <c r="E2130" s="109"/>
      <c r="F2130" s="110"/>
      <c r="G2130" s="109"/>
    </row>
    <row r="2131" spans="3:7" x14ac:dyDescent="0.3">
      <c r="C2131" s="109"/>
      <c r="D2131" s="109"/>
      <c r="E2131" s="109"/>
      <c r="F2131" s="110"/>
      <c r="G2131" s="109"/>
    </row>
    <row r="2132" spans="3:7" x14ac:dyDescent="0.3">
      <c r="C2132" s="109"/>
      <c r="D2132" s="109"/>
      <c r="E2132" s="109"/>
      <c r="F2132" s="110"/>
      <c r="G2132" s="109"/>
    </row>
    <row r="2133" spans="3:7" x14ac:dyDescent="0.3">
      <c r="C2133" s="109"/>
      <c r="D2133" s="109"/>
      <c r="E2133" s="109"/>
      <c r="F2133" s="110"/>
      <c r="G2133" s="109"/>
    </row>
    <row r="2134" spans="3:7" x14ac:dyDescent="0.3">
      <c r="C2134" s="109"/>
      <c r="D2134" s="109"/>
      <c r="E2134" s="109"/>
      <c r="F2134" s="110"/>
      <c r="G2134" s="109"/>
    </row>
    <row r="2135" spans="3:7" x14ac:dyDescent="0.3">
      <c r="C2135" s="109"/>
      <c r="D2135" s="109"/>
      <c r="E2135" s="109"/>
      <c r="F2135" s="110"/>
      <c r="G2135" s="109"/>
    </row>
    <row r="2136" spans="3:7" x14ac:dyDescent="0.3">
      <c r="C2136" s="109"/>
      <c r="D2136" s="109"/>
      <c r="E2136" s="109"/>
      <c r="F2136" s="110"/>
      <c r="G2136" s="109"/>
    </row>
    <row r="2137" spans="3:7" x14ac:dyDescent="0.3">
      <c r="C2137" s="109"/>
      <c r="D2137" s="109"/>
      <c r="E2137" s="109"/>
      <c r="F2137" s="110"/>
      <c r="G2137" s="109"/>
    </row>
    <row r="2138" spans="3:7" x14ac:dyDescent="0.3">
      <c r="C2138" s="109"/>
      <c r="D2138" s="109"/>
      <c r="E2138" s="109"/>
      <c r="F2138" s="110"/>
      <c r="G2138" s="109"/>
    </row>
    <row r="2139" spans="3:7" x14ac:dyDescent="0.3">
      <c r="C2139" s="109"/>
      <c r="D2139" s="109"/>
      <c r="E2139" s="109"/>
      <c r="F2139" s="110"/>
      <c r="G2139" s="109"/>
    </row>
    <row r="2140" spans="3:7" x14ac:dyDescent="0.3">
      <c r="C2140" s="109"/>
      <c r="D2140" s="109"/>
      <c r="E2140" s="109"/>
      <c r="F2140" s="110"/>
      <c r="G2140" s="109"/>
    </row>
    <row r="2141" spans="3:7" x14ac:dyDescent="0.3">
      <c r="C2141" s="109"/>
      <c r="D2141" s="109"/>
      <c r="E2141" s="109"/>
      <c r="F2141" s="110"/>
      <c r="G2141" s="109"/>
    </row>
    <row r="2142" spans="3:7" x14ac:dyDescent="0.3">
      <c r="C2142" s="109"/>
      <c r="D2142" s="109"/>
      <c r="E2142" s="109"/>
      <c r="F2142" s="110"/>
      <c r="G2142" s="109"/>
    </row>
    <row r="2143" spans="3:7" x14ac:dyDescent="0.3">
      <c r="C2143" s="109"/>
      <c r="D2143" s="109"/>
      <c r="E2143" s="109"/>
      <c r="F2143" s="110"/>
      <c r="G2143" s="109"/>
    </row>
    <row r="2144" spans="3:7" x14ac:dyDescent="0.3">
      <c r="C2144" s="109"/>
      <c r="D2144" s="109"/>
      <c r="E2144" s="109"/>
      <c r="F2144" s="110"/>
      <c r="G2144" s="109"/>
    </row>
    <row r="2145" spans="3:7" x14ac:dyDescent="0.3">
      <c r="C2145" s="109"/>
      <c r="D2145" s="109"/>
      <c r="E2145" s="109"/>
      <c r="F2145" s="110"/>
      <c r="G2145" s="109"/>
    </row>
    <row r="2146" spans="3:7" x14ac:dyDescent="0.3">
      <c r="C2146" s="109"/>
      <c r="D2146" s="109"/>
      <c r="E2146" s="109"/>
      <c r="F2146" s="110"/>
      <c r="G2146" s="109"/>
    </row>
    <row r="2147" spans="3:7" x14ac:dyDescent="0.3">
      <c r="C2147" s="109"/>
      <c r="D2147" s="109"/>
      <c r="E2147" s="109"/>
      <c r="F2147" s="110"/>
      <c r="G2147" s="109"/>
    </row>
    <row r="2148" spans="3:7" x14ac:dyDescent="0.3">
      <c r="C2148" s="109"/>
      <c r="D2148" s="109"/>
      <c r="E2148" s="109"/>
      <c r="F2148" s="110"/>
      <c r="G2148" s="109"/>
    </row>
    <row r="2149" spans="3:7" x14ac:dyDescent="0.3">
      <c r="C2149" s="109"/>
      <c r="D2149" s="109"/>
      <c r="E2149" s="109"/>
      <c r="F2149" s="110"/>
      <c r="G2149" s="109"/>
    </row>
    <row r="2150" spans="3:7" x14ac:dyDescent="0.3">
      <c r="C2150" s="109"/>
      <c r="D2150" s="109"/>
      <c r="E2150" s="109"/>
      <c r="F2150" s="110"/>
      <c r="G2150" s="109"/>
    </row>
    <row r="2151" spans="3:7" x14ac:dyDescent="0.3">
      <c r="C2151" s="109"/>
      <c r="D2151" s="109"/>
      <c r="E2151" s="109"/>
      <c r="F2151" s="110"/>
      <c r="G2151" s="109"/>
    </row>
    <row r="2152" spans="3:7" x14ac:dyDescent="0.3">
      <c r="C2152" s="109"/>
      <c r="D2152" s="109"/>
      <c r="E2152" s="109"/>
      <c r="F2152" s="110"/>
      <c r="G2152" s="109"/>
    </row>
    <row r="2153" spans="3:7" x14ac:dyDescent="0.3">
      <c r="C2153" s="109"/>
      <c r="D2153" s="109"/>
      <c r="E2153" s="109"/>
      <c r="F2153" s="110"/>
      <c r="G2153" s="109"/>
    </row>
    <row r="2154" spans="3:7" x14ac:dyDescent="0.3">
      <c r="C2154" s="109"/>
      <c r="D2154" s="109"/>
      <c r="E2154" s="109"/>
      <c r="F2154" s="110"/>
      <c r="G2154" s="109"/>
    </row>
    <row r="2155" spans="3:7" x14ac:dyDescent="0.3">
      <c r="C2155" s="109"/>
      <c r="D2155" s="109"/>
      <c r="E2155" s="109"/>
      <c r="F2155" s="110"/>
      <c r="G2155" s="109"/>
    </row>
    <row r="2156" spans="3:7" x14ac:dyDescent="0.3">
      <c r="C2156" s="109"/>
      <c r="D2156" s="109"/>
      <c r="E2156" s="109"/>
      <c r="F2156" s="110"/>
      <c r="G2156" s="109"/>
    </row>
    <row r="2157" spans="3:7" x14ac:dyDescent="0.3">
      <c r="C2157" s="109"/>
      <c r="D2157" s="109"/>
      <c r="E2157" s="109"/>
      <c r="F2157" s="110"/>
      <c r="G2157" s="109"/>
    </row>
    <row r="2158" spans="3:7" x14ac:dyDescent="0.3">
      <c r="C2158" s="109"/>
      <c r="D2158" s="109"/>
      <c r="E2158" s="109"/>
      <c r="F2158" s="110"/>
      <c r="G2158" s="109"/>
    </row>
    <row r="2159" spans="3:7" x14ac:dyDescent="0.3">
      <c r="C2159" s="109"/>
      <c r="D2159" s="109"/>
      <c r="E2159" s="109"/>
      <c r="F2159" s="110"/>
      <c r="G2159" s="109"/>
    </row>
    <row r="2160" spans="3:7" x14ac:dyDescent="0.3">
      <c r="C2160" s="109"/>
      <c r="D2160" s="109"/>
      <c r="E2160" s="109"/>
      <c r="F2160" s="110"/>
      <c r="G2160" s="109"/>
    </row>
    <row r="2161" spans="3:7" x14ac:dyDescent="0.3">
      <c r="C2161" s="109"/>
      <c r="D2161" s="109"/>
      <c r="E2161" s="109"/>
      <c r="F2161" s="110"/>
      <c r="G2161" s="109"/>
    </row>
    <row r="2162" spans="3:7" x14ac:dyDescent="0.3">
      <c r="C2162" s="109"/>
      <c r="D2162" s="109"/>
      <c r="E2162" s="109"/>
      <c r="F2162" s="110"/>
      <c r="G2162" s="109"/>
    </row>
    <row r="2163" spans="3:7" x14ac:dyDescent="0.3">
      <c r="C2163" s="109"/>
      <c r="D2163" s="109"/>
      <c r="E2163" s="109"/>
      <c r="F2163" s="110"/>
      <c r="G2163" s="109"/>
    </row>
    <row r="2164" spans="3:7" x14ac:dyDescent="0.3">
      <c r="C2164" s="109"/>
      <c r="D2164" s="109"/>
      <c r="E2164" s="109"/>
      <c r="F2164" s="110"/>
      <c r="G2164" s="109"/>
    </row>
    <row r="2165" spans="3:7" x14ac:dyDescent="0.3">
      <c r="C2165" s="109"/>
      <c r="D2165" s="109"/>
      <c r="E2165" s="109"/>
      <c r="F2165" s="110"/>
      <c r="G2165" s="109"/>
    </row>
    <row r="2166" spans="3:7" x14ac:dyDescent="0.3">
      <c r="C2166" s="109"/>
      <c r="D2166" s="109"/>
      <c r="E2166" s="109"/>
      <c r="F2166" s="110"/>
      <c r="G2166" s="109"/>
    </row>
    <row r="2167" spans="3:7" x14ac:dyDescent="0.3">
      <c r="C2167" s="109"/>
      <c r="D2167" s="109"/>
      <c r="E2167" s="109"/>
      <c r="F2167" s="110"/>
      <c r="G2167" s="109"/>
    </row>
    <row r="2168" spans="3:7" x14ac:dyDescent="0.3">
      <c r="C2168" s="109"/>
      <c r="D2168" s="109"/>
      <c r="E2168" s="109"/>
      <c r="F2168" s="110"/>
      <c r="G2168" s="109"/>
    </row>
    <row r="2169" spans="3:7" x14ac:dyDescent="0.3">
      <c r="C2169" s="109"/>
      <c r="D2169" s="109"/>
      <c r="E2169" s="109"/>
      <c r="F2169" s="110"/>
      <c r="G2169" s="109"/>
    </row>
    <row r="2170" spans="3:7" x14ac:dyDescent="0.3">
      <c r="C2170" s="109"/>
      <c r="D2170" s="109"/>
      <c r="E2170" s="109"/>
      <c r="F2170" s="110"/>
      <c r="G2170" s="109"/>
    </row>
    <row r="2171" spans="3:7" x14ac:dyDescent="0.3">
      <c r="C2171" s="109"/>
      <c r="D2171" s="109"/>
      <c r="E2171" s="109"/>
      <c r="F2171" s="110"/>
      <c r="G2171" s="109"/>
    </row>
    <row r="2172" spans="3:7" x14ac:dyDescent="0.3">
      <c r="C2172" s="109"/>
      <c r="D2172" s="109"/>
      <c r="E2172" s="109"/>
      <c r="F2172" s="110"/>
      <c r="G2172" s="109"/>
    </row>
    <row r="2173" spans="3:7" x14ac:dyDescent="0.3">
      <c r="C2173" s="109"/>
      <c r="D2173" s="109"/>
      <c r="E2173" s="109"/>
      <c r="F2173" s="110"/>
      <c r="G2173" s="109"/>
    </row>
    <row r="2174" spans="3:7" x14ac:dyDescent="0.3">
      <c r="C2174" s="109"/>
      <c r="D2174" s="109"/>
      <c r="E2174" s="109"/>
      <c r="F2174" s="110"/>
      <c r="G2174" s="109"/>
    </row>
    <row r="2175" spans="3:7" x14ac:dyDescent="0.3">
      <c r="C2175" s="109"/>
      <c r="D2175" s="109"/>
      <c r="E2175" s="109"/>
      <c r="F2175" s="110"/>
      <c r="G2175" s="109"/>
    </row>
    <row r="2176" spans="3:7" x14ac:dyDescent="0.3">
      <c r="C2176" s="109"/>
      <c r="D2176" s="109"/>
      <c r="E2176" s="109"/>
      <c r="F2176" s="110"/>
      <c r="G2176" s="109"/>
    </row>
    <row r="2177" spans="3:7" x14ac:dyDescent="0.3">
      <c r="C2177" s="109"/>
      <c r="D2177" s="109"/>
      <c r="E2177" s="109"/>
      <c r="F2177" s="110"/>
      <c r="G2177" s="109"/>
    </row>
    <row r="2178" spans="3:7" x14ac:dyDescent="0.3">
      <c r="C2178" s="109"/>
      <c r="D2178" s="109"/>
      <c r="E2178" s="109"/>
      <c r="F2178" s="110"/>
      <c r="G2178" s="109"/>
    </row>
    <row r="2179" spans="3:7" x14ac:dyDescent="0.3">
      <c r="C2179" s="109"/>
      <c r="D2179" s="109"/>
      <c r="E2179" s="109"/>
      <c r="F2179" s="110"/>
      <c r="G2179" s="109"/>
    </row>
    <row r="2180" spans="3:7" x14ac:dyDescent="0.3">
      <c r="C2180" s="109"/>
      <c r="D2180" s="109"/>
      <c r="E2180" s="109"/>
      <c r="F2180" s="110"/>
      <c r="G2180" s="109"/>
    </row>
    <row r="2181" spans="3:7" x14ac:dyDescent="0.3">
      <c r="C2181" s="109"/>
      <c r="D2181" s="109"/>
      <c r="E2181" s="109"/>
      <c r="F2181" s="110"/>
      <c r="G2181" s="109"/>
    </row>
    <row r="2182" spans="3:7" x14ac:dyDescent="0.3">
      <c r="C2182" s="109"/>
      <c r="D2182" s="109"/>
      <c r="E2182" s="109"/>
      <c r="F2182" s="110"/>
      <c r="G2182" s="109"/>
    </row>
    <row r="2183" spans="3:7" x14ac:dyDescent="0.3">
      <c r="C2183" s="109"/>
      <c r="D2183" s="109"/>
      <c r="E2183" s="109"/>
      <c r="F2183" s="110"/>
      <c r="G2183" s="109"/>
    </row>
    <row r="2184" spans="3:7" x14ac:dyDescent="0.3">
      <c r="C2184" s="109"/>
      <c r="D2184" s="109"/>
      <c r="E2184" s="109"/>
      <c r="F2184" s="110"/>
      <c r="G2184" s="109"/>
    </row>
    <row r="2185" spans="3:7" x14ac:dyDescent="0.3">
      <c r="C2185" s="109"/>
      <c r="D2185" s="109"/>
      <c r="E2185" s="109"/>
      <c r="F2185" s="110"/>
      <c r="G2185" s="109"/>
    </row>
    <row r="2186" spans="3:7" x14ac:dyDescent="0.3">
      <c r="C2186" s="109"/>
      <c r="D2186" s="109"/>
      <c r="E2186" s="109"/>
      <c r="F2186" s="110"/>
      <c r="G2186" s="109"/>
    </row>
    <row r="2187" spans="3:7" x14ac:dyDescent="0.3">
      <c r="C2187" s="109"/>
      <c r="D2187" s="109"/>
      <c r="E2187" s="109"/>
      <c r="F2187" s="110"/>
      <c r="G2187" s="109"/>
    </row>
    <row r="2188" spans="3:7" x14ac:dyDescent="0.3">
      <c r="C2188" s="109"/>
      <c r="D2188" s="109"/>
      <c r="E2188" s="109"/>
      <c r="F2188" s="110"/>
      <c r="G2188" s="109"/>
    </row>
    <row r="2189" spans="3:7" x14ac:dyDescent="0.3">
      <c r="C2189" s="109"/>
      <c r="D2189" s="109"/>
      <c r="E2189" s="109"/>
      <c r="F2189" s="110"/>
      <c r="G2189" s="109"/>
    </row>
    <row r="2190" spans="3:7" x14ac:dyDescent="0.3">
      <c r="C2190" s="109"/>
      <c r="D2190" s="109"/>
      <c r="E2190" s="109"/>
      <c r="F2190" s="110"/>
      <c r="G2190" s="109"/>
    </row>
    <row r="2191" spans="3:7" x14ac:dyDescent="0.3">
      <c r="C2191" s="109"/>
      <c r="D2191" s="109"/>
      <c r="E2191" s="109"/>
      <c r="F2191" s="110"/>
      <c r="G2191" s="109"/>
    </row>
    <row r="2192" spans="3:7" x14ac:dyDescent="0.3">
      <c r="C2192" s="109"/>
      <c r="D2192" s="109"/>
      <c r="E2192" s="109"/>
      <c r="F2192" s="110"/>
      <c r="G2192" s="109"/>
    </row>
    <row r="2193" spans="3:7" x14ac:dyDescent="0.3">
      <c r="C2193" s="109"/>
      <c r="D2193" s="109"/>
      <c r="E2193" s="109"/>
      <c r="F2193" s="110"/>
      <c r="G2193" s="109"/>
    </row>
    <row r="2194" spans="3:7" x14ac:dyDescent="0.3">
      <c r="C2194" s="109"/>
      <c r="D2194" s="109"/>
      <c r="E2194" s="109"/>
      <c r="F2194" s="110"/>
      <c r="G2194" s="109"/>
    </row>
    <row r="2195" spans="3:7" x14ac:dyDescent="0.3">
      <c r="C2195" s="109"/>
      <c r="D2195" s="109"/>
      <c r="E2195" s="109"/>
      <c r="F2195" s="110"/>
      <c r="G2195" s="109"/>
    </row>
    <row r="2196" spans="3:7" x14ac:dyDescent="0.3">
      <c r="C2196" s="109"/>
      <c r="D2196" s="109"/>
      <c r="E2196" s="109"/>
      <c r="F2196" s="110"/>
      <c r="G2196" s="109"/>
    </row>
    <row r="2197" spans="3:7" x14ac:dyDescent="0.3">
      <c r="C2197" s="109"/>
      <c r="D2197" s="109"/>
      <c r="E2197" s="109"/>
      <c r="F2197" s="110"/>
      <c r="G2197" s="109"/>
    </row>
    <row r="2198" spans="3:7" x14ac:dyDescent="0.3">
      <c r="C2198" s="109"/>
      <c r="D2198" s="109"/>
      <c r="E2198" s="109"/>
      <c r="F2198" s="110"/>
      <c r="G2198" s="109"/>
    </row>
    <row r="2199" spans="3:7" x14ac:dyDescent="0.3">
      <c r="C2199" s="109"/>
      <c r="D2199" s="109"/>
      <c r="E2199" s="109"/>
      <c r="F2199" s="110"/>
      <c r="G2199" s="109"/>
    </row>
    <row r="2200" spans="3:7" x14ac:dyDescent="0.3">
      <c r="C2200" s="109"/>
      <c r="D2200" s="109"/>
      <c r="E2200" s="109"/>
      <c r="F2200" s="110"/>
      <c r="G2200" s="109"/>
    </row>
    <row r="2201" spans="3:7" x14ac:dyDescent="0.3">
      <c r="C2201" s="109"/>
      <c r="D2201" s="109"/>
      <c r="E2201" s="109"/>
      <c r="F2201" s="110"/>
      <c r="G2201" s="109"/>
    </row>
    <row r="2202" spans="3:7" x14ac:dyDescent="0.3">
      <c r="C2202" s="109"/>
      <c r="D2202" s="109"/>
      <c r="E2202" s="109"/>
      <c r="F2202" s="110"/>
      <c r="G2202" s="109"/>
    </row>
    <row r="2203" spans="3:7" x14ac:dyDescent="0.3">
      <c r="C2203" s="109"/>
      <c r="D2203" s="109"/>
      <c r="E2203" s="109"/>
      <c r="F2203" s="110"/>
      <c r="G2203" s="109"/>
    </row>
    <row r="2204" spans="3:7" x14ac:dyDescent="0.3">
      <c r="C2204" s="109"/>
      <c r="D2204" s="109"/>
      <c r="E2204" s="109"/>
      <c r="F2204" s="110"/>
      <c r="G2204" s="109"/>
    </row>
    <row r="2205" spans="3:7" x14ac:dyDescent="0.3">
      <c r="C2205" s="109"/>
      <c r="D2205" s="109"/>
      <c r="E2205" s="109"/>
      <c r="F2205" s="110"/>
      <c r="G2205" s="109"/>
    </row>
    <row r="2206" spans="3:7" x14ac:dyDescent="0.3">
      <c r="C2206" s="109"/>
      <c r="D2206" s="109"/>
      <c r="E2206" s="109"/>
      <c r="F2206" s="110"/>
      <c r="G2206" s="109"/>
    </row>
    <row r="2207" spans="3:7" x14ac:dyDescent="0.3">
      <c r="C2207" s="109"/>
      <c r="D2207" s="109"/>
      <c r="E2207" s="109"/>
      <c r="F2207" s="110"/>
      <c r="G2207" s="109"/>
    </row>
    <row r="2208" spans="3:7" x14ac:dyDescent="0.3">
      <c r="C2208" s="109"/>
      <c r="D2208" s="109"/>
      <c r="E2208" s="109"/>
      <c r="F2208" s="110"/>
      <c r="G2208" s="109"/>
    </row>
    <row r="2209" spans="3:7" x14ac:dyDescent="0.3">
      <c r="C2209" s="109"/>
      <c r="D2209" s="109"/>
      <c r="E2209" s="109"/>
      <c r="F2209" s="110"/>
      <c r="G2209" s="109"/>
    </row>
    <row r="2210" spans="3:7" x14ac:dyDescent="0.3">
      <c r="C2210" s="109"/>
      <c r="D2210" s="109"/>
      <c r="E2210" s="109"/>
      <c r="F2210" s="110"/>
      <c r="G2210" s="109"/>
    </row>
    <row r="2211" spans="3:7" x14ac:dyDescent="0.3">
      <c r="C2211" s="109"/>
      <c r="D2211" s="109"/>
      <c r="E2211" s="109"/>
      <c r="F2211" s="110"/>
      <c r="G2211" s="109"/>
    </row>
    <row r="2212" spans="3:7" x14ac:dyDescent="0.3">
      <c r="C2212" s="109"/>
      <c r="D2212" s="109"/>
      <c r="E2212" s="109"/>
      <c r="F2212" s="110"/>
      <c r="G2212" s="109"/>
    </row>
    <row r="2213" spans="3:7" x14ac:dyDescent="0.3">
      <c r="C2213" s="109"/>
      <c r="D2213" s="109"/>
      <c r="E2213" s="109"/>
      <c r="F2213" s="110"/>
      <c r="G2213" s="109"/>
    </row>
    <row r="2214" spans="3:7" x14ac:dyDescent="0.3">
      <c r="C2214" s="109"/>
      <c r="D2214" s="109"/>
      <c r="E2214" s="109"/>
      <c r="F2214" s="110"/>
      <c r="G2214" s="109"/>
    </row>
    <row r="2215" spans="3:7" x14ac:dyDescent="0.3">
      <c r="C2215" s="109"/>
      <c r="D2215" s="109"/>
      <c r="E2215" s="109"/>
      <c r="F2215" s="110"/>
      <c r="G2215" s="109"/>
    </row>
    <row r="2216" spans="3:7" x14ac:dyDescent="0.3">
      <c r="C2216" s="109"/>
      <c r="D2216" s="109"/>
      <c r="E2216" s="109"/>
      <c r="F2216" s="110"/>
      <c r="G2216" s="109"/>
    </row>
    <row r="2217" spans="3:7" x14ac:dyDescent="0.3">
      <c r="C2217" s="109"/>
      <c r="D2217" s="109"/>
      <c r="E2217" s="109"/>
      <c r="F2217" s="110"/>
      <c r="G2217" s="109"/>
    </row>
    <row r="2218" spans="3:7" x14ac:dyDescent="0.3">
      <c r="C2218" s="109"/>
      <c r="D2218" s="109"/>
      <c r="E2218" s="109"/>
      <c r="F2218" s="110"/>
      <c r="G2218" s="109"/>
    </row>
    <row r="2219" spans="3:7" x14ac:dyDescent="0.3">
      <c r="C2219" s="109"/>
      <c r="D2219" s="109"/>
      <c r="E2219" s="109"/>
      <c r="F2219" s="110"/>
      <c r="G2219" s="109"/>
    </row>
    <row r="2220" spans="3:7" x14ac:dyDescent="0.3">
      <c r="C2220" s="109"/>
      <c r="D2220" s="109"/>
      <c r="E2220" s="109"/>
      <c r="F2220" s="110"/>
      <c r="G2220" s="109"/>
    </row>
    <row r="2221" spans="3:7" x14ac:dyDescent="0.3">
      <c r="C2221" s="109"/>
      <c r="D2221" s="109"/>
      <c r="E2221" s="109"/>
      <c r="F2221" s="110"/>
      <c r="G2221" s="109"/>
    </row>
    <row r="2222" spans="3:7" x14ac:dyDescent="0.3">
      <c r="C2222" s="109"/>
      <c r="D2222" s="109"/>
      <c r="E2222" s="109"/>
      <c r="F2222" s="110"/>
      <c r="G2222" s="109"/>
    </row>
    <row r="2223" spans="3:7" x14ac:dyDescent="0.3">
      <c r="C2223" s="109"/>
      <c r="D2223" s="109"/>
      <c r="E2223" s="109"/>
      <c r="F2223" s="110"/>
      <c r="G2223" s="109"/>
    </row>
    <row r="2224" spans="3:7" x14ac:dyDescent="0.3">
      <c r="C2224" s="109"/>
      <c r="D2224" s="109"/>
      <c r="E2224" s="109"/>
      <c r="F2224" s="110"/>
      <c r="G2224" s="109"/>
    </row>
    <row r="2225" spans="3:7" x14ac:dyDescent="0.3">
      <c r="C2225" s="109"/>
      <c r="D2225" s="109"/>
      <c r="E2225" s="109"/>
      <c r="F2225" s="110"/>
      <c r="G2225" s="109"/>
    </row>
    <row r="2226" spans="3:7" x14ac:dyDescent="0.3">
      <c r="C2226" s="109"/>
      <c r="D2226" s="109"/>
      <c r="E2226" s="109"/>
      <c r="F2226" s="110"/>
      <c r="G2226" s="109"/>
    </row>
    <row r="2227" spans="3:7" x14ac:dyDescent="0.3">
      <c r="C2227" s="109"/>
      <c r="D2227" s="109"/>
      <c r="E2227" s="109"/>
      <c r="F2227" s="110"/>
      <c r="G2227" s="109"/>
    </row>
    <row r="2228" spans="3:7" x14ac:dyDescent="0.3">
      <c r="C2228" s="109"/>
      <c r="D2228" s="109"/>
      <c r="E2228" s="109"/>
      <c r="F2228" s="110"/>
      <c r="G2228" s="109"/>
    </row>
    <row r="2229" spans="3:7" x14ac:dyDescent="0.3">
      <c r="C2229" s="109"/>
      <c r="D2229" s="109"/>
      <c r="E2229" s="109"/>
      <c r="F2229" s="110"/>
      <c r="G2229" s="109"/>
    </row>
    <row r="2230" spans="3:7" x14ac:dyDescent="0.3">
      <c r="C2230" s="109"/>
      <c r="D2230" s="109"/>
      <c r="E2230" s="109"/>
      <c r="F2230" s="110"/>
      <c r="G2230" s="109"/>
    </row>
    <row r="2231" spans="3:7" x14ac:dyDescent="0.3">
      <c r="C2231" s="109"/>
      <c r="D2231" s="109"/>
      <c r="E2231" s="109"/>
      <c r="F2231" s="110"/>
      <c r="G2231" s="109"/>
    </row>
    <row r="2232" spans="3:7" x14ac:dyDescent="0.3">
      <c r="C2232" s="109"/>
      <c r="D2232" s="109"/>
      <c r="E2232" s="109"/>
      <c r="F2232" s="110"/>
      <c r="G2232" s="109"/>
    </row>
    <row r="2233" spans="3:7" x14ac:dyDescent="0.3">
      <c r="C2233" s="109"/>
      <c r="D2233" s="109"/>
      <c r="E2233" s="109"/>
      <c r="F2233" s="110"/>
      <c r="G2233" s="109"/>
    </row>
    <row r="2234" spans="3:7" x14ac:dyDescent="0.3">
      <c r="C2234" s="109"/>
      <c r="D2234" s="109"/>
      <c r="E2234" s="109"/>
      <c r="F2234" s="110"/>
      <c r="G2234" s="109"/>
    </row>
    <row r="2235" spans="3:7" x14ac:dyDescent="0.3">
      <c r="C2235" s="109"/>
      <c r="D2235" s="109"/>
      <c r="E2235" s="109"/>
      <c r="F2235" s="110"/>
      <c r="G2235" s="109"/>
    </row>
    <row r="2236" spans="3:7" x14ac:dyDescent="0.3">
      <c r="C2236" s="109"/>
      <c r="D2236" s="109"/>
      <c r="E2236" s="109"/>
      <c r="F2236" s="110"/>
      <c r="G2236" s="109"/>
    </row>
    <row r="2237" spans="3:7" x14ac:dyDescent="0.3">
      <c r="C2237" s="109"/>
      <c r="D2237" s="109"/>
      <c r="E2237" s="109"/>
      <c r="F2237" s="110"/>
      <c r="G2237" s="109"/>
    </row>
    <row r="2238" spans="3:7" x14ac:dyDescent="0.3">
      <c r="C2238" s="109"/>
      <c r="D2238" s="109"/>
      <c r="E2238" s="109"/>
      <c r="F2238" s="110"/>
      <c r="G2238" s="109"/>
    </row>
    <row r="2239" spans="3:7" x14ac:dyDescent="0.3">
      <c r="C2239" s="109"/>
      <c r="D2239" s="109"/>
      <c r="E2239" s="109"/>
      <c r="F2239" s="110"/>
      <c r="G2239" s="109"/>
    </row>
    <row r="2240" spans="3:7" x14ac:dyDescent="0.3">
      <c r="C2240" s="109"/>
      <c r="D2240" s="109"/>
      <c r="E2240" s="109"/>
      <c r="F2240" s="110"/>
      <c r="G2240" s="109"/>
    </row>
    <row r="2241" spans="3:7" x14ac:dyDescent="0.3">
      <c r="C2241" s="109"/>
      <c r="D2241" s="109"/>
      <c r="E2241" s="109"/>
      <c r="F2241" s="110"/>
      <c r="G2241" s="109"/>
    </row>
    <row r="2242" spans="3:7" x14ac:dyDescent="0.3">
      <c r="C2242" s="109"/>
      <c r="D2242" s="109"/>
      <c r="E2242" s="109"/>
      <c r="F2242" s="110"/>
      <c r="G2242" s="109"/>
    </row>
    <row r="2243" spans="3:7" x14ac:dyDescent="0.3">
      <c r="C2243" s="109"/>
      <c r="D2243" s="109"/>
      <c r="E2243" s="109"/>
      <c r="F2243" s="110"/>
      <c r="G2243" s="109"/>
    </row>
    <row r="2244" spans="3:7" x14ac:dyDescent="0.3">
      <c r="C2244" s="109"/>
      <c r="D2244" s="109"/>
      <c r="E2244" s="109"/>
      <c r="F2244" s="110"/>
      <c r="G2244" s="109"/>
    </row>
    <row r="2245" spans="3:7" x14ac:dyDescent="0.3">
      <c r="C2245" s="109"/>
      <c r="D2245" s="109"/>
      <c r="E2245" s="109"/>
      <c r="F2245" s="110"/>
      <c r="G2245" s="109"/>
    </row>
    <row r="2246" spans="3:7" x14ac:dyDescent="0.3">
      <c r="C2246" s="109"/>
      <c r="D2246" s="109"/>
      <c r="E2246" s="109"/>
      <c r="F2246" s="110"/>
      <c r="G2246" s="109"/>
    </row>
    <row r="2247" spans="3:7" x14ac:dyDescent="0.3">
      <c r="C2247" s="109"/>
      <c r="D2247" s="109"/>
      <c r="E2247" s="109"/>
      <c r="F2247" s="110"/>
      <c r="G2247" s="109"/>
    </row>
    <row r="2248" spans="3:7" x14ac:dyDescent="0.3">
      <c r="C2248" s="109"/>
      <c r="D2248" s="109"/>
      <c r="E2248" s="109"/>
      <c r="F2248" s="110"/>
      <c r="G2248" s="109"/>
    </row>
    <row r="2249" spans="3:7" x14ac:dyDescent="0.3">
      <c r="C2249" s="109"/>
      <c r="D2249" s="109"/>
      <c r="E2249" s="109"/>
      <c r="F2249" s="110"/>
      <c r="G2249" s="109"/>
    </row>
    <row r="2250" spans="3:7" x14ac:dyDescent="0.3">
      <c r="C2250" s="109"/>
      <c r="D2250" s="109"/>
      <c r="E2250" s="109"/>
      <c r="F2250" s="110"/>
      <c r="G2250" s="109"/>
    </row>
    <row r="2251" spans="3:7" x14ac:dyDescent="0.3">
      <c r="C2251" s="109"/>
      <c r="D2251" s="109"/>
      <c r="E2251" s="109"/>
      <c r="F2251" s="110"/>
      <c r="G2251" s="109"/>
    </row>
    <row r="2252" spans="3:7" x14ac:dyDescent="0.3">
      <c r="C2252" s="109"/>
      <c r="D2252" s="109"/>
      <c r="E2252" s="109"/>
      <c r="F2252" s="110"/>
      <c r="G2252" s="109"/>
    </row>
    <row r="2253" spans="3:7" x14ac:dyDescent="0.3">
      <c r="C2253" s="109"/>
      <c r="D2253" s="109"/>
      <c r="E2253" s="109"/>
      <c r="F2253" s="110"/>
      <c r="G2253" s="109"/>
    </row>
    <row r="2254" spans="3:7" x14ac:dyDescent="0.3">
      <c r="C2254" s="109"/>
      <c r="D2254" s="109"/>
      <c r="E2254" s="109"/>
      <c r="F2254" s="110"/>
      <c r="G2254" s="109"/>
    </row>
    <row r="2255" spans="3:7" x14ac:dyDescent="0.3">
      <c r="C2255" s="109"/>
      <c r="D2255" s="109"/>
      <c r="E2255" s="109"/>
      <c r="F2255" s="110"/>
      <c r="G2255" s="109"/>
    </row>
    <row r="2256" spans="3:7" x14ac:dyDescent="0.3">
      <c r="C2256" s="109"/>
      <c r="D2256" s="109"/>
      <c r="E2256" s="109"/>
      <c r="F2256" s="110"/>
      <c r="G2256" s="109"/>
    </row>
    <row r="2257" spans="3:7" x14ac:dyDescent="0.3">
      <c r="C2257" s="109"/>
      <c r="D2257" s="109"/>
      <c r="E2257" s="109"/>
      <c r="F2257" s="110"/>
      <c r="G2257" s="109"/>
    </row>
    <row r="2258" spans="3:7" x14ac:dyDescent="0.3">
      <c r="C2258" s="109"/>
      <c r="D2258" s="109"/>
      <c r="E2258" s="109"/>
      <c r="F2258" s="110"/>
      <c r="G2258" s="109"/>
    </row>
    <row r="2259" spans="3:7" x14ac:dyDescent="0.3">
      <c r="C2259" s="109"/>
      <c r="D2259" s="109"/>
      <c r="E2259" s="109"/>
      <c r="F2259" s="110"/>
      <c r="G2259" s="109"/>
    </row>
    <row r="2260" spans="3:7" x14ac:dyDescent="0.3">
      <c r="C2260" s="109"/>
      <c r="D2260" s="109"/>
      <c r="E2260" s="109"/>
      <c r="F2260" s="110"/>
      <c r="G2260" s="109"/>
    </row>
    <row r="2261" spans="3:7" x14ac:dyDescent="0.3">
      <c r="C2261" s="109"/>
      <c r="D2261" s="109"/>
      <c r="E2261" s="109"/>
      <c r="F2261" s="110"/>
      <c r="G2261" s="109"/>
    </row>
    <row r="2262" spans="3:7" x14ac:dyDescent="0.3">
      <c r="C2262" s="109"/>
      <c r="D2262" s="109"/>
      <c r="E2262" s="109"/>
      <c r="F2262" s="110"/>
      <c r="G2262" s="109"/>
    </row>
    <row r="2263" spans="3:7" x14ac:dyDescent="0.3">
      <c r="C2263" s="109"/>
      <c r="D2263" s="109"/>
      <c r="E2263" s="109"/>
      <c r="F2263" s="110"/>
      <c r="G2263" s="109"/>
    </row>
    <row r="2264" spans="3:7" x14ac:dyDescent="0.3">
      <c r="C2264" s="109"/>
      <c r="D2264" s="109"/>
      <c r="E2264" s="109"/>
      <c r="F2264" s="110"/>
      <c r="G2264" s="109"/>
    </row>
    <row r="2265" spans="3:7" x14ac:dyDescent="0.3">
      <c r="C2265" s="109"/>
      <c r="D2265" s="109"/>
      <c r="E2265" s="109"/>
      <c r="F2265" s="110"/>
      <c r="G2265" s="109"/>
    </row>
    <row r="2266" spans="3:7" x14ac:dyDescent="0.3">
      <c r="C2266" s="109"/>
      <c r="D2266" s="109"/>
      <c r="E2266" s="109"/>
      <c r="F2266" s="110"/>
      <c r="G2266" s="109"/>
    </row>
    <row r="2267" spans="3:7" x14ac:dyDescent="0.3">
      <c r="C2267" s="109"/>
      <c r="D2267" s="109"/>
      <c r="E2267" s="109"/>
      <c r="F2267" s="110"/>
      <c r="G2267" s="109"/>
    </row>
    <row r="2268" spans="3:7" x14ac:dyDescent="0.3">
      <c r="C2268" s="109"/>
      <c r="D2268" s="109"/>
      <c r="E2268" s="109"/>
      <c r="F2268" s="110"/>
      <c r="G2268" s="109"/>
    </row>
    <row r="2269" spans="3:7" x14ac:dyDescent="0.3">
      <c r="C2269" s="109"/>
      <c r="D2269" s="109"/>
      <c r="E2269" s="109"/>
      <c r="F2269" s="110"/>
      <c r="G2269" s="109"/>
    </row>
    <row r="2270" spans="3:7" x14ac:dyDescent="0.3">
      <c r="C2270" s="109"/>
      <c r="D2270" s="109"/>
      <c r="E2270" s="109"/>
      <c r="F2270" s="110"/>
      <c r="G2270" s="109"/>
    </row>
    <row r="2271" spans="3:7" x14ac:dyDescent="0.3">
      <c r="C2271" s="109"/>
      <c r="D2271" s="109"/>
      <c r="E2271" s="109"/>
      <c r="F2271" s="110"/>
      <c r="G2271" s="109"/>
    </row>
    <row r="2272" spans="3:7" x14ac:dyDescent="0.3">
      <c r="C2272" s="109"/>
      <c r="D2272" s="109"/>
      <c r="E2272" s="109"/>
      <c r="F2272" s="110"/>
      <c r="G2272" s="109"/>
    </row>
    <row r="2273" spans="3:7" x14ac:dyDescent="0.3">
      <c r="C2273" s="109"/>
      <c r="D2273" s="109"/>
      <c r="E2273" s="109"/>
      <c r="F2273" s="110"/>
      <c r="G2273" s="109"/>
    </row>
    <row r="2274" spans="3:7" x14ac:dyDescent="0.3">
      <c r="C2274" s="109"/>
      <c r="D2274" s="109"/>
      <c r="E2274" s="109"/>
      <c r="F2274" s="110"/>
      <c r="G2274" s="109"/>
    </row>
    <row r="2275" spans="3:7" x14ac:dyDescent="0.3">
      <c r="C2275" s="109"/>
      <c r="D2275" s="109"/>
      <c r="E2275" s="109"/>
      <c r="F2275" s="110"/>
      <c r="G2275" s="109"/>
    </row>
    <row r="2276" spans="3:7" x14ac:dyDescent="0.3">
      <c r="C2276" s="109"/>
      <c r="D2276" s="109"/>
      <c r="E2276" s="109"/>
      <c r="F2276" s="110"/>
      <c r="G2276" s="109"/>
    </row>
    <row r="2277" spans="3:7" x14ac:dyDescent="0.3">
      <c r="C2277" s="109"/>
      <c r="D2277" s="109"/>
      <c r="E2277" s="109"/>
      <c r="F2277" s="110"/>
      <c r="G2277" s="109"/>
    </row>
    <row r="2278" spans="3:7" x14ac:dyDescent="0.3">
      <c r="C2278" s="109"/>
      <c r="D2278" s="109"/>
      <c r="E2278" s="109"/>
      <c r="F2278" s="110"/>
      <c r="G2278" s="109"/>
    </row>
    <row r="2279" spans="3:7" x14ac:dyDescent="0.3">
      <c r="C2279" s="109"/>
      <c r="D2279" s="109"/>
      <c r="E2279" s="109"/>
      <c r="F2279" s="110"/>
      <c r="G2279" s="109"/>
    </row>
    <row r="2280" spans="3:7" x14ac:dyDescent="0.3">
      <c r="C2280" s="109"/>
      <c r="D2280" s="109"/>
      <c r="E2280" s="109"/>
      <c r="F2280" s="110"/>
      <c r="G2280" s="109"/>
    </row>
    <row r="2281" spans="3:7" x14ac:dyDescent="0.3">
      <c r="C2281" s="109"/>
      <c r="D2281" s="109"/>
      <c r="E2281" s="109"/>
      <c r="F2281" s="110"/>
      <c r="G2281" s="109"/>
    </row>
    <row r="2282" spans="3:7" x14ac:dyDescent="0.3">
      <c r="C2282" s="109"/>
      <c r="D2282" s="109"/>
      <c r="E2282" s="109"/>
      <c r="F2282" s="110"/>
      <c r="G2282" s="109"/>
    </row>
    <row r="2283" spans="3:7" x14ac:dyDescent="0.3">
      <c r="C2283" s="109"/>
      <c r="D2283" s="109"/>
      <c r="E2283" s="109"/>
      <c r="F2283" s="110"/>
      <c r="G2283" s="109"/>
    </row>
    <row r="2284" spans="3:7" x14ac:dyDescent="0.3">
      <c r="C2284" s="109"/>
      <c r="D2284" s="109"/>
      <c r="E2284" s="109"/>
      <c r="F2284" s="110"/>
      <c r="G2284" s="109"/>
    </row>
    <row r="2285" spans="3:7" x14ac:dyDescent="0.3">
      <c r="C2285" s="109"/>
      <c r="D2285" s="109"/>
      <c r="E2285" s="109"/>
      <c r="F2285" s="110"/>
      <c r="G2285" s="109"/>
    </row>
    <row r="2286" spans="3:7" x14ac:dyDescent="0.3">
      <c r="C2286" s="109"/>
      <c r="D2286" s="109"/>
      <c r="E2286" s="109"/>
      <c r="F2286" s="110"/>
      <c r="G2286" s="109"/>
    </row>
    <row r="2287" spans="3:7" x14ac:dyDescent="0.3">
      <c r="C2287" s="109"/>
      <c r="D2287" s="109"/>
      <c r="E2287" s="109"/>
      <c r="F2287" s="110"/>
      <c r="G2287" s="109"/>
    </row>
    <row r="2288" spans="3:7" x14ac:dyDescent="0.3">
      <c r="C2288" s="109"/>
      <c r="D2288" s="109"/>
      <c r="E2288" s="109"/>
      <c r="F2288" s="110"/>
      <c r="G2288" s="109"/>
    </row>
    <row r="2289" spans="3:7" x14ac:dyDescent="0.3">
      <c r="C2289" s="109"/>
      <c r="D2289" s="109"/>
      <c r="E2289" s="109"/>
      <c r="F2289" s="110"/>
      <c r="G2289" s="109"/>
    </row>
    <row r="2290" spans="3:7" x14ac:dyDescent="0.3">
      <c r="C2290" s="109"/>
      <c r="D2290" s="109"/>
      <c r="E2290" s="109"/>
      <c r="F2290" s="110"/>
      <c r="G2290" s="109"/>
    </row>
    <row r="2291" spans="3:7" x14ac:dyDescent="0.3">
      <c r="C2291" s="109"/>
      <c r="D2291" s="109"/>
      <c r="E2291" s="109"/>
      <c r="F2291" s="110"/>
      <c r="G2291" s="109"/>
    </row>
    <row r="2292" spans="3:7" x14ac:dyDescent="0.3">
      <c r="C2292" s="109"/>
      <c r="D2292" s="109"/>
      <c r="E2292" s="109"/>
      <c r="F2292" s="110"/>
      <c r="G2292" s="109"/>
    </row>
    <row r="2293" spans="3:7" x14ac:dyDescent="0.3">
      <c r="C2293" s="109"/>
      <c r="D2293" s="109"/>
      <c r="E2293" s="109"/>
      <c r="F2293" s="110"/>
      <c r="G2293" s="109"/>
    </row>
    <row r="2294" spans="3:7" x14ac:dyDescent="0.3">
      <c r="C2294" s="109"/>
      <c r="D2294" s="109"/>
      <c r="E2294" s="109"/>
      <c r="F2294" s="110"/>
      <c r="G2294" s="109"/>
    </row>
    <row r="2295" spans="3:7" x14ac:dyDescent="0.3">
      <c r="C2295" s="109"/>
      <c r="D2295" s="109"/>
      <c r="E2295" s="109"/>
      <c r="F2295" s="110"/>
      <c r="G2295" s="109"/>
    </row>
    <row r="2296" spans="3:7" x14ac:dyDescent="0.3">
      <c r="C2296" s="109"/>
      <c r="D2296" s="109"/>
      <c r="E2296" s="109"/>
      <c r="F2296" s="110"/>
      <c r="G2296" s="109"/>
    </row>
    <row r="2297" spans="3:7" x14ac:dyDescent="0.3">
      <c r="C2297" s="109"/>
      <c r="D2297" s="109"/>
      <c r="E2297" s="109"/>
      <c r="F2297" s="110"/>
      <c r="G2297" s="109"/>
    </row>
    <row r="2298" spans="3:7" x14ac:dyDescent="0.3">
      <c r="C2298" s="109"/>
      <c r="D2298" s="109"/>
      <c r="E2298" s="109"/>
      <c r="F2298" s="110"/>
      <c r="G2298" s="109"/>
    </row>
    <row r="2299" spans="3:7" x14ac:dyDescent="0.3">
      <c r="C2299" s="109"/>
      <c r="D2299" s="109"/>
      <c r="E2299" s="109"/>
      <c r="F2299" s="110"/>
      <c r="G2299" s="109"/>
    </row>
    <row r="2300" spans="3:7" x14ac:dyDescent="0.3">
      <c r="C2300" s="109"/>
      <c r="D2300" s="109"/>
      <c r="E2300" s="109"/>
      <c r="F2300" s="110"/>
      <c r="G2300" s="109"/>
    </row>
    <row r="2301" spans="3:7" x14ac:dyDescent="0.3">
      <c r="C2301" s="109"/>
      <c r="D2301" s="109"/>
      <c r="E2301" s="109"/>
      <c r="F2301" s="110"/>
      <c r="G2301" s="109"/>
    </row>
    <row r="2302" spans="3:7" x14ac:dyDescent="0.3">
      <c r="C2302" s="109"/>
      <c r="D2302" s="109"/>
      <c r="E2302" s="109"/>
      <c r="F2302" s="110"/>
      <c r="G2302" s="109"/>
    </row>
    <row r="2303" spans="3:7" x14ac:dyDescent="0.3">
      <c r="C2303" s="109"/>
      <c r="D2303" s="109"/>
      <c r="E2303" s="109"/>
      <c r="F2303" s="110"/>
      <c r="G2303" s="109"/>
    </row>
    <row r="2304" spans="3:7" x14ac:dyDescent="0.3">
      <c r="C2304" s="109"/>
      <c r="D2304" s="109"/>
      <c r="E2304" s="109"/>
      <c r="F2304" s="110"/>
      <c r="G2304" s="109"/>
    </row>
    <row r="2305" spans="3:7" x14ac:dyDescent="0.3">
      <c r="C2305" s="109"/>
      <c r="D2305" s="109"/>
      <c r="E2305" s="109"/>
      <c r="F2305" s="110"/>
      <c r="G2305" s="109"/>
    </row>
    <row r="2306" spans="3:7" x14ac:dyDescent="0.3">
      <c r="C2306" s="109"/>
      <c r="D2306" s="109"/>
      <c r="E2306" s="109"/>
      <c r="F2306" s="110"/>
      <c r="G2306" s="109"/>
    </row>
    <row r="2307" spans="3:7" x14ac:dyDescent="0.3">
      <c r="C2307" s="109"/>
      <c r="D2307" s="109"/>
      <c r="E2307" s="109"/>
      <c r="F2307" s="110"/>
      <c r="G2307" s="109"/>
    </row>
    <row r="2308" spans="3:7" x14ac:dyDescent="0.3">
      <c r="C2308" s="109"/>
      <c r="D2308" s="109"/>
      <c r="E2308" s="109"/>
      <c r="F2308" s="110"/>
      <c r="G2308" s="109"/>
    </row>
    <row r="2309" spans="3:7" x14ac:dyDescent="0.3">
      <c r="C2309" s="109"/>
      <c r="D2309" s="109"/>
      <c r="E2309" s="109"/>
      <c r="F2309" s="110"/>
      <c r="G2309" s="109"/>
    </row>
    <row r="2310" spans="3:7" x14ac:dyDescent="0.3">
      <c r="C2310" s="109"/>
      <c r="D2310" s="109"/>
      <c r="E2310" s="109"/>
      <c r="F2310" s="110"/>
      <c r="G2310" s="109"/>
    </row>
    <row r="2311" spans="3:7" x14ac:dyDescent="0.3">
      <c r="C2311" s="109"/>
      <c r="D2311" s="109"/>
      <c r="E2311" s="109"/>
      <c r="F2311" s="110"/>
      <c r="G2311" s="109"/>
    </row>
    <row r="2312" spans="3:7" x14ac:dyDescent="0.3">
      <c r="C2312" s="109"/>
      <c r="D2312" s="109"/>
      <c r="E2312" s="109"/>
      <c r="F2312" s="110"/>
      <c r="G2312" s="109"/>
    </row>
    <row r="2313" spans="3:7" x14ac:dyDescent="0.3">
      <c r="C2313" s="109"/>
      <c r="D2313" s="109"/>
      <c r="E2313" s="109"/>
      <c r="F2313" s="110"/>
      <c r="G2313" s="109"/>
    </row>
    <row r="2314" spans="3:7" x14ac:dyDescent="0.3">
      <c r="C2314" s="109"/>
      <c r="D2314" s="109"/>
      <c r="E2314" s="109"/>
      <c r="F2314" s="110"/>
      <c r="G2314" s="109"/>
    </row>
    <row r="2315" spans="3:7" x14ac:dyDescent="0.3">
      <c r="C2315" s="109"/>
      <c r="D2315" s="109"/>
      <c r="E2315" s="109"/>
      <c r="F2315" s="110"/>
      <c r="G2315" s="109"/>
    </row>
    <row r="2316" spans="3:7" x14ac:dyDescent="0.3">
      <c r="C2316" s="109"/>
      <c r="D2316" s="109"/>
      <c r="E2316" s="109"/>
      <c r="F2316" s="110"/>
      <c r="G2316" s="109"/>
    </row>
    <row r="2317" spans="3:7" x14ac:dyDescent="0.3">
      <c r="C2317" s="109"/>
      <c r="D2317" s="109"/>
      <c r="E2317" s="109"/>
      <c r="F2317" s="110"/>
      <c r="G2317" s="109"/>
    </row>
    <row r="2318" spans="3:7" x14ac:dyDescent="0.3">
      <c r="C2318" s="109"/>
      <c r="D2318" s="109"/>
      <c r="E2318" s="109"/>
      <c r="F2318" s="110"/>
      <c r="G2318" s="109"/>
    </row>
    <row r="2319" spans="3:7" x14ac:dyDescent="0.3">
      <c r="C2319" s="109"/>
      <c r="D2319" s="109"/>
      <c r="E2319" s="109"/>
      <c r="F2319" s="110"/>
      <c r="G2319" s="109"/>
    </row>
    <row r="2320" spans="3:7" x14ac:dyDescent="0.3">
      <c r="C2320" s="109"/>
      <c r="D2320" s="109"/>
      <c r="E2320" s="109"/>
      <c r="F2320" s="110"/>
      <c r="G2320" s="109"/>
    </row>
    <row r="2321" spans="3:7" x14ac:dyDescent="0.3">
      <c r="C2321" s="109"/>
      <c r="D2321" s="109"/>
      <c r="E2321" s="109"/>
      <c r="F2321" s="110"/>
      <c r="G2321" s="109"/>
    </row>
    <row r="2322" spans="3:7" x14ac:dyDescent="0.3">
      <c r="C2322" s="109"/>
      <c r="D2322" s="109"/>
      <c r="E2322" s="109"/>
      <c r="F2322" s="110"/>
      <c r="G2322" s="109"/>
    </row>
    <row r="2323" spans="3:7" x14ac:dyDescent="0.3">
      <c r="C2323" s="109"/>
      <c r="D2323" s="109"/>
      <c r="E2323" s="109"/>
      <c r="F2323" s="110"/>
      <c r="G2323" s="109"/>
    </row>
    <row r="2324" spans="3:7" x14ac:dyDescent="0.3">
      <c r="C2324" s="109"/>
      <c r="D2324" s="109"/>
      <c r="E2324" s="109"/>
      <c r="F2324" s="110"/>
      <c r="G2324" s="109"/>
    </row>
    <row r="2325" spans="3:7" x14ac:dyDescent="0.3">
      <c r="C2325" s="109"/>
      <c r="D2325" s="109"/>
      <c r="E2325" s="109"/>
      <c r="F2325" s="110"/>
      <c r="G2325" s="109"/>
    </row>
    <row r="2326" spans="3:7" x14ac:dyDescent="0.3">
      <c r="C2326" s="109"/>
      <c r="D2326" s="109"/>
      <c r="E2326" s="109"/>
      <c r="F2326" s="110"/>
      <c r="G2326" s="109"/>
    </row>
    <row r="2327" spans="3:7" x14ac:dyDescent="0.3">
      <c r="C2327" s="109"/>
      <c r="D2327" s="109"/>
      <c r="E2327" s="109"/>
      <c r="F2327" s="110"/>
      <c r="G2327" s="109"/>
    </row>
    <row r="2328" spans="3:7" x14ac:dyDescent="0.3">
      <c r="C2328" s="109"/>
      <c r="D2328" s="109"/>
      <c r="E2328" s="109"/>
      <c r="F2328" s="110"/>
      <c r="G2328" s="109"/>
    </row>
    <row r="2329" spans="3:7" x14ac:dyDescent="0.3">
      <c r="C2329" s="109"/>
      <c r="D2329" s="109"/>
      <c r="E2329" s="109"/>
      <c r="F2329" s="110"/>
      <c r="G2329" s="109"/>
    </row>
    <row r="2330" spans="3:7" x14ac:dyDescent="0.3">
      <c r="C2330" s="109"/>
      <c r="D2330" s="109"/>
      <c r="E2330" s="109"/>
      <c r="F2330" s="110"/>
      <c r="G2330" s="109"/>
    </row>
    <row r="2331" spans="3:7" x14ac:dyDescent="0.3">
      <c r="C2331" s="109"/>
      <c r="D2331" s="109"/>
      <c r="E2331" s="109"/>
      <c r="F2331" s="110"/>
      <c r="G2331" s="109"/>
    </row>
    <row r="2332" spans="3:7" x14ac:dyDescent="0.3">
      <c r="C2332" s="109"/>
      <c r="D2332" s="109"/>
      <c r="E2332" s="109"/>
      <c r="F2332" s="110"/>
      <c r="G2332" s="109"/>
    </row>
    <row r="2333" spans="3:7" x14ac:dyDescent="0.3">
      <c r="C2333" s="109"/>
      <c r="D2333" s="109"/>
      <c r="E2333" s="109"/>
      <c r="F2333" s="110"/>
      <c r="G2333" s="109"/>
    </row>
    <row r="2334" spans="3:7" x14ac:dyDescent="0.3">
      <c r="C2334" s="109"/>
      <c r="D2334" s="109"/>
      <c r="E2334" s="109"/>
      <c r="F2334" s="110"/>
      <c r="G2334" s="109"/>
    </row>
    <row r="2335" spans="3:7" x14ac:dyDescent="0.3">
      <c r="C2335" s="109"/>
      <c r="D2335" s="109"/>
      <c r="E2335" s="109"/>
      <c r="F2335" s="110"/>
      <c r="G2335" s="109"/>
    </row>
    <row r="2336" spans="3:7" x14ac:dyDescent="0.3">
      <c r="C2336" s="109"/>
      <c r="D2336" s="109"/>
      <c r="E2336" s="109"/>
      <c r="F2336" s="110"/>
      <c r="G2336" s="109"/>
    </row>
    <row r="2337" spans="3:7" x14ac:dyDescent="0.3">
      <c r="C2337" s="109"/>
      <c r="D2337" s="109"/>
      <c r="E2337" s="109"/>
      <c r="F2337" s="110"/>
      <c r="G2337" s="109"/>
    </row>
    <row r="2338" spans="3:7" x14ac:dyDescent="0.3">
      <c r="C2338" s="109"/>
      <c r="D2338" s="109"/>
      <c r="E2338" s="109"/>
      <c r="F2338" s="110"/>
      <c r="G2338" s="109"/>
    </row>
    <row r="2339" spans="3:7" x14ac:dyDescent="0.3">
      <c r="C2339" s="109"/>
      <c r="D2339" s="109"/>
      <c r="E2339" s="109"/>
      <c r="F2339" s="110"/>
      <c r="G2339" s="109"/>
    </row>
    <row r="2340" spans="3:7" x14ac:dyDescent="0.3">
      <c r="C2340" s="109"/>
      <c r="D2340" s="109"/>
      <c r="E2340" s="109"/>
      <c r="F2340" s="110"/>
      <c r="G2340" s="109"/>
    </row>
    <row r="2341" spans="3:7" x14ac:dyDescent="0.3">
      <c r="C2341" s="109"/>
      <c r="D2341" s="109"/>
      <c r="E2341" s="109"/>
      <c r="F2341" s="110"/>
      <c r="G2341" s="109"/>
    </row>
    <row r="2342" spans="3:7" x14ac:dyDescent="0.3">
      <c r="C2342" s="109"/>
      <c r="D2342" s="109"/>
      <c r="E2342" s="109"/>
      <c r="F2342" s="110"/>
      <c r="G2342" s="109"/>
    </row>
    <row r="2343" spans="3:7" x14ac:dyDescent="0.3">
      <c r="C2343" s="109"/>
      <c r="D2343" s="109"/>
      <c r="E2343" s="109"/>
      <c r="F2343" s="110"/>
      <c r="G2343" s="109"/>
    </row>
    <row r="2344" spans="3:7" x14ac:dyDescent="0.3">
      <c r="C2344" s="109"/>
      <c r="D2344" s="109"/>
      <c r="E2344" s="109"/>
      <c r="F2344" s="110"/>
      <c r="G2344" s="109"/>
    </row>
    <row r="2345" spans="3:7" x14ac:dyDescent="0.3">
      <c r="C2345" s="109"/>
      <c r="D2345" s="109"/>
      <c r="E2345" s="109"/>
      <c r="F2345" s="110"/>
      <c r="G2345" s="109"/>
    </row>
    <row r="2346" spans="3:7" x14ac:dyDescent="0.3">
      <c r="C2346" s="109"/>
      <c r="D2346" s="109"/>
      <c r="E2346" s="109"/>
      <c r="F2346" s="110"/>
      <c r="G2346" s="109"/>
    </row>
    <row r="2347" spans="3:7" x14ac:dyDescent="0.3">
      <c r="C2347" s="109"/>
      <c r="D2347" s="109"/>
      <c r="E2347" s="109"/>
      <c r="F2347" s="110"/>
      <c r="G2347" s="109"/>
    </row>
    <row r="2348" spans="3:7" x14ac:dyDescent="0.3">
      <c r="C2348" s="109"/>
      <c r="D2348" s="109"/>
      <c r="E2348" s="109"/>
      <c r="F2348" s="110"/>
      <c r="G2348" s="109"/>
    </row>
    <row r="2349" spans="3:7" x14ac:dyDescent="0.3">
      <c r="C2349" s="109"/>
      <c r="D2349" s="109"/>
      <c r="E2349" s="109"/>
      <c r="F2349" s="110"/>
      <c r="G2349" s="109"/>
    </row>
    <row r="2350" spans="3:7" x14ac:dyDescent="0.3">
      <c r="C2350" s="109"/>
      <c r="D2350" s="109"/>
      <c r="E2350" s="109"/>
      <c r="F2350" s="110"/>
      <c r="G2350" s="109"/>
    </row>
    <row r="2351" spans="3:7" x14ac:dyDescent="0.3">
      <c r="C2351" s="109"/>
      <c r="D2351" s="109"/>
      <c r="E2351" s="109"/>
      <c r="F2351" s="110"/>
      <c r="G2351" s="109"/>
    </row>
    <row r="2352" spans="3:7" x14ac:dyDescent="0.3">
      <c r="C2352" s="109"/>
      <c r="D2352" s="109"/>
      <c r="E2352" s="109"/>
      <c r="F2352" s="110"/>
      <c r="G2352" s="109"/>
    </row>
    <row r="2353" spans="3:7" x14ac:dyDescent="0.3">
      <c r="C2353" s="109"/>
      <c r="D2353" s="109"/>
      <c r="E2353" s="109"/>
      <c r="F2353" s="110"/>
      <c r="G2353" s="109"/>
    </row>
    <row r="2354" spans="3:7" x14ac:dyDescent="0.3">
      <c r="C2354" s="109"/>
      <c r="D2354" s="109"/>
      <c r="E2354" s="109"/>
      <c r="F2354" s="110"/>
      <c r="G2354" s="109"/>
    </row>
    <row r="2355" spans="3:7" x14ac:dyDescent="0.3">
      <c r="C2355" s="109"/>
      <c r="D2355" s="109"/>
      <c r="E2355" s="109"/>
      <c r="F2355" s="110"/>
      <c r="G2355" s="109"/>
    </row>
    <row r="2356" spans="3:7" x14ac:dyDescent="0.3">
      <c r="C2356" s="109"/>
      <c r="D2356" s="109"/>
      <c r="E2356" s="109"/>
      <c r="F2356" s="110"/>
      <c r="G2356" s="109"/>
    </row>
    <row r="2357" spans="3:7" x14ac:dyDescent="0.3">
      <c r="C2357" s="109"/>
      <c r="D2357" s="109"/>
      <c r="E2357" s="109"/>
      <c r="F2357" s="110"/>
      <c r="G2357" s="109"/>
    </row>
    <row r="2358" spans="3:7" x14ac:dyDescent="0.3">
      <c r="C2358" s="109"/>
      <c r="D2358" s="109"/>
      <c r="E2358" s="109"/>
      <c r="F2358" s="110"/>
      <c r="G2358" s="109"/>
    </row>
    <row r="2359" spans="3:7" x14ac:dyDescent="0.3">
      <c r="C2359" s="109"/>
      <c r="D2359" s="109"/>
      <c r="E2359" s="109"/>
      <c r="F2359" s="110"/>
      <c r="G2359" s="109"/>
    </row>
    <row r="2360" spans="3:7" x14ac:dyDescent="0.3">
      <c r="C2360" s="109"/>
      <c r="D2360" s="109"/>
      <c r="E2360" s="109"/>
      <c r="F2360" s="110"/>
      <c r="G2360" s="109"/>
    </row>
    <row r="2361" spans="3:7" x14ac:dyDescent="0.3">
      <c r="C2361" s="109"/>
      <c r="D2361" s="109"/>
      <c r="E2361" s="109"/>
      <c r="F2361" s="110"/>
      <c r="G2361" s="109"/>
    </row>
    <row r="2362" spans="3:7" x14ac:dyDescent="0.3">
      <c r="C2362" s="109"/>
      <c r="D2362" s="109"/>
      <c r="E2362" s="109"/>
      <c r="F2362" s="110"/>
      <c r="G2362" s="109"/>
    </row>
    <row r="2363" spans="3:7" x14ac:dyDescent="0.3">
      <c r="C2363" s="109"/>
      <c r="D2363" s="109"/>
      <c r="E2363" s="109"/>
      <c r="F2363" s="110"/>
      <c r="G2363" s="109"/>
    </row>
    <row r="2364" spans="3:7" x14ac:dyDescent="0.3">
      <c r="C2364" s="109"/>
      <c r="D2364" s="109"/>
      <c r="E2364" s="109"/>
      <c r="F2364" s="110"/>
      <c r="G2364" s="109"/>
    </row>
    <row r="2365" spans="3:7" x14ac:dyDescent="0.3">
      <c r="C2365" s="109"/>
      <c r="D2365" s="109"/>
      <c r="E2365" s="109"/>
      <c r="F2365" s="110"/>
      <c r="G2365" s="109"/>
    </row>
    <row r="2366" spans="3:7" x14ac:dyDescent="0.3">
      <c r="C2366" s="109"/>
      <c r="D2366" s="109"/>
      <c r="E2366" s="109"/>
      <c r="F2366" s="110"/>
      <c r="G2366" s="109"/>
    </row>
    <row r="2367" spans="3:7" x14ac:dyDescent="0.3">
      <c r="C2367" s="109"/>
      <c r="D2367" s="109"/>
      <c r="E2367" s="109"/>
      <c r="F2367" s="110"/>
      <c r="G2367" s="109"/>
    </row>
    <row r="2368" spans="3:7" x14ac:dyDescent="0.3">
      <c r="C2368" s="109"/>
      <c r="D2368" s="109"/>
      <c r="E2368" s="109"/>
      <c r="F2368" s="110"/>
      <c r="G2368" s="109"/>
    </row>
    <row r="2369" spans="3:7" x14ac:dyDescent="0.3">
      <c r="C2369" s="109"/>
      <c r="D2369" s="109"/>
      <c r="E2369" s="109"/>
      <c r="F2369" s="110"/>
      <c r="G2369" s="109"/>
    </row>
    <row r="2370" spans="3:7" x14ac:dyDescent="0.3">
      <c r="C2370" s="109"/>
      <c r="D2370" s="109"/>
      <c r="E2370" s="109"/>
      <c r="F2370" s="110"/>
      <c r="G2370" s="109"/>
    </row>
    <row r="2371" spans="3:7" x14ac:dyDescent="0.3">
      <c r="C2371" s="109"/>
      <c r="D2371" s="109"/>
      <c r="E2371" s="109"/>
      <c r="F2371" s="110"/>
      <c r="G2371" s="109"/>
    </row>
    <row r="2372" spans="3:7" x14ac:dyDescent="0.3">
      <c r="C2372" s="109"/>
      <c r="D2372" s="109"/>
      <c r="E2372" s="109"/>
      <c r="F2372" s="110"/>
      <c r="G2372" s="109"/>
    </row>
    <row r="2373" spans="3:7" x14ac:dyDescent="0.3">
      <c r="C2373" s="109"/>
      <c r="D2373" s="109"/>
      <c r="E2373" s="109"/>
      <c r="F2373" s="110"/>
      <c r="G2373" s="109"/>
    </row>
    <row r="2374" spans="3:7" x14ac:dyDescent="0.3">
      <c r="C2374" s="109"/>
      <c r="D2374" s="109"/>
      <c r="E2374" s="109"/>
      <c r="F2374" s="110"/>
      <c r="G2374" s="109"/>
    </row>
    <row r="2375" spans="3:7" x14ac:dyDescent="0.3">
      <c r="C2375" s="109"/>
      <c r="D2375" s="109"/>
      <c r="E2375" s="109"/>
      <c r="F2375" s="110"/>
      <c r="G2375" s="109"/>
    </row>
    <row r="2376" spans="3:7" x14ac:dyDescent="0.3">
      <c r="C2376" s="109"/>
      <c r="D2376" s="109"/>
      <c r="E2376" s="109"/>
      <c r="F2376" s="110"/>
      <c r="G2376" s="109"/>
    </row>
    <row r="2377" spans="3:7" x14ac:dyDescent="0.3">
      <c r="C2377" s="109"/>
      <c r="D2377" s="109"/>
      <c r="E2377" s="109"/>
      <c r="F2377" s="110"/>
      <c r="G2377" s="109"/>
    </row>
    <row r="2378" spans="3:7" x14ac:dyDescent="0.3">
      <c r="C2378" s="109"/>
      <c r="D2378" s="109"/>
      <c r="E2378" s="109"/>
      <c r="F2378" s="110"/>
      <c r="G2378" s="109"/>
    </row>
    <row r="2379" spans="3:7" x14ac:dyDescent="0.3">
      <c r="C2379" s="109"/>
      <c r="D2379" s="109"/>
      <c r="E2379" s="109"/>
      <c r="F2379" s="110"/>
      <c r="G2379" s="109"/>
    </row>
    <row r="2380" spans="3:7" x14ac:dyDescent="0.3">
      <c r="C2380" s="109"/>
      <c r="D2380" s="109"/>
      <c r="E2380" s="109"/>
      <c r="F2380" s="110"/>
      <c r="G2380" s="109"/>
    </row>
    <row r="2381" spans="3:7" x14ac:dyDescent="0.3">
      <c r="C2381" s="109"/>
      <c r="D2381" s="109"/>
      <c r="E2381" s="109"/>
      <c r="F2381" s="110"/>
      <c r="G2381" s="109"/>
    </row>
    <row r="2382" spans="3:7" x14ac:dyDescent="0.3">
      <c r="C2382" s="109"/>
      <c r="D2382" s="109"/>
      <c r="E2382" s="109"/>
      <c r="F2382" s="110"/>
      <c r="G2382" s="109"/>
    </row>
    <row r="2383" spans="3:7" x14ac:dyDescent="0.3">
      <c r="C2383" s="109"/>
      <c r="D2383" s="109"/>
      <c r="E2383" s="109"/>
      <c r="F2383" s="110"/>
      <c r="G2383" s="109"/>
    </row>
    <row r="2384" spans="3:7" x14ac:dyDescent="0.3">
      <c r="C2384" s="109"/>
      <c r="D2384" s="109"/>
      <c r="E2384" s="109"/>
      <c r="F2384" s="110"/>
      <c r="G2384" s="109"/>
    </row>
    <row r="2385" spans="3:7" x14ac:dyDescent="0.3">
      <c r="C2385" s="109"/>
      <c r="D2385" s="109"/>
      <c r="E2385" s="109"/>
      <c r="F2385" s="110"/>
      <c r="G2385" s="109"/>
    </row>
    <row r="2386" spans="3:7" x14ac:dyDescent="0.3">
      <c r="C2386" s="109"/>
      <c r="D2386" s="109"/>
      <c r="E2386" s="109"/>
      <c r="F2386" s="110"/>
      <c r="G2386" s="109"/>
    </row>
    <row r="2387" spans="3:7" x14ac:dyDescent="0.3">
      <c r="C2387" s="109"/>
      <c r="D2387" s="109"/>
      <c r="E2387" s="109"/>
      <c r="F2387" s="110"/>
      <c r="G2387" s="109"/>
    </row>
    <row r="2388" spans="3:7" x14ac:dyDescent="0.3">
      <c r="C2388" s="109"/>
      <c r="D2388" s="109"/>
      <c r="E2388" s="109"/>
      <c r="F2388" s="110"/>
      <c r="G2388" s="109"/>
    </row>
    <row r="2389" spans="3:7" x14ac:dyDescent="0.3">
      <c r="C2389" s="109"/>
      <c r="D2389" s="109"/>
      <c r="E2389" s="109"/>
      <c r="F2389" s="110"/>
      <c r="G2389" s="109"/>
    </row>
    <row r="2390" spans="3:7" x14ac:dyDescent="0.3">
      <c r="C2390" s="109"/>
      <c r="D2390" s="109"/>
      <c r="E2390" s="109"/>
      <c r="F2390" s="110"/>
      <c r="G2390" s="109"/>
    </row>
    <row r="2391" spans="3:7" x14ac:dyDescent="0.3">
      <c r="C2391" s="109"/>
      <c r="D2391" s="109"/>
      <c r="E2391" s="109"/>
      <c r="F2391" s="110"/>
      <c r="G2391" s="109"/>
    </row>
    <row r="2392" spans="3:7" x14ac:dyDescent="0.3">
      <c r="C2392" s="109"/>
      <c r="D2392" s="109"/>
      <c r="E2392" s="109"/>
      <c r="F2392" s="110"/>
      <c r="G2392" s="109"/>
    </row>
    <row r="2393" spans="3:7" x14ac:dyDescent="0.3">
      <c r="C2393" s="109"/>
      <c r="D2393" s="109"/>
      <c r="E2393" s="109"/>
      <c r="F2393" s="110"/>
      <c r="G2393" s="109"/>
    </row>
    <row r="2394" spans="3:7" x14ac:dyDescent="0.3">
      <c r="C2394" s="109"/>
      <c r="D2394" s="109"/>
      <c r="E2394" s="109"/>
      <c r="F2394" s="110"/>
      <c r="G2394" s="109"/>
    </row>
    <row r="2395" spans="3:7" x14ac:dyDescent="0.3">
      <c r="C2395" s="109"/>
      <c r="D2395" s="109"/>
      <c r="E2395" s="109"/>
      <c r="F2395" s="110"/>
      <c r="G2395" s="109"/>
    </row>
    <row r="2396" spans="3:7" x14ac:dyDescent="0.3">
      <c r="C2396" s="109"/>
      <c r="D2396" s="109"/>
      <c r="E2396" s="109"/>
      <c r="F2396" s="110"/>
      <c r="G2396" s="109"/>
    </row>
    <row r="2397" spans="3:7" x14ac:dyDescent="0.3">
      <c r="C2397" s="109"/>
      <c r="D2397" s="109"/>
      <c r="E2397" s="109"/>
      <c r="F2397" s="110"/>
      <c r="G2397" s="109"/>
    </row>
    <row r="2398" spans="3:7" x14ac:dyDescent="0.3">
      <c r="C2398" s="109"/>
      <c r="D2398" s="109"/>
      <c r="E2398" s="109"/>
      <c r="F2398" s="110"/>
      <c r="G2398" s="109"/>
    </row>
    <row r="2399" spans="3:7" x14ac:dyDescent="0.3">
      <c r="C2399" s="109"/>
      <c r="D2399" s="109"/>
      <c r="E2399" s="109"/>
      <c r="F2399" s="110"/>
      <c r="G2399" s="109"/>
    </row>
    <row r="2400" spans="3:7" x14ac:dyDescent="0.3">
      <c r="C2400" s="109"/>
      <c r="D2400" s="109"/>
      <c r="E2400" s="109"/>
      <c r="F2400" s="110"/>
      <c r="G2400" s="109"/>
    </row>
    <row r="2401" spans="3:7" x14ac:dyDescent="0.3">
      <c r="C2401" s="109"/>
      <c r="D2401" s="109"/>
      <c r="E2401" s="109"/>
      <c r="F2401" s="110"/>
      <c r="G2401" s="109"/>
    </row>
    <row r="2402" spans="3:7" x14ac:dyDescent="0.3">
      <c r="C2402" s="109"/>
      <c r="D2402" s="109"/>
      <c r="E2402" s="109"/>
      <c r="F2402" s="110"/>
      <c r="G2402" s="109"/>
    </row>
    <row r="2403" spans="3:7" x14ac:dyDescent="0.3">
      <c r="C2403" s="109"/>
      <c r="D2403" s="109"/>
      <c r="E2403" s="109"/>
      <c r="F2403" s="110"/>
      <c r="G2403" s="109"/>
    </row>
    <row r="2404" spans="3:7" x14ac:dyDescent="0.3">
      <c r="C2404" s="109"/>
      <c r="D2404" s="109"/>
      <c r="E2404" s="109"/>
      <c r="F2404" s="110"/>
      <c r="G2404" s="109"/>
    </row>
    <row r="2405" spans="3:7" x14ac:dyDescent="0.3">
      <c r="C2405" s="109"/>
      <c r="D2405" s="109"/>
      <c r="E2405" s="109"/>
      <c r="F2405" s="110"/>
      <c r="G2405" s="109"/>
    </row>
    <row r="2406" spans="3:7" x14ac:dyDescent="0.3">
      <c r="C2406" s="109"/>
      <c r="D2406" s="109"/>
      <c r="E2406" s="109"/>
      <c r="F2406" s="110"/>
      <c r="G2406" s="109"/>
    </row>
    <row r="2407" spans="3:7" x14ac:dyDescent="0.3">
      <c r="C2407" s="109"/>
      <c r="D2407" s="109"/>
      <c r="E2407" s="109"/>
      <c r="F2407" s="110"/>
      <c r="G2407" s="109"/>
    </row>
    <row r="2408" spans="3:7" x14ac:dyDescent="0.3">
      <c r="C2408" s="109"/>
      <c r="D2408" s="109"/>
      <c r="E2408" s="109"/>
      <c r="F2408" s="110"/>
      <c r="G2408" s="109"/>
    </row>
    <row r="2409" spans="3:7" x14ac:dyDescent="0.3">
      <c r="C2409" s="109"/>
      <c r="D2409" s="109"/>
      <c r="E2409" s="109"/>
      <c r="F2409" s="110"/>
      <c r="G2409" s="109"/>
    </row>
    <row r="2410" spans="3:7" x14ac:dyDescent="0.3">
      <c r="C2410" s="109"/>
      <c r="D2410" s="109"/>
      <c r="E2410" s="109"/>
      <c r="F2410" s="110"/>
      <c r="G2410" s="109"/>
    </row>
    <row r="2411" spans="3:7" x14ac:dyDescent="0.3">
      <c r="C2411" s="109"/>
      <c r="D2411" s="109"/>
      <c r="E2411" s="109"/>
      <c r="F2411" s="110"/>
      <c r="G2411" s="109"/>
    </row>
    <row r="2412" spans="3:7" x14ac:dyDescent="0.3">
      <c r="C2412" s="109"/>
      <c r="D2412" s="109"/>
      <c r="E2412" s="109"/>
      <c r="F2412" s="110"/>
      <c r="G2412" s="109"/>
    </row>
    <row r="2413" spans="3:7" x14ac:dyDescent="0.3">
      <c r="C2413" s="109"/>
      <c r="D2413" s="109"/>
      <c r="E2413" s="109"/>
      <c r="F2413" s="110"/>
      <c r="G2413" s="109"/>
    </row>
    <row r="2414" spans="3:7" x14ac:dyDescent="0.3">
      <c r="C2414" s="109"/>
      <c r="D2414" s="109"/>
      <c r="E2414" s="109"/>
      <c r="F2414" s="110"/>
      <c r="G2414" s="109"/>
    </row>
    <row r="2415" spans="3:7" x14ac:dyDescent="0.3">
      <c r="C2415" s="109"/>
      <c r="D2415" s="109"/>
      <c r="E2415" s="109"/>
      <c r="F2415" s="110"/>
      <c r="G2415" s="109"/>
    </row>
    <row r="2416" spans="3:7" x14ac:dyDescent="0.3">
      <c r="C2416" s="109"/>
      <c r="D2416" s="109"/>
      <c r="E2416" s="109"/>
      <c r="F2416" s="110"/>
      <c r="G2416" s="109"/>
    </row>
    <row r="2417" spans="3:7" x14ac:dyDescent="0.3">
      <c r="C2417" s="109"/>
      <c r="D2417" s="109"/>
      <c r="E2417" s="109"/>
      <c r="F2417" s="110"/>
      <c r="G2417" s="109"/>
    </row>
    <row r="2418" spans="3:7" x14ac:dyDescent="0.3">
      <c r="C2418" s="109"/>
      <c r="D2418" s="109"/>
      <c r="E2418" s="109"/>
      <c r="F2418" s="110"/>
      <c r="G2418" s="109"/>
    </row>
    <row r="2419" spans="3:7" x14ac:dyDescent="0.3">
      <c r="C2419" s="109"/>
      <c r="D2419" s="109"/>
      <c r="E2419" s="109"/>
      <c r="F2419" s="110"/>
      <c r="G2419" s="109"/>
    </row>
    <row r="2420" spans="3:7" x14ac:dyDescent="0.3">
      <c r="C2420" s="109"/>
      <c r="D2420" s="109"/>
      <c r="E2420" s="109"/>
      <c r="F2420" s="110"/>
      <c r="G2420" s="109"/>
    </row>
    <row r="2421" spans="3:7" x14ac:dyDescent="0.3">
      <c r="C2421" s="109"/>
      <c r="D2421" s="109"/>
      <c r="E2421" s="109"/>
      <c r="F2421" s="110"/>
      <c r="G2421" s="109"/>
    </row>
    <row r="2422" spans="3:7" x14ac:dyDescent="0.3">
      <c r="C2422" s="109"/>
      <c r="D2422" s="109"/>
      <c r="E2422" s="109"/>
      <c r="F2422" s="110"/>
      <c r="G2422" s="109"/>
    </row>
    <row r="2423" spans="3:7" x14ac:dyDescent="0.3">
      <c r="C2423" s="109"/>
      <c r="D2423" s="109"/>
      <c r="E2423" s="109"/>
      <c r="F2423" s="110"/>
      <c r="G2423" s="109"/>
    </row>
    <row r="2424" spans="3:7" x14ac:dyDescent="0.3">
      <c r="C2424" s="109"/>
      <c r="D2424" s="109"/>
      <c r="E2424" s="109"/>
      <c r="F2424" s="110"/>
      <c r="G2424" s="109"/>
    </row>
    <row r="2425" spans="3:7" x14ac:dyDescent="0.3">
      <c r="C2425" s="109"/>
      <c r="D2425" s="109"/>
      <c r="E2425" s="109"/>
      <c r="F2425" s="110"/>
      <c r="G2425" s="109"/>
    </row>
    <row r="2426" spans="3:7" x14ac:dyDescent="0.3">
      <c r="C2426" s="109"/>
      <c r="D2426" s="109"/>
      <c r="E2426" s="109"/>
      <c r="F2426" s="110"/>
      <c r="G2426" s="109"/>
    </row>
    <row r="2427" spans="3:7" x14ac:dyDescent="0.3">
      <c r="C2427" s="109"/>
      <c r="D2427" s="109"/>
      <c r="E2427" s="109"/>
      <c r="F2427" s="110"/>
      <c r="G2427" s="109"/>
    </row>
    <row r="2428" spans="3:7" x14ac:dyDescent="0.3">
      <c r="C2428" s="109"/>
      <c r="D2428" s="109"/>
      <c r="E2428" s="109"/>
      <c r="F2428" s="110"/>
      <c r="G2428" s="109"/>
    </row>
    <row r="2429" spans="3:7" x14ac:dyDescent="0.3">
      <c r="C2429" s="109"/>
      <c r="D2429" s="109"/>
      <c r="E2429" s="109"/>
      <c r="F2429" s="110"/>
      <c r="G2429" s="109"/>
    </row>
    <row r="2430" spans="3:7" x14ac:dyDescent="0.3">
      <c r="C2430" s="109"/>
      <c r="D2430" s="109"/>
      <c r="E2430" s="109"/>
      <c r="F2430" s="110"/>
      <c r="G2430" s="109"/>
    </row>
    <row r="2431" spans="3:7" x14ac:dyDescent="0.3">
      <c r="C2431" s="109"/>
      <c r="D2431" s="109"/>
      <c r="E2431" s="109"/>
      <c r="F2431" s="110"/>
      <c r="G2431" s="109"/>
    </row>
    <row r="2432" spans="3:7" x14ac:dyDescent="0.3">
      <c r="C2432" s="109"/>
      <c r="D2432" s="109"/>
      <c r="E2432" s="109"/>
      <c r="F2432" s="110"/>
      <c r="G2432" s="109"/>
    </row>
    <row r="2433" spans="3:7" x14ac:dyDescent="0.3">
      <c r="C2433" s="109"/>
      <c r="D2433" s="109"/>
      <c r="E2433" s="109"/>
      <c r="F2433" s="110"/>
      <c r="G2433" s="109"/>
    </row>
    <row r="2434" spans="3:7" x14ac:dyDescent="0.3">
      <c r="C2434" s="109"/>
      <c r="D2434" s="109"/>
      <c r="E2434" s="109"/>
      <c r="F2434" s="110"/>
      <c r="G2434" s="109"/>
    </row>
    <row r="2435" spans="3:7" x14ac:dyDescent="0.3">
      <c r="C2435" s="109"/>
      <c r="D2435" s="109"/>
      <c r="E2435" s="109"/>
      <c r="F2435" s="110"/>
      <c r="G2435" s="109"/>
    </row>
    <row r="2436" spans="3:7" x14ac:dyDescent="0.3">
      <c r="C2436" s="109"/>
      <c r="D2436" s="109"/>
      <c r="E2436" s="109"/>
      <c r="F2436" s="110"/>
      <c r="G2436" s="109"/>
    </row>
    <row r="2437" spans="3:7" x14ac:dyDescent="0.3">
      <c r="C2437" s="109"/>
      <c r="D2437" s="109"/>
      <c r="E2437" s="109"/>
      <c r="F2437" s="110"/>
      <c r="G2437" s="109"/>
    </row>
    <row r="2438" spans="3:7" x14ac:dyDescent="0.3">
      <c r="C2438" s="109"/>
      <c r="D2438" s="109"/>
      <c r="E2438" s="109"/>
      <c r="F2438" s="110"/>
      <c r="G2438" s="109"/>
    </row>
    <row r="2439" spans="3:7" x14ac:dyDescent="0.3">
      <c r="C2439" s="109"/>
      <c r="D2439" s="109"/>
      <c r="E2439" s="109"/>
      <c r="F2439" s="110"/>
      <c r="G2439" s="109"/>
    </row>
    <row r="2440" spans="3:7" x14ac:dyDescent="0.3">
      <c r="C2440" s="109"/>
      <c r="D2440" s="109"/>
      <c r="E2440" s="109"/>
      <c r="F2440" s="110"/>
      <c r="G2440" s="109"/>
    </row>
    <row r="2441" spans="3:7" x14ac:dyDescent="0.3">
      <c r="C2441" s="109"/>
      <c r="D2441" s="109"/>
      <c r="E2441" s="109"/>
      <c r="F2441" s="110"/>
      <c r="G2441" s="109"/>
    </row>
    <row r="2442" spans="3:7" x14ac:dyDescent="0.3">
      <c r="C2442" s="109"/>
      <c r="D2442" s="109"/>
      <c r="E2442" s="109"/>
      <c r="F2442" s="110"/>
      <c r="G2442" s="109"/>
    </row>
    <row r="2443" spans="3:7" x14ac:dyDescent="0.3">
      <c r="C2443" s="109"/>
      <c r="D2443" s="109"/>
      <c r="E2443" s="109"/>
      <c r="F2443" s="110"/>
      <c r="G2443" s="109"/>
    </row>
    <row r="2444" spans="3:7" x14ac:dyDescent="0.3">
      <c r="C2444" s="109"/>
      <c r="D2444" s="109"/>
      <c r="E2444" s="109"/>
      <c r="F2444" s="110"/>
      <c r="G2444" s="109"/>
    </row>
    <row r="2445" spans="3:7" x14ac:dyDescent="0.3">
      <c r="C2445" s="109"/>
      <c r="D2445" s="109"/>
      <c r="E2445" s="109"/>
      <c r="F2445" s="110"/>
      <c r="G2445" s="109"/>
    </row>
    <row r="2446" spans="3:7" x14ac:dyDescent="0.3">
      <c r="C2446" s="109"/>
      <c r="D2446" s="109"/>
      <c r="E2446" s="109"/>
      <c r="F2446" s="110"/>
      <c r="G2446" s="109"/>
    </row>
    <row r="2447" spans="3:7" x14ac:dyDescent="0.3">
      <c r="C2447" s="109"/>
      <c r="D2447" s="109"/>
      <c r="E2447" s="109"/>
      <c r="F2447" s="110"/>
      <c r="G2447" s="109"/>
    </row>
    <row r="2448" spans="3:7" x14ac:dyDescent="0.3">
      <c r="C2448" s="109"/>
      <c r="D2448" s="109"/>
      <c r="E2448" s="109"/>
      <c r="F2448" s="110"/>
      <c r="G2448" s="109"/>
    </row>
    <row r="2449" spans="3:7" x14ac:dyDescent="0.3">
      <c r="C2449" s="109"/>
      <c r="D2449" s="109"/>
      <c r="E2449" s="109"/>
      <c r="F2449" s="110"/>
      <c r="G2449" s="109"/>
    </row>
    <row r="2450" spans="3:7" x14ac:dyDescent="0.3">
      <c r="C2450" s="109"/>
      <c r="D2450" s="109"/>
      <c r="E2450" s="109"/>
      <c r="F2450" s="110"/>
      <c r="G2450" s="109"/>
    </row>
    <row r="2451" spans="3:7" x14ac:dyDescent="0.3">
      <c r="C2451" s="109"/>
      <c r="D2451" s="109"/>
      <c r="E2451" s="109"/>
      <c r="F2451" s="110"/>
      <c r="G2451" s="109"/>
    </row>
    <row r="2452" spans="3:7" x14ac:dyDescent="0.3">
      <c r="C2452" s="109"/>
      <c r="D2452" s="109"/>
      <c r="E2452" s="109"/>
      <c r="F2452" s="110"/>
      <c r="G2452" s="109"/>
    </row>
    <row r="2453" spans="3:7" x14ac:dyDescent="0.3">
      <c r="C2453" s="109"/>
      <c r="D2453" s="109"/>
      <c r="E2453" s="109"/>
      <c r="F2453" s="110"/>
      <c r="G2453" s="109"/>
    </row>
    <row r="2454" spans="3:7" x14ac:dyDescent="0.3">
      <c r="C2454" s="109"/>
      <c r="D2454" s="109"/>
      <c r="E2454" s="109"/>
      <c r="F2454" s="110"/>
      <c r="G2454" s="109"/>
    </row>
    <row r="2455" spans="3:7" x14ac:dyDescent="0.3">
      <c r="C2455" s="109"/>
      <c r="D2455" s="109"/>
      <c r="E2455" s="109"/>
      <c r="F2455" s="110"/>
      <c r="G2455" s="109"/>
    </row>
    <row r="2456" spans="3:7" x14ac:dyDescent="0.3">
      <c r="C2456" s="109"/>
      <c r="D2456" s="109"/>
      <c r="E2456" s="109"/>
      <c r="F2456" s="110"/>
      <c r="G2456" s="109"/>
    </row>
    <row r="2457" spans="3:7" x14ac:dyDescent="0.3">
      <c r="C2457" s="109"/>
      <c r="D2457" s="109"/>
      <c r="E2457" s="109"/>
      <c r="F2457" s="110"/>
      <c r="G2457" s="109"/>
    </row>
    <row r="2458" spans="3:7" x14ac:dyDescent="0.3">
      <c r="C2458" s="109"/>
      <c r="D2458" s="109"/>
      <c r="E2458" s="109"/>
      <c r="F2458" s="110"/>
      <c r="G2458" s="109"/>
    </row>
    <row r="2459" spans="3:7" x14ac:dyDescent="0.3">
      <c r="C2459" s="109"/>
      <c r="D2459" s="109"/>
      <c r="E2459" s="109"/>
      <c r="F2459" s="110"/>
      <c r="G2459" s="109"/>
    </row>
    <row r="2460" spans="3:7" x14ac:dyDescent="0.3">
      <c r="C2460" s="109"/>
      <c r="D2460" s="109"/>
      <c r="E2460" s="109"/>
      <c r="F2460" s="110"/>
      <c r="G2460" s="109"/>
    </row>
    <row r="2461" spans="3:7" x14ac:dyDescent="0.3">
      <c r="C2461" s="109"/>
      <c r="D2461" s="109"/>
      <c r="E2461" s="109"/>
      <c r="F2461" s="110"/>
      <c r="G2461" s="109"/>
    </row>
    <row r="2462" spans="3:7" x14ac:dyDescent="0.3">
      <c r="C2462" s="109"/>
      <c r="D2462" s="109"/>
      <c r="E2462" s="109"/>
      <c r="F2462" s="110"/>
      <c r="G2462" s="109"/>
    </row>
    <row r="2463" spans="3:7" x14ac:dyDescent="0.3">
      <c r="C2463" s="109"/>
      <c r="D2463" s="109"/>
      <c r="E2463" s="109"/>
      <c r="F2463" s="110"/>
      <c r="G2463" s="109"/>
    </row>
    <row r="2464" spans="3:7" x14ac:dyDescent="0.3">
      <c r="C2464" s="109"/>
      <c r="D2464" s="109"/>
      <c r="E2464" s="109"/>
      <c r="F2464" s="110"/>
      <c r="G2464" s="109"/>
    </row>
    <row r="2465" spans="3:7" x14ac:dyDescent="0.3">
      <c r="C2465" s="109"/>
      <c r="D2465" s="109"/>
      <c r="E2465" s="109"/>
      <c r="F2465" s="110"/>
      <c r="G2465" s="109"/>
    </row>
    <row r="2466" spans="3:7" x14ac:dyDescent="0.3">
      <c r="C2466" s="109"/>
      <c r="D2466" s="109"/>
      <c r="E2466" s="109"/>
      <c r="F2466" s="110"/>
      <c r="G2466" s="109"/>
    </row>
    <row r="2467" spans="3:7" x14ac:dyDescent="0.3">
      <c r="C2467" s="109"/>
      <c r="D2467" s="109"/>
      <c r="E2467" s="109"/>
      <c r="F2467" s="110"/>
      <c r="G2467" s="109"/>
    </row>
    <row r="2468" spans="3:7" x14ac:dyDescent="0.3">
      <c r="C2468" s="109"/>
      <c r="D2468" s="109"/>
      <c r="E2468" s="109"/>
      <c r="F2468" s="110"/>
      <c r="G2468" s="109"/>
    </row>
    <row r="2469" spans="3:7" x14ac:dyDescent="0.3">
      <c r="C2469" s="109"/>
      <c r="D2469" s="109"/>
      <c r="E2469" s="109"/>
      <c r="F2469" s="110"/>
      <c r="G2469" s="109"/>
    </row>
    <row r="2470" spans="3:7" x14ac:dyDescent="0.3">
      <c r="C2470" s="109"/>
      <c r="D2470" s="109"/>
      <c r="E2470" s="109"/>
      <c r="F2470" s="110"/>
      <c r="G2470" s="109"/>
    </row>
    <row r="2471" spans="3:7" x14ac:dyDescent="0.3">
      <c r="C2471" s="109"/>
      <c r="D2471" s="109"/>
      <c r="E2471" s="109"/>
      <c r="F2471" s="110"/>
      <c r="G2471" s="109"/>
    </row>
    <row r="2472" spans="3:7" x14ac:dyDescent="0.3">
      <c r="C2472" s="109"/>
      <c r="D2472" s="109"/>
      <c r="E2472" s="109"/>
      <c r="F2472" s="110"/>
      <c r="G2472" s="109"/>
    </row>
    <row r="2473" spans="3:7" x14ac:dyDescent="0.3">
      <c r="C2473" s="109"/>
      <c r="D2473" s="109"/>
      <c r="E2473" s="109"/>
      <c r="F2473" s="110"/>
      <c r="G2473" s="109"/>
    </row>
    <row r="2474" spans="3:7" x14ac:dyDescent="0.3">
      <c r="C2474" s="109"/>
      <c r="D2474" s="109"/>
      <c r="E2474" s="109"/>
      <c r="F2474" s="110"/>
      <c r="G2474" s="109"/>
    </row>
    <row r="2475" spans="3:7" x14ac:dyDescent="0.3">
      <c r="C2475" s="109"/>
      <c r="D2475" s="109"/>
      <c r="E2475" s="109"/>
      <c r="F2475" s="110"/>
      <c r="G2475" s="109"/>
    </row>
    <row r="2476" spans="3:7" x14ac:dyDescent="0.3">
      <c r="C2476" s="109"/>
      <c r="D2476" s="109"/>
      <c r="E2476" s="109"/>
      <c r="F2476" s="110"/>
      <c r="G2476" s="109"/>
    </row>
    <row r="2477" spans="3:7" x14ac:dyDescent="0.3">
      <c r="C2477" s="109"/>
      <c r="D2477" s="109"/>
      <c r="E2477" s="109"/>
      <c r="F2477" s="110"/>
      <c r="G2477" s="109"/>
    </row>
    <row r="2478" spans="3:7" x14ac:dyDescent="0.3">
      <c r="C2478" s="109"/>
      <c r="D2478" s="109"/>
      <c r="E2478" s="109"/>
      <c r="F2478" s="110"/>
      <c r="G2478" s="109"/>
    </row>
    <row r="2479" spans="3:7" x14ac:dyDescent="0.3">
      <c r="C2479" s="109"/>
      <c r="D2479" s="109"/>
      <c r="E2479" s="109"/>
      <c r="F2479" s="110"/>
      <c r="G2479" s="109"/>
    </row>
    <row r="2480" spans="3:7" x14ac:dyDescent="0.3">
      <c r="C2480" s="109"/>
      <c r="D2480" s="109"/>
      <c r="E2480" s="109"/>
      <c r="F2480" s="110"/>
      <c r="G2480" s="109"/>
    </row>
    <row r="2481" spans="3:7" x14ac:dyDescent="0.3">
      <c r="C2481" s="109"/>
      <c r="D2481" s="109"/>
      <c r="E2481" s="109"/>
      <c r="F2481" s="110"/>
      <c r="G2481" s="109"/>
    </row>
    <row r="2482" spans="3:7" x14ac:dyDescent="0.3">
      <c r="C2482" s="109"/>
      <c r="D2482" s="109"/>
      <c r="E2482" s="109"/>
      <c r="F2482" s="110"/>
      <c r="G2482" s="109"/>
    </row>
    <row r="2483" spans="3:7" x14ac:dyDescent="0.3">
      <c r="C2483" s="109"/>
      <c r="D2483" s="109"/>
      <c r="E2483" s="109"/>
      <c r="F2483" s="110"/>
      <c r="G2483" s="109"/>
    </row>
    <row r="2484" spans="3:7" x14ac:dyDescent="0.3">
      <c r="C2484" s="109"/>
      <c r="D2484" s="109"/>
      <c r="E2484" s="109"/>
      <c r="F2484" s="110"/>
      <c r="G2484" s="109"/>
    </row>
    <row r="2485" spans="3:7" x14ac:dyDescent="0.3">
      <c r="C2485" s="109"/>
      <c r="D2485" s="109"/>
      <c r="E2485" s="109"/>
      <c r="F2485" s="110"/>
      <c r="G2485" s="109"/>
    </row>
    <row r="2486" spans="3:7" x14ac:dyDescent="0.3">
      <c r="C2486" s="109"/>
      <c r="D2486" s="109"/>
      <c r="E2486" s="109"/>
      <c r="F2486" s="110"/>
      <c r="G2486" s="109"/>
    </row>
    <row r="2487" spans="3:7" x14ac:dyDescent="0.3">
      <c r="C2487" s="109"/>
      <c r="D2487" s="109"/>
      <c r="E2487" s="109"/>
      <c r="F2487" s="110"/>
      <c r="G2487" s="109"/>
    </row>
    <row r="2488" spans="3:7" x14ac:dyDescent="0.3">
      <c r="C2488" s="109"/>
      <c r="D2488" s="109"/>
      <c r="E2488" s="109"/>
      <c r="F2488" s="110"/>
      <c r="G2488" s="109"/>
    </row>
    <row r="2489" spans="3:7" x14ac:dyDescent="0.3">
      <c r="C2489" s="109"/>
      <c r="D2489" s="109"/>
      <c r="E2489" s="109"/>
      <c r="F2489" s="110"/>
      <c r="G2489" s="109"/>
    </row>
    <row r="2490" spans="3:7" x14ac:dyDescent="0.3">
      <c r="C2490" s="109"/>
      <c r="D2490" s="109"/>
      <c r="E2490" s="109"/>
      <c r="F2490" s="110"/>
      <c r="G2490" s="109"/>
    </row>
    <row r="2491" spans="3:7" x14ac:dyDescent="0.3">
      <c r="C2491" s="109"/>
      <c r="D2491" s="109"/>
      <c r="E2491" s="109"/>
      <c r="F2491" s="110"/>
      <c r="G2491" s="109"/>
    </row>
    <row r="2492" spans="3:7" x14ac:dyDescent="0.3">
      <c r="C2492" s="109"/>
      <c r="D2492" s="109"/>
      <c r="E2492" s="109"/>
      <c r="F2492" s="110"/>
      <c r="G2492" s="109"/>
    </row>
    <row r="2493" spans="3:7" x14ac:dyDescent="0.3">
      <c r="C2493" s="109"/>
      <c r="D2493" s="109"/>
      <c r="E2493" s="109"/>
      <c r="F2493" s="110"/>
      <c r="G2493" s="109"/>
    </row>
    <row r="2494" spans="3:7" x14ac:dyDescent="0.3">
      <c r="C2494" s="109"/>
      <c r="D2494" s="109"/>
      <c r="E2494" s="109"/>
      <c r="F2494" s="110"/>
      <c r="G2494" s="109"/>
    </row>
    <row r="2495" spans="3:7" x14ac:dyDescent="0.3">
      <c r="C2495" s="109"/>
      <c r="D2495" s="109"/>
      <c r="E2495" s="109"/>
      <c r="F2495" s="110"/>
      <c r="G2495" s="109"/>
    </row>
    <row r="2496" spans="3:7" x14ac:dyDescent="0.3">
      <c r="C2496" s="109"/>
      <c r="D2496" s="109"/>
      <c r="E2496" s="109"/>
      <c r="F2496" s="110"/>
      <c r="G2496" s="109"/>
    </row>
    <row r="2497" spans="3:7" x14ac:dyDescent="0.3">
      <c r="C2497" s="109"/>
      <c r="D2497" s="109"/>
      <c r="E2497" s="109"/>
      <c r="F2497" s="110"/>
      <c r="G2497" s="109"/>
    </row>
    <row r="2498" spans="3:7" x14ac:dyDescent="0.3">
      <c r="C2498" s="109"/>
      <c r="D2498" s="109"/>
      <c r="E2498" s="109"/>
      <c r="F2498" s="110"/>
      <c r="G2498" s="109"/>
    </row>
    <row r="2499" spans="3:7" x14ac:dyDescent="0.3">
      <c r="C2499" s="109"/>
      <c r="D2499" s="109"/>
      <c r="E2499" s="109"/>
      <c r="F2499" s="110"/>
      <c r="G2499" s="109"/>
    </row>
    <row r="2500" spans="3:7" x14ac:dyDescent="0.3">
      <c r="C2500" s="109"/>
      <c r="D2500" s="109"/>
      <c r="E2500" s="109"/>
      <c r="F2500" s="110"/>
      <c r="G2500" s="109"/>
    </row>
    <row r="2501" spans="3:7" x14ac:dyDescent="0.3">
      <c r="C2501" s="109"/>
      <c r="D2501" s="109"/>
      <c r="E2501" s="109"/>
      <c r="F2501" s="110"/>
      <c r="G2501" s="109"/>
    </row>
    <row r="2502" spans="3:7" x14ac:dyDescent="0.3">
      <c r="C2502" s="109"/>
      <c r="D2502" s="109"/>
      <c r="E2502" s="109"/>
      <c r="F2502" s="110"/>
      <c r="G2502" s="109"/>
    </row>
    <row r="2503" spans="3:7" x14ac:dyDescent="0.3">
      <c r="C2503" s="109"/>
      <c r="D2503" s="109"/>
      <c r="E2503" s="109"/>
      <c r="F2503" s="110"/>
      <c r="G2503" s="109"/>
    </row>
    <row r="2504" spans="3:7" x14ac:dyDescent="0.3">
      <c r="C2504" s="109"/>
      <c r="D2504" s="109"/>
      <c r="E2504" s="109"/>
      <c r="F2504" s="110"/>
      <c r="G2504" s="109"/>
    </row>
    <row r="2505" spans="3:7" x14ac:dyDescent="0.3">
      <c r="C2505" s="109"/>
      <c r="D2505" s="109"/>
      <c r="E2505" s="109"/>
      <c r="F2505" s="110"/>
      <c r="G2505" s="109"/>
    </row>
    <row r="2506" spans="3:7" x14ac:dyDescent="0.3">
      <c r="C2506" s="109"/>
      <c r="D2506" s="109"/>
      <c r="E2506" s="109"/>
      <c r="F2506" s="110"/>
      <c r="G2506" s="109"/>
    </row>
    <row r="2507" spans="3:7" x14ac:dyDescent="0.3">
      <c r="C2507" s="109"/>
      <c r="D2507" s="109"/>
      <c r="E2507" s="109"/>
      <c r="F2507" s="110"/>
      <c r="G2507" s="109"/>
    </row>
    <row r="2508" spans="3:7" x14ac:dyDescent="0.3">
      <c r="C2508" s="109"/>
      <c r="D2508" s="109"/>
      <c r="E2508" s="109"/>
      <c r="F2508" s="110"/>
      <c r="G2508" s="109"/>
    </row>
    <row r="2509" spans="3:7" x14ac:dyDescent="0.3">
      <c r="C2509" s="109"/>
      <c r="D2509" s="109"/>
      <c r="E2509" s="109"/>
      <c r="F2509" s="110"/>
      <c r="G2509" s="109"/>
    </row>
    <row r="2510" spans="3:7" x14ac:dyDescent="0.3">
      <c r="C2510" s="109"/>
      <c r="D2510" s="109"/>
      <c r="E2510" s="109"/>
      <c r="F2510" s="110"/>
      <c r="G2510" s="109"/>
    </row>
    <row r="2511" spans="3:7" x14ac:dyDescent="0.3">
      <c r="C2511" s="109"/>
      <c r="D2511" s="109"/>
      <c r="E2511" s="109"/>
      <c r="F2511" s="110"/>
      <c r="G2511" s="109"/>
    </row>
    <row r="2512" spans="3:7" x14ac:dyDescent="0.3">
      <c r="C2512" s="109"/>
      <c r="D2512" s="109"/>
      <c r="E2512" s="109"/>
      <c r="F2512" s="110"/>
      <c r="G2512" s="109"/>
    </row>
    <row r="2513" spans="3:7" x14ac:dyDescent="0.3">
      <c r="C2513" s="109"/>
      <c r="D2513" s="109"/>
      <c r="E2513" s="109"/>
      <c r="F2513" s="110"/>
      <c r="G2513" s="109"/>
    </row>
    <row r="2514" spans="3:7" x14ac:dyDescent="0.3">
      <c r="C2514" s="109"/>
      <c r="D2514" s="109"/>
      <c r="E2514" s="109"/>
      <c r="F2514" s="110"/>
      <c r="G2514" s="109"/>
    </row>
    <row r="2515" spans="3:7" x14ac:dyDescent="0.3">
      <c r="C2515" s="109"/>
      <c r="D2515" s="109"/>
      <c r="E2515" s="109"/>
      <c r="F2515" s="110"/>
      <c r="G2515" s="109"/>
    </row>
    <row r="2516" spans="3:7" x14ac:dyDescent="0.3">
      <c r="C2516" s="109"/>
      <c r="D2516" s="109"/>
      <c r="E2516" s="109"/>
      <c r="F2516" s="110"/>
      <c r="G2516" s="109"/>
    </row>
    <row r="2517" spans="3:7" x14ac:dyDescent="0.3">
      <c r="C2517" s="109"/>
      <c r="D2517" s="109"/>
      <c r="E2517" s="109"/>
      <c r="F2517" s="110"/>
      <c r="G2517" s="109"/>
    </row>
    <row r="2518" spans="3:7" x14ac:dyDescent="0.3">
      <c r="C2518" s="109"/>
      <c r="D2518" s="109"/>
      <c r="E2518" s="109"/>
      <c r="F2518" s="110"/>
      <c r="G2518" s="109"/>
    </row>
    <row r="2519" spans="3:7" x14ac:dyDescent="0.3">
      <c r="C2519" s="109"/>
      <c r="D2519" s="109"/>
      <c r="E2519" s="109"/>
      <c r="F2519" s="110"/>
      <c r="G2519" s="109"/>
    </row>
    <row r="2520" spans="3:7" x14ac:dyDescent="0.3">
      <c r="C2520" s="109"/>
      <c r="D2520" s="109"/>
      <c r="E2520" s="109"/>
      <c r="F2520" s="110"/>
      <c r="G2520" s="109"/>
    </row>
    <row r="2521" spans="3:7" x14ac:dyDescent="0.3">
      <c r="C2521" s="109"/>
      <c r="D2521" s="109"/>
      <c r="E2521" s="109"/>
      <c r="F2521" s="110"/>
      <c r="G2521" s="109"/>
    </row>
    <row r="2522" spans="3:7" x14ac:dyDescent="0.3">
      <c r="C2522" s="109"/>
      <c r="D2522" s="109"/>
      <c r="E2522" s="109"/>
      <c r="F2522" s="110"/>
      <c r="G2522" s="109"/>
    </row>
    <row r="2523" spans="3:7" x14ac:dyDescent="0.3">
      <c r="C2523" s="109"/>
      <c r="D2523" s="109"/>
      <c r="E2523" s="109"/>
      <c r="F2523" s="110"/>
      <c r="G2523" s="109"/>
    </row>
    <row r="2524" spans="3:7" x14ac:dyDescent="0.3">
      <c r="C2524" s="109"/>
      <c r="D2524" s="109"/>
      <c r="E2524" s="109"/>
      <c r="F2524" s="110"/>
      <c r="G2524" s="109"/>
    </row>
    <row r="2525" spans="3:7" x14ac:dyDescent="0.3">
      <c r="C2525" s="109"/>
      <c r="D2525" s="109"/>
      <c r="E2525" s="109"/>
      <c r="F2525" s="110"/>
      <c r="G2525" s="109"/>
    </row>
    <row r="2526" spans="3:7" x14ac:dyDescent="0.3">
      <c r="C2526" s="109"/>
      <c r="D2526" s="109"/>
      <c r="E2526" s="109"/>
      <c r="F2526" s="110"/>
      <c r="G2526" s="109"/>
    </row>
    <row r="2527" spans="3:7" x14ac:dyDescent="0.3">
      <c r="C2527" s="109"/>
      <c r="D2527" s="109"/>
      <c r="E2527" s="109"/>
      <c r="F2527" s="110"/>
      <c r="G2527" s="109"/>
    </row>
    <row r="2528" spans="3:7" x14ac:dyDescent="0.3">
      <c r="C2528" s="109"/>
      <c r="D2528" s="109"/>
      <c r="E2528" s="109"/>
      <c r="F2528" s="110"/>
      <c r="G2528" s="109"/>
    </row>
    <row r="2529" spans="3:7" x14ac:dyDescent="0.3">
      <c r="C2529" s="109"/>
      <c r="D2529" s="109"/>
      <c r="E2529" s="109"/>
      <c r="F2529" s="110"/>
      <c r="G2529" s="109"/>
    </row>
    <row r="2530" spans="3:7" x14ac:dyDescent="0.3">
      <c r="C2530" s="109"/>
      <c r="D2530" s="109"/>
      <c r="E2530" s="109"/>
      <c r="F2530" s="110"/>
      <c r="G2530" s="109"/>
    </row>
    <row r="2531" spans="3:7" x14ac:dyDescent="0.3">
      <c r="C2531" s="109"/>
      <c r="D2531" s="109"/>
      <c r="E2531" s="109"/>
      <c r="F2531" s="110"/>
      <c r="G2531" s="109"/>
    </row>
    <row r="2532" spans="3:7" x14ac:dyDescent="0.3">
      <c r="C2532" s="109"/>
      <c r="D2532" s="109"/>
      <c r="E2532" s="109"/>
      <c r="F2532" s="110"/>
      <c r="G2532" s="109"/>
    </row>
    <row r="2533" spans="3:7" x14ac:dyDescent="0.3">
      <c r="C2533" s="109"/>
      <c r="D2533" s="109"/>
      <c r="E2533" s="109"/>
      <c r="F2533" s="110"/>
      <c r="G2533" s="109"/>
    </row>
    <row r="2534" spans="3:7" x14ac:dyDescent="0.3">
      <c r="C2534" s="109"/>
      <c r="D2534" s="109"/>
      <c r="E2534" s="109"/>
      <c r="F2534" s="110"/>
      <c r="G2534" s="109"/>
    </row>
    <row r="2535" spans="3:7" x14ac:dyDescent="0.3">
      <c r="C2535" s="109"/>
      <c r="D2535" s="109"/>
      <c r="E2535" s="109"/>
      <c r="F2535" s="110"/>
      <c r="G2535" s="109"/>
    </row>
    <row r="2536" spans="3:7" x14ac:dyDescent="0.3">
      <c r="C2536" s="109"/>
      <c r="D2536" s="109"/>
      <c r="E2536" s="109"/>
      <c r="F2536" s="110"/>
      <c r="G2536" s="109"/>
    </row>
    <row r="2537" spans="3:7" x14ac:dyDescent="0.3">
      <c r="C2537" s="109"/>
      <c r="D2537" s="109"/>
      <c r="E2537" s="109"/>
      <c r="F2537" s="110"/>
      <c r="G2537" s="109"/>
    </row>
    <row r="2538" spans="3:7" x14ac:dyDescent="0.3">
      <c r="C2538" s="109"/>
      <c r="D2538" s="109"/>
      <c r="E2538" s="109"/>
      <c r="F2538" s="110"/>
      <c r="G2538" s="109"/>
    </row>
    <row r="2539" spans="3:7" x14ac:dyDescent="0.3">
      <c r="C2539" s="109"/>
      <c r="D2539" s="109"/>
      <c r="E2539" s="109"/>
      <c r="F2539" s="110"/>
      <c r="G2539" s="109"/>
    </row>
    <row r="2540" spans="3:7" x14ac:dyDescent="0.3">
      <c r="C2540" s="109"/>
      <c r="D2540" s="109"/>
      <c r="E2540" s="109"/>
      <c r="F2540" s="110"/>
      <c r="G2540" s="109"/>
    </row>
    <row r="2541" spans="3:7" x14ac:dyDescent="0.3">
      <c r="C2541" s="109"/>
      <c r="D2541" s="109"/>
      <c r="E2541" s="109"/>
      <c r="F2541" s="110"/>
      <c r="G2541" s="109"/>
    </row>
    <row r="2542" spans="3:7" x14ac:dyDescent="0.3">
      <c r="C2542" s="109"/>
      <c r="D2542" s="109"/>
      <c r="E2542" s="109"/>
      <c r="F2542" s="110"/>
      <c r="G2542" s="109"/>
    </row>
    <row r="2543" spans="3:7" x14ac:dyDescent="0.3">
      <c r="C2543" s="109"/>
      <c r="D2543" s="109"/>
      <c r="E2543" s="109"/>
      <c r="F2543" s="110"/>
      <c r="G2543" s="109"/>
    </row>
    <row r="2544" spans="3:7" x14ac:dyDescent="0.3">
      <c r="C2544" s="109"/>
      <c r="D2544" s="109"/>
      <c r="E2544" s="109"/>
      <c r="F2544" s="110"/>
      <c r="G2544" s="109"/>
    </row>
    <row r="2545" spans="3:7" x14ac:dyDescent="0.3">
      <c r="C2545" s="109"/>
      <c r="D2545" s="109"/>
      <c r="E2545" s="109"/>
      <c r="F2545" s="110"/>
      <c r="G2545" s="109"/>
    </row>
    <row r="2546" spans="3:7" x14ac:dyDescent="0.3">
      <c r="C2546" s="109"/>
      <c r="D2546" s="109"/>
      <c r="E2546" s="109"/>
      <c r="F2546" s="110"/>
      <c r="G2546" s="109"/>
    </row>
    <row r="2547" spans="3:7" x14ac:dyDescent="0.3">
      <c r="C2547" s="109"/>
      <c r="D2547" s="109"/>
      <c r="E2547" s="109"/>
      <c r="F2547" s="110"/>
      <c r="G2547" s="109"/>
    </row>
    <row r="2548" spans="3:7" x14ac:dyDescent="0.3">
      <c r="C2548" s="109"/>
      <c r="D2548" s="109"/>
      <c r="E2548" s="109"/>
      <c r="F2548" s="110"/>
      <c r="G2548" s="109"/>
    </row>
    <row r="2549" spans="3:7" x14ac:dyDescent="0.3">
      <c r="C2549" s="109"/>
      <c r="D2549" s="109"/>
      <c r="E2549" s="109"/>
      <c r="F2549" s="110"/>
      <c r="G2549" s="109"/>
    </row>
    <row r="2550" spans="3:7" x14ac:dyDescent="0.3">
      <c r="C2550" s="109"/>
      <c r="D2550" s="109"/>
      <c r="E2550" s="109"/>
      <c r="F2550" s="110"/>
      <c r="G2550" s="109"/>
    </row>
    <row r="2551" spans="3:7" x14ac:dyDescent="0.3">
      <c r="C2551" s="109"/>
      <c r="D2551" s="109"/>
      <c r="E2551" s="109"/>
      <c r="F2551" s="110"/>
      <c r="G2551" s="109"/>
    </row>
    <row r="2552" spans="3:7" x14ac:dyDescent="0.3">
      <c r="C2552" s="109"/>
      <c r="D2552" s="109"/>
      <c r="E2552" s="109"/>
      <c r="F2552" s="110"/>
      <c r="G2552" s="109"/>
    </row>
    <row r="2553" spans="3:7" x14ac:dyDescent="0.3">
      <c r="C2553" s="109"/>
      <c r="D2553" s="109"/>
      <c r="E2553" s="109"/>
      <c r="F2553" s="110"/>
      <c r="G2553" s="109"/>
    </row>
    <row r="2554" spans="3:7" x14ac:dyDescent="0.3">
      <c r="C2554" s="109"/>
      <c r="D2554" s="109"/>
      <c r="E2554" s="109"/>
      <c r="F2554" s="110"/>
      <c r="G2554" s="109"/>
    </row>
    <row r="2555" spans="3:7" x14ac:dyDescent="0.3">
      <c r="C2555" s="109"/>
      <c r="D2555" s="109"/>
      <c r="E2555" s="109"/>
      <c r="F2555" s="110"/>
      <c r="G2555" s="109"/>
    </row>
    <row r="2556" spans="3:7" x14ac:dyDescent="0.3">
      <c r="C2556" s="109"/>
      <c r="D2556" s="109"/>
      <c r="E2556" s="109"/>
      <c r="F2556" s="110"/>
      <c r="G2556" s="109"/>
    </row>
    <row r="2557" spans="3:7" x14ac:dyDescent="0.3">
      <c r="C2557" s="109"/>
      <c r="D2557" s="109"/>
      <c r="E2557" s="109"/>
      <c r="F2557" s="110"/>
      <c r="G2557" s="109"/>
    </row>
    <row r="2558" spans="3:7" x14ac:dyDescent="0.3">
      <c r="C2558" s="109"/>
      <c r="D2558" s="109"/>
      <c r="E2558" s="109"/>
      <c r="F2558" s="110"/>
      <c r="G2558" s="109"/>
    </row>
    <row r="2559" spans="3:7" x14ac:dyDescent="0.3">
      <c r="C2559" s="109"/>
      <c r="D2559" s="109"/>
      <c r="E2559" s="109"/>
      <c r="F2559" s="110"/>
      <c r="G2559" s="109"/>
    </row>
    <row r="2560" spans="3:7" x14ac:dyDescent="0.3">
      <c r="C2560" s="109"/>
      <c r="D2560" s="109"/>
      <c r="E2560" s="109"/>
      <c r="F2560" s="110"/>
      <c r="G2560" s="109"/>
    </row>
    <row r="2561" spans="3:7" x14ac:dyDescent="0.3">
      <c r="C2561" s="109"/>
      <c r="D2561" s="109"/>
      <c r="E2561" s="109"/>
      <c r="F2561" s="110"/>
      <c r="G2561" s="109"/>
    </row>
    <row r="2562" spans="3:7" x14ac:dyDescent="0.3">
      <c r="C2562" s="109"/>
      <c r="D2562" s="109"/>
      <c r="E2562" s="109"/>
      <c r="F2562" s="110"/>
      <c r="G2562" s="109"/>
    </row>
    <row r="2563" spans="3:7" x14ac:dyDescent="0.3">
      <c r="C2563" s="109"/>
      <c r="D2563" s="109"/>
      <c r="E2563" s="109"/>
      <c r="F2563" s="110"/>
      <c r="G2563" s="109"/>
    </row>
    <row r="2564" spans="3:7" x14ac:dyDescent="0.3">
      <c r="C2564" s="109"/>
      <c r="D2564" s="109"/>
      <c r="E2564" s="109"/>
      <c r="F2564" s="110"/>
      <c r="G2564" s="109"/>
    </row>
    <row r="2565" spans="3:7" x14ac:dyDescent="0.3">
      <c r="C2565" s="109"/>
      <c r="D2565" s="109"/>
      <c r="E2565" s="109"/>
      <c r="F2565" s="110"/>
      <c r="G2565" s="109"/>
    </row>
    <row r="2566" spans="3:7" x14ac:dyDescent="0.3">
      <c r="C2566" s="109"/>
      <c r="D2566" s="109"/>
      <c r="E2566" s="109"/>
      <c r="F2566" s="110"/>
      <c r="G2566" s="109"/>
    </row>
    <row r="2567" spans="3:7" x14ac:dyDescent="0.3">
      <c r="C2567" s="109"/>
      <c r="D2567" s="109"/>
      <c r="E2567" s="109"/>
      <c r="F2567" s="110"/>
      <c r="G2567" s="109"/>
    </row>
    <row r="2568" spans="3:7" x14ac:dyDescent="0.3">
      <c r="C2568" s="109"/>
      <c r="D2568" s="109"/>
      <c r="E2568" s="109"/>
      <c r="F2568" s="110"/>
      <c r="G2568" s="109"/>
    </row>
    <row r="2569" spans="3:7" x14ac:dyDescent="0.3">
      <c r="C2569" s="109"/>
      <c r="D2569" s="109"/>
      <c r="E2569" s="109"/>
      <c r="F2569" s="110"/>
      <c r="G2569" s="109"/>
    </row>
    <row r="2570" spans="3:7" x14ac:dyDescent="0.3">
      <c r="C2570" s="109"/>
      <c r="D2570" s="109"/>
      <c r="E2570" s="109"/>
      <c r="F2570" s="110"/>
      <c r="G2570" s="109"/>
    </row>
    <row r="2571" spans="3:7" x14ac:dyDescent="0.3">
      <c r="C2571" s="109"/>
      <c r="D2571" s="109"/>
      <c r="E2571" s="109"/>
      <c r="F2571" s="110"/>
      <c r="G2571" s="109"/>
    </row>
    <row r="2572" spans="3:7" x14ac:dyDescent="0.3">
      <c r="C2572" s="109"/>
      <c r="D2572" s="109"/>
      <c r="E2572" s="109"/>
      <c r="F2572" s="110"/>
      <c r="G2572" s="109"/>
    </row>
    <row r="2573" spans="3:7" x14ac:dyDescent="0.3">
      <c r="C2573" s="109"/>
      <c r="D2573" s="109"/>
      <c r="E2573" s="109"/>
      <c r="F2573" s="110"/>
      <c r="G2573" s="109"/>
    </row>
    <row r="2574" spans="3:7" x14ac:dyDescent="0.3">
      <c r="C2574" s="109"/>
      <c r="D2574" s="109"/>
      <c r="E2574" s="109"/>
      <c r="F2574" s="110"/>
      <c r="G2574" s="109"/>
    </row>
    <row r="2575" spans="3:7" x14ac:dyDescent="0.3">
      <c r="C2575" s="109"/>
      <c r="D2575" s="109"/>
      <c r="E2575" s="109"/>
      <c r="F2575" s="110"/>
      <c r="G2575" s="109"/>
    </row>
    <row r="2576" spans="3:7" x14ac:dyDescent="0.3">
      <c r="C2576" s="109"/>
      <c r="D2576" s="109"/>
      <c r="E2576" s="109"/>
      <c r="F2576" s="110"/>
      <c r="G2576" s="109"/>
    </row>
    <row r="2577" spans="3:7" x14ac:dyDescent="0.3">
      <c r="C2577" s="109"/>
      <c r="D2577" s="109"/>
      <c r="E2577" s="109"/>
      <c r="F2577" s="110"/>
      <c r="G2577" s="109"/>
    </row>
    <row r="2578" spans="3:7" x14ac:dyDescent="0.3">
      <c r="C2578" s="109"/>
      <c r="D2578" s="109"/>
      <c r="E2578" s="109"/>
      <c r="F2578" s="110"/>
      <c r="G2578" s="109"/>
    </row>
    <row r="2579" spans="3:7" x14ac:dyDescent="0.3">
      <c r="C2579" s="109"/>
      <c r="D2579" s="109"/>
      <c r="E2579" s="109"/>
      <c r="F2579" s="110"/>
      <c r="G2579" s="109"/>
    </row>
    <row r="2580" spans="3:7" x14ac:dyDescent="0.3">
      <c r="C2580" s="109"/>
      <c r="D2580" s="109"/>
      <c r="E2580" s="109"/>
      <c r="F2580" s="110"/>
      <c r="G2580" s="109"/>
    </row>
    <row r="2581" spans="3:7" x14ac:dyDescent="0.3">
      <c r="C2581" s="109"/>
      <c r="D2581" s="109"/>
      <c r="E2581" s="109"/>
      <c r="F2581" s="110"/>
      <c r="G2581" s="109"/>
    </row>
    <row r="2582" spans="3:7" x14ac:dyDescent="0.3">
      <c r="C2582" s="109"/>
      <c r="D2582" s="109"/>
      <c r="E2582" s="109"/>
      <c r="F2582" s="110"/>
      <c r="G2582" s="109"/>
    </row>
    <row r="2583" spans="3:7" x14ac:dyDescent="0.3">
      <c r="C2583" s="109"/>
      <c r="D2583" s="109"/>
      <c r="E2583" s="109"/>
      <c r="F2583" s="110"/>
      <c r="G2583" s="109"/>
    </row>
    <row r="2584" spans="3:7" x14ac:dyDescent="0.3">
      <c r="C2584" s="109"/>
      <c r="D2584" s="109"/>
      <c r="E2584" s="109"/>
      <c r="F2584" s="110"/>
      <c r="G2584" s="109"/>
    </row>
    <row r="2585" spans="3:7" x14ac:dyDescent="0.3">
      <c r="C2585" s="109"/>
      <c r="D2585" s="109"/>
      <c r="E2585" s="109"/>
      <c r="F2585" s="110"/>
      <c r="G2585" s="109"/>
    </row>
    <row r="2586" spans="3:7" x14ac:dyDescent="0.3">
      <c r="C2586" s="109"/>
      <c r="D2586" s="109"/>
      <c r="E2586" s="109"/>
      <c r="F2586" s="110"/>
      <c r="G2586" s="109"/>
    </row>
    <row r="2587" spans="3:7" x14ac:dyDescent="0.3">
      <c r="C2587" s="109"/>
      <c r="D2587" s="109"/>
      <c r="E2587" s="109"/>
      <c r="F2587" s="110"/>
      <c r="G2587" s="109"/>
    </row>
    <row r="2588" spans="3:7" x14ac:dyDescent="0.3">
      <c r="C2588" s="109"/>
      <c r="D2588" s="109"/>
      <c r="E2588" s="109"/>
      <c r="F2588" s="110"/>
      <c r="G2588" s="109"/>
    </row>
    <row r="2589" spans="3:7" x14ac:dyDescent="0.3">
      <c r="C2589" s="109"/>
      <c r="D2589" s="109"/>
      <c r="E2589" s="109"/>
      <c r="F2589" s="110"/>
      <c r="G2589" s="109"/>
    </row>
    <row r="2590" spans="3:7" x14ac:dyDescent="0.3">
      <c r="C2590" s="109"/>
      <c r="D2590" s="109"/>
      <c r="E2590" s="109"/>
      <c r="F2590" s="110"/>
      <c r="G2590" s="109"/>
    </row>
    <row r="2591" spans="3:7" x14ac:dyDescent="0.3">
      <c r="C2591" s="109"/>
      <c r="D2591" s="109"/>
      <c r="E2591" s="109"/>
      <c r="F2591" s="110"/>
      <c r="G2591" s="109"/>
    </row>
    <row r="2592" spans="3:7" x14ac:dyDescent="0.3">
      <c r="C2592" s="109"/>
      <c r="D2592" s="109"/>
      <c r="E2592" s="109"/>
      <c r="F2592" s="110"/>
      <c r="G2592" s="109"/>
    </row>
    <row r="2593" spans="3:7" x14ac:dyDescent="0.3">
      <c r="C2593" s="109"/>
      <c r="D2593" s="109"/>
      <c r="E2593" s="109"/>
      <c r="F2593" s="110"/>
      <c r="G2593" s="109"/>
    </row>
    <row r="2594" spans="3:7" x14ac:dyDescent="0.3">
      <c r="C2594" s="109"/>
      <c r="D2594" s="109"/>
      <c r="E2594" s="109"/>
      <c r="F2594" s="110"/>
      <c r="G2594" s="109"/>
    </row>
    <row r="2595" spans="3:7" x14ac:dyDescent="0.3">
      <c r="C2595" s="109"/>
      <c r="D2595" s="109"/>
      <c r="E2595" s="109"/>
      <c r="F2595" s="110"/>
      <c r="G2595" s="109"/>
    </row>
    <row r="2596" spans="3:7" x14ac:dyDescent="0.3">
      <c r="C2596" s="109"/>
      <c r="D2596" s="109"/>
      <c r="E2596" s="109"/>
      <c r="F2596" s="110"/>
      <c r="G2596" s="109"/>
    </row>
    <row r="2597" spans="3:7" x14ac:dyDescent="0.3">
      <c r="C2597" s="109"/>
      <c r="D2597" s="109"/>
      <c r="E2597" s="109"/>
      <c r="F2597" s="110"/>
      <c r="G2597" s="109"/>
    </row>
    <row r="2598" spans="3:7" x14ac:dyDescent="0.3">
      <c r="C2598" s="109"/>
      <c r="D2598" s="109"/>
      <c r="E2598" s="109"/>
      <c r="F2598" s="110"/>
      <c r="G2598" s="109"/>
    </row>
    <row r="2599" spans="3:7" x14ac:dyDescent="0.3">
      <c r="C2599" s="109"/>
      <c r="D2599" s="109"/>
      <c r="E2599" s="109"/>
      <c r="F2599" s="110"/>
      <c r="G2599" s="109"/>
    </row>
    <row r="2600" spans="3:7" x14ac:dyDescent="0.3">
      <c r="C2600" s="109"/>
      <c r="D2600" s="109"/>
      <c r="E2600" s="109"/>
      <c r="F2600" s="110"/>
      <c r="G2600" s="109"/>
    </row>
    <row r="2601" spans="3:7" x14ac:dyDescent="0.3">
      <c r="C2601" s="109"/>
      <c r="D2601" s="109"/>
      <c r="E2601" s="109"/>
      <c r="F2601" s="110"/>
      <c r="G2601" s="109"/>
    </row>
    <row r="2602" spans="3:7" x14ac:dyDescent="0.3">
      <c r="C2602" s="109"/>
      <c r="D2602" s="109"/>
      <c r="E2602" s="109"/>
      <c r="F2602" s="110"/>
      <c r="G2602" s="109"/>
    </row>
    <row r="2603" spans="3:7" x14ac:dyDescent="0.3">
      <c r="C2603" s="109"/>
      <c r="D2603" s="109"/>
      <c r="E2603" s="109"/>
      <c r="F2603" s="110"/>
      <c r="G2603" s="109"/>
    </row>
    <row r="2604" spans="3:7" x14ac:dyDescent="0.3">
      <c r="C2604" s="109"/>
      <c r="D2604" s="109"/>
      <c r="E2604" s="109"/>
      <c r="F2604" s="110"/>
      <c r="G2604" s="109"/>
    </row>
    <row r="2605" spans="3:7" x14ac:dyDescent="0.3">
      <c r="C2605" s="109"/>
      <c r="D2605" s="109"/>
      <c r="E2605" s="109"/>
      <c r="F2605" s="110"/>
      <c r="G2605" s="109"/>
    </row>
    <row r="2606" spans="3:7" x14ac:dyDescent="0.3">
      <c r="C2606" s="109"/>
      <c r="D2606" s="109"/>
      <c r="E2606" s="109"/>
      <c r="F2606" s="110"/>
      <c r="G2606" s="109"/>
    </row>
    <row r="2607" spans="3:7" x14ac:dyDescent="0.3">
      <c r="C2607" s="109"/>
      <c r="D2607" s="109"/>
      <c r="E2607" s="109"/>
      <c r="F2607" s="110"/>
      <c r="G2607" s="109"/>
    </row>
    <row r="2608" spans="3:7" x14ac:dyDescent="0.3">
      <c r="C2608" s="109"/>
      <c r="D2608" s="109"/>
      <c r="E2608" s="109"/>
      <c r="F2608" s="110"/>
      <c r="G2608" s="109"/>
    </row>
    <row r="2609" spans="3:7" x14ac:dyDescent="0.3">
      <c r="C2609" s="109"/>
      <c r="D2609" s="109"/>
      <c r="E2609" s="109"/>
      <c r="F2609" s="110"/>
      <c r="G2609" s="109"/>
    </row>
    <row r="2610" spans="3:7" x14ac:dyDescent="0.3">
      <c r="C2610" s="109"/>
      <c r="D2610" s="109"/>
      <c r="E2610" s="109"/>
      <c r="F2610" s="110"/>
      <c r="G2610" s="109"/>
    </row>
    <row r="2611" spans="3:7" x14ac:dyDescent="0.3">
      <c r="C2611" s="109"/>
      <c r="D2611" s="109"/>
      <c r="E2611" s="109"/>
      <c r="F2611" s="110"/>
      <c r="G2611" s="109"/>
    </row>
    <row r="2612" spans="3:7" x14ac:dyDescent="0.3">
      <c r="C2612" s="109"/>
      <c r="D2612" s="109"/>
      <c r="E2612" s="109"/>
      <c r="F2612" s="110"/>
      <c r="G2612" s="109"/>
    </row>
    <row r="2613" spans="3:7" x14ac:dyDescent="0.3">
      <c r="C2613" s="109"/>
      <c r="D2613" s="109"/>
      <c r="E2613" s="109"/>
      <c r="F2613" s="110"/>
      <c r="G2613" s="109"/>
    </row>
    <row r="2614" spans="3:7" x14ac:dyDescent="0.3">
      <c r="C2614" s="109"/>
      <c r="D2614" s="109"/>
      <c r="E2614" s="109"/>
      <c r="F2614" s="110"/>
      <c r="G2614" s="109"/>
    </row>
    <row r="2615" spans="3:7" x14ac:dyDescent="0.3">
      <c r="C2615" s="109"/>
      <c r="D2615" s="109"/>
      <c r="E2615" s="109"/>
      <c r="F2615" s="110"/>
      <c r="G2615" s="109"/>
    </row>
    <row r="2616" spans="3:7" x14ac:dyDescent="0.3">
      <c r="C2616" s="109"/>
      <c r="D2616" s="109"/>
      <c r="E2616" s="109"/>
      <c r="F2616" s="110"/>
      <c r="G2616" s="109"/>
    </row>
    <row r="2617" spans="3:7" x14ac:dyDescent="0.3">
      <c r="C2617" s="109"/>
      <c r="D2617" s="109"/>
      <c r="E2617" s="109"/>
      <c r="F2617" s="110"/>
      <c r="G2617" s="109"/>
    </row>
    <row r="2618" spans="3:7" x14ac:dyDescent="0.3">
      <c r="C2618" s="109"/>
      <c r="D2618" s="109"/>
      <c r="E2618" s="109"/>
      <c r="F2618" s="110"/>
      <c r="G2618" s="109"/>
    </row>
    <row r="2619" spans="3:7" x14ac:dyDescent="0.3">
      <c r="C2619" s="109"/>
      <c r="D2619" s="109"/>
      <c r="E2619" s="109"/>
      <c r="F2619" s="110"/>
      <c r="G2619" s="109"/>
    </row>
    <row r="2620" spans="3:7" x14ac:dyDescent="0.3">
      <c r="C2620" s="109"/>
      <c r="D2620" s="109"/>
      <c r="E2620" s="109"/>
      <c r="F2620" s="110"/>
      <c r="G2620" s="109"/>
    </row>
    <row r="2621" spans="3:7" x14ac:dyDescent="0.3">
      <c r="C2621" s="109"/>
      <c r="D2621" s="109"/>
      <c r="E2621" s="109"/>
      <c r="F2621" s="110"/>
      <c r="G2621" s="109"/>
    </row>
    <row r="2622" spans="3:7" x14ac:dyDescent="0.3">
      <c r="C2622" s="109"/>
      <c r="D2622" s="109"/>
      <c r="E2622" s="109"/>
      <c r="F2622" s="110"/>
      <c r="G2622" s="109"/>
    </row>
    <row r="2623" spans="3:7" x14ac:dyDescent="0.3">
      <c r="C2623" s="109"/>
      <c r="D2623" s="109"/>
      <c r="E2623" s="109"/>
      <c r="F2623" s="110"/>
      <c r="G2623" s="109"/>
    </row>
    <row r="2624" spans="3:7" x14ac:dyDescent="0.3">
      <c r="C2624" s="109"/>
      <c r="D2624" s="109"/>
      <c r="E2624" s="109"/>
      <c r="F2624" s="110"/>
      <c r="G2624" s="109"/>
    </row>
    <row r="2625" spans="3:7" x14ac:dyDescent="0.3">
      <c r="C2625" s="109"/>
      <c r="D2625" s="109"/>
      <c r="E2625" s="109"/>
      <c r="F2625" s="110"/>
      <c r="G2625" s="109"/>
    </row>
    <row r="2626" spans="3:7" x14ac:dyDescent="0.3">
      <c r="C2626" s="109"/>
      <c r="D2626" s="109"/>
      <c r="E2626" s="109"/>
      <c r="F2626" s="110"/>
      <c r="G2626" s="109"/>
    </row>
    <row r="2627" spans="3:7" x14ac:dyDescent="0.3">
      <c r="C2627" s="109"/>
      <c r="D2627" s="109"/>
      <c r="E2627" s="109"/>
      <c r="F2627" s="110"/>
      <c r="G2627" s="109"/>
    </row>
    <row r="2628" spans="3:7" x14ac:dyDescent="0.3">
      <c r="C2628" s="109"/>
      <c r="D2628" s="109"/>
      <c r="E2628" s="109"/>
      <c r="F2628" s="110"/>
      <c r="G2628" s="109"/>
    </row>
    <row r="2629" spans="3:7" x14ac:dyDescent="0.3">
      <c r="C2629" s="109"/>
      <c r="D2629" s="109"/>
      <c r="E2629" s="109"/>
      <c r="F2629" s="110"/>
      <c r="G2629" s="109"/>
    </row>
    <row r="2630" spans="3:7" x14ac:dyDescent="0.3">
      <c r="C2630" s="109"/>
      <c r="D2630" s="109"/>
      <c r="E2630" s="109"/>
      <c r="F2630" s="110"/>
      <c r="G2630" s="109"/>
    </row>
    <row r="2631" spans="3:7" x14ac:dyDescent="0.3">
      <c r="C2631" s="109"/>
      <c r="D2631" s="109"/>
      <c r="E2631" s="109"/>
      <c r="F2631" s="110"/>
      <c r="G2631" s="109"/>
    </row>
    <row r="2632" spans="3:7" x14ac:dyDescent="0.3">
      <c r="C2632" s="109"/>
      <c r="D2632" s="109"/>
      <c r="E2632" s="109"/>
      <c r="F2632" s="110"/>
      <c r="G2632" s="109"/>
    </row>
    <row r="2633" spans="3:7" x14ac:dyDescent="0.3">
      <c r="C2633" s="109"/>
      <c r="D2633" s="109"/>
      <c r="E2633" s="109"/>
      <c r="F2633" s="110"/>
      <c r="G2633" s="109"/>
    </row>
    <row r="2634" spans="3:7" x14ac:dyDescent="0.3">
      <c r="C2634" s="109"/>
      <c r="D2634" s="109"/>
      <c r="E2634" s="109"/>
      <c r="F2634" s="110"/>
      <c r="G2634" s="109"/>
    </row>
    <row r="2635" spans="3:7" x14ac:dyDescent="0.3">
      <c r="C2635" s="109"/>
      <c r="D2635" s="109"/>
      <c r="E2635" s="109"/>
      <c r="F2635" s="110"/>
      <c r="G2635" s="109"/>
    </row>
    <row r="2636" spans="3:7" x14ac:dyDescent="0.3">
      <c r="C2636" s="109"/>
      <c r="D2636" s="109"/>
      <c r="E2636" s="109"/>
      <c r="F2636" s="110"/>
      <c r="G2636" s="109"/>
    </row>
    <row r="2637" spans="3:7" x14ac:dyDescent="0.3">
      <c r="C2637" s="109"/>
      <c r="D2637" s="109"/>
      <c r="E2637" s="109"/>
      <c r="F2637" s="110"/>
      <c r="G2637" s="109"/>
    </row>
    <row r="2638" spans="3:7" x14ac:dyDescent="0.3">
      <c r="C2638" s="109"/>
      <c r="D2638" s="109"/>
      <c r="E2638" s="109"/>
      <c r="F2638" s="110"/>
      <c r="G2638" s="109"/>
    </row>
    <row r="2639" spans="3:7" x14ac:dyDescent="0.3">
      <c r="C2639" s="109"/>
      <c r="D2639" s="109"/>
      <c r="E2639" s="109"/>
      <c r="F2639" s="110"/>
      <c r="G2639" s="109"/>
    </row>
    <row r="2640" spans="3:7" x14ac:dyDescent="0.3">
      <c r="C2640" s="109"/>
      <c r="D2640" s="109"/>
      <c r="E2640" s="109"/>
      <c r="F2640" s="110"/>
      <c r="G2640" s="109"/>
    </row>
    <row r="2641" spans="3:7" x14ac:dyDescent="0.3">
      <c r="C2641" s="109"/>
      <c r="D2641" s="109"/>
      <c r="E2641" s="109"/>
      <c r="F2641" s="110"/>
      <c r="G2641" s="109"/>
    </row>
    <row r="2642" spans="3:7" x14ac:dyDescent="0.3">
      <c r="C2642" s="109"/>
      <c r="D2642" s="109"/>
      <c r="E2642" s="109"/>
      <c r="F2642" s="110"/>
      <c r="G2642" s="109"/>
    </row>
    <row r="2643" spans="3:7" x14ac:dyDescent="0.3">
      <c r="C2643" s="109"/>
      <c r="D2643" s="109"/>
      <c r="E2643" s="109"/>
      <c r="F2643" s="110"/>
      <c r="G2643" s="109"/>
    </row>
    <row r="2644" spans="3:7" x14ac:dyDescent="0.3">
      <c r="C2644" s="109"/>
      <c r="D2644" s="109"/>
      <c r="E2644" s="109"/>
      <c r="F2644" s="110"/>
      <c r="G2644" s="109"/>
    </row>
    <row r="2645" spans="3:7" x14ac:dyDescent="0.3">
      <c r="C2645" s="109"/>
      <c r="D2645" s="109"/>
      <c r="E2645" s="109"/>
      <c r="F2645" s="110"/>
      <c r="G2645" s="109"/>
    </row>
    <row r="2646" spans="3:7" x14ac:dyDescent="0.3">
      <c r="C2646" s="109"/>
      <c r="D2646" s="109"/>
      <c r="E2646" s="109"/>
      <c r="F2646" s="110"/>
      <c r="G2646" s="109"/>
    </row>
    <row r="2647" spans="3:7" x14ac:dyDescent="0.3">
      <c r="C2647" s="109"/>
      <c r="D2647" s="109"/>
      <c r="E2647" s="109"/>
      <c r="F2647" s="110"/>
      <c r="G2647" s="109"/>
    </row>
    <row r="2648" spans="3:7" x14ac:dyDescent="0.3">
      <c r="C2648" s="109"/>
      <c r="D2648" s="109"/>
      <c r="E2648" s="109"/>
      <c r="F2648" s="110"/>
      <c r="G2648" s="109"/>
    </row>
    <row r="2649" spans="3:7" x14ac:dyDescent="0.3">
      <c r="C2649" s="109"/>
      <c r="D2649" s="109"/>
      <c r="E2649" s="109"/>
      <c r="F2649" s="110"/>
      <c r="G2649" s="109"/>
    </row>
    <row r="2650" spans="3:7" x14ac:dyDescent="0.3">
      <c r="C2650" s="109"/>
      <c r="D2650" s="109"/>
      <c r="E2650" s="109"/>
      <c r="F2650" s="110"/>
      <c r="G2650" s="109"/>
    </row>
    <row r="2651" spans="3:7" x14ac:dyDescent="0.3">
      <c r="C2651" s="109"/>
      <c r="D2651" s="109"/>
      <c r="E2651" s="109"/>
      <c r="F2651" s="110"/>
      <c r="G2651" s="109"/>
    </row>
    <row r="2652" spans="3:7" x14ac:dyDescent="0.3">
      <c r="C2652" s="109"/>
      <c r="D2652" s="109"/>
      <c r="E2652" s="109"/>
      <c r="F2652" s="110"/>
      <c r="G2652" s="109"/>
    </row>
    <row r="2653" spans="3:7" x14ac:dyDescent="0.3">
      <c r="C2653" s="109"/>
      <c r="D2653" s="109"/>
      <c r="E2653" s="109"/>
      <c r="F2653" s="110"/>
      <c r="G2653" s="109"/>
    </row>
    <row r="2654" spans="3:7" x14ac:dyDescent="0.3">
      <c r="C2654" s="109"/>
      <c r="D2654" s="109"/>
      <c r="E2654" s="109"/>
      <c r="F2654" s="110"/>
      <c r="G2654" s="109"/>
    </row>
    <row r="2655" spans="3:7" x14ac:dyDescent="0.3">
      <c r="C2655" s="109"/>
      <c r="D2655" s="109"/>
      <c r="E2655" s="109"/>
      <c r="F2655" s="110"/>
      <c r="G2655" s="109"/>
    </row>
    <row r="2656" spans="3:7" x14ac:dyDescent="0.3">
      <c r="C2656" s="109"/>
      <c r="D2656" s="109"/>
      <c r="E2656" s="109"/>
      <c r="F2656" s="110"/>
      <c r="G2656" s="109"/>
    </row>
    <row r="2657" spans="3:7" x14ac:dyDescent="0.3">
      <c r="C2657" s="109"/>
      <c r="D2657" s="109"/>
      <c r="E2657" s="109"/>
      <c r="F2657" s="110"/>
      <c r="G2657" s="109"/>
    </row>
    <row r="2658" spans="3:7" x14ac:dyDescent="0.3">
      <c r="C2658" s="109"/>
      <c r="D2658" s="109"/>
      <c r="E2658" s="109"/>
      <c r="F2658" s="110"/>
      <c r="G2658" s="109"/>
    </row>
    <row r="2659" spans="3:7" x14ac:dyDescent="0.3">
      <c r="C2659" s="109"/>
      <c r="D2659" s="109"/>
      <c r="E2659" s="109"/>
      <c r="F2659" s="110"/>
      <c r="G2659" s="109"/>
    </row>
    <row r="2660" spans="3:7" x14ac:dyDescent="0.3">
      <c r="C2660" s="109"/>
      <c r="D2660" s="109"/>
      <c r="E2660" s="109"/>
      <c r="F2660" s="110"/>
      <c r="G2660" s="109"/>
    </row>
    <row r="2661" spans="3:7" x14ac:dyDescent="0.3">
      <c r="C2661" s="109"/>
      <c r="D2661" s="109"/>
      <c r="E2661" s="109"/>
      <c r="F2661" s="110"/>
      <c r="G2661" s="109"/>
    </row>
    <row r="2662" spans="3:7" x14ac:dyDescent="0.3">
      <c r="C2662" s="109"/>
      <c r="D2662" s="109"/>
      <c r="E2662" s="109"/>
      <c r="F2662" s="110"/>
      <c r="G2662" s="109"/>
    </row>
    <row r="2663" spans="3:7" x14ac:dyDescent="0.3">
      <c r="C2663" s="109"/>
      <c r="D2663" s="109"/>
      <c r="E2663" s="109"/>
      <c r="F2663" s="110"/>
      <c r="G2663" s="109"/>
    </row>
    <row r="2664" spans="3:7" x14ac:dyDescent="0.3">
      <c r="C2664" s="109"/>
      <c r="D2664" s="109"/>
      <c r="E2664" s="109"/>
      <c r="F2664" s="110"/>
      <c r="G2664" s="109"/>
    </row>
    <row r="2665" spans="3:7" x14ac:dyDescent="0.3">
      <c r="C2665" s="109"/>
      <c r="D2665" s="109"/>
      <c r="E2665" s="109"/>
      <c r="F2665" s="110"/>
      <c r="G2665" s="109"/>
    </row>
    <row r="2666" spans="3:7" x14ac:dyDescent="0.3">
      <c r="C2666" s="109"/>
      <c r="D2666" s="109"/>
      <c r="E2666" s="109"/>
      <c r="F2666" s="110"/>
      <c r="G2666" s="109"/>
    </row>
    <row r="2667" spans="3:7" x14ac:dyDescent="0.3">
      <c r="C2667" s="109"/>
      <c r="D2667" s="109"/>
      <c r="E2667" s="109"/>
      <c r="F2667" s="110"/>
      <c r="G2667" s="109"/>
    </row>
    <row r="2668" spans="3:7" x14ac:dyDescent="0.3">
      <c r="C2668" s="109"/>
      <c r="D2668" s="109"/>
      <c r="E2668" s="109"/>
      <c r="F2668" s="110"/>
      <c r="G2668" s="109"/>
    </row>
    <row r="2669" spans="3:7" x14ac:dyDescent="0.3">
      <c r="C2669" s="109"/>
      <c r="D2669" s="109"/>
      <c r="E2669" s="109"/>
      <c r="F2669" s="110"/>
      <c r="G2669" s="109"/>
    </row>
    <row r="2670" spans="3:7" x14ac:dyDescent="0.3">
      <c r="C2670" s="109"/>
      <c r="D2670" s="109"/>
      <c r="E2670" s="109"/>
      <c r="F2670" s="110"/>
      <c r="G2670" s="109"/>
    </row>
    <row r="2671" spans="3:7" x14ac:dyDescent="0.3">
      <c r="C2671" s="109"/>
      <c r="D2671" s="109"/>
      <c r="E2671" s="109"/>
      <c r="F2671" s="110"/>
      <c r="G2671" s="109"/>
    </row>
    <row r="2672" spans="3:7" x14ac:dyDescent="0.3">
      <c r="C2672" s="109"/>
      <c r="D2672" s="109"/>
      <c r="E2672" s="109"/>
      <c r="F2672" s="110"/>
      <c r="G2672" s="109"/>
    </row>
    <row r="2673" spans="3:7" x14ac:dyDescent="0.3">
      <c r="C2673" s="109"/>
      <c r="D2673" s="109"/>
      <c r="E2673" s="109"/>
      <c r="F2673" s="110"/>
      <c r="G2673" s="109"/>
    </row>
    <row r="2674" spans="3:7" x14ac:dyDescent="0.3">
      <c r="C2674" s="109"/>
      <c r="D2674" s="109"/>
      <c r="E2674" s="109"/>
      <c r="F2674" s="110"/>
      <c r="G2674" s="109"/>
    </row>
    <row r="2675" spans="3:7" x14ac:dyDescent="0.3">
      <c r="C2675" s="109"/>
      <c r="D2675" s="109"/>
      <c r="E2675" s="109"/>
      <c r="F2675" s="110"/>
      <c r="G2675" s="109"/>
    </row>
    <row r="2676" spans="3:7" x14ac:dyDescent="0.3">
      <c r="C2676" s="109"/>
      <c r="D2676" s="109"/>
      <c r="E2676" s="109"/>
      <c r="F2676" s="110"/>
      <c r="G2676" s="109"/>
    </row>
    <row r="2677" spans="3:7" x14ac:dyDescent="0.3">
      <c r="C2677" s="109"/>
      <c r="D2677" s="109"/>
      <c r="E2677" s="109"/>
      <c r="F2677" s="110"/>
      <c r="G2677" s="109"/>
    </row>
    <row r="2678" spans="3:7" x14ac:dyDescent="0.3">
      <c r="C2678" s="109"/>
      <c r="D2678" s="109"/>
      <c r="E2678" s="109"/>
      <c r="F2678" s="110"/>
      <c r="G2678" s="109"/>
    </row>
    <row r="2679" spans="3:7" x14ac:dyDescent="0.3">
      <c r="C2679" s="109"/>
      <c r="D2679" s="109"/>
      <c r="E2679" s="109"/>
      <c r="F2679" s="110"/>
      <c r="G2679" s="109"/>
    </row>
    <row r="2680" spans="3:7" x14ac:dyDescent="0.3">
      <c r="C2680" s="109"/>
      <c r="D2680" s="109"/>
      <c r="E2680" s="109"/>
      <c r="F2680" s="110"/>
      <c r="G2680" s="109"/>
    </row>
    <row r="2681" spans="3:7" x14ac:dyDescent="0.3">
      <c r="C2681" s="109"/>
      <c r="D2681" s="109"/>
      <c r="E2681" s="109"/>
      <c r="F2681" s="110"/>
      <c r="G2681" s="109"/>
    </row>
    <row r="2682" spans="3:7" x14ac:dyDescent="0.3">
      <c r="C2682" s="109"/>
      <c r="D2682" s="109"/>
      <c r="E2682" s="109"/>
      <c r="F2682" s="110"/>
      <c r="G2682" s="109"/>
    </row>
    <row r="2683" spans="3:7" x14ac:dyDescent="0.3">
      <c r="C2683" s="109"/>
      <c r="D2683" s="109"/>
      <c r="E2683" s="109"/>
      <c r="F2683" s="110"/>
      <c r="G2683" s="109"/>
    </row>
    <row r="2684" spans="3:7" x14ac:dyDescent="0.3">
      <c r="C2684" s="109"/>
      <c r="D2684" s="109"/>
      <c r="E2684" s="109"/>
      <c r="F2684" s="110"/>
      <c r="G2684" s="109"/>
    </row>
    <row r="2685" spans="3:7" x14ac:dyDescent="0.3">
      <c r="C2685" s="109"/>
      <c r="D2685" s="109"/>
      <c r="E2685" s="109"/>
      <c r="F2685" s="110"/>
      <c r="G2685" s="109"/>
    </row>
    <row r="2686" spans="3:7" x14ac:dyDescent="0.3">
      <c r="C2686" s="109"/>
      <c r="D2686" s="109"/>
      <c r="E2686" s="109"/>
      <c r="F2686" s="110"/>
      <c r="G2686" s="109"/>
    </row>
    <row r="2687" spans="3:7" x14ac:dyDescent="0.3">
      <c r="C2687" s="109"/>
      <c r="D2687" s="109"/>
      <c r="E2687" s="109"/>
      <c r="F2687" s="110"/>
      <c r="G2687" s="109"/>
    </row>
    <row r="2688" spans="3:7" x14ac:dyDescent="0.3">
      <c r="C2688" s="109"/>
      <c r="D2688" s="109"/>
      <c r="E2688" s="109"/>
      <c r="F2688" s="110"/>
      <c r="G2688" s="109"/>
    </row>
    <row r="2689" spans="3:7" x14ac:dyDescent="0.3">
      <c r="C2689" s="109"/>
      <c r="D2689" s="109"/>
      <c r="E2689" s="109"/>
      <c r="F2689" s="110"/>
      <c r="G2689" s="109"/>
    </row>
    <row r="2690" spans="3:7" x14ac:dyDescent="0.3">
      <c r="C2690" s="109"/>
      <c r="D2690" s="109"/>
      <c r="E2690" s="109"/>
      <c r="F2690" s="110"/>
      <c r="G2690" s="109"/>
    </row>
    <row r="2691" spans="3:7" x14ac:dyDescent="0.3">
      <c r="C2691" s="109"/>
      <c r="D2691" s="109"/>
      <c r="E2691" s="109"/>
      <c r="F2691" s="110"/>
      <c r="G2691" s="109"/>
    </row>
    <row r="2692" spans="3:7" x14ac:dyDescent="0.3">
      <c r="C2692" s="109"/>
      <c r="D2692" s="109"/>
      <c r="E2692" s="109"/>
      <c r="F2692" s="110"/>
      <c r="G2692" s="109"/>
    </row>
    <row r="2693" spans="3:7" x14ac:dyDescent="0.3">
      <c r="C2693" s="109"/>
      <c r="D2693" s="109"/>
      <c r="E2693" s="109"/>
      <c r="F2693" s="110"/>
      <c r="G2693" s="109"/>
    </row>
    <row r="2694" spans="3:7" x14ac:dyDescent="0.3">
      <c r="C2694" s="109"/>
      <c r="D2694" s="109"/>
      <c r="E2694" s="109"/>
      <c r="F2694" s="110"/>
      <c r="G2694" s="109"/>
    </row>
    <row r="2695" spans="3:7" x14ac:dyDescent="0.3">
      <c r="C2695" s="109"/>
      <c r="D2695" s="109"/>
      <c r="E2695" s="109"/>
      <c r="F2695" s="110"/>
      <c r="G2695" s="109"/>
    </row>
    <row r="2696" spans="3:7" x14ac:dyDescent="0.3">
      <c r="C2696" s="109"/>
      <c r="D2696" s="109"/>
      <c r="E2696" s="109"/>
      <c r="F2696" s="110"/>
      <c r="G2696" s="109"/>
    </row>
    <row r="2697" spans="3:7" x14ac:dyDescent="0.3">
      <c r="C2697" s="109"/>
      <c r="D2697" s="109"/>
      <c r="E2697" s="109"/>
      <c r="F2697" s="110"/>
      <c r="G2697" s="109"/>
    </row>
    <row r="2698" spans="3:7" x14ac:dyDescent="0.3">
      <c r="C2698" s="109"/>
      <c r="D2698" s="109"/>
      <c r="E2698" s="109"/>
      <c r="F2698" s="110"/>
      <c r="G2698" s="109"/>
    </row>
    <row r="2699" spans="3:7" x14ac:dyDescent="0.3">
      <c r="C2699" s="109"/>
      <c r="D2699" s="109"/>
      <c r="E2699" s="109"/>
      <c r="F2699" s="110"/>
      <c r="G2699" s="109"/>
    </row>
    <row r="2700" spans="3:7" x14ac:dyDescent="0.3">
      <c r="C2700" s="109"/>
      <c r="D2700" s="109"/>
      <c r="E2700" s="109"/>
      <c r="F2700" s="110"/>
      <c r="G2700" s="109"/>
    </row>
    <row r="2701" spans="3:7" x14ac:dyDescent="0.3">
      <c r="C2701" s="109"/>
      <c r="D2701" s="109"/>
      <c r="E2701" s="109"/>
      <c r="F2701" s="110"/>
      <c r="G2701" s="109"/>
    </row>
    <row r="2702" spans="3:7" x14ac:dyDescent="0.3">
      <c r="C2702" s="109"/>
      <c r="D2702" s="109"/>
      <c r="E2702" s="109"/>
      <c r="F2702" s="110"/>
      <c r="G2702" s="109"/>
    </row>
    <row r="2703" spans="3:7" x14ac:dyDescent="0.3">
      <c r="C2703" s="109"/>
      <c r="D2703" s="109"/>
      <c r="E2703" s="109"/>
      <c r="F2703" s="110"/>
      <c r="G2703" s="109"/>
    </row>
    <row r="2704" spans="3:7" x14ac:dyDescent="0.3">
      <c r="C2704" s="109"/>
      <c r="D2704" s="109"/>
      <c r="E2704" s="109"/>
      <c r="F2704" s="110"/>
      <c r="G2704" s="109"/>
    </row>
    <row r="2705" spans="3:7" x14ac:dyDescent="0.3">
      <c r="C2705" s="109"/>
      <c r="D2705" s="109"/>
      <c r="E2705" s="109"/>
      <c r="F2705" s="110"/>
      <c r="G2705" s="109"/>
    </row>
    <row r="2706" spans="3:7" x14ac:dyDescent="0.3">
      <c r="C2706" s="109"/>
      <c r="D2706" s="109"/>
      <c r="E2706" s="109"/>
      <c r="F2706" s="110"/>
      <c r="G2706" s="109"/>
    </row>
    <row r="2707" spans="3:7" x14ac:dyDescent="0.3">
      <c r="C2707" s="109"/>
      <c r="D2707" s="109"/>
      <c r="E2707" s="109"/>
      <c r="F2707" s="110"/>
      <c r="G2707" s="109"/>
    </row>
    <row r="2708" spans="3:7" x14ac:dyDescent="0.3">
      <c r="C2708" s="109"/>
      <c r="D2708" s="109"/>
      <c r="E2708" s="109"/>
      <c r="F2708" s="110"/>
      <c r="G2708" s="109"/>
    </row>
    <row r="2709" spans="3:7" x14ac:dyDescent="0.3">
      <c r="C2709" s="109"/>
      <c r="D2709" s="109"/>
      <c r="E2709" s="109"/>
      <c r="F2709" s="110"/>
      <c r="G2709" s="109"/>
    </row>
    <row r="2710" spans="3:7" x14ac:dyDescent="0.3">
      <c r="C2710" s="109"/>
      <c r="D2710" s="109"/>
      <c r="E2710" s="109"/>
      <c r="F2710" s="110"/>
      <c r="G2710" s="109"/>
    </row>
    <row r="2711" spans="3:7" x14ac:dyDescent="0.3">
      <c r="C2711" s="109"/>
      <c r="D2711" s="109"/>
      <c r="E2711" s="109"/>
      <c r="F2711" s="110"/>
      <c r="G2711" s="109"/>
    </row>
    <row r="2712" spans="3:7" x14ac:dyDescent="0.3">
      <c r="C2712" s="109"/>
      <c r="D2712" s="109"/>
      <c r="E2712" s="109"/>
      <c r="F2712" s="110"/>
      <c r="G2712" s="109"/>
    </row>
    <row r="2713" spans="3:7" x14ac:dyDescent="0.3">
      <c r="C2713" s="109"/>
      <c r="D2713" s="109"/>
      <c r="E2713" s="109"/>
      <c r="F2713" s="110"/>
      <c r="G2713" s="109"/>
    </row>
    <row r="2714" spans="3:7" x14ac:dyDescent="0.3">
      <c r="C2714" s="109"/>
      <c r="D2714" s="109"/>
      <c r="E2714" s="109"/>
      <c r="F2714" s="110"/>
      <c r="G2714" s="109"/>
    </row>
    <row r="2715" spans="3:7" x14ac:dyDescent="0.3">
      <c r="C2715" s="109"/>
      <c r="D2715" s="109"/>
      <c r="E2715" s="109"/>
      <c r="F2715" s="110"/>
      <c r="G2715" s="109"/>
    </row>
    <row r="2716" spans="3:7" x14ac:dyDescent="0.3">
      <c r="C2716" s="109"/>
      <c r="D2716" s="109"/>
      <c r="E2716" s="109"/>
      <c r="F2716" s="110"/>
      <c r="G2716" s="109"/>
    </row>
    <row r="2717" spans="3:7" x14ac:dyDescent="0.3">
      <c r="C2717" s="109"/>
      <c r="D2717" s="109"/>
      <c r="E2717" s="109"/>
      <c r="F2717" s="110"/>
      <c r="G2717" s="109"/>
    </row>
    <row r="2718" spans="3:7" x14ac:dyDescent="0.3">
      <c r="C2718" s="109"/>
      <c r="D2718" s="109"/>
      <c r="E2718" s="109"/>
      <c r="F2718" s="110"/>
      <c r="G2718" s="109"/>
    </row>
    <row r="2719" spans="3:7" x14ac:dyDescent="0.3">
      <c r="C2719" s="109"/>
      <c r="D2719" s="109"/>
      <c r="E2719" s="109"/>
      <c r="F2719" s="110"/>
      <c r="G2719" s="109"/>
    </row>
    <row r="2720" spans="3:7" x14ac:dyDescent="0.3">
      <c r="C2720" s="109"/>
      <c r="D2720" s="109"/>
      <c r="E2720" s="109"/>
      <c r="F2720" s="110"/>
      <c r="G2720" s="109"/>
    </row>
    <row r="2721" spans="3:7" x14ac:dyDescent="0.3">
      <c r="C2721" s="109"/>
      <c r="D2721" s="109"/>
      <c r="E2721" s="109"/>
      <c r="F2721" s="110"/>
      <c r="G2721" s="109"/>
    </row>
    <row r="2722" spans="3:7" x14ac:dyDescent="0.3">
      <c r="C2722" s="109"/>
      <c r="D2722" s="109"/>
      <c r="E2722" s="109"/>
      <c r="F2722" s="110"/>
      <c r="G2722" s="109"/>
    </row>
    <row r="2723" spans="3:7" x14ac:dyDescent="0.3">
      <c r="C2723" s="109"/>
      <c r="D2723" s="109"/>
      <c r="E2723" s="109"/>
      <c r="F2723" s="110"/>
      <c r="G2723" s="109"/>
    </row>
    <row r="2724" spans="3:7" x14ac:dyDescent="0.3">
      <c r="C2724" s="109"/>
      <c r="D2724" s="109"/>
      <c r="E2724" s="109"/>
      <c r="F2724" s="110"/>
      <c r="G2724" s="109"/>
    </row>
    <row r="2725" spans="3:7" x14ac:dyDescent="0.3">
      <c r="C2725" s="109"/>
      <c r="D2725" s="109"/>
      <c r="E2725" s="109"/>
      <c r="F2725" s="110"/>
      <c r="G2725" s="109"/>
    </row>
    <row r="2726" spans="3:7" x14ac:dyDescent="0.3">
      <c r="C2726" s="109"/>
      <c r="D2726" s="109"/>
      <c r="E2726" s="109"/>
      <c r="F2726" s="110"/>
      <c r="G2726" s="109"/>
    </row>
    <row r="2727" spans="3:7" x14ac:dyDescent="0.3">
      <c r="C2727" s="109"/>
      <c r="D2727" s="109"/>
      <c r="E2727" s="109"/>
      <c r="F2727" s="110"/>
      <c r="G2727" s="109"/>
    </row>
    <row r="2728" spans="3:7" x14ac:dyDescent="0.3">
      <c r="C2728" s="109"/>
      <c r="D2728" s="109"/>
      <c r="E2728" s="109"/>
      <c r="F2728" s="110"/>
      <c r="G2728" s="109"/>
    </row>
    <row r="2729" spans="3:7" x14ac:dyDescent="0.3">
      <c r="C2729" s="109"/>
      <c r="D2729" s="109"/>
      <c r="E2729" s="109"/>
      <c r="F2729" s="110"/>
      <c r="G2729" s="109"/>
    </row>
    <row r="2730" spans="3:7" x14ac:dyDescent="0.3">
      <c r="C2730" s="109"/>
      <c r="D2730" s="109"/>
      <c r="E2730" s="109"/>
      <c r="F2730" s="110"/>
      <c r="G2730" s="109"/>
    </row>
    <row r="2731" spans="3:7" x14ac:dyDescent="0.3">
      <c r="C2731" s="109"/>
      <c r="D2731" s="109"/>
      <c r="E2731" s="109"/>
      <c r="F2731" s="110"/>
      <c r="G2731" s="109"/>
    </row>
    <row r="2732" spans="3:7" x14ac:dyDescent="0.3">
      <c r="C2732" s="109"/>
      <c r="D2732" s="109"/>
      <c r="E2732" s="109"/>
      <c r="F2732" s="110"/>
      <c r="G2732" s="109"/>
    </row>
    <row r="2733" spans="3:7" x14ac:dyDescent="0.3">
      <c r="C2733" s="109"/>
      <c r="D2733" s="109"/>
      <c r="E2733" s="109"/>
      <c r="F2733" s="110"/>
      <c r="G2733" s="109"/>
    </row>
    <row r="2734" spans="3:7" x14ac:dyDescent="0.3">
      <c r="C2734" s="109"/>
      <c r="D2734" s="109"/>
      <c r="E2734" s="109"/>
      <c r="F2734" s="110"/>
      <c r="G2734" s="109"/>
    </row>
    <row r="2735" spans="3:7" x14ac:dyDescent="0.3">
      <c r="C2735" s="109"/>
      <c r="D2735" s="109"/>
      <c r="E2735" s="109"/>
      <c r="F2735" s="110"/>
      <c r="G2735" s="109"/>
    </row>
    <row r="2736" spans="3:7" x14ac:dyDescent="0.3">
      <c r="C2736" s="109"/>
      <c r="D2736" s="109"/>
      <c r="E2736" s="109"/>
      <c r="F2736" s="110"/>
      <c r="G2736" s="109"/>
    </row>
    <row r="2737" spans="3:7" x14ac:dyDescent="0.3">
      <c r="C2737" s="109"/>
      <c r="D2737" s="109"/>
      <c r="E2737" s="109"/>
      <c r="F2737" s="110"/>
      <c r="G2737" s="109"/>
    </row>
    <row r="2738" spans="3:7" x14ac:dyDescent="0.3">
      <c r="C2738" s="109"/>
      <c r="D2738" s="109"/>
      <c r="E2738" s="109"/>
      <c r="F2738" s="110"/>
      <c r="G2738" s="109"/>
    </row>
    <row r="2739" spans="3:7" x14ac:dyDescent="0.3">
      <c r="C2739" s="109"/>
      <c r="D2739" s="109"/>
      <c r="E2739" s="109"/>
      <c r="F2739" s="110"/>
      <c r="G2739" s="109"/>
    </row>
    <row r="2740" spans="3:7" x14ac:dyDescent="0.3">
      <c r="C2740" s="109"/>
      <c r="D2740" s="109"/>
      <c r="E2740" s="109"/>
      <c r="F2740" s="110"/>
      <c r="G2740" s="109"/>
    </row>
    <row r="2741" spans="3:7" x14ac:dyDescent="0.3">
      <c r="C2741" s="109"/>
      <c r="D2741" s="109"/>
      <c r="E2741" s="109"/>
      <c r="F2741" s="110"/>
      <c r="G2741" s="109"/>
    </row>
    <row r="2742" spans="3:7" x14ac:dyDescent="0.3">
      <c r="C2742" s="109"/>
      <c r="D2742" s="109"/>
      <c r="E2742" s="109"/>
      <c r="F2742" s="110"/>
      <c r="G2742" s="109"/>
    </row>
    <row r="2743" spans="3:7" x14ac:dyDescent="0.3">
      <c r="C2743" s="109"/>
      <c r="D2743" s="109"/>
      <c r="E2743" s="109"/>
      <c r="F2743" s="110"/>
      <c r="G2743" s="109"/>
    </row>
    <row r="2744" spans="3:7" x14ac:dyDescent="0.3">
      <c r="C2744" s="109"/>
      <c r="D2744" s="109"/>
      <c r="E2744" s="109"/>
      <c r="F2744" s="110"/>
      <c r="G2744" s="109"/>
    </row>
    <row r="2745" spans="3:7" x14ac:dyDescent="0.3">
      <c r="C2745" s="109"/>
      <c r="D2745" s="109"/>
      <c r="E2745" s="109"/>
      <c r="F2745" s="110"/>
      <c r="G2745" s="109"/>
    </row>
    <row r="2746" spans="3:7" x14ac:dyDescent="0.3">
      <c r="C2746" s="109"/>
      <c r="D2746" s="109"/>
      <c r="E2746" s="109"/>
      <c r="F2746" s="110"/>
      <c r="G2746" s="109"/>
    </row>
    <row r="2747" spans="3:7" x14ac:dyDescent="0.3">
      <c r="C2747" s="109"/>
      <c r="D2747" s="109"/>
      <c r="E2747" s="109"/>
      <c r="F2747" s="110"/>
      <c r="G2747" s="109"/>
    </row>
    <row r="2748" spans="3:7" x14ac:dyDescent="0.3">
      <c r="C2748" s="109"/>
      <c r="D2748" s="109"/>
      <c r="E2748" s="109"/>
      <c r="F2748" s="110"/>
      <c r="G2748" s="109"/>
    </row>
    <row r="2749" spans="3:7" x14ac:dyDescent="0.3">
      <c r="C2749" s="109"/>
      <c r="D2749" s="109"/>
      <c r="E2749" s="109"/>
      <c r="F2749" s="110"/>
      <c r="G2749" s="109"/>
    </row>
    <row r="2750" spans="3:7" x14ac:dyDescent="0.3">
      <c r="C2750" s="109"/>
      <c r="D2750" s="109"/>
      <c r="E2750" s="109"/>
      <c r="F2750" s="110"/>
      <c r="G2750" s="109"/>
    </row>
    <row r="2751" spans="3:7" x14ac:dyDescent="0.3">
      <c r="C2751" s="109"/>
      <c r="D2751" s="109"/>
      <c r="E2751" s="109"/>
      <c r="F2751" s="110"/>
      <c r="G2751" s="109"/>
    </row>
    <row r="2752" spans="3:7" x14ac:dyDescent="0.3">
      <c r="C2752" s="109"/>
      <c r="D2752" s="109"/>
      <c r="E2752" s="109"/>
      <c r="F2752" s="110"/>
      <c r="G2752" s="109"/>
    </row>
    <row r="2753" spans="3:7" x14ac:dyDescent="0.3">
      <c r="C2753" s="109"/>
      <c r="D2753" s="109"/>
      <c r="E2753" s="109"/>
      <c r="F2753" s="110"/>
      <c r="G2753" s="109"/>
    </row>
    <row r="2754" spans="3:7" x14ac:dyDescent="0.3">
      <c r="C2754" s="109"/>
      <c r="D2754" s="109"/>
      <c r="E2754" s="109"/>
      <c r="F2754" s="110"/>
      <c r="G2754" s="109"/>
    </row>
    <row r="2755" spans="3:7" x14ac:dyDescent="0.3">
      <c r="C2755" s="109"/>
      <c r="D2755" s="109"/>
      <c r="E2755" s="109"/>
      <c r="F2755" s="110"/>
      <c r="G2755" s="109"/>
    </row>
    <row r="2756" spans="3:7" x14ac:dyDescent="0.3">
      <c r="C2756" s="109"/>
      <c r="D2756" s="109"/>
      <c r="E2756" s="109"/>
      <c r="F2756" s="110"/>
      <c r="G2756" s="109"/>
    </row>
    <row r="2757" spans="3:7" x14ac:dyDescent="0.3">
      <c r="C2757" s="109"/>
      <c r="D2757" s="109"/>
      <c r="E2757" s="109"/>
      <c r="F2757" s="110"/>
      <c r="G2757" s="109"/>
    </row>
    <row r="2758" spans="3:7" x14ac:dyDescent="0.3">
      <c r="C2758" s="109"/>
      <c r="D2758" s="109"/>
      <c r="E2758" s="109"/>
      <c r="F2758" s="110"/>
      <c r="G2758" s="109"/>
    </row>
    <row r="2759" spans="3:7" x14ac:dyDescent="0.3">
      <c r="C2759" s="109"/>
      <c r="D2759" s="109"/>
      <c r="E2759" s="109"/>
      <c r="F2759" s="110"/>
      <c r="G2759" s="109"/>
    </row>
    <row r="2760" spans="3:7" x14ac:dyDescent="0.3">
      <c r="C2760" s="109"/>
      <c r="D2760" s="109"/>
      <c r="E2760" s="109"/>
      <c r="F2760" s="110"/>
      <c r="G2760" s="109"/>
    </row>
    <row r="2761" spans="3:7" x14ac:dyDescent="0.3">
      <c r="C2761" s="109"/>
      <c r="D2761" s="109"/>
      <c r="E2761" s="109"/>
      <c r="F2761" s="110"/>
      <c r="G2761" s="109"/>
    </row>
    <row r="2762" spans="3:7" x14ac:dyDescent="0.3">
      <c r="C2762" s="109"/>
      <c r="D2762" s="109"/>
      <c r="E2762" s="109"/>
      <c r="F2762" s="110"/>
      <c r="G2762" s="109"/>
    </row>
    <row r="2763" spans="3:7" x14ac:dyDescent="0.3">
      <c r="C2763" s="109"/>
      <c r="D2763" s="109"/>
      <c r="E2763" s="109"/>
      <c r="F2763" s="110"/>
      <c r="G2763" s="109"/>
    </row>
    <row r="2764" spans="3:7" x14ac:dyDescent="0.3">
      <c r="C2764" s="109"/>
      <c r="D2764" s="109"/>
      <c r="E2764" s="109"/>
      <c r="F2764" s="110"/>
      <c r="G2764" s="109"/>
    </row>
    <row r="2765" spans="3:7" x14ac:dyDescent="0.3">
      <c r="C2765" s="109"/>
      <c r="D2765" s="109"/>
      <c r="E2765" s="109"/>
      <c r="F2765" s="110"/>
      <c r="G2765" s="109"/>
    </row>
    <row r="2766" spans="3:7" x14ac:dyDescent="0.3">
      <c r="C2766" s="109"/>
      <c r="D2766" s="109"/>
      <c r="E2766" s="109"/>
      <c r="F2766" s="110"/>
      <c r="G2766" s="109"/>
    </row>
    <row r="2767" spans="3:7" x14ac:dyDescent="0.3">
      <c r="C2767" s="109"/>
      <c r="D2767" s="109"/>
      <c r="E2767" s="109"/>
      <c r="F2767" s="110"/>
      <c r="G2767" s="109"/>
    </row>
    <row r="2768" spans="3:7" x14ac:dyDescent="0.3">
      <c r="C2768" s="109"/>
      <c r="D2768" s="109"/>
      <c r="E2768" s="109"/>
      <c r="F2768" s="110"/>
      <c r="G2768" s="109"/>
    </row>
    <row r="2769" spans="3:7" x14ac:dyDescent="0.3">
      <c r="C2769" s="109"/>
      <c r="D2769" s="109"/>
      <c r="E2769" s="109"/>
      <c r="F2769" s="110"/>
      <c r="G2769" s="109"/>
    </row>
    <row r="2770" spans="3:7" x14ac:dyDescent="0.3">
      <c r="C2770" s="109"/>
      <c r="D2770" s="109"/>
      <c r="E2770" s="109"/>
      <c r="F2770" s="110"/>
      <c r="G2770" s="109"/>
    </row>
    <row r="2771" spans="3:7" x14ac:dyDescent="0.3">
      <c r="C2771" s="109"/>
      <c r="D2771" s="109"/>
      <c r="E2771" s="109"/>
      <c r="F2771" s="110"/>
      <c r="G2771" s="109"/>
    </row>
    <row r="2772" spans="3:7" x14ac:dyDescent="0.3">
      <c r="C2772" s="109"/>
      <c r="D2772" s="109"/>
      <c r="E2772" s="109"/>
      <c r="F2772" s="110"/>
      <c r="G2772" s="109"/>
    </row>
    <row r="2773" spans="3:7" x14ac:dyDescent="0.3">
      <c r="C2773" s="109"/>
      <c r="D2773" s="109"/>
      <c r="E2773" s="109"/>
      <c r="F2773" s="110"/>
      <c r="G2773" s="109"/>
    </row>
    <row r="2774" spans="3:7" x14ac:dyDescent="0.3">
      <c r="C2774" s="109"/>
      <c r="D2774" s="109"/>
      <c r="E2774" s="109"/>
      <c r="F2774" s="110"/>
      <c r="G2774" s="109"/>
    </row>
    <row r="2775" spans="3:7" x14ac:dyDescent="0.3">
      <c r="C2775" s="109"/>
      <c r="D2775" s="109"/>
      <c r="E2775" s="109"/>
      <c r="F2775" s="110"/>
      <c r="G2775" s="109"/>
    </row>
    <row r="2776" spans="3:7" x14ac:dyDescent="0.3">
      <c r="C2776" s="109"/>
      <c r="D2776" s="109"/>
      <c r="E2776" s="109"/>
      <c r="F2776" s="110"/>
      <c r="G2776" s="109"/>
    </row>
    <row r="2777" spans="3:7" x14ac:dyDescent="0.3">
      <c r="C2777" s="109"/>
      <c r="D2777" s="109"/>
      <c r="E2777" s="109"/>
      <c r="F2777" s="110"/>
      <c r="G2777" s="109"/>
    </row>
    <row r="2778" spans="3:7" x14ac:dyDescent="0.3">
      <c r="C2778" s="109"/>
      <c r="D2778" s="109"/>
      <c r="E2778" s="109"/>
      <c r="F2778" s="110"/>
      <c r="G2778" s="109"/>
    </row>
    <row r="2779" spans="3:7" x14ac:dyDescent="0.3">
      <c r="C2779" s="109"/>
      <c r="D2779" s="109"/>
      <c r="E2779" s="109"/>
      <c r="F2779" s="110"/>
      <c r="G2779" s="109"/>
    </row>
    <row r="2780" spans="3:7" x14ac:dyDescent="0.3">
      <c r="C2780" s="109"/>
      <c r="D2780" s="109"/>
      <c r="E2780" s="109"/>
      <c r="F2780" s="110"/>
      <c r="G2780" s="109"/>
    </row>
    <row r="2781" spans="3:7" x14ac:dyDescent="0.3">
      <c r="C2781" s="109"/>
      <c r="D2781" s="109"/>
      <c r="E2781" s="109"/>
      <c r="F2781" s="110"/>
      <c r="G2781" s="109"/>
    </row>
    <row r="2782" spans="3:7" x14ac:dyDescent="0.3">
      <c r="C2782" s="109"/>
      <c r="D2782" s="109"/>
      <c r="E2782" s="109"/>
      <c r="F2782" s="110"/>
      <c r="G2782" s="109"/>
    </row>
    <row r="2783" spans="3:7" x14ac:dyDescent="0.3">
      <c r="C2783" s="109"/>
      <c r="D2783" s="109"/>
      <c r="E2783" s="109"/>
      <c r="F2783" s="110"/>
      <c r="G2783" s="109"/>
    </row>
    <row r="2784" spans="3:7" x14ac:dyDescent="0.3">
      <c r="C2784" s="109"/>
      <c r="D2784" s="109"/>
      <c r="E2784" s="109"/>
      <c r="F2784" s="110"/>
      <c r="G2784" s="109"/>
    </row>
    <row r="2785" spans="3:7" x14ac:dyDescent="0.3">
      <c r="C2785" s="109"/>
      <c r="D2785" s="109"/>
      <c r="E2785" s="109"/>
      <c r="F2785" s="110"/>
      <c r="G2785" s="109"/>
    </row>
    <row r="2786" spans="3:7" x14ac:dyDescent="0.3">
      <c r="C2786" s="109"/>
      <c r="D2786" s="109"/>
      <c r="E2786" s="109"/>
      <c r="F2786" s="110"/>
      <c r="G2786" s="109"/>
    </row>
    <row r="2787" spans="3:7" x14ac:dyDescent="0.3">
      <c r="C2787" s="109"/>
      <c r="D2787" s="109"/>
      <c r="E2787" s="109"/>
      <c r="F2787" s="110"/>
      <c r="G2787" s="109"/>
    </row>
    <row r="2788" spans="3:7" x14ac:dyDescent="0.3">
      <c r="C2788" s="109"/>
      <c r="D2788" s="109"/>
      <c r="E2788" s="109"/>
      <c r="F2788" s="110"/>
      <c r="G2788" s="109"/>
    </row>
    <row r="2789" spans="3:7" x14ac:dyDescent="0.3">
      <c r="C2789" s="109"/>
      <c r="D2789" s="109"/>
      <c r="E2789" s="109"/>
      <c r="F2789" s="110"/>
      <c r="G2789" s="109"/>
    </row>
    <row r="2790" spans="3:7" x14ac:dyDescent="0.3">
      <c r="C2790" s="109"/>
      <c r="D2790" s="109"/>
      <c r="E2790" s="109"/>
      <c r="F2790" s="110"/>
      <c r="G2790" s="109"/>
    </row>
    <row r="2791" spans="3:7" x14ac:dyDescent="0.3">
      <c r="C2791" s="109"/>
      <c r="D2791" s="109"/>
      <c r="E2791" s="109"/>
      <c r="F2791" s="110"/>
      <c r="G2791" s="109"/>
    </row>
    <row r="2792" spans="3:7" x14ac:dyDescent="0.3">
      <c r="C2792" s="109"/>
      <c r="D2792" s="109"/>
      <c r="E2792" s="109"/>
      <c r="F2792" s="110"/>
      <c r="G2792" s="109"/>
    </row>
    <row r="2793" spans="3:7" x14ac:dyDescent="0.3">
      <c r="C2793" s="109"/>
      <c r="D2793" s="109"/>
      <c r="E2793" s="109"/>
      <c r="F2793" s="110"/>
      <c r="G2793" s="109"/>
    </row>
    <row r="2794" spans="3:7" x14ac:dyDescent="0.3">
      <c r="C2794" s="109"/>
      <c r="D2794" s="109"/>
      <c r="E2794" s="109"/>
      <c r="F2794" s="110"/>
      <c r="G2794" s="109"/>
    </row>
    <row r="2795" spans="3:7" x14ac:dyDescent="0.3">
      <c r="C2795" s="109"/>
      <c r="D2795" s="109"/>
      <c r="E2795" s="109"/>
      <c r="F2795" s="110"/>
      <c r="G2795" s="109"/>
    </row>
    <row r="2796" spans="3:7" x14ac:dyDescent="0.3">
      <c r="C2796" s="109"/>
      <c r="D2796" s="109"/>
      <c r="E2796" s="109"/>
      <c r="F2796" s="110"/>
      <c r="G2796" s="109"/>
    </row>
    <row r="2797" spans="3:7" x14ac:dyDescent="0.3">
      <c r="C2797" s="109"/>
      <c r="D2797" s="109"/>
      <c r="E2797" s="109"/>
      <c r="F2797" s="110"/>
      <c r="G2797" s="109"/>
    </row>
    <row r="2798" spans="3:7" x14ac:dyDescent="0.3">
      <c r="C2798" s="109"/>
      <c r="D2798" s="109"/>
      <c r="E2798" s="109"/>
      <c r="F2798" s="110"/>
      <c r="G2798" s="109"/>
    </row>
    <row r="2799" spans="3:7" x14ac:dyDescent="0.3">
      <c r="C2799" s="109"/>
      <c r="D2799" s="109"/>
      <c r="E2799" s="109"/>
      <c r="F2799" s="110"/>
      <c r="G2799" s="109"/>
    </row>
    <row r="2800" spans="3:7" x14ac:dyDescent="0.3">
      <c r="C2800" s="109"/>
      <c r="D2800" s="109"/>
      <c r="E2800" s="109"/>
      <c r="F2800" s="110"/>
      <c r="G2800" s="109"/>
    </row>
    <row r="2801" spans="3:7" x14ac:dyDescent="0.3">
      <c r="C2801" s="109"/>
      <c r="D2801" s="109"/>
      <c r="E2801" s="109"/>
      <c r="F2801" s="110"/>
      <c r="G2801" s="109"/>
    </row>
    <row r="2802" spans="3:7" x14ac:dyDescent="0.3">
      <c r="C2802" s="109"/>
      <c r="D2802" s="109"/>
      <c r="E2802" s="109"/>
      <c r="F2802" s="110"/>
      <c r="G2802" s="109"/>
    </row>
    <row r="2803" spans="3:7" x14ac:dyDescent="0.3">
      <c r="C2803" s="109"/>
      <c r="D2803" s="109"/>
      <c r="E2803" s="109"/>
      <c r="F2803" s="110"/>
      <c r="G2803" s="109"/>
    </row>
    <row r="2804" spans="3:7" x14ac:dyDescent="0.3">
      <c r="C2804" s="109"/>
      <c r="D2804" s="109"/>
      <c r="E2804" s="109"/>
      <c r="F2804" s="110"/>
      <c r="G2804" s="109"/>
    </row>
    <row r="2805" spans="3:7" x14ac:dyDescent="0.3">
      <c r="C2805" s="109"/>
      <c r="D2805" s="109"/>
      <c r="E2805" s="109"/>
      <c r="F2805" s="110"/>
      <c r="G2805" s="109"/>
    </row>
    <row r="2806" spans="3:7" x14ac:dyDescent="0.3">
      <c r="C2806" s="109"/>
      <c r="D2806" s="109"/>
      <c r="E2806" s="109"/>
      <c r="F2806" s="110"/>
      <c r="G2806" s="109"/>
    </row>
    <row r="2807" spans="3:7" x14ac:dyDescent="0.3">
      <c r="C2807" s="109"/>
      <c r="D2807" s="109"/>
      <c r="E2807" s="109"/>
      <c r="F2807" s="110"/>
      <c r="G2807" s="109"/>
    </row>
    <row r="2808" spans="3:7" x14ac:dyDescent="0.3">
      <c r="C2808" s="109"/>
      <c r="D2808" s="109"/>
      <c r="E2808" s="109"/>
      <c r="F2808" s="110"/>
      <c r="G2808" s="109"/>
    </row>
    <row r="2809" spans="3:7" x14ac:dyDescent="0.3">
      <c r="C2809" s="109"/>
      <c r="D2809" s="109"/>
      <c r="E2809" s="109"/>
      <c r="F2809" s="110"/>
      <c r="G2809" s="109"/>
    </row>
    <row r="2810" spans="3:7" x14ac:dyDescent="0.3">
      <c r="C2810" s="109"/>
      <c r="D2810" s="109"/>
      <c r="E2810" s="109"/>
      <c r="F2810" s="110"/>
      <c r="G2810" s="109"/>
    </row>
    <row r="2811" spans="3:7" x14ac:dyDescent="0.3">
      <c r="C2811" s="109"/>
      <c r="D2811" s="109"/>
      <c r="E2811" s="109"/>
      <c r="F2811" s="110"/>
      <c r="G2811" s="109"/>
    </row>
    <row r="2812" spans="3:7" x14ac:dyDescent="0.3">
      <c r="C2812" s="109"/>
      <c r="D2812" s="109"/>
      <c r="E2812" s="109"/>
      <c r="F2812" s="110"/>
      <c r="G2812" s="109"/>
    </row>
    <row r="2813" spans="3:7" x14ac:dyDescent="0.3">
      <c r="C2813" s="109"/>
      <c r="D2813" s="109"/>
      <c r="E2813" s="109"/>
      <c r="F2813" s="110"/>
      <c r="G2813" s="109"/>
    </row>
    <row r="2814" spans="3:7" x14ac:dyDescent="0.3">
      <c r="C2814" s="109"/>
      <c r="D2814" s="109"/>
      <c r="E2814" s="109"/>
      <c r="F2814" s="110"/>
      <c r="G2814" s="109"/>
    </row>
    <row r="2815" spans="3:7" x14ac:dyDescent="0.3">
      <c r="C2815" s="109"/>
      <c r="D2815" s="109"/>
      <c r="E2815" s="109"/>
      <c r="F2815" s="110"/>
      <c r="G2815" s="109"/>
    </row>
    <row r="2816" spans="3:7" x14ac:dyDescent="0.3">
      <c r="C2816" s="109"/>
      <c r="D2816" s="109"/>
      <c r="E2816" s="109"/>
      <c r="F2816" s="110"/>
      <c r="G2816" s="109"/>
    </row>
    <row r="2817" spans="3:7" x14ac:dyDescent="0.3">
      <c r="C2817" s="109"/>
      <c r="D2817" s="109"/>
      <c r="E2817" s="109"/>
      <c r="F2817" s="110"/>
      <c r="G2817" s="109"/>
    </row>
    <row r="2818" spans="3:7" x14ac:dyDescent="0.3">
      <c r="C2818" s="109"/>
      <c r="D2818" s="109"/>
      <c r="E2818" s="109"/>
      <c r="F2818" s="110"/>
      <c r="G2818" s="109"/>
    </row>
    <row r="2819" spans="3:7" x14ac:dyDescent="0.3">
      <c r="C2819" s="109"/>
      <c r="D2819" s="109"/>
      <c r="E2819" s="109"/>
      <c r="F2819" s="110"/>
      <c r="G2819" s="109"/>
    </row>
    <row r="2820" spans="3:7" x14ac:dyDescent="0.3">
      <c r="C2820" s="109"/>
      <c r="D2820" s="109"/>
      <c r="E2820" s="109"/>
      <c r="F2820" s="110"/>
      <c r="G2820" s="109"/>
    </row>
    <row r="2821" spans="3:7" x14ac:dyDescent="0.3">
      <c r="C2821" s="109"/>
      <c r="D2821" s="109"/>
      <c r="E2821" s="109"/>
      <c r="F2821" s="110"/>
      <c r="G2821" s="109"/>
    </row>
    <row r="2822" spans="3:7" x14ac:dyDescent="0.3">
      <c r="C2822" s="109"/>
      <c r="D2822" s="109"/>
      <c r="E2822" s="109"/>
      <c r="F2822" s="110"/>
      <c r="G2822" s="109"/>
    </row>
    <row r="2823" spans="3:7" x14ac:dyDescent="0.3">
      <c r="C2823" s="109"/>
      <c r="D2823" s="109"/>
      <c r="E2823" s="109"/>
      <c r="F2823" s="110"/>
      <c r="G2823" s="109"/>
    </row>
    <row r="2824" spans="3:7" x14ac:dyDescent="0.3">
      <c r="C2824" s="109"/>
      <c r="D2824" s="109"/>
      <c r="E2824" s="109"/>
      <c r="F2824" s="110"/>
      <c r="G2824" s="109"/>
    </row>
    <row r="2825" spans="3:7" x14ac:dyDescent="0.3">
      <c r="C2825" s="109"/>
      <c r="D2825" s="109"/>
      <c r="E2825" s="109"/>
      <c r="F2825" s="110"/>
      <c r="G2825" s="109"/>
    </row>
    <row r="2826" spans="3:7" x14ac:dyDescent="0.3">
      <c r="C2826" s="109"/>
      <c r="D2826" s="109"/>
      <c r="E2826" s="109"/>
      <c r="F2826" s="110"/>
      <c r="G2826" s="109"/>
    </row>
    <row r="2827" spans="3:7" x14ac:dyDescent="0.3">
      <c r="C2827" s="109"/>
      <c r="D2827" s="109"/>
      <c r="E2827" s="109"/>
      <c r="F2827" s="110"/>
      <c r="G2827" s="109"/>
    </row>
    <row r="2828" spans="3:7" x14ac:dyDescent="0.3">
      <c r="C2828" s="109"/>
      <c r="D2828" s="109"/>
      <c r="E2828" s="109"/>
      <c r="F2828" s="110"/>
      <c r="G2828" s="109"/>
    </row>
    <row r="2829" spans="3:7" x14ac:dyDescent="0.3">
      <c r="C2829" s="109"/>
      <c r="D2829" s="109"/>
      <c r="E2829" s="109"/>
      <c r="F2829" s="110"/>
      <c r="G2829" s="109"/>
    </row>
    <row r="2830" spans="3:7" x14ac:dyDescent="0.3">
      <c r="C2830" s="109"/>
      <c r="D2830" s="109"/>
      <c r="E2830" s="109"/>
      <c r="F2830" s="110"/>
      <c r="G2830" s="109"/>
    </row>
    <row r="2831" spans="3:7" x14ac:dyDescent="0.3">
      <c r="C2831" s="109"/>
      <c r="D2831" s="109"/>
      <c r="E2831" s="109"/>
      <c r="F2831" s="110"/>
      <c r="G2831" s="109"/>
    </row>
    <row r="2832" spans="3:7" x14ac:dyDescent="0.3">
      <c r="C2832" s="109"/>
      <c r="D2832" s="109"/>
      <c r="E2832" s="109"/>
      <c r="F2832" s="110"/>
      <c r="G2832" s="109"/>
    </row>
    <row r="2833" spans="3:7" x14ac:dyDescent="0.3">
      <c r="C2833" s="109"/>
      <c r="D2833" s="109"/>
      <c r="E2833" s="109"/>
      <c r="F2833" s="110"/>
      <c r="G2833" s="109"/>
    </row>
    <row r="2834" spans="3:7" x14ac:dyDescent="0.3">
      <c r="C2834" s="109"/>
      <c r="D2834" s="109"/>
      <c r="E2834" s="109"/>
      <c r="F2834" s="110"/>
      <c r="G2834" s="109"/>
    </row>
    <row r="2835" spans="3:7" x14ac:dyDescent="0.3">
      <c r="C2835" s="109"/>
      <c r="D2835" s="109"/>
      <c r="E2835" s="109"/>
      <c r="F2835" s="110"/>
      <c r="G2835" s="109"/>
    </row>
    <row r="2836" spans="3:7" x14ac:dyDescent="0.3">
      <c r="C2836" s="109"/>
      <c r="D2836" s="109"/>
      <c r="E2836" s="109"/>
      <c r="F2836" s="110"/>
      <c r="G2836" s="109"/>
    </row>
    <row r="2837" spans="3:7" x14ac:dyDescent="0.3">
      <c r="C2837" s="109"/>
      <c r="D2837" s="109"/>
      <c r="E2837" s="109"/>
      <c r="F2837" s="110"/>
      <c r="G2837" s="109"/>
    </row>
    <row r="2838" spans="3:7" x14ac:dyDescent="0.3">
      <c r="C2838" s="109"/>
      <c r="D2838" s="109"/>
      <c r="E2838" s="109"/>
      <c r="F2838" s="110"/>
      <c r="G2838" s="109"/>
    </row>
    <row r="2839" spans="3:7" x14ac:dyDescent="0.3">
      <c r="C2839" s="109"/>
      <c r="D2839" s="109"/>
      <c r="E2839" s="109"/>
      <c r="F2839" s="110"/>
      <c r="G2839" s="109"/>
    </row>
    <row r="2840" spans="3:7" x14ac:dyDescent="0.3">
      <c r="C2840" s="109"/>
      <c r="D2840" s="109"/>
      <c r="E2840" s="109"/>
      <c r="F2840" s="110"/>
      <c r="G2840" s="109"/>
    </row>
    <row r="2841" spans="3:7" x14ac:dyDescent="0.3">
      <c r="C2841" s="109"/>
      <c r="D2841" s="109"/>
      <c r="E2841" s="109"/>
      <c r="F2841" s="110"/>
      <c r="G2841" s="109"/>
    </row>
    <row r="2842" spans="3:7" x14ac:dyDescent="0.3">
      <c r="C2842" s="109"/>
      <c r="D2842" s="109"/>
      <c r="E2842" s="109"/>
      <c r="F2842" s="110"/>
      <c r="G2842" s="109"/>
    </row>
    <row r="2843" spans="3:7" x14ac:dyDescent="0.3">
      <c r="C2843" s="109"/>
      <c r="D2843" s="109"/>
      <c r="E2843" s="109"/>
      <c r="F2843" s="110"/>
      <c r="G2843" s="109"/>
    </row>
    <row r="2844" spans="3:7" x14ac:dyDescent="0.3">
      <c r="C2844" s="109"/>
      <c r="D2844" s="109"/>
      <c r="E2844" s="109"/>
      <c r="F2844" s="110"/>
      <c r="G2844" s="109"/>
    </row>
    <row r="2845" spans="3:7" x14ac:dyDescent="0.3">
      <c r="C2845" s="109"/>
      <c r="D2845" s="109"/>
      <c r="E2845" s="109"/>
      <c r="F2845" s="110"/>
      <c r="G2845" s="109"/>
    </row>
    <row r="2846" spans="3:7" x14ac:dyDescent="0.3">
      <c r="C2846" s="109"/>
      <c r="D2846" s="109"/>
      <c r="E2846" s="109"/>
      <c r="F2846" s="110"/>
      <c r="G2846" s="109"/>
    </row>
    <row r="2847" spans="3:7" x14ac:dyDescent="0.3">
      <c r="C2847" s="109"/>
      <c r="D2847" s="109"/>
      <c r="E2847" s="109"/>
      <c r="F2847" s="110"/>
      <c r="G2847" s="109"/>
    </row>
    <row r="2848" spans="3:7" x14ac:dyDescent="0.3">
      <c r="C2848" s="109"/>
      <c r="D2848" s="109"/>
      <c r="E2848" s="109"/>
      <c r="F2848" s="110"/>
      <c r="G2848" s="109"/>
    </row>
    <row r="2849" spans="3:7" x14ac:dyDescent="0.3">
      <c r="C2849" s="109"/>
      <c r="D2849" s="109"/>
      <c r="E2849" s="109"/>
      <c r="F2849" s="110"/>
      <c r="G2849" s="109"/>
    </row>
    <row r="2850" spans="3:7" x14ac:dyDescent="0.3">
      <c r="C2850" s="109"/>
      <c r="D2850" s="109"/>
      <c r="E2850" s="109"/>
      <c r="F2850" s="110"/>
      <c r="G2850" s="109"/>
    </row>
    <row r="2851" spans="3:7" x14ac:dyDescent="0.3">
      <c r="C2851" s="109"/>
      <c r="D2851" s="109"/>
      <c r="E2851" s="109"/>
      <c r="F2851" s="110"/>
      <c r="G2851" s="109"/>
    </row>
    <row r="2852" spans="3:7" x14ac:dyDescent="0.3">
      <c r="C2852" s="109"/>
      <c r="D2852" s="109"/>
      <c r="E2852" s="109"/>
      <c r="F2852" s="110"/>
      <c r="G2852" s="109"/>
    </row>
    <row r="2853" spans="3:7" x14ac:dyDescent="0.3">
      <c r="C2853" s="109"/>
      <c r="D2853" s="109"/>
      <c r="E2853" s="109"/>
      <c r="F2853" s="110"/>
      <c r="G2853" s="109"/>
    </row>
    <row r="2854" spans="3:7" x14ac:dyDescent="0.3">
      <c r="C2854" s="109"/>
      <c r="D2854" s="109"/>
      <c r="E2854" s="109"/>
      <c r="F2854" s="110"/>
      <c r="G2854" s="109"/>
    </row>
    <row r="2855" spans="3:7" x14ac:dyDescent="0.3">
      <c r="C2855" s="109"/>
      <c r="D2855" s="109"/>
      <c r="E2855" s="109"/>
      <c r="F2855" s="110"/>
      <c r="G2855" s="109"/>
    </row>
    <row r="2856" spans="3:7" x14ac:dyDescent="0.3">
      <c r="C2856" s="109"/>
      <c r="D2856" s="109"/>
      <c r="E2856" s="109"/>
      <c r="F2856" s="110"/>
      <c r="G2856" s="109"/>
    </row>
    <row r="2857" spans="3:7" x14ac:dyDescent="0.3">
      <c r="C2857" s="109"/>
      <c r="D2857" s="109"/>
      <c r="E2857" s="109"/>
      <c r="F2857" s="110"/>
      <c r="G2857" s="109"/>
    </row>
    <row r="2858" spans="3:7" x14ac:dyDescent="0.3">
      <c r="C2858" s="109"/>
      <c r="D2858" s="109"/>
      <c r="E2858" s="109"/>
      <c r="F2858" s="110"/>
      <c r="G2858" s="109"/>
    </row>
    <row r="2859" spans="3:7" x14ac:dyDescent="0.3">
      <c r="C2859" s="109"/>
      <c r="D2859" s="109"/>
      <c r="E2859" s="109"/>
      <c r="F2859" s="110"/>
      <c r="G2859" s="109"/>
    </row>
    <row r="2860" spans="3:7" x14ac:dyDescent="0.3">
      <c r="C2860" s="109"/>
      <c r="D2860" s="109"/>
      <c r="E2860" s="109"/>
      <c r="F2860" s="110"/>
      <c r="G2860" s="109"/>
    </row>
    <row r="2861" spans="3:7" x14ac:dyDescent="0.3">
      <c r="C2861" s="109"/>
      <c r="D2861" s="109"/>
      <c r="E2861" s="109"/>
      <c r="F2861" s="110"/>
      <c r="G2861" s="109"/>
    </row>
    <row r="2862" spans="3:7" x14ac:dyDescent="0.3">
      <c r="C2862" s="109"/>
      <c r="D2862" s="109"/>
      <c r="E2862" s="109"/>
      <c r="F2862" s="110"/>
      <c r="G2862" s="109"/>
    </row>
    <row r="2863" spans="3:7" x14ac:dyDescent="0.3">
      <c r="C2863" s="109"/>
      <c r="D2863" s="109"/>
      <c r="E2863" s="109"/>
      <c r="F2863" s="110"/>
      <c r="G2863" s="109"/>
    </row>
    <row r="2864" spans="3:7" x14ac:dyDescent="0.3">
      <c r="C2864" s="109"/>
      <c r="D2864" s="109"/>
      <c r="E2864" s="109"/>
      <c r="F2864" s="110"/>
      <c r="G2864" s="109"/>
    </row>
    <row r="2865" spans="3:7" x14ac:dyDescent="0.3">
      <c r="C2865" s="109"/>
      <c r="D2865" s="109"/>
      <c r="E2865" s="109"/>
      <c r="F2865" s="110"/>
      <c r="G2865" s="109"/>
    </row>
    <row r="2866" spans="3:7" x14ac:dyDescent="0.3">
      <c r="C2866" s="109"/>
      <c r="D2866" s="109"/>
      <c r="E2866" s="109"/>
      <c r="F2866" s="110"/>
      <c r="G2866" s="109"/>
    </row>
    <row r="2867" spans="3:7" x14ac:dyDescent="0.3">
      <c r="C2867" s="109"/>
      <c r="D2867" s="109"/>
      <c r="E2867" s="109"/>
      <c r="F2867" s="110"/>
      <c r="G2867" s="109"/>
    </row>
    <row r="2868" spans="3:7" x14ac:dyDescent="0.3">
      <c r="C2868" s="109"/>
      <c r="D2868" s="109"/>
      <c r="E2868" s="109"/>
      <c r="F2868" s="110"/>
      <c r="G2868" s="109"/>
    </row>
    <row r="2869" spans="3:7" x14ac:dyDescent="0.3">
      <c r="C2869" s="109"/>
      <c r="D2869" s="109"/>
      <c r="E2869" s="109"/>
      <c r="F2869" s="110"/>
      <c r="G2869" s="109"/>
    </row>
    <row r="2870" spans="3:7" x14ac:dyDescent="0.3">
      <c r="C2870" s="109"/>
      <c r="D2870" s="109"/>
      <c r="E2870" s="109"/>
      <c r="F2870" s="110"/>
      <c r="G2870" s="109"/>
    </row>
    <row r="2871" spans="3:7" x14ac:dyDescent="0.3">
      <c r="C2871" s="109"/>
      <c r="D2871" s="109"/>
      <c r="E2871" s="109"/>
      <c r="F2871" s="110"/>
      <c r="G2871" s="109"/>
    </row>
    <row r="2872" spans="3:7" x14ac:dyDescent="0.3">
      <c r="C2872" s="109"/>
      <c r="D2872" s="109"/>
      <c r="E2872" s="109"/>
      <c r="F2872" s="110"/>
      <c r="G2872" s="109"/>
    </row>
    <row r="2873" spans="3:7" x14ac:dyDescent="0.3">
      <c r="C2873" s="109"/>
      <c r="D2873" s="109"/>
      <c r="E2873" s="109"/>
      <c r="F2873" s="110"/>
      <c r="G2873" s="109"/>
    </row>
    <row r="2874" spans="3:7" x14ac:dyDescent="0.3">
      <c r="C2874" s="109"/>
      <c r="D2874" s="109"/>
      <c r="E2874" s="109"/>
      <c r="F2874" s="110"/>
      <c r="G2874" s="109"/>
    </row>
    <row r="2875" spans="3:7" x14ac:dyDescent="0.3">
      <c r="C2875" s="109"/>
      <c r="D2875" s="109"/>
      <c r="E2875" s="109"/>
      <c r="F2875" s="110"/>
      <c r="G2875" s="109"/>
    </row>
    <row r="2876" spans="3:7" x14ac:dyDescent="0.3">
      <c r="C2876" s="109"/>
      <c r="D2876" s="109"/>
      <c r="E2876" s="109"/>
      <c r="F2876" s="110"/>
      <c r="G2876" s="109"/>
    </row>
    <row r="2877" spans="3:7" x14ac:dyDescent="0.3">
      <c r="C2877" s="109"/>
      <c r="D2877" s="109"/>
      <c r="E2877" s="109"/>
      <c r="F2877" s="110"/>
      <c r="G2877" s="109"/>
    </row>
    <row r="2878" spans="3:7" x14ac:dyDescent="0.3">
      <c r="C2878" s="109"/>
      <c r="D2878" s="109"/>
      <c r="E2878" s="109"/>
      <c r="F2878" s="110"/>
      <c r="G2878" s="109"/>
    </row>
    <row r="2879" spans="3:7" x14ac:dyDescent="0.3">
      <c r="C2879" s="109"/>
      <c r="D2879" s="109"/>
      <c r="E2879" s="109"/>
      <c r="F2879" s="110"/>
      <c r="G2879" s="109"/>
    </row>
    <row r="2880" spans="3:7" x14ac:dyDescent="0.3">
      <c r="C2880" s="109"/>
      <c r="D2880" s="109"/>
      <c r="E2880" s="109"/>
      <c r="F2880" s="110"/>
      <c r="G2880" s="109"/>
    </row>
    <row r="2881" spans="3:7" x14ac:dyDescent="0.3">
      <c r="C2881" s="109"/>
      <c r="D2881" s="109"/>
      <c r="E2881" s="109"/>
      <c r="F2881" s="110"/>
      <c r="G2881" s="109"/>
    </row>
    <row r="2882" spans="3:7" x14ac:dyDescent="0.3">
      <c r="C2882" s="109"/>
      <c r="D2882" s="109"/>
      <c r="E2882" s="109"/>
      <c r="F2882" s="110"/>
      <c r="G2882" s="109"/>
    </row>
    <row r="2883" spans="3:7" x14ac:dyDescent="0.3">
      <c r="C2883" s="109"/>
      <c r="D2883" s="109"/>
      <c r="E2883" s="109"/>
      <c r="F2883" s="110"/>
      <c r="G2883" s="109"/>
    </row>
    <row r="2884" spans="3:7" x14ac:dyDescent="0.3">
      <c r="C2884" s="109"/>
      <c r="D2884" s="109"/>
      <c r="E2884" s="109"/>
      <c r="F2884" s="110"/>
      <c r="G2884" s="109"/>
    </row>
    <row r="2885" spans="3:7" x14ac:dyDescent="0.3">
      <c r="C2885" s="109"/>
      <c r="D2885" s="109"/>
      <c r="E2885" s="109"/>
      <c r="F2885" s="110"/>
      <c r="G2885" s="109"/>
    </row>
    <row r="2886" spans="3:7" x14ac:dyDescent="0.3">
      <c r="C2886" s="109"/>
      <c r="D2886" s="109"/>
      <c r="E2886" s="109"/>
      <c r="F2886" s="110"/>
      <c r="G2886" s="109"/>
    </row>
    <row r="2887" spans="3:7" x14ac:dyDescent="0.3">
      <c r="C2887" s="109"/>
      <c r="D2887" s="109"/>
      <c r="E2887" s="109"/>
      <c r="F2887" s="110"/>
      <c r="G2887" s="109"/>
    </row>
    <row r="2888" spans="3:7" x14ac:dyDescent="0.3">
      <c r="C2888" s="109"/>
      <c r="D2888" s="109"/>
      <c r="E2888" s="109"/>
      <c r="F2888" s="110"/>
      <c r="G2888" s="109"/>
    </row>
    <row r="2889" spans="3:7" x14ac:dyDescent="0.3">
      <c r="C2889" s="109"/>
      <c r="D2889" s="109"/>
      <c r="E2889" s="109"/>
      <c r="F2889" s="110"/>
      <c r="G2889" s="109"/>
    </row>
    <row r="2890" spans="3:7" x14ac:dyDescent="0.3">
      <c r="C2890" s="109"/>
      <c r="D2890" s="109"/>
      <c r="E2890" s="109"/>
      <c r="F2890" s="110"/>
      <c r="G2890" s="109"/>
    </row>
    <row r="2891" spans="3:7" x14ac:dyDescent="0.3">
      <c r="C2891" s="109"/>
      <c r="D2891" s="109"/>
      <c r="E2891" s="109"/>
      <c r="F2891" s="110"/>
      <c r="G2891" s="109"/>
    </row>
    <row r="2892" spans="3:7" x14ac:dyDescent="0.3">
      <c r="C2892" s="109"/>
      <c r="D2892" s="109"/>
      <c r="E2892" s="109"/>
      <c r="F2892" s="110"/>
      <c r="G2892" s="109"/>
    </row>
    <row r="2893" spans="3:7" x14ac:dyDescent="0.3">
      <c r="C2893" s="109"/>
      <c r="D2893" s="109"/>
      <c r="E2893" s="109"/>
      <c r="F2893" s="110"/>
      <c r="G2893" s="109"/>
    </row>
    <row r="2894" spans="3:7" x14ac:dyDescent="0.3">
      <c r="C2894" s="109"/>
      <c r="D2894" s="109"/>
      <c r="E2894" s="109"/>
      <c r="F2894" s="110"/>
      <c r="G2894" s="109"/>
    </row>
    <row r="2895" spans="3:7" x14ac:dyDescent="0.3">
      <c r="C2895" s="109"/>
      <c r="D2895" s="109"/>
      <c r="E2895" s="109"/>
      <c r="F2895" s="110"/>
      <c r="G2895" s="109"/>
    </row>
    <row r="2896" spans="3:7" x14ac:dyDescent="0.3">
      <c r="C2896" s="109"/>
      <c r="D2896" s="109"/>
      <c r="E2896" s="109"/>
      <c r="F2896" s="110"/>
      <c r="G2896" s="109"/>
    </row>
    <row r="2897" spans="3:7" x14ac:dyDescent="0.3">
      <c r="C2897" s="109"/>
      <c r="D2897" s="109"/>
      <c r="E2897" s="109"/>
      <c r="F2897" s="110"/>
      <c r="G2897" s="109"/>
    </row>
    <row r="2898" spans="3:7" x14ac:dyDescent="0.3">
      <c r="C2898" s="109"/>
      <c r="D2898" s="109"/>
      <c r="E2898" s="109"/>
      <c r="F2898" s="110"/>
      <c r="G2898" s="109"/>
    </row>
    <row r="2899" spans="3:7" x14ac:dyDescent="0.3">
      <c r="C2899" s="109"/>
      <c r="D2899" s="109"/>
      <c r="E2899" s="109"/>
      <c r="F2899" s="110"/>
      <c r="G2899" s="109"/>
    </row>
    <row r="2900" spans="3:7" x14ac:dyDescent="0.3">
      <c r="C2900" s="109"/>
      <c r="D2900" s="109"/>
      <c r="E2900" s="109"/>
      <c r="F2900" s="110"/>
      <c r="G2900" s="109"/>
    </row>
    <row r="2901" spans="3:7" x14ac:dyDescent="0.3">
      <c r="C2901" s="109"/>
      <c r="D2901" s="109"/>
      <c r="E2901" s="109"/>
      <c r="F2901" s="110"/>
      <c r="G2901" s="109"/>
    </row>
    <row r="2902" spans="3:7" x14ac:dyDescent="0.3">
      <c r="C2902" s="109"/>
      <c r="D2902" s="109"/>
      <c r="E2902" s="109"/>
      <c r="F2902" s="110"/>
      <c r="G2902" s="109"/>
    </row>
    <row r="2903" spans="3:7" x14ac:dyDescent="0.3">
      <c r="C2903" s="109"/>
      <c r="D2903" s="109"/>
      <c r="E2903" s="109"/>
      <c r="F2903" s="110"/>
      <c r="G2903" s="109"/>
    </row>
    <row r="2904" spans="3:7" x14ac:dyDescent="0.3">
      <c r="C2904" s="109"/>
      <c r="D2904" s="109"/>
      <c r="E2904" s="109"/>
      <c r="F2904" s="110"/>
      <c r="G2904" s="109"/>
    </row>
    <row r="2905" spans="3:7" x14ac:dyDescent="0.3">
      <c r="C2905" s="109"/>
      <c r="D2905" s="109"/>
      <c r="E2905" s="109"/>
      <c r="F2905" s="110"/>
      <c r="G2905" s="109"/>
    </row>
    <row r="2906" spans="3:7" x14ac:dyDescent="0.3">
      <c r="C2906" s="109"/>
      <c r="D2906" s="109"/>
      <c r="E2906" s="109"/>
      <c r="F2906" s="110"/>
      <c r="G2906" s="109"/>
    </row>
    <row r="2907" spans="3:7" x14ac:dyDescent="0.3">
      <c r="C2907" s="109"/>
      <c r="D2907" s="109"/>
      <c r="E2907" s="109"/>
      <c r="F2907" s="110"/>
      <c r="G2907" s="109"/>
    </row>
    <row r="2908" spans="3:7" x14ac:dyDescent="0.3">
      <c r="C2908" s="109"/>
      <c r="D2908" s="109"/>
      <c r="E2908" s="109"/>
      <c r="F2908" s="110"/>
      <c r="G2908" s="109"/>
    </row>
    <row r="2909" spans="3:7" x14ac:dyDescent="0.3">
      <c r="C2909" s="109"/>
      <c r="D2909" s="109"/>
      <c r="E2909" s="109"/>
      <c r="F2909" s="110"/>
      <c r="G2909" s="109"/>
    </row>
    <row r="2910" spans="3:7" x14ac:dyDescent="0.3">
      <c r="C2910" s="109"/>
      <c r="D2910" s="109"/>
      <c r="E2910" s="109"/>
      <c r="F2910" s="110"/>
      <c r="G2910" s="109"/>
    </row>
    <row r="2911" spans="3:7" x14ac:dyDescent="0.3">
      <c r="C2911" s="109"/>
      <c r="D2911" s="109"/>
      <c r="E2911" s="109"/>
      <c r="F2911" s="110"/>
      <c r="G2911" s="109"/>
    </row>
    <row r="2912" spans="3:7" x14ac:dyDescent="0.3">
      <c r="C2912" s="109"/>
      <c r="D2912" s="109"/>
      <c r="E2912" s="109"/>
      <c r="F2912" s="110"/>
      <c r="G2912" s="109"/>
    </row>
    <row r="2913" spans="3:7" x14ac:dyDescent="0.3">
      <c r="C2913" s="109"/>
      <c r="D2913" s="109"/>
      <c r="E2913" s="109"/>
      <c r="F2913" s="110"/>
      <c r="G2913" s="109"/>
    </row>
    <row r="2914" spans="3:7" x14ac:dyDescent="0.3">
      <c r="C2914" s="109"/>
      <c r="D2914" s="109"/>
      <c r="E2914" s="109"/>
      <c r="F2914" s="110"/>
      <c r="G2914" s="109"/>
    </row>
    <row r="2915" spans="3:7" x14ac:dyDescent="0.3">
      <c r="C2915" s="109"/>
      <c r="D2915" s="109"/>
      <c r="E2915" s="109"/>
      <c r="F2915" s="110"/>
      <c r="G2915" s="109"/>
    </row>
    <row r="2916" spans="3:7" x14ac:dyDescent="0.3">
      <c r="C2916" s="109"/>
      <c r="D2916" s="109"/>
      <c r="E2916" s="109"/>
      <c r="F2916" s="110"/>
      <c r="G2916" s="109"/>
    </row>
    <row r="2917" spans="3:7" x14ac:dyDescent="0.3">
      <c r="C2917" s="109"/>
      <c r="D2917" s="109"/>
      <c r="E2917" s="109"/>
      <c r="F2917" s="110"/>
      <c r="G2917" s="109"/>
    </row>
    <row r="2918" spans="3:7" x14ac:dyDescent="0.3">
      <c r="C2918" s="109"/>
      <c r="D2918" s="109"/>
      <c r="E2918" s="109"/>
      <c r="F2918" s="110"/>
      <c r="G2918" s="109"/>
    </row>
    <row r="2919" spans="3:7" x14ac:dyDescent="0.3">
      <c r="C2919" s="109"/>
      <c r="D2919" s="109"/>
      <c r="E2919" s="109"/>
      <c r="F2919" s="110"/>
      <c r="G2919" s="109"/>
    </row>
    <row r="2920" spans="3:7" x14ac:dyDescent="0.3">
      <c r="C2920" s="109"/>
      <c r="D2920" s="109"/>
      <c r="E2920" s="109"/>
      <c r="F2920" s="110"/>
      <c r="G2920" s="109"/>
    </row>
    <row r="2921" spans="3:7" x14ac:dyDescent="0.3">
      <c r="C2921" s="109"/>
      <c r="D2921" s="109"/>
      <c r="E2921" s="109"/>
      <c r="F2921" s="110"/>
      <c r="G2921" s="109"/>
    </row>
    <row r="2922" spans="3:7" x14ac:dyDescent="0.3">
      <c r="C2922" s="109"/>
      <c r="D2922" s="109"/>
      <c r="E2922" s="109"/>
      <c r="F2922" s="110"/>
      <c r="G2922" s="109"/>
    </row>
    <row r="2923" spans="3:7" x14ac:dyDescent="0.3">
      <c r="C2923" s="109"/>
      <c r="D2923" s="109"/>
      <c r="E2923" s="109"/>
      <c r="F2923" s="110"/>
      <c r="G2923" s="109"/>
    </row>
    <row r="2924" spans="3:7" x14ac:dyDescent="0.3">
      <c r="C2924" s="109"/>
      <c r="D2924" s="109"/>
      <c r="E2924" s="109"/>
      <c r="F2924" s="110"/>
      <c r="G2924" s="109"/>
    </row>
    <row r="2925" spans="3:7" x14ac:dyDescent="0.3">
      <c r="C2925" s="109"/>
      <c r="D2925" s="109"/>
      <c r="E2925" s="109"/>
      <c r="F2925" s="110"/>
      <c r="G2925" s="109"/>
    </row>
    <row r="2926" spans="3:7" x14ac:dyDescent="0.3">
      <c r="C2926" s="109"/>
      <c r="D2926" s="109"/>
      <c r="E2926" s="109"/>
      <c r="F2926" s="110"/>
      <c r="G2926" s="109"/>
    </row>
    <row r="2927" spans="3:7" x14ac:dyDescent="0.3">
      <c r="C2927" s="109"/>
      <c r="D2927" s="109"/>
      <c r="E2927" s="109"/>
      <c r="F2927" s="110"/>
      <c r="G2927" s="109"/>
    </row>
    <row r="2928" spans="3:7" x14ac:dyDescent="0.3">
      <c r="C2928" s="109"/>
      <c r="D2928" s="109"/>
      <c r="E2928" s="109"/>
      <c r="F2928" s="110"/>
      <c r="G2928" s="109"/>
    </row>
    <row r="2929" spans="3:7" x14ac:dyDescent="0.3">
      <c r="C2929" s="109"/>
      <c r="D2929" s="109"/>
      <c r="E2929" s="109"/>
      <c r="F2929" s="110"/>
      <c r="G2929" s="109"/>
    </row>
    <row r="2930" spans="3:7" x14ac:dyDescent="0.3">
      <c r="C2930" s="109"/>
      <c r="D2930" s="109"/>
      <c r="E2930" s="109"/>
      <c r="F2930" s="110"/>
      <c r="G2930" s="109"/>
    </row>
    <row r="2931" spans="3:7" x14ac:dyDescent="0.3">
      <c r="C2931" s="109"/>
      <c r="D2931" s="109"/>
      <c r="E2931" s="109"/>
      <c r="F2931" s="110"/>
      <c r="G2931" s="109"/>
    </row>
    <row r="2932" spans="3:7" x14ac:dyDescent="0.3">
      <c r="C2932" s="109"/>
      <c r="D2932" s="109"/>
      <c r="E2932" s="109"/>
      <c r="F2932" s="110"/>
      <c r="G2932" s="109"/>
    </row>
    <row r="2933" spans="3:7" x14ac:dyDescent="0.3">
      <c r="C2933" s="109"/>
      <c r="D2933" s="109"/>
      <c r="E2933" s="109"/>
      <c r="F2933" s="110"/>
      <c r="G2933" s="109"/>
    </row>
    <row r="2934" spans="3:7" x14ac:dyDescent="0.3">
      <c r="C2934" s="109"/>
      <c r="D2934" s="109"/>
      <c r="E2934" s="109"/>
      <c r="F2934" s="110"/>
      <c r="G2934" s="109"/>
    </row>
    <row r="2935" spans="3:7" x14ac:dyDescent="0.3">
      <c r="C2935" s="109"/>
      <c r="D2935" s="109"/>
      <c r="E2935" s="109"/>
      <c r="F2935" s="110"/>
      <c r="G2935" s="109"/>
    </row>
    <row r="2936" spans="3:7" x14ac:dyDescent="0.3">
      <c r="C2936" s="109"/>
      <c r="D2936" s="109"/>
      <c r="E2936" s="109"/>
      <c r="F2936" s="110"/>
      <c r="G2936" s="109"/>
    </row>
    <row r="2937" spans="3:7" x14ac:dyDescent="0.3">
      <c r="C2937" s="109"/>
      <c r="D2937" s="109"/>
      <c r="E2937" s="109"/>
      <c r="F2937" s="110"/>
      <c r="G2937" s="109"/>
    </row>
    <row r="2938" spans="3:7" x14ac:dyDescent="0.3">
      <c r="C2938" s="109"/>
      <c r="D2938" s="109"/>
      <c r="E2938" s="109"/>
      <c r="F2938" s="110"/>
      <c r="G2938" s="109"/>
    </row>
    <row r="2939" spans="3:7" x14ac:dyDescent="0.3">
      <c r="C2939" s="109"/>
      <c r="D2939" s="109"/>
      <c r="E2939" s="109"/>
      <c r="F2939" s="110"/>
      <c r="G2939" s="109"/>
    </row>
    <row r="2940" spans="3:7" x14ac:dyDescent="0.3">
      <c r="C2940" s="109"/>
      <c r="D2940" s="109"/>
      <c r="E2940" s="109"/>
      <c r="F2940" s="110"/>
      <c r="G2940" s="109"/>
    </row>
    <row r="2941" spans="3:7" x14ac:dyDescent="0.3">
      <c r="C2941" s="109"/>
      <c r="D2941" s="109"/>
      <c r="E2941" s="109"/>
      <c r="F2941" s="110"/>
      <c r="G2941" s="109"/>
    </row>
    <row r="2942" spans="3:7" x14ac:dyDescent="0.3">
      <c r="C2942" s="109"/>
      <c r="D2942" s="109"/>
      <c r="E2942" s="109"/>
      <c r="F2942" s="110"/>
      <c r="G2942" s="109"/>
    </row>
    <row r="2943" spans="3:7" x14ac:dyDescent="0.3">
      <c r="C2943" s="109"/>
      <c r="D2943" s="109"/>
      <c r="E2943" s="109"/>
      <c r="F2943" s="110"/>
      <c r="G2943" s="109"/>
    </row>
    <row r="2944" spans="3:7" x14ac:dyDescent="0.3">
      <c r="C2944" s="109"/>
      <c r="D2944" s="109"/>
      <c r="E2944" s="109"/>
      <c r="F2944" s="110"/>
      <c r="G2944" s="109"/>
    </row>
    <row r="2945" spans="3:7" x14ac:dyDescent="0.3">
      <c r="C2945" s="109"/>
      <c r="D2945" s="109"/>
      <c r="E2945" s="109"/>
      <c r="F2945" s="110"/>
      <c r="G2945" s="109"/>
    </row>
    <row r="2946" spans="3:7" x14ac:dyDescent="0.3">
      <c r="C2946" s="109"/>
      <c r="D2946" s="109"/>
      <c r="E2946" s="109"/>
      <c r="F2946" s="110"/>
      <c r="G2946" s="109"/>
    </row>
    <row r="2947" spans="3:7" x14ac:dyDescent="0.3">
      <c r="C2947" s="109"/>
      <c r="D2947" s="109"/>
      <c r="E2947" s="109"/>
      <c r="F2947" s="110"/>
      <c r="G2947" s="109"/>
    </row>
    <row r="2948" spans="3:7" x14ac:dyDescent="0.3">
      <c r="C2948" s="109"/>
      <c r="D2948" s="109"/>
      <c r="E2948" s="109"/>
      <c r="F2948" s="110"/>
      <c r="G2948" s="109"/>
    </row>
    <row r="2949" spans="3:7" x14ac:dyDescent="0.3">
      <c r="C2949" s="109"/>
      <c r="D2949" s="109"/>
      <c r="E2949" s="109"/>
      <c r="F2949" s="110"/>
      <c r="G2949" s="109"/>
    </row>
    <row r="2950" spans="3:7" x14ac:dyDescent="0.3">
      <c r="C2950" s="109"/>
      <c r="D2950" s="109"/>
      <c r="E2950" s="109"/>
      <c r="F2950" s="110"/>
      <c r="G2950" s="109"/>
    </row>
    <row r="2951" spans="3:7" x14ac:dyDescent="0.3">
      <c r="C2951" s="109"/>
      <c r="D2951" s="109"/>
      <c r="E2951" s="109"/>
      <c r="F2951" s="110"/>
      <c r="G2951" s="109"/>
    </row>
    <row r="2952" spans="3:7" x14ac:dyDescent="0.3">
      <c r="C2952" s="109"/>
      <c r="D2952" s="109"/>
      <c r="E2952" s="109"/>
      <c r="F2952" s="110"/>
      <c r="G2952" s="109"/>
    </row>
    <row r="2953" spans="3:7" x14ac:dyDescent="0.3">
      <c r="C2953" s="109"/>
      <c r="D2953" s="109"/>
      <c r="E2953" s="109"/>
      <c r="F2953" s="110"/>
      <c r="G2953" s="109"/>
    </row>
    <row r="2954" spans="3:7" x14ac:dyDescent="0.3">
      <c r="C2954" s="109"/>
      <c r="D2954" s="109"/>
      <c r="E2954" s="109"/>
      <c r="F2954" s="110"/>
      <c r="G2954" s="109"/>
    </row>
    <row r="2955" spans="3:7" x14ac:dyDescent="0.3">
      <c r="C2955" s="109"/>
      <c r="D2955" s="109"/>
      <c r="E2955" s="109"/>
      <c r="F2955" s="110"/>
      <c r="G2955" s="109"/>
    </row>
    <row r="2956" spans="3:7" x14ac:dyDescent="0.3">
      <c r="C2956" s="109"/>
      <c r="D2956" s="109"/>
      <c r="E2956" s="109"/>
      <c r="F2956" s="110"/>
      <c r="G2956" s="109"/>
    </row>
    <row r="2957" spans="3:7" x14ac:dyDescent="0.3">
      <c r="C2957" s="109"/>
      <c r="D2957" s="109"/>
      <c r="E2957" s="109"/>
      <c r="F2957" s="110"/>
      <c r="G2957" s="109"/>
    </row>
    <row r="2958" spans="3:7" x14ac:dyDescent="0.3">
      <c r="C2958" s="109"/>
      <c r="D2958" s="109"/>
      <c r="E2958" s="109"/>
      <c r="F2958" s="110"/>
      <c r="G2958" s="109"/>
    </row>
    <row r="2959" spans="3:7" x14ac:dyDescent="0.3">
      <c r="C2959" s="109"/>
      <c r="D2959" s="109"/>
      <c r="E2959" s="109"/>
      <c r="F2959" s="110"/>
      <c r="G2959" s="109"/>
    </row>
    <row r="2960" spans="3:7" x14ac:dyDescent="0.3">
      <c r="C2960" s="109"/>
      <c r="D2960" s="109"/>
      <c r="E2960" s="109"/>
      <c r="F2960" s="110"/>
      <c r="G2960" s="109"/>
    </row>
    <row r="2961" spans="3:7" x14ac:dyDescent="0.3">
      <c r="C2961" s="109"/>
      <c r="D2961" s="109"/>
      <c r="E2961" s="109"/>
      <c r="F2961" s="110"/>
      <c r="G2961" s="109"/>
    </row>
    <row r="2962" spans="3:7" x14ac:dyDescent="0.3">
      <c r="C2962" s="109"/>
      <c r="D2962" s="109"/>
      <c r="E2962" s="109"/>
      <c r="F2962" s="110"/>
      <c r="G2962" s="109"/>
    </row>
    <row r="2963" spans="3:7" x14ac:dyDescent="0.3">
      <c r="C2963" s="109"/>
      <c r="D2963" s="109"/>
      <c r="E2963" s="109"/>
      <c r="F2963" s="110"/>
      <c r="G2963" s="109"/>
    </row>
    <row r="2964" spans="3:7" x14ac:dyDescent="0.3">
      <c r="C2964" s="109"/>
      <c r="D2964" s="109"/>
      <c r="E2964" s="109"/>
      <c r="F2964" s="110"/>
      <c r="G2964" s="109"/>
    </row>
    <row r="2965" spans="3:7" x14ac:dyDescent="0.3">
      <c r="C2965" s="109"/>
      <c r="D2965" s="109"/>
      <c r="E2965" s="109"/>
      <c r="F2965" s="110"/>
      <c r="G2965" s="109"/>
    </row>
    <row r="2966" spans="3:7" x14ac:dyDescent="0.3">
      <c r="C2966" s="109"/>
      <c r="D2966" s="109"/>
      <c r="E2966" s="109"/>
      <c r="F2966" s="110"/>
      <c r="G2966" s="109"/>
    </row>
    <row r="2967" spans="3:7" x14ac:dyDescent="0.3">
      <c r="C2967" s="109"/>
      <c r="D2967" s="109"/>
      <c r="E2967" s="109"/>
      <c r="F2967" s="110"/>
      <c r="G2967" s="109"/>
    </row>
    <row r="2968" spans="3:7" x14ac:dyDescent="0.3">
      <c r="C2968" s="109"/>
      <c r="D2968" s="109"/>
      <c r="E2968" s="109"/>
      <c r="F2968" s="110"/>
      <c r="G2968" s="109"/>
    </row>
    <row r="2969" spans="3:7" x14ac:dyDescent="0.3">
      <c r="C2969" s="109"/>
      <c r="D2969" s="109"/>
      <c r="E2969" s="109"/>
      <c r="F2969" s="110"/>
      <c r="G2969" s="109"/>
    </row>
    <row r="2970" spans="3:7" x14ac:dyDescent="0.3">
      <c r="C2970" s="109"/>
      <c r="D2970" s="109"/>
      <c r="E2970" s="109"/>
      <c r="F2970" s="110"/>
      <c r="G2970" s="109"/>
    </row>
    <row r="2971" spans="3:7" x14ac:dyDescent="0.3">
      <c r="C2971" s="109"/>
      <c r="D2971" s="109"/>
      <c r="E2971" s="109"/>
      <c r="F2971" s="110"/>
      <c r="G2971" s="109"/>
    </row>
    <row r="2972" spans="3:7" x14ac:dyDescent="0.3">
      <c r="C2972" s="109"/>
      <c r="D2972" s="109"/>
      <c r="E2972" s="109"/>
      <c r="F2972" s="110"/>
      <c r="G2972" s="109"/>
    </row>
    <row r="2973" spans="3:7" x14ac:dyDescent="0.3">
      <c r="C2973" s="109"/>
      <c r="D2973" s="109"/>
      <c r="E2973" s="109"/>
      <c r="F2973" s="110"/>
      <c r="G2973" s="109"/>
    </row>
    <row r="2974" spans="3:7" x14ac:dyDescent="0.3">
      <c r="C2974" s="109"/>
      <c r="D2974" s="109"/>
      <c r="E2974" s="109"/>
      <c r="F2974" s="110"/>
      <c r="G2974" s="109"/>
    </row>
    <row r="2975" spans="3:7" x14ac:dyDescent="0.3">
      <c r="C2975" s="109"/>
      <c r="D2975" s="109"/>
      <c r="E2975" s="109"/>
      <c r="F2975" s="110"/>
      <c r="G2975" s="109"/>
    </row>
    <row r="2976" spans="3:7" x14ac:dyDescent="0.3">
      <c r="C2976" s="109"/>
      <c r="D2976" s="109"/>
      <c r="E2976" s="109"/>
      <c r="F2976" s="110"/>
      <c r="G2976" s="109"/>
    </row>
    <row r="2977" spans="3:7" x14ac:dyDescent="0.3">
      <c r="C2977" s="109"/>
      <c r="D2977" s="109"/>
      <c r="E2977" s="109"/>
      <c r="F2977" s="110"/>
      <c r="G2977" s="109"/>
    </row>
    <row r="2978" spans="3:7" x14ac:dyDescent="0.3">
      <c r="C2978" s="109"/>
      <c r="D2978" s="109"/>
      <c r="E2978" s="109"/>
      <c r="F2978" s="110"/>
      <c r="G2978" s="109"/>
    </row>
    <row r="2979" spans="3:7" x14ac:dyDescent="0.3">
      <c r="C2979" s="109"/>
      <c r="D2979" s="109"/>
      <c r="E2979" s="109"/>
      <c r="F2979" s="110"/>
      <c r="G2979" s="109"/>
    </row>
    <row r="2980" spans="3:7" x14ac:dyDescent="0.3">
      <c r="C2980" s="109"/>
      <c r="D2980" s="109"/>
      <c r="E2980" s="109"/>
      <c r="F2980" s="110"/>
      <c r="G2980" s="109"/>
    </row>
    <row r="2981" spans="3:7" x14ac:dyDescent="0.3">
      <c r="C2981" s="109"/>
      <c r="D2981" s="109"/>
      <c r="E2981" s="109"/>
      <c r="F2981" s="110"/>
      <c r="G2981" s="109"/>
    </row>
    <row r="2982" spans="3:7" x14ac:dyDescent="0.3">
      <c r="C2982" s="109"/>
      <c r="D2982" s="109"/>
      <c r="E2982" s="109"/>
      <c r="F2982" s="110"/>
      <c r="G2982" s="109"/>
    </row>
    <row r="2983" spans="3:7" x14ac:dyDescent="0.3">
      <c r="C2983" s="109"/>
      <c r="D2983" s="109"/>
      <c r="E2983" s="109"/>
      <c r="F2983" s="110"/>
      <c r="G2983" s="109"/>
    </row>
    <row r="2984" spans="3:7" x14ac:dyDescent="0.3">
      <c r="C2984" s="109"/>
      <c r="D2984" s="109"/>
      <c r="E2984" s="109"/>
      <c r="F2984" s="110"/>
      <c r="G2984" s="109"/>
    </row>
    <row r="2985" spans="3:7" x14ac:dyDescent="0.3">
      <c r="C2985" s="109"/>
      <c r="D2985" s="109"/>
      <c r="E2985" s="109"/>
      <c r="F2985" s="110"/>
      <c r="G2985" s="109"/>
    </row>
    <row r="2986" spans="3:7" x14ac:dyDescent="0.3">
      <c r="C2986" s="109"/>
      <c r="D2986" s="109"/>
      <c r="E2986" s="109"/>
      <c r="F2986" s="110"/>
      <c r="G2986" s="109"/>
    </row>
    <row r="2987" spans="3:7" x14ac:dyDescent="0.3">
      <c r="C2987" s="109"/>
      <c r="D2987" s="109"/>
      <c r="E2987" s="109"/>
      <c r="F2987" s="110"/>
      <c r="G2987" s="109"/>
    </row>
    <row r="2988" spans="3:7" x14ac:dyDescent="0.3">
      <c r="C2988" s="109"/>
      <c r="D2988" s="109"/>
      <c r="E2988" s="109"/>
      <c r="F2988" s="110"/>
      <c r="G2988" s="109"/>
    </row>
    <row r="2989" spans="3:7" x14ac:dyDescent="0.3">
      <c r="C2989" s="109"/>
      <c r="D2989" s="109"/>
      <c r="E2989" s="109"/>
      <c r="F2989" s="110"/>
      <c r="G2989" s="109"/>
    </row>
    <row r="2990" spans="3:7" x14ac:dyDescent="0.3">
      <c r="C2990" s="109"/>
      <c r="D2990" s="109"/>
      <c r="E2990" s="109"/>
      <c r="F2990" s="110"/>
      <c r="G2990" s="109"/>
    </row>
    <row r="2991" spans="3:7" x14ac:dyDescent="0.3">
      <c r="C2991" s="109"/>
      <c r="D2991" s="109"/>
      <c r="E2991" s="109"/>
      <c r="F2991" s="110"/>
      <c r="G2991" s="109"/>
    </row>
    <row r="2992" spans="3:7" x14ac:dyDescent="0.3">
      <c r="C2992" s="109"/>
      <c r="D2992" s="109"/>
      <c r="E2992" s="109"/>
      <c r="F2992" s="110"/>
      <c r="G2992" s="109"/>
    </row>
    <row r="2993" spans="3:7" x14ac:dyDescent="0.3">
      <c r="C2993" s="109"/>
      <c r="D2993" s="109"/>
      <c r="E2993" s="109"/>
      <c r="F2993" s="110"/>
      <c r="G2993" s="109"/>
    </row>
    <row r="2994" spans="3:7" x14ac:dyDescent="0.3">
      <c r="C2994" s="109"/>
      <c r="D2994" s="109"/>
      <c r="E2994" s="109"/>
      <c r="F2994" s="110"/>
      <c r="G2994" s="109"/>
    </row>
    <row r="2995" spans="3:7" x14ac:dyDescent="0.3">
      <c r="C2995" s="109"/>
      <c r="D2995" s="109"/>
      <c r="E2995" s="109"/>
      <c r="F2995" s="110"/>
      <c r="G2995" s="109"/>
    </row>
    <row r="2996" spans="3:7" x14ac:dyDescent="0.3">
      <c r="C2996" s="109"/>
      <c r="D2996" s="109"/>
      <c r="E2996" s="109"/>
      <c r="F2996" s="110"/>
      <c r="G2996" s="109"/>
    </row>
    <row r="2997" spans="3:7" x14ac:dyDescent="0.3">
      <c r="C2997" s="109"/>
      <c r="D2997" s="109"/>
      <c r="E2997" s="109"/>
      <c r="F2997" s="110"/>
      <c r="G2997" s="109"/>
    </row>
    <row r="2998" spans="3:7" x14ac:dyDescent="0.3">
      <c r="C2998" s="109"/>
      <c r="D2998" s="109"/>
      <c r="E2998" s="109"/>
      <c r="F2998" s="110"/>
      <c r="G2998" s="109"/>
    </row>
    <row r="2999" spans="3:7" x14ac:dyDescent="0.3">
      <c r="C2999" s="109"/>
      <c r="D2999" s="109"/>
      <c r="E2999" s="109"/>
      <c r="F2999" s="110"/>
      <c r="G2999" s="109"/>
    </row>
    <row r="3000" spans="3:7" x14ac:dyDescent="0.3">
      <c r="C3000" s="109"/>
      <c r="D3000" s="109"/>
      <c r="E3000" s="109"/>
      <c r="F3000" s="110"/>
      <c r="G3000" s="109"/>
    </row>
    <row r="3001" spans="3:7" x14ac:dyDescent="0.3">
      <c r="C3001" s="109"/>
      <c r="D3001" s="109"/>
      <c r="E3001" s="109"/>
      <c r="F3001" s="110"/>
      <c r="G3001" s="109"/>
    </row>
    <row r="3002" spans="3:7" x14ac:dyDescent="0.3">
      <c r="C3002" s="109"/>
      <c r="D3002" s="109"/>
      <c r="E3002" s="109"/>
      <c r="F3002" s="110"/>
      <c r="G3002" s="109"/>
    </row>
    <row r="3003" spans="3:7" x14ac:dyDescent="0.3">
      <c r="C3003" s="109"/>
      <c r="D3003" s="109"/>
      <c r="E3003" s="109"/>
      <c r="F3003" s="110"/>
      <c r="G3003" s="109"/>
    </row>
    <row r="3004" spans="3:7" x14ac:dyDescent="0.3">
      <c r="C3004" s="109"/>
      <c r="D3004" s="109"/>
      <c r="E3004" s="109"/>
      <c r="F3004" s="110"/>
      <c r="G3004" s="109"/>
    </row>
    <row r="3005" spans="3:7" x14ac:dyDescent="0.3">
      <c r="C3005" s="109"/>
      <c r="D3005" s="109"/>
      <c r="E3005" s="109"/>
      <c r="F3005" s="110"/>
      <c r="G3005" s="109"/>
    </row>
    <row r="3006" spans="3:7" x14ac:dyDescent="0.3">
      <c r="C3006" s="109"/>
      <c r="D3006" s="109"/>
      <c r="E3006" s="109"/>
      <c r="F3006" s="110"/>
      <c r="G3006" s="109"/>
    </row>
    <row r="3007" spans="3:7" x14ac:dyDescent="0.3">
      <c r="C3007" s="109"/>
      <c r="D3007" s="109"/>
      <c r="E3007" s="109"/>
      <c r="F3007" s="110"/>
      <c r="G3007" s="109"/>
    </row>
    <row r="3008" spans="3:7" x14ac:dyDescent="0.3">
      <c r="C3008" s="109"/>
      <c r="D3008" s="109"/>
      <c r="E3008" s="109"/>
      <c r="F3008" s="110"/>
      <c r="G3008" s="109"/>
    </row>
    <row r="3009" spans="3:7" x14ac:dyDescent="0.3">
      <c r="C3009" s="109"/>
      <c r="D3009" s="109"/>
      <c r="E3009" s="109"/>
      <c r="F3009" s="110"/>
      <c r="G3009" s="109"/>
    </row>
    <row r="3010" spans="3:7" x14ac:dyDescent="0.3">
      <c r="C3010" s="109"/>
      <c r="D3010" s="109"/>
      <c r="E3010" s="109"/>
      <c r="F3010" s="110"/>
      <c r="G3010" s="109"/>
    </row>
    <row r="3011" spans="3:7" x14ac:dyDescent="0.3">
      <c r="C3011" s="109"/>
      <c r="D3011" s="109"/>
      <c r="E3011" s="109"/>
      <c r="F3011" s="110"/>
      <c r="G3011" s="109"/>
    </row>
    <row r="3012" spans="3:7" x14ac:dyDescent="0.3">
      <c r="C3012" s="109"/>
      <c r="D3012" s="109"/>
      <c r="E3012" s="109"/>
      <c r="F3012" s="110"/>
      <c r="G3012" s="109"/>
    </row>
    <row r="3013" spans="3:7" x14ac:dyDescent="0.3">
      <c r="C3013" s="109"/>
      <c r="D3013" s="109"/>
      <c r="E3013" s="109"/>
      <c r="F3013" s="110"/>
      <c r="G3013" s="109"/>
    </row>
    <row r="3014" spans="3:7" x14ac:dyDescent="0.3">
      <c r="C3014" s="109"/>
      <c r="D3014" s="109"/>
      <c r="E3014" s="109"/>
      <c r="F3014" s="110"/>
      <c r="G3014" s="109"/>
    </row>
    <row r="3015" spans="3:7" x14ac:dyDescent="0.3">
      <c r="C3015" s="109"/>
      <c r="D3015" s="109"/>
      <c r="E3015" s="109"/>
      <c r="F3015" s="110"/>
      <c r="G3015" s="109"/>
    </row>
    <row r="3016" spans="3:7" x14ac:dyDescent="0.3">
      <c r="C3016" s="109"/>
      <c r="D3016" s="109"/>
      <c r="E3016" s="109"/>
      <c r="F3016" s="110"/>
      <c r="G3016" s="109"/>
    </row>
    <row r="3017" spans="3:7" x14ac:dyDescent="0.3">
      <c r="C3017" s="109"/>
      <c r="D3017" s="109"/>
      <c r="E3017" s="109"/>
      <c r="F3017" s="110"/>
      <c r="G3017" s="109"/>
    </row>
    <row r="3018" spans="3:7" x14ac:dyDescent="0.3">
      <c r="C3018" s="109"/>
      <c r="D3018" s="109"/>
      <c r="E3018" s="109"/>
      <c r="F3018" s="110"/>
      <c r="G3018" s="109"/>
    </row>
    <row r="3019" spans="3:7" x14ac:dyDescent="0.3">
      <c r="C3019" s="109"/>
      <c r="D3019" s="109"/>
      <c r="E3019" s="109"/>
      <c r="F3019" s="110"/>
      <c r="G3019" s="109"/>
    </row>
    <row r="3020" spans="3:7" x14ac:dyDescent="0.3">
      <c r="C3020" s="109"/>
      <c r="D3020" s="109"/>
      <c r="E3020" s="109"/>
      <c r="F3020" s="110"/>
      <c r="G3020" s="109"/>
    </row>
    <row r="3021" spans="3:7" x14ac:dyDescent="0.3">
      <c r="C3021" s="109"/>
      <c r="D3021" s="109"/>
      <c r="E3021" s="109"/>
      <c r="F3021" s="110"/>
      <c r="G3021" s="109"/>
    </row>
    <row r="3022" spans="3:7" x14ac:dyDescent="0.3">
      <c r="C3022" s="109"/>
      <c r="D3022" s="109"/>
      <c r="E3022" s="109"/>
      <c r="F3022" s="110"/>
      <c r="G3022" s="109"/>
    </row>
    <row r="3023" spans="3:7" x14ac:dyDescent="0.3">
      <c r="C3023" s="109"/>
      <c r="D3023" s="109"/>
      <c r="E3023" s="109"/>
      <c r="F3023" s="110"/>
      <c r="G3023" s="109"/>
    </row>
    <row r="3024" spans="3:7" x14ac:dyDescent="0.3">
      <c r="C3024" s="109"/>
      <c r="D3024" s="109"/>
      <c r="E3024" s="109"/>
      <c r="F3024" s="110"/>
      <c r="G3024" s="109"/>
    </row>
    <row r="3025" spans="3:7" x14ac:dyDescent="0.3">
      <c r="C3025" s="109"/>
      <c r="D3025" s="109"/>
      <c r="E3025" s="109"/>
      <c r="F3025" s="110"/>
      <c r="G3025" s="109"/>
    </row>
    <row r="3026" spans="3:7" x14ac:dyDescent="0.3">
      <c r="C3026" s="109"/>
      <c r="D3026" s="109"/>
      <c r="E3026" s="109"/>
      <c r="F3026" s="110"/>
      <c r="G3026" s="109"/>
    </row>
    <row r="3027" spans="3:7" x14ac:dyDescent="0.3">
      <c r="C3027" s="109"/>
      <c r="D3027" s="109"/>
      <c r="E3027" s="109"/>
      <c r="F3027" s="110"/>
      <c r="G3027" s="109"/>
    </row>
    <row r="3028" spans="3:7" x14ac:dyDescent="0.3">
      <c r="C3028" s="109"/>
      <c r="D3028" s="109"/>
      <c r="E3028" s="109"/>
      <c r="F3028" s="110"/>
      <c r="G3028" s="109"/>
    </row>
    <row r="3029" spans="3:7" x14ac:dyDescent="0.3">
      <c r="C3029" s="109"/>
      <c r="D3029" s="109"/>
      <c r="E3029" s="109"/>
      <c r="F3029" s="110"/>
      <c r="G3029" s="109"/>
    </row>
    <row r="3030" spans="3:7" x14ac:dyDescent="0.3">
      <c r="C3030" s="109"/>
      <c r="D3030" s="109"/>
      <c r="E3030" s="109"/>
      <c r="F3030" s="110"/>
      <c r="G3030" s="109"/>
    </row>
    <row r="3031" spans="3:7" x14ac:dyDescent="0.3">
      <c r="C3031" s="109"/>
      <c r="D3031" s="109"/>
      <c r="E3031" s="109"/>
      <c r="F3031" s="110"/>
      <c r="G3031" s="109"/>
    </row>
    <row r="3032" spans="3:7" x14ac:dyDescent="0.3">
      <c r="C3032" s="109"/>
      <c r="D3032" s="109"/>
      <c r="E3032" s="109"/>
      <c r="F3032" s="110"/>
      <c r="G3032" s="109"/>
    </row>
    <row r="3033" spans="3:7" x14ac:dyDescent="0.3">
      <c r="C3033" s="109"/>
      <c r="D3033" s="109"/>
      <c r="E3033" s="109"/>
      <c r="F3033" s="110"/>
      <c r="G3033" s="109"/>
    </row>
    <row r="3034" spans="3:7" x14ac:dyDescent="0.3">
      <c r="C3034" s="109"/>
      <c r="D3034" s="109"/>
      <c r="E3034" s="109"/>
      <c r="F3034" s="110"/>
      <c r="G3034" s="109"/>
    </row>
    <row r="3035" spans="3:7" x14ac:dyDescent="0.3">
      <c r="C3035" s="109"/>
      <c r="D3035" s="109"/>
      <c r="E3035" s="109"/>
      <c r="F3035" s="110"/>
      <c r="G3035" s="109"/>
    </row>
    <row r="3036" spans="3:7" x14ac:dyDescent="0.3">
      <c r="C3036" s="109"/>
      <c r="D3036" s="109"/>
      <c r="E3036" s="109"/>
      <c r="F3036" s="110"/>
      <c r="G3036" s="109"/>
    </row>
    <row r="3037" spans="3:7" x14ac:dyDescent="0.3">
      <c r="C3037" s="109"/>
      <c r="D3037" s="109"/>
      <c r="E3037" s="109"/>
      <c r="F3037" s="110"/>
      <c r="G3037" s="109"/>
    </row>
    <row r="3038" spans="3:7" x14ac:dyDescent="0.3">
      <c r="C3038" s="109"/>
      <c r="D3038" s="109"/>
      <c r="E3038" s="109"/>
      <c r="F3038" s="110"/>
      <c r="G3038" s="109"/>
    </row>
    <row r="3039" spans="3:7" x14ac:dyDescent="0.3">
      <c r="C3039" s="109"/>
      <c r="D3039" s="109"/>
      <c r="E3039" s="109"/>
      <c r="F3039" s="110"/>
      <c r="G3039" s="109"/>
    </row>
    <row r="3040" spans="3:7" x14ac:dyDescent="0.3">
      <c r="C3040" s="109"/>
      <c r="D3040" s="109"/>
      <c r="E3040" s="109"/>
      <c r="F3040" s="110"/>
      <c r="G3040" s="109"/>
    </row>
    <row r="3041" spans="3:7" x14ac:dyDescent="0.3">
      <c r="C3041" s="109"/>
      <c r="D3041" s="109"/>
      <c r="E3041" s="109"/>
      <c r="F3041" s="110"/>
      <c r="G3041" s="109"/>
    </row>
    <row r="3042" spans="3:7" x14ac:dyDescent="0.3">
      <c r="C3042" s="109"/>
      <c r="D3042" s="109"/>
      <c r="E3042" s="109"/>
      <c r="F3042" s="110"/>
      <c r="G3042" s="109"/>
    </row>
    <row r="3043" spans="3:7" x14ac:dyDescent="0.3">
      <c r="C3043" s="109"/>
      <c r="D3043" s="109"/>
      <c r="E3043" s="109"/>
      <c r="F3043" s="110"/>
      <c r="G3043" s="109"/>
    </row>
    <row r="3044" spans="3:7" x14ac:dyDescent="0.3">
      <c r="C3044" s="109"/>
      <c r="D3044" s="109"/>
      <c r="E3044" s="109"/>
      <c r="F3044" s="110"/>
      <c r="G3044" s="109"/>
    </row>
    <row r="3045" spans="3:7" x14ac:dyDescent="0.3">
      <c r="C3045" s="109"/>
      <c r="D3045" s="109"/>
      <c r="E3045" s="109"/>
      <c r="F3045" s="110"/>
      <c r="G3045" s="109"/>
    </row>
    <row r="3046" spans="3:7" x14ac:dyDescent="0.3">
      <c r="C3046" s="109"/>
      <c r="D3046" s="109"/>
      <c r="E3046" s="109"/>
      <c r="F3046" s="110"/>
      <c r="G3046" s="109"/>
    </row>
    <row r="3047" spans="3:7" x14ac:dyDescent="0.3">
      <c r="C3047" s="109"/>
      <c r="D3047" s="109"/>
      <c r="E3047" s="109"/>
      <c r="F3047" s="110"/>
      <c r="G3047" s="109"/>
    </row>
    <row r="3048" spans="3:7" x14ac:dyDescent="0.3">
      <c r="C3048" s="109"/>
      <c r="D3048" s="109"/>
      <c r="E3048" s="109"/>
      <c r="F3048" s="110"/>
      <c r="G3048" s="109"/>
    </row>
    <row r="3049" spans="3:7" x14ac:dyDescent="0.3">
      <c r="C3049" s="109"/>
      <c r="D3049" s="109"/>
      <c r="E3049" s="109"/>
      <c r="F3049" s="110"/>
      <c r="G3049" s="109"/>
    </row>
    <row r="3050" spans="3:7" x14ac:dyDescent="0.3">
      <c r="C3050" s="109"/>
      <c r="D3050" s="109"/>
      <c r="E3050" s="109"/>
      <c r="F3050" s="110"/>
      <c r="G3050" s="109"/>
    </row>
    <row r="3051" spans="3:7" x14ac:dyDescent="0.3">
      <c r="C3051" s="109"/>
      <c r="D3051" s="109"/>
      <c r="E3051" s="109"/>
      <c r="F3051" s="110"/>
      <c r="G3051" s="109"/>
    </row>
    <row r="3052" spans="3:7" x14ac:dyDescent="0.3">
      <c r="C3052" s="109"/>
      <c r="D3052" s="109"/>
      <c r="E3052" s="109"/>
      <c r="F3052" s="110"/>
      <c r="G3052" s="109"/>
    </row>
    <row r="3053" spans="3:7" x14ac:dyDescent="0.3">
      <c r="C3053" s="109"/>
      <c r="D3053" s="109"/>
      <c r="E3053" s="109"/>
      <c r="F3053" s="110"/>
      <c r="G3053" s="109"/>
    </row>
    <row r="3054" spans="3:7" x14ac:dyDescent="0.3">
      <c r="C3054" s="109"/>
      <c r="D3054" s="109"/>
      <c r="E3054" s="109"/>
      <c r="F3054" s="110"/>
      <c r="G3054" s="109"/>
    </row>
    <row r="3055" spans="3:7" x14ac:dyDescent="0.3">
      <c r="C3055" s="109"/>
      <c r="D3055" s="109"/>
      <c r="E3055" s="109"/>
      <c r="F3055" s="110"/>
      <c r="G3055" s="109"/>
    </row>
    <row r="3056" spans="3:7" x14ac:dyDescent="0.3">
      <c r="C3056" s="109"/>
      <c r="D3056" s="109"/>
      <c r="E3056" s="109"/>
      <c r="F3056" s="110"/>
      <c r="G3056" s="109"/>
    </row>
    <row r="3057" spans="3:7" x14ac:dyDescent="0.3">
      <c r="C3057" s="109"/>
      <c r="D3057" s="109"/>
      <c r="E3057" s="109"/>
      <c r="F3057" s="110"/>
      <c r="G3057" s="109"/>
    </row>
    <row r="3058" spans="3:7" x14ac:dyDescent="0.3">
      <c r="C3058" s="109"/>
      <c r="D3058" s="109"/>
      <c r="E3058" s="109"/>
      <c r="F3058" s="110"/>
      <c r="G3058" s="109"/>
    </row>
    <row r="3059" spans="3:7" x14ac:dyDescent="0.3">
      <c r="C3059" s="109"/>
      <c r="D3059" s="109"/>
      <c r="E3059" s="109"/>
      <c r="F3059" s="110"/>
      <c r="G3059" s="109"/>
    </row>
    <row r="3060" spans="3:7" x14ac:dyDescent="0.3">
      <c r="C3060" s="109"/>
      <c r="D3060" s="109"/>
      <c r="E3060" s="109"/>
      <c r="F3060" s="110"/>
      <c r="G3060" s="109"/>
    </row>
    <row r="3061" spans="3:7" x14ac:dyDescent="0.3">
      <c r="C3061" s="109"/>
      <c r="D3061" s="109"/>
      <c r="E3061" s="109"/>
      <c r="F3061" s="110"/>
      <c r="G3061" s="109"/>
    </row>
    <row r="3062" spans="3:7" x14ac:dyDescent="0.3">
      <c r="C3062" s="109"/>
      <c r="D3062" s="109"/>
      <c r="E3062" s="109"/>
      <c r="F3062" s="110"/>
      <c r="G3062" s="109"/>
    </row>
    <row r="3063" spans="3:7" x14ac:dyDescent="0.3">
      <c r="C3063" s="109"/>
      <c r="D3063" s="109"/>
      <c r="E3063" s="109"/>
      <c r="F3063" s="110"/>
      <c r="G3063" s="109"/>
    </row>
    <row r="3064" spans="3:7" x14ac:dyDescent="0.3">
      <c r="C3064" s="109"/>
      <c r="D3064" s="109"/>
      <c r="E3064" s="109"/>
      <c r="F3064" s="110"/>
      <c r="G3064" s="109"/>
    </row>
    <row r="3065" spans="3:7" x14ac:dyDescent="0.3">
      <c r="C3065" s="109"/>
      <c r="D3065" s="109"/>
      <c r="E3065" s="109"/>
      <c r="F3065" s="110"/>
      <c r="G3065" s="109"/>
    </row>
    <row r="3066" spans="3:7" x14ac:dyDescent="0.3">
      <c r="C3066" s="109"/>
      <c r="D3066" s="109"/>
      <c r="E3066" s="109"/>
      <c r="F3066" s="110"/>
      <c r="G3066" s="109"/>
    </row>
    <row r="3067" spans="3:7" x14ac:dyDescent="0.3">
      <c r="C3067" s="109"/>
      <c r="D3067" s="109"/>
      <c r="E3067" s="109"/>
      <c r="F3067" s="110"/>
      <c r="G3067" s="109"/>
    </row>
    <row r="3068" spans="3:7" x14ac:dyDescent="0.3">
      <c r="C3068" s="109"/>
      <c r="D3068" s="109"/>
      <c r="E3068" s="109"/>
      <c r="F3068" s="110"/>
      <c r="G3068" s="109"/>
    </row>
    <row r="3069" spans="3:7" x14ac:dyDescent="0.3">
      <c r="C3069" s="109"/>
      <c r="D3069" s="109"/>
      <c r="E3069" s="109"/>
      <c r="F3069" s="110"/>
      <c r="G3069" s="109"/>
    </row>
    <row r="3070" spans="3:7" x14ac:dyDescent="0.3">
      <c r="C3070" s="109"/>
      <c r="D3070" s="109"/>
      <c r="E3070" s="109"/>
      <c r="F3070" s="110"/>
      <c r="G3070" s="109"/>
    </row>
    <row r="3071" spans="3:7" x14ac:dyDescent="0.3">
      <c r="C3071" s="109"/>
      <c r="D3071" s="109"/>
      <c r="E3071" s="109"/>
      <c r="F3071" s="110"/>
      <c r="G3071" s="109"/>
    </row>
    <row r="3072" spans="3:7" x14ac:dyDescent="0.3">
      <c r="C3072" s="109"/>
      <c r="D3072" s="109"/>
      <c r="E3072" s="109"/>
      <c r="F3072" s="110"/>
      <c r="G3072" s="109"/>
    </row>
    <row r="3073" spans="3:7" x14ac:dyDescent="0.3">
      <c r="C3073" s="109"/>
      <c r="D3073" s="109"/>
      <c r="E3073" s="109"/>
      <c r="F3073" s="110"/>
      <c r="G3073" s="109"/>
    </row>
    <row r="3074" spans="3:7" x14ac:dyDescent="0.3">
      <c r="C3074" s="109"/>
      <c r="D3074" s="109"/>
      <c r="E3074" s="109"/>
      <c r="F3074" s="110"/>
      <c r="G3074" s="109"/>
    </row>
    <row r="3075" spans="3:7" x14ac:dyDescent="0.3">
      <c r="C3075" s="109"/>
      <c r="D3075" s="109"/>
      <c r="E3075" s="109"/>
      <c r="F3075" s="110"/>
      <c r="G3075" s="109"/>
    </row>
    <row r="3076" spans="3:7" x14ac:dyDescent="0.3">
      <c r="C3076" s="109"/>
      <c r="D3076" s="109"/>
      <c r="E3076" s="109"/>
      <c r="F3076" s="110"/>
      <c r="G3076" s="109"/>
    </row>
    <row r="3077" spans="3:7" x14ac:dyDescent="0.3">
      <c r="C3077" s="109"/>
      <c r="D3077" s="109"/>
      <c r="E3077" s="109"/>
      <c r="F3077" s="110"/>
      <c r="G3077" s="109"/>
    </row>
    <row r="3078" spans="3:7" x14ac:dyDescent="0.3">
      <c r="C3078" s="109"/>
      <c r="D3078" s="109"/>
      <c r="E3078" s="109"/>
      <c r="F3078" s="110"/>
      <c r="G3078" s="109"/>
    </row>
    <row r="3079" spans="3:7" x14ac:dyDescent="0.3">
      <c r="C3079" s="109"/>
      <c r="D3079" s="109"/>
      <c r="E3079" s="109"/>
      <c r="F3079" s="110"/>
      <c r="G3079" s="109"/>
    </row>
    <row r="3080" spans="3:7" x14ac:dyDescent="0.3">
      <c r="C3080" s="109"/>
      <c r="D3080" s="109"/>
      <c r="E3080" s="109"/>
      <c r="F3080" s="110"/>
      <c r="G3080" s="109"/>
    </row>
    <row r="3081" spans="3:7" x14ac:dyDescent="0.3">
      <c r="C3081" s="109"/>
      <c r="D3081" s="109"/>
      <c r="E3081" s="109"/>
      <c r="F3081" s="110"/>
      <c r="G3081" s="109"/>
    </row>
    <row r="3082" spans="3:7" x14ac:dyDescent="0.3">
      <c r="C3082" s="109"/>
      <c r="D3082" s="109"/>
      <c r="E3082" s="109"/>
      <c r="F3082" s="110"/>
      <c r="G3082" s="109"/>
    </row>
    <row r="3083" spans="3:7" x14ac:dyDescent="0.3">
      <c r="C3083" s="109"/>
      <c r="D3083" s="109"/>
      <c r="E3083" s="109"/>
      <c r="F3083" s="110"/>
      <c r="G3083" s="109"/>
    </row>
    <row r="3084" spans="3:7" x14ac:dyDescent="0.3">
      <c r="C3084" s="109"/>
      <c r="D3084" s="109"/>
      <c r="E3084" s="109"/>
      <c r="F3084" s="110"/>
      <c r="G3084" s="109"/>
    </row>
    <row r="3085" spans="3:7" x14ac:dyDescent="0.3">
      <c r="C3085" s="109"/>
      <c r="D3085" s="109"/>
      <c r="E3085" s="109"/>
      <c r="F3085" s="110"/>
      <c r="G3085" s="109"/>
    </row>
    <row r="3086" spans="3:7" x14ac:dyDescent="0.3">
      <c r="C3086" s="109"/>
      <c r="D3086" s="109"/>
      <c r="E3086" s="109"/>
      <c r="F3086" s="110"/>
      <c r="G3086" s="109"/>
    </row>
    <row r="3087" spans="3:7" x14ac:dyDescent="0.3">
      <c r="C3087" s="109"/>
      <c r="D3087" s="109"/>
      <c r="E3087" s="109"/>
      <c r="F3087" s="110"/>
      <c r="G3087" s="109"/>
    </row>
    <row r="3088" spans="3:7" x14ac:dyDescent="0.3">
      <c r="C3088" s="109"/>
      <c r="D3088" s="109"/>
      <c r="E3088" s="109"/>
      <c r="F3088" s="110"/>
      <c r="G3088" s="109"/>
    </row>
    <row r="3089" spans="3:7" x14ac:dyDescent="0.3">
      <c r="C3089" s="109"/>
      <c r="D3089" s="109"/>
      <c r="E3089" s="109"/>
      <c r="F3089" s="110"/>
      <c r="G3089" s="109"/>
    </row>
    <row r="3090" spans="3:7" x14ac:dyDescent="0.3">
      <c r="C3090" s="109"/>
      <c r="D3090" s="109"/>
      <c r="E3090" s="109"/>
      <c r="F3090" s="110"/>
      <c r="G3090" s="109"/>
    </row>
    <row r="3091" spans="3:7" x14ac:dyDescent="0.3">
      <c r="C3091" s="109"/>
      <c r="D3091" s="109"/>
      <c r="E3091" s="109"/>
      <c r="F3091" s="110"/>
      <c r="G3091" s="109"/>
    </row>
    <row r="3092" spans="3:7" x14ac:dyDescent="0.3">
      <c r="C3092" s="109"/>
      <c r="D3092" s="109"/>
      <c r="E3092" s="109"/>
      <c r="F3092" s="110"/>
      <c r="G3092" s="109"/>
    </row>
    <row r="3093" spans="3:7" x14ac:dyDescent="0.3">
      <c r="C3093" s="109"/>
      <c r="D3093" s="109"/>
      <c r="E3093" s="109"/>
      <c r="F3093" s="110"/>
      <c r="G3093" s="109"/>
    </row>
    <row r="3094" spans="3:7" x14ac:dyDescent="0.3">
      <c r="C3094" s="109"/>
      <c r="D3094" s="109"/>
      <c r="E3094" s="109"/>
      <c r="F3094" s="110"/>
      <c r="G3094" s="109"/>
    </row>
    <row r="3095" spans="3:7" x14ac:dyDescent="0.3">
      <c r="C3095" s="109"/>
      <c r="D3095" s="109"/>
      <c r="E3095" s="109"/>
      <c r="F3095" s="110"/>
      <c r="G3095" s="109"/>
    </row>
    <row r="3096" spans="3:7" x14ac:dyDescent="0.3">
      <c r="C3096" s="109"/>
      <c r="D3096" s="109"/>
      <c r="E3096" s="109"/>
      <c r="F3096" s="110"/>
      <c r="G3096" s="109"/>
    </row>
    <row r="3097" spans="3:7" x14ac:dyDescent="0.3">
      <c r="C3097" s="109"/>
      <c r="D3097" s="109"/>
      <c r="E3097" s="109"/>
      <c r="F3097" s="110"/>
      <c r="G3097" s="109"/>
    </row>
    <row r="3098" spans="3:7" x14ac:dyDescent="0.3">
      <c r="C3098" s="109"/>
      <c r="D3098" s="109"/>
      <c r="E3098" s="109"/>
      <c r="F3098" s="110"/>
      <c r="G3098" s="109"/>
    </row>
    <row r="3099" spans="3:7" x14ac:dyDescent="0.3">
      <c r="C3099" s="109"/>
      <c r="D3099" s="109"/>
      <c r="E3099" s="109"/>
      <c r="F3099" s="110"/>
      <c r="G3099" s="109"/>
    </row>
    <row r="3100" spans="3:7" x14ac:dyDescent="0.3">
      <c r="C3100" s="109"/>
      <c r="D3100" s="109"/>
      <c r="E3100" s="109"/>
      <c r="F3100" s="110"/>
      <c r="G3100" s="109"/>
    </row>
    <row r="3101" spans="3:7" x14ac:dyDescent="0.3">
      <c r="C3101" s="109"/>
      <c r="D3101" s="109"/>
      <c r="E3101" s="109"/>
      <c r="F3101" s="110"/>
      <c r="G3101" s="109"/>
    </row>
    <row r="3102" spans="3:7" x14ac:dyDescent="0.3">
      <c r="C3102" s="109"/>
      <c r="D3102" s="109"/>
      <c r="E3102" s="109"/>
      <c r="F3102" s="110"/>
      <c r="G3102" s="109"/>
    </row>
    <row r="3103" spans="3:7" x14ac:dyDescent="0.3">
      <c r="C3103" s="109"/>
      <c r="D3103" s="109"/>
      <c r="E3103" s="109"/>
      <c r="F3103" s="110"/>
      <c r="G3103" s="109"/>
    </row>
    <row r="3104" spans="3:7" x14ac:dyDescent="0.3">
      <c r="C3104" s="109"/>
      <c r="D3104" s="109"/>
      <c r="E3104" s="109"/>
      <c r="F3104" s="110"/>
      <c r="G3104" s="109"/>
    </row>
    <row r="3105" spans="3:7" x14ac:dyDescent="0.3">
      <c r="C3105" s="109"/>
      <c r="D3105" s="109"/>
      <c r="E3105" s="109"/>
      <c r="F3105" s="110"/>
      <c r="G3105" s="109"/>
    </row>
    <row r="3106" spans="3:7" x14ac:dyDescent="0.3">
      <c r="C3106" s="109"/>
      <c r="D3106" s="109"/>
      <c r="E3106" s="109"/>
      <c r="F3106" s="110"/>
      <c r="G3106" s="109"/>
    </row>
    <row r="3107" spans="3:7" x14ac:dyDescent="0.3">
      <c r="C3107" s="109"/>
      <c r="D3107" s="109"/>
      <c r="E3107" s="109"/>
      <c r="F3107" s="110"/>
      <c r="G3107" s="109"/>
    </row>
    <row r="3108" spans="3:7" x14ac:dyDescent="0.3">
      <c r="C3108" s="109"/>
      <c r="D3108" s="109"/>
      <c r="E3108" s="109"/>
      <c r="F3108" s="110"/>
      <c r="G3108" s="109"/>
    </row>
    <row r="3109" spans="3:7" x14ac:dyDescent="0.3">
      <c r="C3109" s="109"/>
      <c r="D3109" s="109"/>
      <c r="E3109" s="109"/>
      <c r="F3109" s="110"/>
      <c r="G3109" s="109"/>
    </row>
    <row r="3110" spans="3:7" x14ac:dyDescent="0.3">
      <c r="C3110" s="109"/>
      <c r="D3110" s="109"/>
      <c r="E3110" s="109"/>
      <c r="F3110" s="110"/>
      <c r="G3110" s="109"/>
    </row>
    <row r="3111" spans="3:7" x14ac:dyDescent="0.3">
      <c r="C3111" s="109"/>
      <c r="D3111" s="109"/>
      <c r="E3111" s="109"/>
      <c r="F3111" s="110"/>
      <c r="G3111" s="109"/>
    </row>
    <row r="3112" spans="3:7" x14ac:dyDescent="0.3">
      <c r="C3112" s="109"/>
      <c r="D3112" s="109"/>
      <c r="E3112" s="109"/>
      <c r="F3112" s="110"/>
      <c r="G3112" s="109"/>
    </row>
    <row r="3113" spans="3:7" x14ac:dyDescent="0.3">
      <c r="C3113" s="109"/>
      <c r="D3113" s="109"/>
      <c r="E3113" s="109"/>
      <c r="F3113" s="110"/>
      <c r="G3113" s="109"/>
    </row>
    <row r="3114" spans="3:7" x14ac:dyDescent="0.3">
      <c r="C3114" s="109"/>
      <c r="D3114" s="109"/>
      <c r="E3114" s="109"/>
      <c r="F3114" s="110"/>
      <c r="G3114" s="109"/>
    </row>
    <row r="3115" spans="3:7" x14ac:dyDescent="0.3">
      <c r="C3115" s="109"/>
      <c r="D3115" s="109"/>
      <c r="E3115" s="109"/>
      <c r="F3115" s="110"/>
      <c r="G3115" s="109"/>
    </row>
    <row r="3116" spans="3:7" x14ac:dyDescent="0.3">
      <c r="C3116" s="109"/>
      <c r="D3116" s="109"/>
      <c r="E3116" s="109"/>
      <c r="F3116" s="110"/>
      <c r="G3116" s="109"/>
    </row>
    <row r="3117" spans="3:7" x14ac:dyDescent="0.3">
      <c r="C3117" s="109"/>
      <c r="D3117" s="109"/>
      <c r="E3117" s="109"/>
      <c r="F3117" s="110"/>
      <c r="G3117" s="109"/>
    </row>
    <row r="3118" spans="3:7" x14ac:dyDescent="0.3">
      <c r="C3118" s="109"/>
      <c r="D3118" s="109"/>
      <c r="E3118" s="109"/>
      <c r="F3118" s="110"/>
      <c r="G3118" s="109"/>
    </row>
    <row r="3119" spans="3:7" x14ac:dyDescent="0.3">
      <c r="C3119" s="109"/>
      <c r="D3119" s="109"/>
      <c r="E3119" s="109"/>
      <c r="F3119" s="110"/>
      <c r="G3119" s="109"/>
    </row>
    <row r="3120" spans="3:7" x14ac:dyDescent="0.3">
      <c r="C3120" s="109"/>
      <c r="D3120" s="109"/>
      <c r="E3120" s="109"/>
      <c r="F3120" s="110"/>
      <c r="G3120" s="109"/>
    </row>
    <row r="3121" spans="3:7" x14ac:dyDescent="0.3">
      <c r="C3121" s="109"/>
      <c r="D3121" s="109"/>
      <c r="E3121" s="109"/>
      <c r="F3121" s="110"/>
      <c r="G3121" s="109"/>
    </row>
    <row r="3122" spans="3:7" x14ac:dyDescent="0.3">
      <c r="C3122" s="109"/>
      <c r="D3122" s="109"/>
      <c r="E3122" s="109"/>
      <c r="F3122" s="110"/>
      <c r="G3122" s="109"/>
    </row>
    <row r="3123" spans="3:7" x14ac:dyDescent="0.3">
      <c r="C3123" s="109"/>
      <c r="D3123" s="109"/>
      <c r="E3123" s="109"/>
      <c r="F3123" s="110"/>
      <c r="G3123" s="109"/>
    </row>
    <row r="3124" spans="3:7" x14ac:dyDescent="0.3">
      <c r="C3124" s="109"/>
      <c r="D3124" s="109"/>
      <c r="E3124" s="109"/>
      <c r="F3124" s="110"/>
      <c r="G3124" s="109"/>
    </row>
    <row r="3125" spans="3:7" x14ac:dyDescent="0.3">
      <c r="C3125" s="109"/>
      <c r="D3125" s="109"/>
      <c r="E3125" s="109"/>
      <c r="F3125" s="110"/>
      <c r="G3125" s="109"/>
    </row>
    <row r="3126" spans="3:7" x14ac:dyDescent="0.3">
      <c r="C3126" s="109"/>
      <c r="D3126" s="109"/>
      <c r="E3126" s="109"/>
      <c r="F3126" s="110"/>
      <c r="G3126" s="109"/>
    </row>
    <row r="3127" spans="3:7" x14ac:dyDescent="0.3">
      <c r="C3127" s="109"/>
      <c r="D3127" s="109"/>
      <c r="E3127" s="109"/>
      <c r="F3127" s="110"/>
      <c r="G3127" s="109"/>
    </row>
    <row r="3128" spans="3:7" x14ac:dyDescent="0.3">
      <c r="C3128" s="109"/>
      <c r="D3128" s="109"/>
      <c r="E3128" s="109"/>
      <c r="F3128" s="110"/>
      <c r="G3128" s="109"/>
    </row>
    <row r="3129" spans="3:7" x14ac:dyDescent="0.3">
      <c r="C3129" s="109"/>
      <c r="D3129" s="109"/>
      <c r="E3129" s="109"/>
      <c r="F3129" s="110"/>
      <c r="G3129" s="109"/>
    </row>
    <row r="3130" spans="3:7" x14ac:dyDescent="0.3">
      <c r="C3130" s="109"/>
      <c r="D3130" s="109"/>
      <c r="E3130" s="109"/>
      <c r="F3130" s="110"/>
      <c r="G3130" s="109"/>
    </row>
    <row r="3131" spans="3:7" x14ac:dyDescent="0.3">
      <c r="C3131" s="109"/>
      <c r="D3131" s="109"/>
      <c r="E3131" s="109"/>
      <c r="F3131" s="110"/>
      <c r="G3131" s="109"/>
    </row>
    <row r="3132" spans="3:7" x14ac:dyDescent="0.3">
      <c r="C3132" s="109"/>
      <c r="D3132" s="109"/>
      <c r="E3132" s="109"/>
      <c r="F3132" s="110"/>
      <c r="G3132" s="109"/>
    </row>
    <row r="3133" spans="3:7" x14ac:dyDescent="0.3">
      <c r="C3133" s="109"/>
      <c r="D3133" s="109"/>
      <c r="E3133" s="109"/>
      <c r="F3133" s="110"/>
      <c r="G3133" s="109"/>
    </row>
    <row r="3134" spans="3:7" x14ac:dyDescent="0.3">
      <c r="C3134" s="109"/>
      <c r="D3134" s="109"/>
      <c r="E3134" s="109"/>
      <c r="F3134" s="110"/>
      <c r="G3134" s="109"/>
    </row>
    <row r="3135" spans="3:7" x14ac:dyDescent="0.3">
      <c r="C3135" s="109"/>
      <c r="D3135" s="109"/>
      <c r="E3135" s="109"/>
      <c r="F3135" s="110"/>
      <c r="G3135" s="109"/>
    </row>
    <row r="3136" spans="3:7" x14ac:dyDescent="0.3">
      <c r="C3136" s="109"/>
      <c r="D3136" s="109"/>
      <c r="E3136" s="109"/>
      <c r="F3136" s="110"/>
      <c r="G3136" s="109"/>
    </row>
    <row r="3137" spans="3:7" x14ac:dyDescent="0.3">
      <c r="C3137" s="109"/>
      <c r="D3137" s="109"/>
      <c r="E3137" s="109"/>
      <c r="F3137" s="110"/>
      <c r="G3137" s="109"/>
    </row>
    <row r="3138" spans="3:7" x14ac:dyDescent="0.3">
      <c r="C3138" s="109"/>
      <c r="D3138" s="109"/>
      <c r="E3138" s="109"/>
      <c r="F3138" s="110"/>
      <c r="G3138" s="109"/>
    </row>
    <row r="3139" spans="3:7" x14ac:dyDescent="0.3">
      <c r="C3139" s="109"/>
      <c r="D3139" s="109"/>
      <c r="E3139" s="109"/>
      <c r="F3139" s="110"/>
      <c r="G3139" s="109"/>
    </row>
    <row r="3140" spans="3:7" x14ac:dyDescent="0.3">
      <c r="C3140" s="109"/>
      <c r="D3140" s="109"/>
      <c r="E3140" s="109"/>
      <c r="F3140" s="110"/>
      <c r="G3140" s="109"/>
    </row>
    <row r="3141" spans="3:7" x14ac:dyDescent="0.3">
      <c r="C3141" s="109"/>
      <c r="D3141" s="109"/>
      <c r="E3141" s="109"/>
      <c r="F3141" s="110"/>
      <c r="G3141" s="109"/>
    </row>
    <row r="3142" spans="3:7" x14ac:dyDescent="0.3">
      <c r="C3142" s="109"/>
      <c r="D3142" s="109"/>
      <c r="E3142" s="109"/>
      <c r="F3142" s="110"/>
      <c r="G3142" s="109"/>
    </row>
    <row r="3143" spans="3:7" x14ac:dyDescent="0.3">
      <c r="C3143" s="109"/>
      <c r="D3143" s="109"/>
      <c r="E3143" s="109"/>
      <c r="F3143" s="110"/>
      <c r="G3143" s="109"/>
    </row>
    <row r="3144" spans="3:7" x14ac:dyDescent="0.3">
      <c r="C3144" s="109"/>
      <c r="D3144" s="109"/>
      <c r="E3144" s="109"/>
      <c r="F3144" s="110"/>
      <c r="G3144" s="109"/>
    </row>
    <row r="3145" spans="3:7" x14ac:dyDescent="0.3">
      <c r="C3145" s="109"/>
      <c r="D3145" s="109"/>
      <c r="E3145" s="109"/>
      <c r="F3145" s="110"/>
      <c r="G3145" s="109"/>
    </row>
    <row r="3146" spans="3:7" x14ac:dyDescent="0.3">
      <c r="C3146" s="109"/>
      <c r="D3146" s="109"/>
      <c r="E3146" s="109"/>
      <c r="F3146" s="110"/>
      <c r="G3146" s="109"/>
    </row>
    <row r="3147" spans="3:7" x14ac:dyDescent="0.3">
      <c r="C3147" s="109"/>
      <c r="D3147" s="109"/>
      <c r="E3147" s="109"/>
      <c r="F3147" s="110"/>
      <c r="G3147" s="109"/>
    </row>
    <row r="3148" spans="3:7" x14ac:dyDescent="0.3">
      <c r="C3148" s="109"/>
      <c r="D3148" s="109"/>
      <c r="E3148" s="109"/>
      <c r="F3148" s="110"/>
      <c r="G3148" s="109"/>
    </row>
    <row r="3149" spans="3:7" x14ac:dyDescent="0.3">
      <c r="C3149" s="109"/>
      <c r="D3149" s="109"/>
      <c r="E3149" s="109"/>
      <c r="F3149" s="110"/>
      <c r="G3149" s="109"/>
    </row>
    <row r="3150" spans="3:7" x14ac:dyDescent="0.3">
      <c r="C3150" s="109"/>
      <c r="D3150" s="109"/>
      <c r="E3150" s="109"/>
      <c r="F3150" s="110"/>
      <c r="G3150" s="109"/>
    </row>
    <row r="3151" spans="3:7" x14ac:dyDescent="0.3">
      <c r="C3151" s="109"/>
      <c r="D3151" s="109"/>
      <c r="E3151" s="109"/>
      <c r="F3151" s="110"/>
      <c r="G3151" s="109"/>
    </row>
    <row r="3152" spans="3:7" x14ac:dyDescent="0.3">
      <c r="C3152" s="109"/>
      <c r="D3152" s="109"/>
      <c r="E3152" s="109"/>
      <c r="F3152" s="110"/>
      <c r="G3152" s="109"/>
    </row>
    <row r="3153" spans="3:7" x14ac:dyDescent="0.3">
      <c r="C3153" s="109"/>
      <c r="D3153" s="109"/>
      <c r="E3153" s="109"/>
      <c r="F3153" s="110"/>
      <c r="G3153" s="109"/>
    </row>
    <row r="3154" spans="3:7" x14ac:dyDescent="0.3">
      <c r="C3154" s="109"/>
      <c r="D3154" s="109"/>
      <c r="E3154" s="109"/>
      <c r="F3154" s="110"/>
      <c r="G3154" s="109"/>
    </row>
    <row r="3155" spans="3:7" x14ac:dyDescent="0.3">
      <c r="C3155" s="109"/>
      <c r="D3155" s="109"/>
      <c r="E3155" s="109"/>
      <c r="F3155" s="110"/>
      <c r="G3155" s="109"/>
    </row>
    <row r="3156" spans="3:7" x14ac:dyDescent="0.3">
      <c r="C3156" s="109"/>
      <c r="D3156" s="109"/>
      <c r="E3156" s="109"/>
      <c r="F3156" s="110"/>
      <c r="G3156" s="109"/>
    </row>
    <row r="3157" spans="3:7" x14ac:dyDescent="0.3">
      <c r="C3157" s="109"/>
      <c r="D3157" s="109"/>
      <c r="E3157" s="109"/>
      <c r="F3157" s="110"/>
      <c r="G3157" s="109"/>
    </row>
    <row r="3158" spans="3:7" x14ac:dyDescent="0.3">
      <c r="C3158" s="109"/>
      <c r="D3158" s="109"/>
      <c r="E3158" s="109"/>
      <c r="F3158" s="110"/>
      <c r="G3158" s="109"/>
    </row>
    <row r="3159" spans="3:7" x14ac:dyDescent="0.3">
      <c r="C3159" s="109"/>
      <c r="D3159" s="109"/>
      <c r="E3159" s="109"/>
      <c r="F3159" s="110"/>
      <c r="G3159" s="109"/>
    </row>
    <row r="3160" spans="3:7" x14ac:dyDescent="0.3">
      <c r="C3160" s="109"/>
      <c r="D3160" s="109"/>
      <c r="E3160" s="109"/>
      <c r="F3160" s="110"/>
      <c r="G3160" s="109"/>
    </row>
    <row r="3161" spans="3:7" x14ac:dyDescent="0.3">
      <c r="C3161" s="109"/>
      <c r="D3161" s="109"/>
      <c r="E3161" s="109"/>
      <c r="F3161" s="110"/>
      <c r="G3161" s="109"/>
    </row>
    <row r="3162" spans="3:7" x14ac:dyDescent="0.3">
      <c r="C3162" s="109"/>
      <c r="D3162" s="109"/>
      <c r="E3162" s="109"/>
      <c r="F3162" s="110"/>
      <c r="G3162" s="109"/>
    </row>
    <row r="3163" spans="3:7" x14ac:dyDescent="0.3">
      <c r="C3163" s="109"/>
      <c r="D3163" s="109"/>
      <c r="E3163" s="109"/>
      <c r="F3163" s="110"/>
      <c r="G3163" s="109"/>
    </row>
    <row r="3164" spans="3:7" x14ac:dyDescent="0.3">
      <c r="C3164" s="109"/>
      <c r="D3164" s="109"/>
      <c r="E3164" s="109"/>
      <c r="F3164" s="110"/>
      <c r="G3164" s="109"/>
    </row>
    <row r="3165" spans="3:7" x14ac:dyDescent="0.3">
      <c r="C3165" s="109"/>
      <c r="D3165" s="109"/>
      <c r="E3165" s="109"/>
      <c r="F3165" s="110"/>
      <c r="G3165" s="109"/>
    </row>
    <row r="3166" spans="3:7" x14ac:dyDescent="0.3">
      <c r="C3166" s="109"/>
      <c r="D3166" s="109"/>
      <c r="E3166" s="109"/>
      <c r="F3166" s="110"/>
      <c r="G3166" s="109"/>
    </row>
    <row r="3167" spans="3:7" x14ac:dyDescent="0.3">
      <c r="C3167" s="109"/>
      <c r="D3167" s="109"/>
      <c r="E3167" s="109"/>
      <c r="F3167" s="110"/>
      <c r="G3167" s="109"/>
    </row>
    <row r="3168" spans="3:7" x14ac:dyDescent="0.3">
      <c r="C3168" s="109"/>
      <c r="D3168" s="109"/>
      <c r="E3168" s="109"/>
      <c r="F3168" s="110"/>
      <c r="G3168" s="109"/>
    </row>
    <row r="3169" spans="3:7" x14ac:dyDescent="0.3">
      <c r="C3169" s="109"/>
      <c r="D3169" s="109"/>
      <c r="E3169" s="109"/>
      <c r="F3169" s="110"/>
      <c r="G3169" s="109"/>
    </row>
    <row r="3170" spans="3:7" x14ac:dyDescent="0.3">
      <c r="C3170" s="109"/>
      <c r="D3170" s="109"/>
      <c r="E3170" s="109"/>
      <c r="F3170" s="110"/>
      <c r="G3170" s="109"/>
    </row>
    <row r="3171" spans="3:7" x14ac:dyDescent="0.3">
      <c r="C3171" s="109"/>
      <c r="D3171" s="109"/>
      <c r="E3171" s="109"/>
      <c r="F3171" s="110"/>
      <c r="G3171" s="109"/>
    </row>
    <row r="3172" spans="3:7" x14ac:dyDescent="0.3">
      <c r="C3172" s="109"/>
      <c r="D3172" s="109"/>
      <c r="E3172" s="109"/>
      <c r="F3172" s="110"/>
      <c r="G3172" s="109"/>
    </row>
    <row r="3173" spans="3:7" x14ac:dyDescent="0.3">
      <c r="C3173" s="109"/>
      <c r="D3173" s="109"/>
      <c r="E3173" s="109"/>
      <c r="F3173" s="110"/>
      <c r="G3173" s="109"/>
    </row>
    <row r="3174" spans="3:7" x14ac:dyDescent="0.3">
      <c r="C3174" s="109"/>
      <c r="D3174" s="109"/>
      <c r="E3174" s="109"/>
      <c r="F3174" s="110"/>
      <c r="G3174" s="109"/>
    </row>
    <row r="3175" spans="3:7" x14ac:dyDescent="0.3">
      <c r="C3175" s="109"/>
      <c r="D3175" s="109"/>
      <c r="E3175" s="109"/>
      <c r="F3175" s="110"/>
      <c r="G3175" s="109"/>
    </row>
    <row r="3176" spans="3:7" x14ac:dyDescent="0.3">
      <c r="C3176" s="109"/>
      <c r="D3176" s="109"/>
      <c r="E3176" s="109"/>
      <c r="F3176" s="110"/>
      <c r="G3176" s="109"/>
    </row>
    <row r="3177" spans="3:7" x14ac:dyDescent="0.3">
      <c r="C3177" s="109"/>
      <c r="D3177" s="109"/>
      <c r="E3177" s="109"/>
      <c r="F3177" s="110"/>
      <c r="G3177" s="109"/>
    </row>
    <row r="3178" spans="3:7" x14ac:dyDescent="0.3">
      <c r="C3178" s="109"/>
      <c r="D3178" s="109"/>
      <c r="E3178" s="109"/>
      <c r="F3178" s="110"/>
      <c r="G3178" s="109"/>
    </row>
    <row r="3179" spans="3:7" x14ac:dyDescent="0.3">
      <c r="C3179" s="109"/>
      <c r="D3179" s="109"/>
      <c r="E3179" s="109"/>
      <c r="F3179" s="110"/>
      <c r="G3179" s="109"/>
    </row>
    <row r="3180" spans="3:7" x14ac:dyDescent="0.3">
      <c r="C3180" s="109"/>
      <c r="D3180" s="109"/>
      <c r="E3180" s="109"/>
      <c r="F3180" s="110"/>
      <c r="G3180" s="109"/>
    </row>
    <row r="3181" spans="3:7" x14ac:dyDescent="0.3">
      <c r="C3181" s="109"/>
      <c r="D3181" s="109"/>
      <c r="E3181" s="109"/>
      <c r="F3181" s="110"/>
      <c r="G3181" s="109"/>
    </row>
    <row r="3182" spans="3:7" x14ac:dyDescent="0.3">
      <c r="C3182" s="109"/>
      <c r="D3182" s="109"/>
      <c r="E3182" s="109"/>
      <c r="F3182" s="110"/>
      <c r="G3182" s="109"/>
    </row>
    <row r="3183" spans="3:7" x14ac:dyDescent="0.3">
      <c r="C3183" s="109"/>
      <c r="D3183" s="109"/>
      <c r="E3183" s="109"/>
      <c r="F3183" s="110"/>
      <c r="G3183" s="109"/>
    </row>
    <row r="3184" spans="3:7" x14ac:dyDescent="0.3">
      <c r="C3184" s="109"/>
      <c r="D3184" s="109"/>
      <c r="E3184" s="109"/>
      <c r="F3184" s="110"/>
      <c r="G3184" s="109"/>
    </row>
    <row r="3185" spans="3:7" x14ac:dyDescent="0.3">
      <c r="C3185" s="109"/>
      <c r="D3185" s="109"/>
      <c r="E3185" s="109"/>
      <c r="F3185" s="110"/>
      <c r="G3185" s="109"/>
    </row>
    <row r="3186" spans="3:7" x14ac:dyDescent="0.3">
      <c r="C3186" s="109"/>
      <c r="D3186" s="109"/>
      <c r="E3186" s="109"/>
      <c r="F3186" s="110"/>
      <c r="G3186" s="109"/>
    </row>
    <row r="3187" spans="3:7" x14ac:dyDescent="0.3">
      <c r="C3187" s="109"/>
      <c r="D3187" s="109"/>
      <c r="E3187" s="109"/>
      <c r="F3187" s="110"/>
      <c r="G3187" s="109"/>
    </row>
    <row r="3188" spans="3:7" x14ac:dyDescent="0.3">
      <c r="C3188" s="109"/>
      <c r="D3188" s="109"/>
      <c r="E3188" s="109"/>
      <c r="F3188" s="110"/>
      <c r="G3188" s="109"/>
    </row>
    <row r="3189" spans="3:7" x14ac:dyDescent="0.3">
      <c r="C3189" s="109"/>
      <c r="D3189" s="109"/>
      <c r="E3189" s="109"/>
      <c r="F3189" s="110"/>
      <c r="G3189" s="109"/>
    </row>
    <row r="3190" spans="3:7" x14ac:dyDescent="0.3">
      <c r="C3190" s="109"/>
      <c r="D3190" s="109"/>
      <c r="E3190" s="109"/>
      <c r="F3190" s="110"/>
      <c r="G3190" s="109"/>
    </row>
    <row r="3191" spans="3:7" x14ac:dyDescent="0.3">
      <c r="C3191" s="109"/>
      <c r="D3191" s="109"/>
      <c r="E3191" s="109"/>
      <c r="F3191" s="110"/>
      <c r="G3191" s="109"/>
    </row>
    <row r="3192" spans="3:7" x14ac:dyDescent="0.3">
      <c r="C3192" s="109"/>
      <c r="D3192" s="109"/>
      <c r="E3192" s="109"/>
      <c r="F3192" s="110"/>
      <c r="G3192" s="109"/>
    </row>
    <row r="3193" spans="3:7" x14ac:dyDescent="0.3">
      <c r="C3193" s="109"/>
      <c r="D3193" s="109"/>
      <c r="E3193" s="109"/>
      <c r="F3193" s="110"/>
      <c r="G3193" s="109"/>
    </row>
    <row r="3194" spans="3:7" x14ac:dyDescent="0.3">
      <c r="C3194" s="109"/>
      <c r="D3194" s="109"/>
      <c r="E3194" s="109"/>
      <c r="F3194" s="110"/>
      <c r="G3194" s="109"/>
    </row>
    <row r="3195" spans="3:7" x14ac:dyDescent="0.3">
      <c r="C3195" s="109"/>
      <c r="D3195" s="109"/>
      <c r="E3195" s="109"/>
      <c r="F3195" s="110"/>
      <c r="G3195" s="109"/>
    </row>
    <row r="3196" spans="3:7" x14ac:dyDescent="0.3">
      <c r="C3196" s="109"/>
      <c r="D3196" s="109"/>
      <c r="E3196" s="109"/>
      <c r="F3196" s="110"/>
      <c r="G3196" s="109"/>
    </row>
    <row r="3197" spans="3:7" x14ac:dyDescent="0.3">
      <c r="C3197" s="109"/>
      <c r="D3197" s="109"/>
      <c r="E3197" s="109"/>
      <c r="F3197" s="110"/>
      <c r="G3197" s="109"/>
    </row>
    <row r="3198" spans="3:7" x14ac:dyDescent="0.3">
      <c r="C3198" s="109"/>
      <c r="D3198" s="109"/>
      <c r="E3198" s="109"/>
      <c r="F3198" s="110"/>
      <c r="G3198" s="109"/>
    </row>
    <row r="3199" spans="3:7" x14ac:dyDescent="0.3">
      <c r="C3199" s="109"/>
      <c r="D3199" s="109"/>
      <c r="E3199" s="109"/>
      <c r="F3199" s="110"/>
      <c r="G3199" s="109"/>
    </row>
    <row r="3200" spans="3:7" x14ac:dyDescent="0.3">
      <c r="C3200" s="109"/>
      <c r="D3200" s="109"/>
      <c r="E3200" s="109"/>
      <c r="F3200" s="110"/>
      <c r="G3200" s="109"/>
    </row>
    <row r="3201" spans="3:7" x14ac:dyDescent="0.3">
      <c r="C3201" s="109"/>
      <c r="D3201" s="109"/>
      <c r="E3201" s="109"/>
      <c r="F3201" s="110"/>
      <c r="G3201" s="109"/>
    </row>
    <row r="3202" spans="3:7" x14ac:dyDescent="0.3">
      <c r="C3202" s="109"/>
      <c r="D3202" s="109"/>
      <c r="E3202" s="109"/>
      <c r="F3202" s="110"/>
      <c r="G3202" s="109"/>
    </row>
    <row r="3203" spans="3:7" x14ac:dyDescent="0.3">
      <c r="C3203" s="109"/>
      <c r="D3203" s="109"/>
      <c r="E3203" s="109"/>
      <c r="F3203" s="110"/>
      <c r="G3203" s="109"/>
    </row>
    <row r="3204" spans="3:7" x14ac:dyDescent="0.3">
      <c r="C3204" s="109"/>
      <c r="D3204" s="109"/>
      <c r="E3204" s="109"/>
      <c r="F3204" s="110"/>
      <c r="G3204" s="109"/>
    </row>
    <row r="3205" spans="3:7" x14ac:dyDescent="0.3">
      <c r="C3205" s="109"/>
      <c r="D3205" s="109"/>
      <c r="E3205" s="109"/>
      <c r="F3205" s="110"/>
      <c r="G3205" s="109"/>
    </row>
    <row r="3206" spans="3:7" x14ac:dyDescent="0.3">
      <c r="C3206" s="109"/>
      <c r="D3206" s="109"/>
      <c r="E3206" s="109"/>
      <c r="F3206" s="110"/>
      <c r="G3206" s="109"/>
    </row>
    <row r="3207" spans="3:7" x14ac:dyDescent="0.3">
      <c r="C3207" s="109"/>
      <c r="D3207" s="109"/>
      <c r="E3207" s="109"/>
      <c r="F3207" s="110"/>
      <c r="G3207" s="109"/>
    </row>
    <row r="3208" spans="3:7" x14ac:dyDescent="0.3">
      <c r="C3208" s="109"/>
      <c r="D3208" s="109"/>
      <c r="E3208" s="109"/>
      <c r="F3208" s="110"/>
      <c r="G3208" s="109"/>
    </row>
    <row r="3209" spans="3:7" x14ac:dyDescent="0.3">
      <c r="C3209" s="109"/>
      <c r="D3209" s="109"/>
      <c r="E3209" s="109"/>
      <c r="F3209" s="110"/>
      <c r="G3209" s="109"/>
    </row>
    <row r="3210" spans="3:7" x14ac:dyDescent="0.3">
      <c r="C3210" s="109"/>
      <c r="D3210" s="109"/>
      <c r="E3210" s="109"/>
      <c r="F3210" s="110"/>
      <c r="G3210" s="109"/>
    </row>
    <row r="3211" spans="3:7" x14ac:dyDescent="0.3">
      <c r="C3211" s="109"/>
      <c r="D3211" s="109"/>
      <c r="E3211" s="109"/>
      <c r="F3211" s="110"/>
      <c r="G3211" s="109"/>
    </row>
    <row r="3212" spans="3:7" x14ac:dyDescent="0.3">
      <c r="C3212" s="109"/>
      <c r="D3212" s="109"/>
      <c r="E3212" s="109"/>
      <c r="F3212" s="110"/>
      <c r="G3212" s="109"/>
    </row>
    <row r="3213" spans="3:7" x14ac:dyDescent="0.3">
      <c r="C3213" s="109"/>
      <c r="D3213" s="109"/>
      <c r="E3213" s="109"/>
      <c r="F3213" s="110"/>
      <c r="G3213" s="109"/>
    </row>
    <row r="3214" spans="3:7" x14ac:dyDescent="0.3">
      <c r="C3214" s="109"/>
      <c r="D3214" s="109"/>
      <c r="E3214" s="109"/>
      <c r="F3214" s="110"/>
      <c r="G3214" s="109"/>
    </row>
    <row r="3215" spans="3:7" x14ac:dyDescent="0.3">
      <c r="C3215" s="109"/>
      <c r="D3215" s="109"/>
      <c r="E3215" s="109"/>
      <c r="F3215" s="110"/>
      <c r="G3215" s="109"/>
    </row>
    <row r="3216" spans="3:7" x14ac:dyDescent="0.3">
      <c r="C3216" s="109"/>
      <c r="D3216" s="109"/>
      <c r="E3216" s="109"/>
      <c r="F3216" s="110"/>
      <c r="G3216" s="109"/>
    </row>
    <row r="3217" spans="3:7" x14ac:dyDescent="0.3">
      <c r="C3217" s="109"/>
      <c r="D3217" s="109"/>
      <c r="E3217" s="109"/>
      <c r="F3217" s="110"/>
      <c r="G3217" s="109"/>
    </row>
    <row r="3218" spans="3:7" x14ac:dyDescent="0.3">
      <c r="C3218" s="109"/>
      <c r="D3218" s="109"/>
      <c r="E3218" s="109"/>
      <c r="F3218" s="110"/>
      <c r="G3218" s="109"/>
    </row>
    <row r="3219" spans="3:7" x14ac:dyDescent="0.3">
      <c r="C3219" s="109"/>
      <c r="D3219" s="109"/>
      <c r="E3219" s="109"/>
      <c r="F3219" s="110"/>
      <c r="G3219" s="109"/>
    </row>
    <row r="3220" spans="3:7" x14ac:dyDescent="0.3">
      <c r="C3220" s="109"/>
      <c r="D3220" s="109"/>
      <c r="E3220" s="109"/>
      <c r="F3220" s="110"/>
      <c r="G3220" s="109"/>
    </row>
    <row r="3221" spans="3:7" x14ac:dyDescent="0.3">
      <c r="C3221" s="109"/>
      <c r="D3221" s="109"/>
      <c r="E3221" s="109"/>
      <c r="F3221" s="110"/>
      <c r="G3221" s="109"/>
    </row>
    <row r="3222" spans="3:7" x14ac:dyDescent="0.3">
      <c r="C3222" s="109"/>
      <c r="D3222" s="109"/>
      <c r="E3222" s="109"/>
      <c r="F3222" s="110"/>
      <c r="G3222" s="109"/>
    </row>
    <row r="3223" spans="3:7" x14ac:dyDescent="0.3">
      <c r="C3223" s="109"/>
      <c r="D3223" s="109"/>
      <c r="E3223" s="109"/>
      <c r="F3223" s="110"/>
      <c r="G3223" s="109"/>
    </row>
    <row r="3224" spans="3:7" x14ac:dyDescent="0.3">
      <c r="C3224" s="109"/>
      <c r="D3224" s="109"/>
      <c r="E3224" s="109"/>
      <c r="F3224" s="110"/>
      <c r="G3224" s="109"/>
    </row>
    <row r="3225" spans="3:7" x14ac:dyDescent="0.3">
      <c r="C3225" s="109"/>
      <c r="D3225" s="109"/>
      <c r="E3225" s="109"/>
      <c r="F3225" s="110"/>
      <c r="G3225" s="109"/>
    </row>
    <row r="3226" spans="3:7" x14ac:dyDescent="0.3">
      <c r="C3226" s="109"/>
      <c r="D3226" s="109"/>
      <c r="E3226" s="109"/>
      <c r="F3226" s="110"/>
      <c r="G3226" s="109"/>
    </row>
    <row r="3227" spans="3:7" x14ac:dyDescent="0.3">
      <c r="C3227" s="109"/>
      <c r="D3227" s="109"/>
      <c r="E3227" s="109"/>
      <c r="F3227" s="110"/>
      <c r="G3227" s="109"/>
    </row>
    <row r="3228" spans="3:7" x14ac:dyDescent="0.3">
      <c r="C3228" s="109"/>
      <c r="D3228" s="109"/>
      <c r="E3228" s="109"/>
      <c r="F3228" s="110"/>
      <c r="G3228" s="109"/>
    </row>
    <row r="3229" spans="3:7" x14ac:dyDescent="0.3">
      <c r="C3229" s="109"/>
      <c r="D3229" s="109"/>
      <c r="E3229" s="109"/>
      <c r="F3229" s="110"/>
      <c r="G3229" s="109"/>
    </row>
    <row r="3230" spans="3:7" x14ac:dyDescent="0.3">
      <c r="C3230" s="109"/>
      <c r="D3230" s="109"/>
      <c r="E3230" s="109"/>
      <c r="F3230" s="110"/>
      <c r="G3230" s="109"/>
    </row>
    <row r="3231" spans="3:7" x14ac:dyDescent="0.3">
      <c r="C3231" s="109"/>
      <c r="D3231" s="109"/>
      <c r="E3231" s="109"/>
      <c r="F3231" s="110"/>
      <c r="G3231" s="109"/>
    </row>
    <row r="3232" spans="3:7" x14ac:dyDescent="0.3">
      <c r="C3232" s="109"/>
      <c r="D3232" s="109"/>
      <c r="E3232" s="109"/>
      <c r="F3232" s="110"/>
      <c r="G3232" s="109"/>
    </row>
    <row r="3233" spans="3:7" x14ac:dyDescent="0.3">
      <c r="C3233" s="109"/>
      <c r="D3233" s="109"/>
      <c r="E3233" s="109"/>
      <c r="F3233" s="110"/>
      <c r="G3233" s="109"/>
    </row>
    <row r="3234" spans="3:7" x14ac:dyDescent="0.3">
      <c r="C3234" s="109"/>
      <c r="D3234" s="109"/>
      <c r="E3234" s="109"/>
      <c r="F3234" s="110"/>
      <c r="G3234" s="109"/>
    </row>
    <row r="3235" spans="3:7" x14ac:dyDescent="0.3">
      <c r="C3235" s="109"/>
      <c r="D3235" s="109"/>
      <c r="E3235" s="109"/>
      <c r="F3235" s="110"/>
      <c r="G3235" s="109"/>
    </row>
    <row r="3236" spans="3:7" x14ac:dyDescent="0.3">
      <c r="C3236" s="109"/>
      <c r="D3236" s="109"/>
      <c r="E3236" s="109"/>
      <c r="F3236" s="110"/>
      <c r="G3236" s="109"/>
    </row>
    <row r="3237" spans="3:7" x14ac:dyDescent="0.3">
      <c r="C3237" s="109"/>
      <c r="D3237" s="109"/>
      <c r="E3237" s="109"/>
      <c r="F3237" s="110"/>
      <c r="G3237" s="109"/>
    </row>
    <row r="3238" spans="3:7" x14ac:dyDescent="0.3">
      <c r="C3238" s="109"/>
      <c r="D3238" s="109"/>
      <c r="E3238" s="109"/>
      <c r="F3238" s="110"/>
      <c r="G3238" s="109"/>
    </row>
    <row r="3239" spans="3:7" x14ac:dyDescent="0.3">
      <c r="C3239" s="109"/>
      <c r="D3239" s="109"/>
      <c r="E3239" s="109"/>
      <c r="F3239" s="110"/>
      <c r="G3239" s="109"/>
    </row>
    <row r="3240" spans="3:7" x14ac:dyDescent="0.3">
      <c r="C3240" s="109"/>
      <c r="D3240" s="109"/>
      <c r="E3240" s="109"/>
      <c r="F3240" s="110"/>
      <c r="G3240" s="109"/>
    </row>
    <row r="3241" spans="3:7" x14ac:dyDescent="0.3">
      <c r="C3241" s="109"/>
      <c r="D3241" s="109"/>
      <c r="E3241" s="109"/>
      <c r="F3241" s="110"/>
      <c r="G3241" s="109"/>
    </row>
    <row r="3242" spans="3:7" x14ac:dyDescent="0.3">
      <c r="C3242" s="109"/>
      <c r="D3242" s="109"/>
      <c r="E3242" s="109"/>
      <c r="F3242" s="110"/>
      <c r="G3242" s="109"/>
    </row>
    <row r="3243" spans="3:7" x14ac:dyDescent="0.3">
      <c r="C3243" s="109"/>
      <c r="D3243" s="109"/>
      <c r="E3243" s="109"/>
      <c r="F3243" s="110"/>
      <c r="G3243" s="109"/>
    </row>
    <row r="3244" spans="3:7" x14ac:dyDescent="0.3">
      <c r="C3244" s="109"/>
      <c r="D3244" s="109"/>
      <c r="E3244" s="109"/>
      <c r="F3244" s="110"/>
      <c r="G3244" s="109"/>
    </row>
    <row r="3245" spans="3:7" x14ac:dyDescent="0.3">
      <c r="C3245" s="109"/>
      <c r="D3245" s="109"/>
      <c r="E3245" s="109"/>
      <c r="F3245" s="110"/>
      <c r="G3245" s="109"/>
    </row>
    <row r="3246" spans="3:7" x14ac:dyDescent="0.3">
      <c r="C3246" s="109"/>
      <c r="D3246" s="109"/>
      <c r="E3246" s="109"/>
      <c r="F3246" s="110"/>
      <c r="G3246" s="109"/>
    </row>
    <row r="3247" spans="3:7" x14ac:dyDescent="0.3">
      <c r="C3247" s="109"/>
      <c r="D3247" s="109"/>
      <c r="E3247" s="109"/>
      <c r="F3247" s="110"/>
      <c r="G3247" s="109"/>
    </row>
    <row r="3248" spans="3:7" x14ac:dyDescent="0.3">
      <c r="C3248" s="109"/>
      <c r="D3248" s="109"/>
      <c r="E3248" s="109"/>
      <c r="F3248" s="110"/>
      <c r="G3248" s="109"/>
    </row>
    <row r="3249" spans="3:7" x14ac:dyDescent="0.3">
      <c r="C3249" s="109"/>
      <c r="D3249" s="109"/>
      <c r="E3249" s="109"/>
      <c r="F3249" s="110"/>
      <c r="G3249" s="109"/>
    </row>
    <row r="3250" spans="3:7" x14ac:dyDescent="0.3">
      <c r="C3250" s="109"/>
      <c r="D3250" s="109"/>
      <c r="E3250" s="109"/>
      <c r="F3250" s="110"/>
      <c r="G3250" s="109"/>
    </row>
    <row r="3251" spans="3:7" x14ac:dyDescent="0.3">
      <c r="C3251" s="109"/>
      <c r="D3251" s="109"/>
      <c r="E3251" s="109"/>
      <c r="F3251" s="110"/>
      <c r="G3251" s="109"/>
    </row>
    <row r="3252" spans="3:7" x14ac:dyDescent="0.3">
      <c r="C3252" s="109"/>
      <c r="D3252" s="109"/>
      <c r="E3252" s="109"/>
      <c r="F3252" s="110"/>
      <c r="G3252" s="109"/>
    </row>
    <row r="3253" spans="3:7" x14ac:dyDescent="0.3">
      <c r="C3253" s="109"/>
      <c r="D3253" s="109"/>
      <c r="E3253" s="109"/>
      <c r="F3253" s="110"/>
      <c r="G3253" s="109"/>
    </row>
    <row r="3254" spans="3:7" x14ac:dyDescent="0.3">
      <c r="C3254" s="109"/>
      <c r="D3254" s="109"/>
      <c r="E3254" s="109"/>
      <c r="F3254" s="110"/>
      <c r="G3254" s="109"/>
    </row>
    <row r="3255" spans="3:7" x14ac:dyDescent="0.3">
      <c r="C3255" s="109"/>
      <c r="D3255" s="109"/>
      <c r="E3255" s="109"/>
      <c r="F3255" s="110"/>
      <c r="G3255" s="109"/>
    </row>
    <row r="3256" spans="3:7" x14ac:dyDescent="0.3">
      <c r="C3256" s="109"/>
      <c r="D3256" s="109"/>
      <c r="E3256" s="109"/>
      <c r="F3256" s="110"/>
      <c r="G3256" s="109"/>
    </row>
    <row r="3257" spans="3:7" x14ac:dyDescent="0.3">
      <c r="C3257" s="109"/>
      <c r="D3257" s="109"/>
      <c r="E3257" s="109"/>
      <c r="F3257" s="110"/>
      <c r="G3257" s="109"/>
    </row>
    <row r="3258" spans="3:7" x14ac:dyDescent="0.3">
      <c r="C3258" s="109"/>
      <c r="D3258" s="109"/>
      <c r="E3258" s="109"/>
      <c r="F3258" s="110"/>
      <c r="G3258" s="109"/>
    </row>
    <row r="3259" spans="3:7" x14ac:dyDescent="0.3">
      <c r="C3259" s="109"/>
      <c r="D3259" s="109"/>
      <c r="E3259" s="109"/>
      <c r="F3259" s="110"/>
      <c r="G3259" s="109"/>
    </row>
    <row r="3260" spans="3:7" x14ac:dyDescent="0.3">
      <c r="C3260" s="109"/>
      <c r="D3260" s="109"/>
      <c r="E3260" s="109"/>
      <c r="F3260" s="110"/>
      <c r="G3260" s="109"/>
    </row>
    <row r="3261" spans="3:7" x14ac:dyDescent="0.3">
      <c r="C3261" s="109"/>
      <c r="D3261" s="109"/>
      <c r="E3261" s="109"/>
      <c r="F3261" s="110"/>
      <c r="G3261" s="109"/>
    </row>
    <row r="3262" spans="3:7" x14ac:dyDescent="0.3">
      <c r="C3262" s="109"/>
      <c r="D3262" s="109"/>
      <c r="E3262" s="109"/>
      <c r="F3262" s="110"/>
      <c r="G3262" s="109"/>
    </row>
    <row r="3263" spans="3:7" x14ac:dyDescent="0.3">
      <c r="C3263" s="109"/>
      <c r="D3263" s="109"/>
      <c r="E3263" s="109"/>
      <c r="F3263" s="110"/>
      <c r="G3263" s="109"/>
    </row>
    <row r="3264" spans="3:7" x14ac:dyDescent="0.3">
      <c r="C3264" s="109"/>
      <c r="D3264" s="109"/>
      <c r="E3264" s="109"/>
      <c r="F3264" s="110"/>
      <c r="G3264" s="109"/>
    </row>
    <row r="3265" spans="3:7" x14ac:dyDescent="0.3">
      <c r="C3265" s="109"/>
      <c r="D3265" s="109"/>
      <c r="E3265" s="109"/>
      <c r="F3265" s="110"/>
      <c r="G3265" s="109"/>
    </row>
    <row r="3266" spans="3:7" x14ac:dyDescent="0.3">
      <c r="C3266" s="109"/>
      <c r="D3266" s="109"/>
      <c r="E3266" s="109"/>
      <c r="F3266" s="110"/>
      <c r="G3266" s="109"/>
    </row>
    <row r="3267" spans="3:7" x14ac:dyDescent="0.3">
      <c r="C3267" s="109"/>
      <c r="D3267" s="109"/>
      <c r="E3267" s="109"/>
      <c r="F3267" s="110"/>
      <c r="G3267" s="109"/>
    </row>
    <row r="3268" spans="3:7" x14ac:dyDescent="0.3">
      <c r="C3268" s="109"/>
      <c r="D3268" s="109"/>
      <c r="E3268" s="109"/>
      <c r="F3268" s="110"/>
      <c r="G3268" s="109"/>
    </row>
    <row r="3269" spans="3:7" x14ac:dyDescent="0.3">
      <c r="C3269" s="109"/>
      <c r="D3269" s="109"/>
      <c r="E3269" s="109"/>
      <c r="F3269" s="110"/>
      <c r="G3269" s="109"/>
    </row>
    <row r="3270" spans="3:7" x14ac:dyDescent="0.3">
      <c r="C3270" s="109"/>
      <c r="D3270" s="109"/>
      <c r="E3270" s="109"/>
      <c r="F3270" s="110"/>
      <c r="G3270" s="109"/>
    </row>
    <row r="3271" spans="3:7" x14ac:dyDescent="0.3">
      <c r="C3271" s="109"/>
      <c r="D3271" s="109"/>
      <c r="E3271" s="109"/>
      <c r="F3271" s="110"/>
      <c r="G3271" s="109"/>
    </row>
    <row r="3272" spans="3:7" x14ac:dyDescent="0.3">
      <c r="C3272" s="109"/>
      <c r="D3272" s="109"/>
      <c r="E3272" s="109"/>
      <c r="F3272" s="110"/>
      <c r="G3272" s="109"/>
    </row>
    <row r="3273" spans="3:7" x14ac:dyDescent="0.3">
      <c r="C3273" s="109"/>
      <c r="D3273" s="109"/>
      <c r="E3273" s="109"/>
      <c r="F3273" s="110"/>
      <c r="G3273" s="109"/>
    </row>
    <row r="3274" spans="3:7" x14ac:dyDescent="0.3">
      <c r="C3274" s="109"/>
      <c r="D3274" s="109"/>
      <c r="E3274" s="109"/>
      <c r="F3274" s="110"/>
      <c r="G3274" s="109"/>
    </row>
    <row r="3275" spans="3:7" x14ac:dyDescent="0.3">
      <c r="C3275" s="109"/>
      <c r="D3275" s="109"/>
      <c r="E3275" s="109"/>
      <c r="F3275" s="110"/>
      <c r="G3275" s="109"/>
    </row>
    <row r="3276" spans="3:7" x14ac:dyDescent="0.3">
      <c r="C3276" s="109"/>
      <c r="D3276" s="109"/>
      <c r="E3276" s="109"/>
      <c r="F3276" s="110"/>
      <c r="G3276" s="109"/>
    </row>
    <row r="3277" spans="3:7" x14ac:dyDescent="0.3">
      <c r="C3277" s="109"/>
      <c r="D3277" s="109"/>
      <c r="E3277" s="109"/>
      <c r="F3277" s="110"/>
      <c r="G3277" s="109"/>
    </row>
    <row r="3278" spans="3:7" x14ac:dyDescent="0.3">
      <c r="C3278" s="109"/>
      <c r="D3278" s="109"/>
      <c r="E3278" s="109"/>
      <c r="F3278" s="110"/>
      <c r="G3278" s="109"/>
    </row>
    <row r="3279" spans="3:7" x14ac:dyDescent="0.3">
      <c r="C3279" s="109"/>
      <c r="D3279" s="109"/>
      <c r="E3279" s="109"/>
      <c r="F3279" s="110"/>
      <c r="G3279" s="109"/>
    </row>
    <row r="3280" spans="3:7" x14ac:dyDescent="0.3">
      <c r="C3280" s="109"/>
      <c r="D3280" s="109"/>
      <c r="E3280" s="109"/>
      <c r="F3280" s="110"/>
      <c r="G3280" s="109"/>
    </row>
    <row r="3281" spans="3:7" x14ac:dyDescent="0.3">
      <c r="C3281" s="109"/>
      <c r="D3281" s="109"/>
      <c r="E3281" s="109"/>
      <c r="F3281" s="110"/>
      <c r="G3281" s="109"/>
    </row>
    <row r="3282" spans="3:7" x14ac:dyDescent="0.3">
      <c r="C3282" s="109"/>
      <c r="D3282" s="109"/>
      <c r="E3282" s="109"/>
      <c r="F3282" s="110"/>
      <c r="G3282" s="109"/>
    </row>
    <row r="3283" spans="3:7" x14ac:dyDescent="0.3">
      <c r="C3283" s="109"/>
      <c r="D3283" s="109"/>
      <c r="E3283" s="109"/>
      <c r="F3283" s="110"/>
      <c r="G3283" s="109"/>
    </row>
    <row r="3284" spans="3:7" x14ac:dyDescent="0.3">
      <c r="C3284" s="109"/>
      <c r="D3284" s="109"/>
      <c r="E3284" s="109"/>
      <c r="F3284" s="110"/>
      <c r="G3284" s="109"/>
    </row>
    <row r="3285" spans="3:7" x14ac:dyDescent="0.3">
      <c r="C3285" s="109"/>
      <c r="D3285" s="109"/>
      <c r="E3285" s="109"/>
      <c r="F3285" s="110"/>
      <c r="G3285" s="109"/>
    </row>
    <row r="3286" spans="3:7" x14ac:dyDescent="0.3">
      <c r="C3286" s="109"/>
      <c r="D3286" s="109"/>
      <c r="E3286" s="109"/>
      <c r="F3286" s="110"/>
      <c r="G3286" s="109"/>
    </row>
    <row r="3287" spans="3:7" x14ac:dyDescent="0.3">
      <c r="C3287" s="109"/>
      <c r="D3287" s="109"/>
      <c r="E3287" s="109"/>
      <c r="F3287" s="110"/>
      <c r="G3287" s="109"/>
    </row>
    <row r="3288" spans="3:7" x14ac:dyDescent="0.3">
      <c r="C3288" s="109"/>
      <c r="D3288" s="109"/>
      <c r="E3288" s="109"/>
      <c r="F3288" s="110"/>
      <c r="G3288" s="109"/>
    </row>
    <row r="3289" spans="3:7" x14ac:dyDescent="0.3">
      <c r="C3289" s="109"/>
      <c r="D3289" s="109"/>
      <c r="E3289" s="109"/>
      <c r="F3289" s="110"/>
      <c r="G3289" s="109"/>
    </row>
    <row r="3290" spans="3:7" x14ac:dyDescent="0.3">
      <c r="C3290" s="109"/>
      <c r="D3290" s="109"/>
      <c r="E3290" s="109"/>
      <c r="F3290" s="110"/>
      <c r="G3290" s="109"/>
    </row>
    <row r="3291" spans="3:7" x14ac:dyDescent="0.3">
      <c r="C3291" s="109"/>
      <c r="D3291" s="109"/>
      <c r="E3291" s="109"/>
      <c r="F3291" s="110"/>
      <c r="G3291" s="109"/>
    </row>
    <row r="3292" spans="3:7" x14ac:dyDescent="0.3">
      <c r="C3292" s="109"/>
      <c r="D3292" s="109"/>
      <c r="E3292" s="109"/>
      <c r="F3292" s="110"/>
      <c r="G3292" s="109"/>
    </row>
    <row r="3293" spans="3:7" x14ac:dyDescent="0.3">
      <c r="C3293" s="109"/>
      <c r="D3293" s="109"/>
      <c r="E3293" s="109"/>
      <c r="F3293" s="110"/>
      <c r="G3293" s="109"/>
    </row>
    <row r="3294" spans="3:7" x14ac:dyDescent="0.3">
      <c r="C3294" s="109"/>
      <c r="D3294" s="109"/>
      <c r="E3294" s="109"/>
      <c r="F3294" s="110"/>
      <c r="G3294" s="109"/>
    </row>
    <row r="3295" spans="3:7" x14ac:dyDescent="0.3">
      <c r="C3295" s="109"/>
      <c r="D3295" s="109"/>
      <c r="E3295" s="109"/>
      <c r="F3295" s="110"/>
      <c r="G3295" s="109"/>
    </row>
    <row r="3296" spans="3:7" x14ac:dyDescent="0.3">
      <c r="C3296" s="109"/>
      <c r="D3296" s="109"/>
      <c r="E3296" s="109"/>
      <c r="F3296" s="110"/>
      <c r="G3296" s="109"/>
    </row>
    <row r="3297" spans="3:7" x14ac:dyDescent="0.3">
      <c r="C3297" s="109"/>
      <c r="D3297" s="109"/>
      <c r="E3297" s="109"/>
      <c r="F3297" s="110"/>
      <c r="G3297" s="109"/>
    </row>
    <row r="3298" spans="3:7" x14ac:dyDescent="0.3">
      <c r="C3298" s="109"/>
      <c r="D3298" s="109"/>
      <c r="E3298" s="109"/>
      <c r="F3298" s="110"/>
      <c r="G3298" s="109"/>
    </row>
    <row r="3299" spans="3:7" x14ac:dyDescent="0.3">
      <c r="C3299" s="109"/>
      <c r="D3299" s="109"/>
      <c r="E3299" s="109"/>
      <c r="F3299" s="110"/>
      <c r="G3299" s="109"/>
    </row>
    <row r="3300" spans="3:7" x14ac:dyDescent="0.3">
      <c r="C3300" s="109"/>
      <c r="D3300" s="109"/>
      <c r="E3300" s="109"/>
      <c r="F3300" s="110"/>
      <c r="G3300" s="109"/>
    </row>
    <row r="3301" spans="3:7" x14ac:dyDescent="0.3">
      <c r="C3301" s="109"/>
      <c r="D3301" s="109"/>
      <c r="E3301" s="109"/>
      <c r="F3301" s="110"/>
      <c r="G3301" s="109"/>
    </row>
    <row r="3302" spans="3:7" x14ac:dyDescent="0.3">
      <c r="C3302" s="109"/>
      <c r="D3302" s="109"/>
      <c r="E3302" s="109"/>
      <c r="F3302" s="110"/>
      <c r="G3302" s="109"/>
    </row>
    <row r="3303" spans="3:7" x14ac:dyDescent="0.3">
      <c r="C3303" s="109"/>
      <c r="D3303" s="109"/>
      <c r="E3303" s="109"/>
      <c r="F3303" s="110"/>
      <c r="G3303" s="109"/>
    </row>
    <row r="3304" spans="3:7" x14ac:dyDescent="0.3">
      <c r="C3304" s="109"/>
      <c r="D3304" s="109"/>
      <c r="E3304" s="109"/>
      <c r="F3304" s="110"/>
      <c r="G3304" s="109"/>
    </row>
    <row r="3305" spans="3:7" x14ac:dyDescent="0.3">
      <c r="C3305" s="109"/>
      <c r="D3305" s="109"/>
      <c r="E3305" s="109"/>
      <c r="F3305" s="110"/>
      <c r="G3305" s="109"/>
    </row>
    <row r="3306" spans="3:7" x14ac:dyDescent="0.3">
      <c r="C3306" s="109"/>
      <c r="D3306" s="109"/>
      <c r="E3306" s="109"/>
      <c r="F3306" s="110"/>
      <c r="G3306" s="109"/>
    </row>
    <row r="3307" spans="3:7" x14ac:dyDescent="0.3">
      <c r="C3307" s="109"/>
      <c r="D3307" s="109"/>
      <c r="E3307" s="109"/>
      <c r="F3307" s="110"/>
      <c r="G3307" s="109"/>
    </row>
    <row r="3308" spans="3:7" x14ac:dyDescent="0.3">
      <c r="C3308" s="109"/>
      <c r="D3308" s="109"/>
      <c r="E3308" s="109"/>
      <c r="F3308" s="110"/>
      <c r="G3308" s="109"/>
    </row>
    <row r="3309" spans="3:7" x14ac:dyDescent="0.3">
      <c r="C3309" s="109"/>
      <c r="D3309" s="109"/>
      <c r="E3309" s="109"/>
      <c r="F3309" s="110"/>
      <c r="G3309" s="109"/>
    </row>
    <row r="3310" spans="3:7" x14ac:dyDescent="0.3">
      <c r="C3310" s="109"/>
      <c r="D3310" s="109"/>
      <c r="E3310" s="109"/>
      <c r="F3310" s="110"/>
      <c r="G3310" s="109"/>
    </row>
    <row r="3311" spans="3:7" x14ac:dyDescent="0.3">
      <c r="C3311" s="109"/>
      <c r="D3311" s="109"/>
      <c r="E3311" s="109"/>
      <c r="F3311" s="110"/>
      <c r="G3311" s="109"/>
    </row>
    <row r="3312" spans="3:7" x14ac:dyDescent="0.3">
      <c r="C3312" s="109"/>
      <c r="D3312" s="109"/>
      <c r="E3312" s="109"/>
      <c r="F3312" s="110"/>
      <c r="G3312" s="109"/>
    </row>
    <row r="3313" spans="3:7" x14ac:dyDescent="0.3">
      <c r="C3313" s="109"/>
      <c r="D3313" s="109"/>
      <c r="E3313" s="109"/>
      <c r="F3313" s="110"/>
      <c r="G3313" s="109"/>
    </row>
    <row r="3314" spans="3:7" x14ac:dyDescent="0.3">
      <c r="C3314" s="109"/>
      <c r="D3314" s="109"/>
      <c r="E3314" s="109"/>
      <c r="F3314" s="110"/>
      <c r="G3314" s="109"/>
    </row>
    <row r="3315" spans="3:7" x14ac:dyDescent="0.3">
      <c r="C3315" s="109"/>
      <c r="D3315" s="109"/>
      <c r="E3315" s="109"/>
      <c r="F3315" s="110"/>
      <c r="G3315" s="109"/>
    </row>
    <row r="3316" spans="3:7" x14ac:dyDescent="0.3">
      <c r="C3316" s="109"/>
      <c r="D3316" s="109"/>
      <c r="E3316" s="109"/>
      <c r="F3316" s="110"/>
      <c r="G3316" s="109"/>
    </row>
    <row r="3317" spans="3:7" x14ac:dyDescent="0.3">
      <c r="C3317" s="109"/>
      <c r="D3317" s="109"/>
      <c r="E3317" s="109"/>
      <c r="F3317" s="110"/>
      <c r="G3317" s="109"/>
    </row>
    <row r="3318" spans="3:7" x14ac:dyDescent="0.3">
      <c r="C3318" s="109"/>
      <c r="D3318" s="109"/>
      <c r="E3318" s="109"/>
      <c r="F3318" s="110"/>
      <c r="G3318" s="109"/>
    </row>
    <row r="3319" spans="3:7" x14ac:dyDescent="0.3">
      <c r="C3319" s="109"/>
      <c r="D3319" s="109"/>
      <c r="E3319" s="109"/>
      <c r="F3319" s="110"/>
      <c r="G3319" s="109"/>
    </row>
    <row r="3320" spans="3:7" x14ac:dyDescent="0.3">
      <c r="C3320" s="109"/>
      <c r="D3320" s="109"/>
      <c r="E3320" s="109"/>
      <c r="F3320" s="110"/>
      <c r="G3320" s="109"/>
    </row>
    <row r="3321" spans="3:7" x14ac:dyDescent="0.3">
      <c r="C3321" s="109"/>
      <c r="D3321" s="109"/>
      <c r="E3321" s="109"/>
      <c r="F3321" s="110"/>
      <c r="G3321" s="109"/>
    </row>
    <row r="3322" spans="3:7" x14ac:dyDescent="0.3">
      <c r="C3322" s="109"/>
      <c r="D3322" s="109"/>
      <c r="E3322" s="109"/>
      <c r="F3322" s="110"/>
      <c r="G3322" s="109"/>
    </row>
    <row r="3323" spans="3:7" x14ac:dyDescent="0.3">
      <c r="C3323" s="109"/>
      <c r="D3323" s="109"/>
      <c r="E3323" s="109"/>
      <c r="F3323" s="110"/>
      <c r="G3323" s="109"/>
    </row>
    <row r="3324" spans="3:7" x14ac:dyDescent="0.3">
      <c r="C3324" s="109"/>
      <c r="D3324" s="109"/>
      <c r="E3324" s="109"/>
      <c r="F3324" s="110"/>
      <c r="G3324" s="109"/>
    </row>
    <row r="3325" spans="3:7" x14ac:dyDescent="0.3">
      <c r="C3325" s="109"/>
      <c r="D3325" s="109"/>
      <c r="E3325" s="109"/>
      <c r="F3325" s="110"/>
      <c r="G3325" s="109"/>
    </row>
    <row r="3326" spans="3:7" x14ac:dyDescent="0.3">
      <c r="C3326" s="109"/>
      <c r="D3326" s="109"/>
      <c r="E3326" s="109"/>
      <c r="F3326" s="110"/>
      <c r="G3326" s="109"/>
    </row>
    <row r="3327" spans="3:7" x14ac:dyDescent="0.3">
      <c r="C3327" s="109"/>
      <c r="D3327" s="109"/>
      <c r="E3327" s="109"/>
      <c r="F3327" s="110"/>
      <c r="G3327" s="109"/>
    </row>
    <row r="3328" spans="3:7" x14ac:dyDescent="0.3">
      <c r="C3328" s="109"/>
      <c r="D3328" s="109"/>
      <c r="E3328" s="109"/>
      <c r="F3328" s="110"/>
      <c r="G3328" s="109"/>
    </row>
    <row r="3329" spans="3:7" x14ac:dyDescent="0.3">
      <c r="C3329" s="109"/>
      <c r="D3329" s="109"/>
      <c r="E3329" s="109"/>
      <c r="F3329" s="110"/>
      <c r="G3329" s="109"/>
    </row>
    <row r="3330" spans="3:7" x14ac:dyDescent="0.3">
      <c r="C3330" s="109"/>
      <c r="D3330" s="109"/>
      <c r="E3330" s="109"/>
      <c r="F3330" s="110"/>
      <c r="G3330" s="109"/>
    </row>
    <row r="3331" spans="3:7" x14ac:dyDescent="0.3">
      <c r="C3331" s="109"/>
      <c r="D3331" s="109"/>
      <c r="E3331" s="109"/>
      <c r="F3331" s="110"/>
      <c r="G3331" s="109"/>
    </row>
    <row r="3332" spans="3:7" x14ac:dyDescent="0.3">
      <c r="C3332" s="109"/>
      <c r="D3332" s="109"/>
      <c r="E3332" s="109"/>
      <c r="F3332" s="110"/>
      <c r="G3332" s="109"/>
    </row>
    <row r="3333" spans="3:7" x14ac:dyDescent="0.3">
      <c r="C3333" s="109"/>
      <c r="D3333" s="109"/>
      <c r="E3333" s="109"/>
      <c r="F3333" s="110"/>
      <c r="G3333" s="109"/>
    </row>
    <row r="3334" spans="3:7" x14ac:dyDescent="0.3">
      <c r="C3334" s="109"/>
      <c r="D3334" s="109"/>
      <c r="E3334" s="109"/>
      <c r="F3334" s="110"/>
      <c r="G3334" s="109"/>
    </row>
    <row r="3335" spans="3:7" x14ac:dyDescent="0.3">
      <c r="C3335" s="109"/>
      <c r="D3335" s="109"/>
      <c r="E3335" s="109"/>
      <c r="F3335" s="110"/>
      <c r="G3335" s="109"/>
    </row>
    <row r="3336" spans="3:7" x14ac:dyDescent="0.3">
      <c r="C3336" s="109"/>
      <c r="D3336" s="109"/>
      <c r="E3336" s="109"/>
      <c r="F3336" s="110"/>
      <c r="G3336" s="109"/>
    </row>
    <row r="3337" spans="3:7" x14ac:dyDescent="0.3">
      <c r="C3337" s="109"/>
      <c r="D3337" s="109"/>
      <c r="E3337" s="109"/>
      <c r="F3337" s="110"/>
      <c r="G3337" s="109"/>
    </row>
    <row r="3338" spans="3:7" x14ac:dyDescent="0.3">
      <c r="C3338" s="109"/>
      <c r="D3338" s="109"/>
      <c r="E3338" s="109"/>
      <c r="F3338" s="110"/>
      <c r="G3338" s="109"/>
    </row>
    <row r="3339" spans="3:7" x14ac:dyDescent="0.3">
      <c r="C3339" s="109"/>
      <c r="D3339" s="109"/>
      <c r="E3339" s="109"/>
      <c r="F3339" s="110"/>
      <c r="G3339" s="109"/>
    </row>
    <row r="3340" spans="3:7" x14ac:dyDescent="0.3">
      <c r="C3340" s="109"/>
      <c r="D3340" s="109"/>
      <c r="E3340" s="109"/>
      <c r="F3340" s="110"/>
      <c r="G3340" s="109"/>
    </row>
    <row r="3341" spans="3:7" x14ac:dyDescent="0.3">
      <c r="C3341" s="109"/>
      <c r="D3341" s="109"/>
      <c r="E3341" s="109"/>
      <c r="F3341" s="110"/>
      <c r="G3341" s="109"/>
    </row>
    <row r="3342" spans="3:7" x14ac:dyDescent="0.3">
      <c r="C3342" s="109"/>
      <c r="D3342" s="109"/>
      <c r="E3342" s="109"/>
      <c r="F3342" s="110"/>
      <c r="G3342" s="109"/>
    </row>
    <row r="3343" spans="3:7" x14ac:dyDescent="0.3">
      <c r="C3343" s="109"/>
      <c r="D3343" s="109"/>
      <c r="E3343" s="109"/>
      <c r="F3343" s="110"/>
      <c r="G3343" s="109"/>
    </row>
    <row r="3344" spans="3:7" x14ac:dyDescent="0.3">
      <c r="C3344" s="109"/>
      <c r="D3344" s="109"/>
      <c r="E3344" s="109"/>
      <c r="F3344" s="110"/>
      <c r="G3344" s="109"/>
    </row>
    <row r="3345" spans="3:7" x14ac:dyDescent="0.3">
      <c r="C3345" s="109"/>
      <c r="D3345" s="109"/>
      <c r="E3345" s="109"/>
      <c r="F3345" s="110"/>
      <c r="G3345" s="109"/>
    </row>
    <row r="3346" spans="3:7" x14ac:dyDescent="0.3">
      <c r="C3346" s="109"/>
      <c r="D3346" s="109"/>
      <c r="E3346" s="109"/>
      <c r="F3346" s="110"/>
      <c r="G3346" s="109"/>
    </row>
    <row r="3347" spans="3:7" x14ac:dyDescent="0.3">
      <c r="C3347" s="109"/>
      <c r="D3347" s="109"/>
      <c r="E3347" s="109"/>
      <c r="F3347" s="110"/>
      <c r="G3347" s="109"/>
    </row>
    <row r="3348" spans="3:7" x14ac:dyDescent="0.3">
      <c r="C3348" s="109"/>
      <c r="D3348" s="109"/>
      <c r="E3348" s="109"/>
      <c r="F3348" s="110"/>
      <c r="G3348" s="109"/>
    </row>
    <row r="3349" spans="3:7" x14ac:dyDescent="0.3">
      <c r="C3349" s="109"/>
      <c r="D3349" s="109"/>
      <c r="E3349" s="109"/>
      <c r="F3349" s="110"/>
      <c r="G3349" s="109"/>
    </row>
    <row r="3350" spans="3:7" x14ac:dyDescent="0.3">
      <c r="C3350" s="109"/>
      <c r="D3350" s="109"/>
      <c r="E3350" s="109"/>
      <c r="F3350" s="110"/>
      <c r="G3350" s="109"/>
    </row>
    <row r="3351" spans="3:7" x14ac:dyDescent="0.3">
      <c r="C3351" s="109"/>
      <c r="D3351" s="109"/>
      <c r="E3351" s="109"/>
      <c r="F3351" s="110"/>
      <c r="G3351" s="109"/>
    </row>
    <row r="3352" spans="3:7" x14ac:dyDescent="0.3">
      <c r="C3352" s="109"/>
      <c r="D3352" s="109"/>
      <c r="E3352" s="109"/>
      <c r="F3352" s="110"/>
      <c r="G3352" s="109"/>
    </row>
    <row r="3353" spans="3:7" x14ac:dyDescent="0.3">
      <c r="C3353" s="109"/>
      <c r="D3353" s="109"/>
      <c r="E3353" s="109"/>
      <c r="F3353" s="110"/>
      <c r="G3353" s="109"/>
    </row>
    <row r="3354" spans="3:7" x14ac:dyDescent="0.3">
      <c r="C3354" s="109"/>
      <c r="D3354" s="109"/>
      <c r="E3354" s="109"/>
      <c r="F3354" s="110"/>
      <c r="G3354" s="109"/>
    </row>
    <row r="3355" spans="3:7" x14ac:dyDescent="0.3">
      <c r="C3355" s="109"/>
      <c r="D3355" s="109"/>
      <c r="E3355" s="109"/>
      <c r="F3355" s="110"/>
      <c r="G3355" s="109"/>
    </row>
    <row r="3356" spans="3:7" x14ac:dyDescent="0.3">
      <c r="C3356" s="109"/>
      <c r="D3356" s="109"/>
      <c r="E3356" s="109"/>
      <c r="F3356" s="110"/>
      <c r="G3356" s="109"/>
    </row>
    <row r="3357" spans="3:7" x14ac:dyDescent="0.3">
      <c r="C3357" s="109"/>
      <c r="D3357" s="109"/>
      <c r="E3357" s="109"/>
      <c r="F3357" s="110"/>
      <c r="G3357" s="109"/>
    </row>
    <row r="3358" spans="3:7" x14ac:dyDescent="0.3">
      <c r="C3358" s="109"/>
      <c r="D3358" s="109"/>
      <c r="E3358" s="109"/>
      <c r="F3358" s="110"/>
      <c r="G3358" s="109"/>
    </row>
    <row r="3359" spans="3:7" x14ac:dyDescent="0.3">
      <c r="C3359" s="109"/>
      <c r="D3359" s="109"/>
      <c r="E3359" s="109"/>
      <c r="F3359" s="110"/>
      <c r="G3359" s="109"/>
    </row>
    <row r="3360" spans="3:7" x14ac:dyDescent="0.3">
      <c r="C3360" s="109"/>
      <c r="D3360" s="109"/>
      <c r="E3360" s="109"/>
      <c r="F3360" s="110"/>
      <c r="G3360" s="109"/>
    </row>
    <row r="3361" spans="3:7" x14ac:dyDescent="0.3">
      <c r="C3361" s="109"/>
      <c r="D3361" s="109"/>
      <c r="E3361" s="109"/>
      <c r="F3361" s="110"/>
      <c r="G3361" s="109"/>
    </row>
    <row r="3362" spans="3:7" x14ac:dyDescent="0.3">
      <c r="C3362" s="109"/>
      <c r="D3362" s="109"/>
      <c r="E3362" s="109"/>
      <c r="F3362" s="110"/>
      <c r="G3362" s="109"/>
    </row>
    <row r="3363" spans="3:7" x14ac:dyDescent="0.3">
      <c r="C3363" s="109"/>
      <c r="D3363" s="109"/>
      <c r="E3363" s="109"/>
      <c r="F3363" s="110"/>
      <c r="G3363" s="109"/>
    </row>
    <row r="3364" spans="3:7" x14ac:dyDescent="0.3">
      <c r="C3364" s="109"/>
      <c r="D3364" s="109"/>
      <c r="E3364" s="109"/>
      <c r="F3364" s="110"/>
      <c r="G3364" s="109"/>
    </row>
    <row r="3365" spans="3:7" x14ac:dyDescent="0.3">
      <c r="C3365" s="109"/>
      <c r="D3365" s="109"/>
      <c r="E3365" s="109"/>
      <c r="F3365" s="110"/>
      <c r="G3365" s="109"/>
    </row>
    <row r="3366" spans="3:7" x14ac:dyDescent="0.3">
      <c r="C3366" s="109"/>
      <c r="D3366" s="109"/>
      <c r="E3366" s="109"/>
      <c r="F3366" s="110"/>
      <c r="G3366" s="109"/>
    </row>
    <row r="3367" spans="3:7" x14ac:dyDescent="0.3">
      <c r="C3367" s="109"/>
      <c r="D3367" s="109"/>
      <c r="E3367" s="109"/>
      <c r="F3367" s="110"/>
      <c r="G3367" s="109"/>
    </row>
    <row r="3368" spans="3:7" x14ac:dyDescent="0.3">
      <c r="C3368" s="109"/>
      <c r="D3368" s="109"/>
      <c r="E3368" s="109"/>
      <c r="F3368" s="110"/>
      <c r="G3368" s="109"/>
    </row>
    <row r="3369" spans="3:7" x14ac:dyDescent="0.3">
      <c r="C3369" s="109"/>
      <c r="D3369" s="109"/>
      <c r="E3369" s="109"/>
      <c r="F3369" s="110"/>
      <c r="G3369" s="109"/>
    </row>
    <row r="3370" spans="3:7" x14ac:dyDescent="0.3">
      <c r="C3370" s="109"/>
      <c r="D3370" s="109"/>
      <c r="E3370" s="109"/>
      <c r="F3370" s="110"/>
      <c r="G3370" s="109"/>
    </row>
    <row r="3371" spans="3:7" x14ac:dyDescent="0.3">
      <c r="C3371" s="109"/>
      <c r="D3371" s="109"/>
      <c r="E3371" s="109"/>
      <c r="F3371" s="110"/>
      <c r="G3371" s="109"/>
    </row>
    <row r="3372" spans="3:7" x14ac:dyDescent="0.3">
      <c r="C3372" s="109"/>
      <c r="D3372" s="109"/>
      <c r="E3372" s="109"/>
      <c r="F3372" s="110"/>
      <c r="G3372" s="109"/>
    </row>
    <row r="3373" spans="3:7" x14ac:dyDescent="0.3">
      <c r="C3373" s="109"/>
      <c r="D3373" s="109"/>
      <c r="E3373" s="109"/>
      <c r="F3373" s="110"/>
      <c r="G3373" s="109"/>
    </row>
    <row r="3374" spans="3:7" x14ac:dyDescent="0.3">
      <c r="C3374" s="109"/>
      <c r="D3374" s="109"/>
      <c r="E3374" s="109"/>
      <c r="F3374" s="110"/>
      <c r="G3374" s="109"/>
    </row>
    <row r="3375" spans="3:7" x14ac:dyDescent="0.3">
      <c r="C3375" s="109"/>
      <c r="D3375" s="109"/>
      <c r="E3375" s="109"/>
      <c r="F3375" s="110"/>
      <c r="G3375" s="109"/>
    </row>
    <row r="3376" spans="3:7" x14ac:dyDescent="0.3">
      <c r="C3376" s="109"/>
      <c r="D3376" s="109"/>
      <c r="E3376" s="109"/>
      <c r="F3376" s="110"/>
      <c r="G3376" s="109"/>
    </row>
    <row r="3377" spans="3:7" x14ac:dyDescent="0.3">
      <c r="C3377" s="109"/>
      <c r="D3377" s="109"/>
      <c r="E3377" s="109"/>
      <c r="F3377" s="110"/>
      <c r="G3377" s="109"/>
    </row>
    <row r="3378" spans="3:7" x14ac:dyDescent="0.3">
      <c r="C3378" s="109"/>
      <c r="D3378" s="109"/>
      <c r="E3378" s="109"/>
      <c r="F3378" s="110"/>
      <c r="G3378" s="109"/>
    </row>
    <row r="3379" spans="3:7" x14ac:dyDescent="0.3">
      <c r="C3379" s="109"/>
      <c r="D3379" s="109"/>
      <c r="E3379" s="109"/>
      <c r="F3379" s="110"/>
      <c r="G3379" s="109"/>
    </row>
    <row r="3380" spans="3:7" x14ac:dyDescent="0.3">
      <c r="C3380" s="109"/>
      <c r="D3380" s="109"/>
      <c r="E3380" s="109"/>
      <c r="F3380" s="110"/>
      <c r="G3380" s="109"/>
    </row>
    <row r="3381" spans="3:7" x14ac:dyDescent="0.3">
      <c r="C3381" s="109"/>
      <c r="D3381" s="109"/>
      <c r="E3381" s="109"/>
      <c r="F3381" s="110"/>
      <c r="G3381" s="109"/>
    </row>
    <row r="3382" spans="3:7" x14ac:dyDescent="0.3">
      <c r="C3382" s="109"/>
      <c r="D3382" s="109"/>
      <c r="E3382" s="109"/>
      <c r="F3382" s="110"/>
      <c r="G3382" s="109"/>
    </row>
    <row r="3383" spans="3:7" x14ac:dyDescent="0.3">
      <c r="C3383" s="109"/>
      <c r="D3383" s="109"/>
      <c r="E3383" s="109"/>
      <c r="F3383" s="110"/>
      <c r="G3383" s="109"/>
    </row>
    <row r="3384" spans="3:7" x14ac:dyDescent="0.3">
      <c r="C3384" s="109"/>
      <c r="D3384" s="109"/>
      <c r="E3384" s="109"/>
      <c r="F3384" s="110"/>
      <c r="G3384" s="109"/>
    </row>
    <row r="3385" spans="3:7" x14ac:dyDescent="0.3">
      <c r="C3385" s="109"/>
      <c r="D3385" s="109"/>
      <c r="E3385" s="109"/>
      <c r="F3385" s="110"/>
      <c r="G3385" s="109"/>
    </row>
    <row r="3386" spans="3:7" x14ac:dyDescent="0.3">
      <c r="C3386" s="109"/>
      <c r="D3386" s="109"/>
      <c r="E3386" s="109"/>
      <c r="F3386" s="110"/>
      <c r="G3386" s="109"/>
    </row>
    <row r="3387" spans="3:7" x14ac:dyDescent="0.3">
      <c r="C3387" s="109"/>
      <c r="D3387" s="109"/>
      <c r="E3387" s="109"/>
      <c r="F3387" s="110"/>
      <c r="G3387" s="109"/>
    </row>
    <row r="3388" spans="3:7" x14ac:dyDescent="0.3">
      <c r="C3388" s="109"/>
      <c r="D3388" s="109"/>
      <c r="E3388" s="109"/>
      <c r="F3388" s="110"/>
      <c r="G3388" s="109"/>
    </row>
    <row r="3389" spans="3:7" x14ac:dyDescent="0.3">
      <c r="C3389" s="109"/>
      <c r="D3389" s="109"/>
      <c r="E3389" s="109"/>
      <c r="F3389" s="110"/>
      <c r="G3389" s="109"/>
    </row>
    <row r="3390" spans="3:7" x14ac:dyDescent="0.3">
      <c r="C3390" s="109"/>
      <c r="D3390" s="109"/>
      <c r="E3390" s="109"/>
      <c r="F3390" s="110"/>
      <c r="G3390" s="109"/>
    </row>
    <row r="3391" spans="3:7" x14ac:dyDescent="0.3">
      <c r="C3391" s="109"/>
      <c r="D3391" s="109"/>
      <c r="E3391" s="109"/>
      <c r="F3391" s="110"/>
      <c r="G3391" s="109"/>
    </row>
    <row r="3392" spans="3:7" x14ac:dyDescent="0.3">
      <c r="C3392" s="109"/>
      <c r="D3392" s="109"/>
      <c r="E3392" s="109"/>
      <c r="F3392" s="110"/>
      <c r="G3392" s="109"/>
    </row>
    <row r="3393" spans="3:7" x14ac:dyDescent="0.3">
      <c r="C3393" s="109"/>
      <c r="D3393" s="109"/>
      <c r="E3393" s="109"/>
      <c r="F3393" s="110"/>
      <c r="G3393" s="109"/>
    </row>
    <row r="3394" spans="3:7" x14ac:dyDescent="0.3">
      <c r="C3394" s="109"/>
      <c r="D3394" s="109"/>
      <c r="E3394" s="109"/>
      <c r="F3394" s="110"/>
      <c r="G3394" s="109"/>
    </row>
    <row r="3395" spans="3:7" x14ac:dyDescent="0.3">
      <c r="C3395" s="109"/>
      <c r="D3395" s="109"/>
      <c r="E3395" s="109"/>
      <c r="F3395" s="110"/>
      <c r="G3395" s="109"/>
    </row>
    <row r="3396" spans="3:7" x14ac:dyDescent="0.3">
      <c r="C3396" s="109"/>
      <c r="D3396" s="109"/>
      <c r="E3396" s="109"/>
      <c r="F3396" s="110"/>
      <c r="G3396" s="109"/>
    </row>
    <row r="3397" spans="3:7" x14ac:dyDescent="0.3">
      <c r="C3397" s="109"/>
      <c r="D3397" s="109"/>
      <c r="E3397" s="109"/>
      <c r="F3397" s="110"/>
      <c r="G3397" s="109"/>
    </row>
    <row r="3398" spans="3:7" x14ac:dyDescent="0.3">
      <c r="C3398" s="109"/>
      <c r="D3398" s="109"/>
      <c r="E3398" s="109"/>
      <c r="F3398" s="110"/>
      <c r="G3398" s="109"/>
    </row>
    <row r="3399" spans="3:7" x14ac:dyDescent="0.3">
      <c r="C3399" s="109"/>
      <c r="D3399" s="109"/>
      <c r="E3399" s="109"/>
      <c r="F3399" s="110"/>
      <c r="G3399" s="109"/>
    </row>
    <row r="3400" spans="3:7" x14ac:dyDescent="0.3">
      <c r="C3400" s="109"/>
      <c r="D3400" s="109"/>
      <c r="E3400" s="109"/>
      <c r="F3400" s="110"/>
      <c r="G3400" s="109"/>
    </row>
    <row r="3401" spans="3:7" x14ac:dyDescent="0.3">
      <c r="C3401" s="109"/>
      <c r="D3401" s="109"/>
      <c r="E3401" s="109"/>
      <c r="F3401" s="110"/>
      <c r="G3401" s="109"/>
    </row>
    <row r="3402" spans="3:7" x14ac:dyDescent="0.3">
      <c r="C3402" s="109"/>
      <c r="D3402" s="109"/>
      <c r="E3402" s="109"/>
      <c r="F3402" s="110"/>
      <c r="G3402" s="109"/>
    </row>
    <row r="3403" spans="3:7" x14ac:dyDescent="0.3">
      <c r="C3403" s="109"/>
      <c r="D3403" s="109"/>
      <c r="E3403" s="109"/>
      <c r="F3403" s="110"/>
      <c r="G3403" s="109"/>
    </row>
    <row r="3404" spans="3:7" x14ac:dyDescent="0.3">
      <c r="C3404" s="109"/>
      <c r="D3404" s="109"/>
      <c r="E3404" s="109"/>
      <c r="F3404" s="110"/>
      <c r="G3404" s="109"/>
    </row>
    <row r="3405" spans="3:7" x14ac:dyDescent="0.3">
      <c r="C3405" s="109"/>
      <c r="D3405" s="109"/>
      <c r="E3405" s="109"/>
      <c r="F3405" s="110"/>
      <c r="G3405" s="109"/>
    </row>
    <row r="3406" spans="3:7" x14ac:dyDescent="0.3">
      <c r="C3406" s="109"/>
      <c r="D3406" s="109"/>
      <c r="E3406" s="109"/>
      <c r="F3406" s="110"/>
      <c r="G3406" s="109"/>
    </row>
    <row r="3407" spans="3:7" x14ac:dyDescent="0.3">
      <c r="C3407" s="109"/>
      <c r="D3407" s="109"/>
      <c r="E3407" s="109"/>
      <c r="F3407" s="110"/>
      <c r="G3407" s="109"/>
    </row>
    <row r="3408" spans="3:7" x14ac:dyDescent="0.3">
      <c r="C3408" s="109"/>
      <c r="D3408" s="109"/>
      <c r="E3408" s="109"/>
      <c r="F3408" s="110"/>
      <c r="G3408" s="109"/>
    </row>
    <row r="3409" spans="3:7" x14ac:dyDescent="0.3">
      <c r="C3409" s="109"/>
      <c r="D3409" s="109"/>
      <c r="E3409" s="109"/>
      <c r="F3409" s="110"/>
      <c r="G3409" s="109"/>
    </row>
    <row r="3410" spans="3:7" x14ac:dyDescent="0.3">
      <c r="C3410" s="109"/>
      <c r="D3410" s="109"/>
      <c r="E3410" s="109"/>
      <c r="F3410" s="110"/>
      <c r="G3410" s="109"/>
    </row>
    <row r="3411" spans="3:7" x14ac:dyDescent="0.3">
      <c r="C3411" s="109"/>
      <c r="D3411" s="109"/>
      <c r="E3411" s="109"/>
      <c r="F3411" s="110"/>
      <c r="G3411" s="109"/>
    </row>
    <row r="3412" spans="3:7" x14ac:dyDescent="0.3">
      <c r="C3412" s="109"/>
      <c r="D3412" s="109"/>
      <c r="E3412" s="109"/>
      <c r="F3412" s="110"/>
      <c r="G3412" s="109"/>
    </row>
    <row r="3413" spans="3:7" x14ac:dyDescent="0.3">
      <c r="C3413" s="109"/>
      <c r="D3413" s="109"/>
      <c r="E3413" s="109"/>
      <c r="F3413" s="110"/>
      <c r="G3413" s="109"/>
    </row>
    <row r="3414" spans="3:7" x14ac:dyDescent="0.3">
      <c r="C3414" s="109"/>
      <c r="D3414" s="109"/>
      <c r="E3414" s="109"/>
      <c r="F3414" s="110"/>
      <c r="G3414" s="109"/>
    </row>
    <row r="3415" spans="3:7" x14ac:dyDescent="0.3">
      <c r="C3415" s="109"/>
      <c r="D3415" s="109"/>
      <c r="E3415" s="109"/>
      <c r="F3415" s="110"/>
      <c r="G3415" s="109"/>
    </row>
    <row r="3416" spans="3:7" x14ac:dyDescent="0.3">
      <c r="C3416" s="109"/>
      <c r="D3416" s="109"/>
      <c r="E3416" s="109"/>
      <c r="F3416" s="110"/>
      <c r="G3416" s="109"/>
    </row>
    <row r="3417" spans="3:7" x14ac:dyDescent="0.3">
      <c r="C3417" s="109"/>
      <c r="D3417" s="109"/>
      <c r="E3417" s="109"/>
      <c r="F3417" s="110"/>
      <c r="G3417" s="109"/>
    </row>
    <row r="3418" spans="3:7" x14ac:dyDescent="0.3">
      <c r="C3418" s="109"/>
      <c r="D3418" s="109"/>
      <c r="E3418" s="109"/>
      <c r="F3418" s="110"/>
      <c r="G3418" s="109"/>
    </row>
    <row r="3419" spans="3:7" x14ac:dyDescent="0.3">
      <c r="C3419" s="109"/>
      <c r="D3419" s="109"/>
      <c r="E3419" s="109"/>
      <c r="F3419" s="110"/>
      <c r="G3419" s="109"/>
    </row>
    <row r="3420" spans="3:7" x14ac:dyDescent="0.3">
      <c r="C3420" s="109"/>
      <c r="D3420" s="109"/>
      <c r="E3420" s="109"/>
      <c r="F3420" s="110"/>
      <c r="G3420" s="109"/>
    </row>
    <row r="3421" spans="3:7" x14ac:dyDescent="0.3">
      <c r="C3421" s="109"/>
      <c r="D3421" s="109"/>
      <c r="E3421" s="109"/>
      <c r="F3421" s="110"/>
      <c r="G3421" s="109"/>
    </row>
    <row r="3422" spans="3:7" x14ac:dyDescent="0.3">
      <c r="C3422" s="109"/>
      <c r="D3422" s="109"/>
      <c r="E3422" s="109"/>
      <c r="F3422" s="110"/>
      <c r="G3422" s="109"/>
    </row>
    <row r="3423" spans="3:7" x14ac:dyDescent="0.3">
      <c r="C3423" s="109"/>
      <c r="D3423" s="109"/>
      <c r="E3423" s="109"/>
      <c r="F3423" s="110"/>
      <c r="G3423" s="109"/>
    </row>
    <row r="3424" spans="3:7" x14ac:dyDescent="0.3">
      <c r="C3424" s="109"/>
      <c r="D3424" s="109"/>
      <c r="E3424" s="109"/>
      <c r="F3424" s="110"/>
      <c r="G3424" s="109"/>
    </row>
    <row r="3425" spans="3:7" x14ac:dyDescent="0.3">
      <c r="C3425" s="109"/>
      <c r="D3425" s="109"/>
      <c r="E3425" s="109"/>
      <c r="F3425" s="110"/>
      <c r="G3425" s="109"/>
    </row>
    <row r="3426" spans="3:7" x14ac:dyDescent="0.3">
      <c r="C3426" s="109"/>
      <c r="D3426" s="109"/>
      <c r="E3426" s="109"/>
      <c r="F3426" s="110"/>
      <c r="G3426" s="109"/>
    </row>
    <row r="3427" spans="3:7" x14ac:dyDescent="0.3">
      <c r="C3427" s="109"/>
      <c r="D3427" s="109"/>
      <c r="E3427" s="109"/>
      <c r="F3427" s="110"/>
      <c r="G3427" s="109"/>
    </row>
    <row r="3428" spans="3:7" x14ac:dyDescent="0.3">
      <c r="C3428" s="109"/>
      <c r="D3428" s="109"/>
      <c r="E3428" s="109"/>
      <c r="F3428" s="110"/>
      <c r="G3428" s="109"/>
    </row>
    <row r="3429" spans="3:7" x14ac:dyDescent="0.3">
      <c r="C3429" s="109"/>
      <c r="D3429" s="109"/>
      <c r="E3429" s="109"/>
      <c r="F3429" s="110"/>
      <c r="G3429" s="109"/>
    </row>
    <row r="3430" spans="3:7" x14ac:dyDescent="0.3">
      <c r="C3430" s="109"/>
      <c r="D3430" s="109"/>
      <c r="E3430" s="109"/>
      <c r="F3430" s="110"/>
      <c r="G3430" s="109"/>
    </row>
    <row r="3431" spans="3:7" x14ac:dyDescent="0.3">
      <c r="C3431" s="109"/>
      <c r="D3431" s="109"/>
      <c r="E3431" s="109"/>
      <c r="F3431" s="110"/>
      <c r="G3431" s="109"/>
    </row>
    <row r="3432" spans="3:7" x14ac:dyDescent="0.3">
      <c r="C3432" s="109"/>
      <c r="D3432" s="109"/>
      <c r="E3432" s="109"/>
      <c r="F3432" s="110"/>
      <c r="G3432" s="109"/>
    </row>
    <row r="3433" spans="3:7" x14ac:dyDescent="0.3">
      <c r="C3433" s="109"/>
      <c r="D3433" s="109"/>
      <c r="E3433" s="109"/>
      <c r="F3433" s="110"/>
      <c r="G3433" s="109"/>
    </row>
    <row r="3434" spans="3:7" x14ac:dyDescent="0.3">
      <c r="C3434" s="109"/>
      <c r="D3434" s="109"/>
      <c r="E3434" s="109"/>
      <c r="F3434" s="110"/>
      <c r="G3434" s="109"/>
    </row>
    <row r="3435" spans="3:7" x14ac:dyDescent="0.3">
      <c r="C3435" s="109"/>
      <c r="D3435" s="109"/>
      <c r="E3435" s="109"/>
      <c r="F3435" s="110"/>
      <c r="G3435" s="109"/>
    </row>
    <row r="3436" spans="3:7" x14ac:dyDescent="0.3">
      <c r="C3436" s="109"/>
      <c r="D3436" s="109"/>
      <c r="E3436" s="109"/>
      <c r="F3436" s="110"/>
      <c r="G3436" s="109"/>
    </row>
    <row r="3437" spans="3:7" x14ac:dyDescent="0.3">
      <c r="C3437" s="109"/>
      <c r="D3437" s="109"/>
      <c r="E3437" s="109"/>
      <c r="F3437" s="110"/>
      <c r="G3437" s="109"/>
    </row>
    <row r="3438" spans="3:7" x14ac:dyDescent="0.3">
      <c r="C3438" s="109"/>
      <c r="D3438" s="109"/>
      <c r="E3438" s="109"/>
      <c r="F3438" s="110"/>
      <c r="G3438" s="109"/>
    </row>
    <row r="3439" spans="3:7" x14ac:dyDescent="0.3">
      <c r="C3439" s="109"/>
      <c r="D3439" s="109"/>
      <c r="E3439" s="109"/>
      <c r="F3439" s="110"/>
      <c r="G3439" s="109"/>
    </row>
    <row r="3440" spans="3:7" x14ac:dyDescent="0.3">
      <c r="C3440" s="109"/>
      <c r="D3440" s="109"/>
      <c r="E3440" s="109"/>
      <c r="F3440" s="110"/>
      <c r="G3440" s="109"/>
    </row>
    <row r="3441" spans="3:7" x14ac:dyDescent="0.3">
      <c r="C3441" s="109"/>
      <c r="D3441" s="109"/>
      <c r="E3441" s="109"/>
      <c r="F3441" s="110"/>
      <c r="G3441" s="109"/>
    </row>
    <row r="3442" spans="3:7" x14ac:dyDescent="0.3">
      <c r="C3442" s="109"/>
      <c r="D3442" s="109"/>
      <c r="E3442" s="109"/>
      <c r="F3442" s="110"/>
      <c r="G3442" s="109"/>
    </row>
    <row r="3443" spans="3:7" x14ac:dyDescent="0.3">
      <c r="C3443" s="109"/>
      <c r="D3443" s="109"/>
      <c r="E3443" s="109"/>
      <c r="F3443" s="110"/>
      <c r="G3443" s="109"/>
    </row>
    <row r="3444" spans="3:7" x14ac:dyDescent="0.3">
      <c r="C3444" s="109"/>
      <c r="D3444" s="109"/>
      <c r="E3444" s="109"/>
      <c r="F3444" s="110"/>
      <c r="G3444" s="109"/>
    </row>
    <row r="3445" spans="3:7" x14ac:dyDescent="0.3">
      <c r="C3445" s="109"/>
      <c r="D3445" s="109"/>
      <c r="E3445" s="109"/>
      <c r="F3445" s="110"/>
      <c r="G3445" s="109"/>
    </row>
    <row r="3446" spans="3:7" x14ac:dyDescent="0.3">
      <c r="C3446" s="109"/>
      <c r="D3446" s="109"/>
      <c r="E3446" s="109"/>
      <c r="F3446" s="110"/>
      <c r="G3446" s="109"/>
    </row>
    <row r="3447" spans="3:7" x14ac:dyDescent="0.3">
      <c r="C3447" s="109"/>
      <c r="D3447" s="109"/>
      <c r="E3447" s="109"/>
      <c r="F3447" s="110"/>
      <c r="G3447" s="109"/>
    </row>
    <row r="3448" spans="3:7" x14ac:dyDescent="0.3">
      <c r="C3448" s="109"/>
      <c r="D3448" s="109"/>
      <c r="E3448" s="109"/>
      <c r="F3448" s="110"/>
      <c r="G3448" s="109"/>
    </row>
    <row r="3449" spans="3:7" x14ac:dyDescent="0.3">
      <c r="C3449" s="109"/>
      <c r="D3449" s="109"/>
      <c r="E3449" s="109"/>
      <c r="F3449" s="110"/>
      <c r="G3449" s="109"/>
    </row>
    <row r="3450" spans="3:7" x14ac:dyDescent="0.3">
      <c r="C3450" s="109"/>
      <c r="D3450" s="109"/>
      <c r="E3450" s="109"/>
      <c r="F3450" s="110"/>
      <c r="G3450" s="109"/>
    </row>
    <row r="3451" spans="3:7" x14ac:dyDescent="0.3">
      <c r="C3451" s="109"/>
      <c r="D3451" s="109"/>
      <c r="E3451" s="109"/>
      <c r="F3451" s="110"/>
      <c r="G3451" s="109"/>
    </row>
    <row r="3452" spans="3:7" x14ac:dyDescent="0.3">
      <c r="C3452" s="109"/>
      <c r="D3452" s="109"/>
      <c r="E3452" s="109"/>
      <c r="F3452" s="110"/>
      <c r="G3452" s="109"/>
    </row>
    <row r="3453" spans="3:7" x14ac:dyDescent="0.3">
      <c r="C3453" s="109"/>
      <c r="D3453" s="109"/>
      <c r="E3453" s="109"/>
      <c r="F3453" s="110"/>
      <c r="G3453" s="109"/>
    </row>
    <row r="3454" spans="3:7" x14ac:dyDescent="0.3">
      <c r="C3454" s="109"/>
      <c r="D3454" s="109"/>
      <c r="E3454" s="109"/>
      <c r="F3454" s="110"/>
      <c r="G3454" s="109"/>
    </row>
    <row r="3455" spans="3:7" x14ac:dyDescent="0.3">
      <c r="C3455" s="109"/>
      <c r="D3455" s="109"/>
      <c r="E3455" s="109"/>
      <c r="F3455" s="110"/>
      <c r="G3455" s="109"/>
    </row>
    <row r="3456" spans="3:7" x14ac:dyDescent="0.3">
      <c r="C3456" s="109"/>
      <c r="D3456" s="109"/>
      <c r="E3456" s="109"/>
      <c r="F3456" s="110"/>
      <c r="G3456" s="109"/>
    </row>
    <row r="3457" spans="3:7" x14ac:dyDescent="0.3">
      <c r="C3457" s="109"/>
      <c r="D3457" s="109"/>
      <c r="E3457" s="109"/>
      <c r="F3457" s="110"/>
      <c r="G3457" s="109"/>
    </row>
    <row r="3458" spans="3:7" x14ac:dyDescent="0.3">
      <c r="C3458" s="109"/>
      <c r="D3458" s="109"/>
      <c r="E3458" s="109"/>
      <c r="F3458" s="110"/>
      <c r="G3458" s="109"/>
    </row>
    <row r="3459" spans="3:7" x14ac:dyDescent="0.3">
      <c r="C3459" s="109"/>
      <c r="D3459" s="109"/>
      <c r="E3459" s="109"/>
      <c r="F3459" s="110"/>
      <c r="G3459" s="109"/>
    </row>
    <row r="3460" spans="3:7" x14ac:dyDescent="0.3">
      <c r="C3460" s="109"/>
      <c r="D3460" s="109"/>
      <c r="E3460" s="109"/>
      <c r="F3460" s="110"/>
      <c r="G3460" s="109"/>
    </row>
    <row r="3461" spans="3:7" x14ac:dyDescent="0.3">
      <c r="C3461" s="109"/>
      <c r="D3461" s="109"/>
      <c r="E3461" s="109"/>
      <c r="F3461" s="110"/>
      <c r="G3461" s="109"/>
    </row>
    <row r="3462" spans="3:7" x14ac:dyDescent="0.3">
      <c r="C3462" s="109"/>
      <c r="D3462" s="109"/>
      <c r="E3462" s="109"/>
      <c r="F3462" s="110"/>
      <c r="G3462" s="109"/>
    </row>
    <row r="3463" spans="3:7" x14ac:dyDescent="0.3">
      <c r="C3463" s="109"/>
      <c r="D3463" s="109"/>
      <c r="E3463" s="109"/>
      <c r="F3463" s="110"/>
      <c r="G3463" s="109"/>
    </row>
    <row r="3464" spans="3:7" x14ac:dyDescent="0.3">
      <c r="C3464" s="109"/>
      <c r="D3464" s="109"/>
      <c r="E3464" s="109"/>
      <c r="F3464" s="110"/>
      <c r="G3464" s="109"/>
    </row>
    <row r="3465" spans="3:7" x14ac:dyDescent="0.3">
      <c r="C3465" s="109"/>
      <c r="D3465" s="109"/>
      <c r="E3465" s="109"/>
      <c r="F3465" s="110"/>
      <c r="G3465" s="109"/>
    </row>
    <row r="3466" spans="3:7" x14ac:dyDescent="0.3">
      <c r="C3466" s="109"/>
      <c r="D3466" s="109"/>
      <c r="E3466" s="109"/>
      <c r="F3466" s="110"/>
      <c r="G3466" s="109"/>
    </row>
    <row r="3467" spans="3:7" x14ac:dyDescent="0.3">
      <c r="C3467" s="109"/>
      <c r="D3467" s="109"/>
      <c r="E3467" s="109"/>
      <c r="F3467" s="110"/>
      <c r="G3467" s="109"/>
    </row>
    <row r="3468" spans="3:7" x14ac:dyDescent="0.3">
      <c r="C3468" s="109"/>
      <c r="D3468" s="109"/>
      <c r="E3468" s="109"/>
      <c r="F3468" s="110"/>
      <c r="G3468" s="109"/>
    </row>
    <row r="3469" spans="3:7" x14ac:dyDescent="0.3">
      <c r="C3469" s="109"/>
      <c r="D3469" s="109"/>
      <c r="E3469" s="109"/>
      <c r="F3469" s="110"/>
      <c r="G3469" s="109"/>
    </row>
    <row r="3470" spans="3:7" x14ac:dyDescent="0.3">
      <c r="C3470" s="109"/>
      <c r="D3470" s="109"/>
      <c r="E3470" s="109"/>
      <c r="F3470" s="110"/>
      <c r="G3470" s="109"/>
    </row>
    <row r="3471" spans="3:7" x14ac:dyDescent="0.3">
      <c r="C3471" s="109"/>
      <c r="D3471" s="109"/>
      <c r="E3471" s="109"/>
      <c r="F3471" s="110"/>
      <c r="G3471" s="109"/>
    </row>
    <row r="3472" spans="3:7" x14ac:dyDescent="0.3">
      <c r="C3472" s="109"/>
      <c r="D3472" s="109"/>
      <c r="E3472" s="109"/>
      <c r="F3472" s="110"/>
      <c r="G3472" s="109"/>
    </row>
    <row r="3473" spans="3:7" x14ac:dyDescent="0.3">
      <c r="C3473" s="109"/>
      <c r="D3473" s="109"/>
      <c r="E3473" s="109"/>
      <c r="F3473" s="110"/>
      <c r="G3473" s="109"/>
    </row>
    <row r="3474" spans="3:7" x14ac:dyDescent="0.3">
      <c r="C3474" s="109"/>
      <c r="D3474" s="109"/>
      <c r="E3474" s="109"/>
      <c r="F3474" s="110"/>
      <c r="G3474" s="109"/>
    </row>
    <row r="3475" spans="3:7" x14ac:dyDescent="0.3">
      <c r="C3475" s="109"/>
      <c r="D3475" s="109"/>
      <c r="E3475" s="109"/>
      <c r="F3475" s="110"/>
      <c r="G3475" s="109"/>
    </row>
    <row r="3476" spans="3:7" x14ac:dyDescent="0.3">
      <c r="C3476" s="109"/>
      <c r="D3476" s="109"/>
      <c r="E3476" s="109"/>
      <c r="F3476" s="110"/>
      <c r="G3476" s="109"/>
    </row>
    <row r="3477" spans="3:7" x14ac:dyDescent="0.3">
      <c r="C3477" s="109"/>
      <c r="D3477" s="109"/>
      <c r="E3477" s="109"/>
      <c r="F3477" s="110"/>
      <c r="G3477" s="109"/>
    </row>
    <row r="3478" spans="3:7" x14ac:dyDescent="0.3">
      <c r="C3478" s="109"/>
      <c r="D3478" s="109"/>
      <c r="E3478" s="109"/>
      <c r="F3478" s="110"/>
      <c r="G3478" s="109"/>
    </row>
    <row r="3479" spans="3:7" x14ac:dyDescent="0.3">
      <c r="C3479" s="109"/>
      <c r="D3479" s="109"/>
      <c r="E3479" s="109"/>
      <c r="F3479" s="110"/>
      <c r="G3479" s="109"/>
    </row>
    <row r="3480" spans="3:7" x14ac:dyDescent="0.3">
      <c r="C3480" s="109"/>
      <c r="D3480" s="109"/>
      <c r="E3480" s="109"/>
      <c r="F3480" s="110"/>
      <c r="G3480" s="109"/>
    </row>
    <row r="3481" spans="3:7" x14ac:dyDescent="0.3">
      <c r="C3481" s="109"/>
      <c r="D3481" s="109"/>
      <c r="E3481" s="109"/>
      <c r="F3481" s="110"/>
      <c r="G3481" s="109"/>
    </row>
    <row r="3482" spans="3:7" x14ac:dyDescent="0.3">
      <c r="C3482" s="109"/>
      <c r="D3482" s="109"/>
      <c r="E3482" s="109"/>
      <c r="F3482" s="110"/>
      <c r="G3482" s="109"/>
    </row>
    <row r="3483" spans="3:7" x14ac:dyDescent="0.3">
      <c r="C3483" s="109"/>
      <c r="D3483" s="109"/>
      <c r="E3483" s="109"/>
      <c r="F3483" s="110"/>
      <c r="G3483" s="109"/>
    </row>
    <row r="3484" spans="3:7" x14ac:dyDescent="0.3">
      <c r="C3484" s="109"/>
      <c r="D3484" s="109"/>
      <c r="E3484" s="109"/>
      <c r="F3484" s="110"/>
      <c r="G3484" s="109"/>
    </row>
    <row r="3485" spans="3:7" x14ac:dyDescent="0.3">
      <c r="C3485" s="109"/>
      <c r="D3485" s="109"/>
      <c r="E3485" s="109"/>
      <c r="F3485" s="110"/>
      <c r="G3485" s="109"/>
    </row>
    <row r="3486" spans="3:7" x14ac:dyDescent="0.3">
      <c r="C3486" s="109"/>
      <c r="D3486" s="109"/>
      <c r="E3486" s="109"/>
      <c r="F3486" s="110"/>
      <c r="G3486" s="109"/>
    </row>
    <row r="3487" spans="3:7" x14ac:dyDescent="0.3">
      <c r="C3487" s="109"/>
      <c r="D3487" s="109"/>
      <c r="E3487" s="109"/>
      <c r="F3487" s="110"/>
      <c r="G3487" s="109"/>
    </row>
    <row r="3488" spans="3:7" x14ac:dyDescent="0.3">
      <c r="C3488" s="109"/>
      <c r="D3488" s="109"/>
      <c r="E3488" s="109"/>
      <c r="F3488" s="110"/>
      <c r="G3488" s="109"/>
    </row>
    <row r="3489" spans="3:7" x14ac:dyDescent="0.3">
      <c r="C3489" s="109"/>
      <c r="D3489" s="109"/>
      <c r="E3489" s="109"/>
      <c r="F3489" s="110"/>
      <c r="G3489" s="109"/>
    </row>
    <row r="3490" spans="3:7" x14ac:dyDescent="0.3">
      <c r="C3490" s="109"/>
      <c r="D3490" s="109"/>
      <c r="E3490" s="109"/>
      <c r="F3490" s="110"/>
      <c r="G3490" s="109"/>
    </row>
    <row r="3491" spans="3:7" x14ac:dyDescent="0.3">
      <c r="C3491" s="109"/>
      <c r="D3491" s="109"/>
      <c r="E3491" s="109"/>
      <c r="F3491" s="110"/>
      <c r="G3491" s="109"/>
    </row>
    <row r="3492" spans="3:7" x14ac:dyDescent="0.3">
      <c r="C3492" s="109"/>
      <c r="D3492" s="109"/>
      <c r="E3492" s="109"/>
      <c r="F3492" s="110"/>
      <c r="G3492" s="109"/>
    </row>
    <row r="3493" spans="3:7" x14ac:dyDescent="0.3">
      <c r="C3493" s="109"/>
      <c r="D3493" s="109"/>
      <c r="E3493" s="109"/>
      <c r="F3493" s="110"/>
      <c r="G3493" s="109"/>
    </row>
    <row r="3494" spans="3:7" x14ac:dyDescent="0.3">
      <c r="C3494" s="109"/>
      <c r="D3494" s="109"/>
      <c r="E3494" s="109"/>
      <c r="F3494" s="110"/>
      <c r="G3494" s="109"/>
    </row>
    <row r="3495" spans="3:7" x14ac:dyDescent="0.3">
      <c r="C3495" s="109"/>
      <c r="D3495" s="109"/>
      <c r="E3495" s="109"/>
      <c r="F3495" s="110"/>
      <c r="G3495" s="109"/>
    </row>
    <row r="3496" spans="3:7" x14ac:dyDescent="0.3">
      <c r="C3496" s="109"/>
      <c r="D3496" s="109"/>
      <c r="E3496" s="109"/>
      <c r="F3496" s="110"/>
      <c r="G3496" s="109"/>
    </row>
    <row r="3497" spans="3:7" x14ac:dyDescent="0.3">
      <c r="C3497" s="109"/>
      <c r="D3497" s="109"/>
      <c r="E3497" s="109"/>
      <c r="F3497" s="110"/>
      <c r="G3497" s="109"/>
    </row>
    <row r="3498" spans="3:7" x14ac:dyDescent="0.3">
      <c r="C3498" s="109"/>
      <c r="D3498" s="109"/>
      <c r="E3498" s="109"/>
      <c r="F3498" s="110"/>
      <c r="G3498" s="109"/>
    </row>
    <row r="3499" spans="3:7" x14ac:dyDescent="0.3">
      <c r="C3499" s="109"/>
      <c r="D3499" s="109"/>
      <c r="E3499" s="109"/>
      <c r="F3499" s="110"/>
      <c r="G3499" s="109"/>
    </row>
    <row r="3500" spans="3:7" x14ac:dyDescent="0.3">
      <c r="C3500" s="109"/>
      <c r="D3500" s="109"/>
      <c r="E3500" s="109"/>
      <c r="F3500" s="110"/>
      <c r="G3500" s="109"/>
    </row>
    <row r="3501" spans="3:7" x14ac:dyDescent="0.3">
      <c r="C3501" s="109"/>
      <c r="D3501" s="109"/>
      <c r="E3501" s="109"/>
      <c r="F3501" s="110"/>
      <c r="G3501" s="109"/>
    </row>
    <row r="3502" spans="3:7" x14ac:dyDescent="0.3">
      <c r="C3502" s="109"/>
      <c r="D3502" s="109"/>
      <c r="E3502" s="109"/>
      <c r="F3502" s="110"/>
      <c r="G3502" s="109"/>
    </row>
    <row r="3503" spans="3:7" x14ac:dyDescent="0.3">
      <c r="C3503" s="109"/>
      <c r="D3503" s="109"/>
      <c r="E3503" s="109"/>
      <c r="F3503" s="110"/>
      <c r="G3503" s="109"/>
    </row>
    <row r="3504" spans="3:7" x14ac:dyDescent="0.3">
      <c r="C3504" s="109"/>
      <c r="D3504" s="109"/>
      <c r="E3504" s="109"/>
      <c r="F3504" s="110"/>
      <c r="G3504" s="109"/>
    </row>
    <row r="3505" spans="3:7" x14ac:dyDescent="0.3">
      <c r="C3505" s="109"/>
      <c r="D3505" s="109"/>
      <c r="E3505" s="109"/>
      <c r="F3505" s="110"/>
      <c r="G3505" s="109"/>
    </row>
    <row r="3506" spans="3:7" x14ac:dyDescent="0.3">
      <c r="C3506" s="109"/>
      <c r="D3506" s="109"/>
      <c r="E3506" s="109"/>
      <c r="F3506" s="110"/>
      <c r="G3506" s="109"/>
    </row>
    <row r="3507" spans="3:7" x14ac:dyDescent="0.3">
      <c r="C3507" s="109"/>
      <c r="D3507" s="109"/>
      <c r="E3507" s="109"/>
      <c r="F3507" s="110"/>
      <c r="G3507" s="109"/>
    </row>
    <row r="3508" spans="3:7" x14ac:dyDescent="0.3">
      <c r="C3508" s="109"/>
      <c r="D3508" s="109"/>
      <c r="E3508" s="109"/>
      <c r="F3508" s="110"/>
      <c r="G3508" s="109"/>
    </row>
    <row r="3509" spans="3:7" x14ac:dyDescent="0.3">
      <c r="C3509" s="109"/>
      <c r="D3509" s="109"/>
      <c r="E3509" s="109"/>
      <c r="F3509" s="110"/>
      <c r="G3509" s="109"/>
    </row>
    <row r="3510" spans="3:7" x14ac:dyDescent="0.3">
      <c r="C3510" s="109"/>
      <c r="D3510" s="109"/>
      <c r="E3510" s="109"/>
      <c r="F3510" s="110"/>
      <c r="G3510" s="109"/>
    </row>
    <row r="3511" spans="3:7" x14ac:dyDescent="0.3">
      <c r="C3511" s="109"/>
      <c r="D3511" s="109"/>
      <c r="E3511" s="109"/>
      <c r="F3511" s="110"/>
      <c r="G3511" s="109"/>
    </row>
    <row r="3512" spans="3:7" x14ac:dyDescent="0.3">
      <c r="C3512" s="109"/>
      <c r="D3512" s="109"/>
      <c r="E3512" s="109"/>
      <c r="F3512" s="110"/>
      <c r="G3512" s="109"/>
    </row>
    <row r="3513" spans="3:7" x14ac:dyDescent="0.3">
      <c r="C3513" s="109"/>
      <c r="D3513" s="109"/>
      <c r="E3513" s="109"/>
      <c r="F3513" s="110"/>
      <c r="G3513" s="109"/>
    </row>
    <row r="3514" spans="3:7" x14ac:dyDescent="0.3">
      <c r="C3514" s="109"/>
      <c r="D3514" s="109"/>
      <c r="E3514" s="109"/>
      <c r="F3514" s="110"/>
      <c r="G3514" s="109"/>
    </row>
    <row r="3515" spans="3:7" x14ac:dyDescent="0.3">
      <c r="C3515" s="109"/>
      <c r="D3515" s="109"/>
      <c r="E3515" s="109"/>
      <c r="F3515" s="110"/>
      <c r="G3515" s="109"/>
    </row>
    <row r="3516" spans="3:7" x14ac:dyDescent="0.3">
      <c r="C3516" s="109"/>
      <c r="D3516" s="109"/>
      <c r="E3516" s="109"/>
      <c r="F3516" s="110"/>
      <c r="G3516" s="109"/>
    </row>
    <row r="3517" spans="3:7" x14ac:dyDescent="0.3">
      <c r="C3517" s="109"/>
      <c r="D3517" s="109"/>
      <c r="E3517" s="109"/>
      <c r="F3517" s="110"/>
      <c r="G3517" s="109"/>
    </row>
    <row r="3518" spans="3:7" x14ac:dyDescent="0.3">
      <c r="C3518" s="109"/>
      <c r="D3518" s="109"/>
      <c r="E3518" s="109"/>
      <c r="F3518" s="110"/>
      <c r="G3518" s="109"/>
    </row>
    <row r="3519" spans="3:7" x14ac:dyDescent="0.3">
      <c r="C3519" s="109"/>
      <c r="D3519" s="109"/>
      <c r="E3519" s="109"/>
      <c r="F3519" s="110"/>
      <c r="G3519" s="109"/>
    </row>
    <row r="3520" spans="3:7" x14ac:dyDescent="0.3">
      <c r="C3520" s="109"/>
      <c r="D3520" s="109"/>
      <c r="E3520" s="109"/>
      <c r="F3520" s="110"/>
      <c r="G3520" s="109"/>
    </row>
    <row r="3521" spans="3:7" x14ac:dyDescent="0.3">
      <c r="C3521" s="109"/>
      <c r="D3521" s="109"/>
      <c r="E3521" s="109"/>
      <c r="F3521" s="110"/>
      <c r="G3521" s="109"/>
    </row>
    <row r="3522" spans="3:7" x14ac:dyDescent="0.3">
      <c r="C3522" s="109"/>
      <c r="D3522" s="109"/>
      <c r="E3522" s="109"/>
      <c r="F3522" s="110"/>
      <c r="G3522" s="109"/>
    </row>
    <row r="3523" spans="3:7" x14ac:dyDescent="0.3">
      <c r="C3523" s="109"/>
      <c r="D3523" s="109"/>
      <c r="E3523" s="109"/>
      <c r="F3523" s="110"/>
      <c r="G3523" s="109"/>
    </row>
    <row r="3524" spans="3:7" x14ac:dyDescent="0.3">
      <c r="C3524" s="109"/>
      <c r="D3524" s="109"/>
      <c r="E3524" s="109"/>
      <c r="F3524" s="110"/>
      <c r="G3524" s="109"/>
    </row>
    <row r="3525" spans="3:7" x14ac:dyDescent="0.3">
      <c r="C3525" s="109"/>
      <c r="D3525" s="109"/>
      <c r="E3525" s="109"/>
      <c r="F3525" s="110"/>
      <c r="G3525" s="109"/>
    </row>
    <row r="3526" spans="3:7" x14ac:dyDescent="0.3">
      <c r="C3526" s="109"/>
      <c r="D3526" s="109"/>
      <c r="E3526" s="109"/>
      <c r="F3526" s="110"/>
      <c r="G3526" s="109"/>
    </row>
    <row r="3527" spans="3:7" x14ac:dyDescent="0.3">
      <c r="C3527" s="109"/>
      <c r="D3527" s="109"/>
      <c r="E3527" s="109"/>
      <c r="F3527" s="110"/>
      <c r="G3527" s="109"/>
    </row>
    <row r="3528" spans="3:7" x14ac:dyDescent="0.3">
      <c r="C3528" s="109"/>
      <c r="D3528" s="109"/>
      <c r="E3528" s="109"/>
      <c r="F3528" s="110"/>
      <c r="G3528" s="109"/>
    </row>
    <row r="3529" spans="3:7" x14ac:dyDescent="0.3">
      <c r="C3529" s="109"/>
      <c r="D3529" s="109"/>
      <c r="E3529" s="109"/>
      <c r="F3529" s="110"/>
      <c r="G3529" s="109"/>
    </row>
    <row r="3530" spans="3:7" x14ac:dyDescent="0.3">
      <c r="C3530" s="109"/>
      <c r="D3530" s="109"/>
      <c r="E3530" s="109"/>
      <c r="F3530" s="110"/>
      <c r="G3530" s="109"/>
    </row>
    <row r="3531" spans="3:7" x14ac:dyDescent="0.3">
      <c r="C3531" s="109"/>
      <c r="D3531" s="109"/>
      <c r="E3531" s="109"/>
      <c r="F3531" s="110"/>
      <c r="G3531" s="109"/>
    </row>
    <row r="3532" spans="3:7" x14ac:dyDescent="0.3">
      <c r="C3532" s="109"/>
      <c r="D3532" s="109"/>
      <c r="E3532" s="109"/>
      <c r="F3532" s="110"/>
      <c r="G3532" s="109"/>
    </row>
    <row r="3533" spans="3:7" x14ac:dyDescent="0.3">
      <c r="C3533" s="109"/>
      <c r="D3533" s="109"/>
      <c r="E3533" s="109"/>
      <c r="F3533" s="110"/>
      <c r="G3533" s="109"/>
    </row>
    <row r="3534" spans="3:7" x14ac:dyDescent="0.3">
      <c r="C3534" s="109"/>
      <c r="D3534" s="109"/>
      <c r="E3534" s="109"/>
      <c r="F3534" s="110"/>
      <c r="G3534" s="109"/>
    </row>
    <row r="3535" spans="3:7" x14ac:dyDescent="0.3">
      <c r="C3535" s="109"/>
      <c r="D3535" s="109"/>
      <c r="E3535" s="109"/>
      <c r="F3535" s="110"/>
      <c r="G3535" s="109"/>
    </row>
    <row r="3536" spans="3:7" x14ac:dyDescent="0.3">
      <c r="C3536" s="109"/>
      <c r="D3536" s="109"/>
      <c r="E3536" s="109"/>
      <c r="F3536" s="110"/>
      <c r="G3536" s="109"/>
    </row>
    <row r="3537" spans="3:7" x14ac:dyDescent="0.3">
      <c r="C3537" s="109"/>
      <c r="D3537" s="109"/>
      <c r="E3537" s="109"/>
      <c r="F3537" s="110"/>
      <c r="G3537" s="109"/>
    </row>
    <row r="3538" spans="3:7" x14ac:dyDescent="0.3">
      <c r="C3538" s="109"/>
      <c r="D3538" s="109"/>
      <c r="E3538" s="109"/>
      <c r="F3538" s="110"/>
      <c r="G3538" s="109"/>
    </row>
    <row r="3539" spans="3:7" x14ac:dyDescent="0.3">
      <c r="C3539" s="109"/>
      <c r="D3539" s="109"/>
      <c r="E3539" s="109"/>
      <c r="F3539" s="110"/>
      <c r="G3539" s="109"/>
    </row>
    <row r="3540" spans="3:7" x14ac:dyDescent="0.3">
      <c r="C3540" s="109"/>
      <c r="D3540" s="109"/>
      <c r="E3540" s="109"/>
      <c r="F3540" s="110"/>
      <c r="G3540" s="109"/>
    </row>
    <row r="3541" spans="3:7" x14ac:dyDescent="0.3">
      <c r="C3541" s="109"/>
      <c r="D3541" s="109"/>
      <c r="E3541" s="109"/>
      <c r="F3541" s="110"/>
      <c r="G3541" s="109"/>
    </row>
    <row r="3542" spans="3:7" x14ac:dyDescent="0.3">
      <c r="C3542" s="109"/>
      <c r="D3542" s="109"/>
      <c r="E3542" s="109"/>
      <c r="F3542" s="110"/>
      <c r="G3542" s="109"/>
    </row>
    <row r="3543" spans="3:7" x14ac:dyDescent="0.3">
      <c r="C3543" s="109"/>
      <c r="D3543" s="109"/>
      <c r="E3543" s="109"/>
      <c r="F3543" s="110"/>
      <c r="G3543" s="109"/>
    </row>
    <row r="3544" spans="3:7" x14ac:dyDescent="0.3">
      <c r="C3544" s="109"/>
      <c r="D3544" s="109"/>
      <c r="E3544" s="109"/>
      <c r="F3544" s="110"/>
      <c r="G3544" s="109"/>
    </row>
    <row r="3545" spans="3:7" x14ac:dyDescent="0.3">
      <c r="C3545" s="109"/>
      <c r="D3545" s="109"/>
      <c r="E3545" s="109"/>
      <c r="F3545" s="110"/>
      <c r="G3545" s="109"/>
    </row>
    <row r="3546" spans="3:7" x14ac:dyDescent="0.3">
      <c r="C3546" s="109"/>
      <c r="D3546" s="109"/>
      <c r="E3546" s="109"/>
      <c r="F3546" s="110"/>
      <c r="G3546" s="109"/>
    </row>
    <row r="3547" spans="3:7" x14ac:dyDescent="0.3">
      <c r="C3547" s="109"/>
      <c r="D3547" s="109"/>
      <c r="E3547" s="109"/>
      <c r="F3547" s="110"/>
      <c r="G3547" s="109"/>
    </row>
    <row r="3548" spans="3:7" x14ac:dyDescent="0.3">
      <c r="C3548" s="109"/>
      <c r="D3548" s="109"/>
      <c r="E3548" s="109"/>
      <c r="F3548" s="110"/>
      <c r="G3548" s="109"/>
    </row>
    <row r="3549" spans="3:7" x14ac:dyDescent="0.3">
      <c r="C3549" s="109"/>
      <c r="D3549" s="109"/>
      <c r="E3549" s="109"/>
      <c r="F3549" s="110"/>
      <c r="G3549" s="109"/>
    </row>
    <row r="3550" spans="3:7" x14ac:dyDescent="0.3">
      <c r="C3550" s="109"/>
      <c r="D3550" s="109"/>
      <c r="E3550" s="109"/>
      <c r="F3550" s="110"/>
      <c r="G3550" s="109"/>
    </row>
    <row r="3551" spans="3:7" x14ac:dyDescent="0.3">
      <c r="C3551" s="109"/>
      <c r="D3551" s="109"/>
      <c r="E3551" s="109"/>
      <c r="F3551" s="110"/>
      <c r="G3551" s="109"/>
    </row>
    <row r="3552" spans="3:7" x14ac:dyDescent="0.3">
      <c r="C3552" s="109"/>
      <c r="D3552" s="109"/>
      <c r="E3552" s="109"/>
      <c r="F3552" s="110"/>
      <c r="G3552" s="109"/>
    </row>
    <row r="3553" spans="3:7" x14ac:dyDescent="0.3">
      <c r="C3553" s="109"/>
      <c r="D3553" s="109"/>
      <c r="E3553" s="109"/>
      <c r="F3553" s="110"/>
      <c r="G3553" s="109"/>
    </row>
    <row r="3554" spans="3:7" x14ac:dyDescent="0.3">
      <c r="C3554" s="109"/>
      <c r="D3554" s="109"/>
      <c r="E3554" s="109"/>
      <c r="F3554" s="110"/>
      <c r="G3554" s="109"/>
    </row>
    <row r="3555" spans="3:7" x14ac:dyDescent="0.3">
      <c r="C3555" s="109"/>
      <c r="D3555" s="109"/>
      <c r="E3555" s="109"/>
      <c r="F3555" s="110"/>
      <c r="G3555" s="109"/>
    </row>
    <row r="3556" spans="3:7" x14ac:dyDescent="0.3">
      <c r="C3556" s="109"/>
      <c r="D3556" s="109"/>
      <c r="E3556" s="109"/>
      <c r="F3556" s="110"/>
      <c r="G3556" s="109"/>
    </row>
    <row r="3557" spans="3:7" x14ac:dyDescent="0.3">
      <c r="C3557" s="109"/>
      <c r="D3557" s="109"/>
      <c r="E3557" s="109"/>
      <c r="F3557" s="110"/>
      <c r="G3557" s="109"/>
    </row>
    <row r="3558" spans="3:7" x14ac:dyDescent="0.3">
      <c r="C3558" s="109"/>
      <c r="D3558" s="109"/>
      <c r="E3558" s="109"/>
      <c r="F3558" s="110"/>
      <c r="G3558" s="109"/>
    </row>
    <row r="3559" spans="3:7" x14ac:dyDescent="0.3">
      <c r="C3559" s="109"/>
      <c r="D3559" s="109"/>
      <c r="E3559" s="109"/>
      <c r="F3559" s="110"/>
      <c r="G3559" s="109"/>
    </row>
    <row r="3560" spans="3:7" x14ac:dyDescent="0.3">
      <c r="C3560" s="109"/>
      <c r="D3560" s="109"/>
      <c r="E3560" s="109"/>
      <c r="F3560" s="110"/>
      <c r="G3560" s="109"/>
    </row>
    <row r="3561" spans="3:7" x14ac:dyDescent="0.3">
      <c r="C3561" s="109"/>
      <c r="D3561" s="109"/>
      <c r="E3561" s="109"/>
      <c r="F3561" s="110"/>
      <c r="G3561" s="109"/>
    </row>
    <row r="3562" spans="3:7" x14ac:dyDescent="0.3">
      <c r="C3562" s="109"/>
      <c r="D3562" s="109"/>
      <c r="E3562" s="109"/>
      <c r="F3562" s="110"/>
      <c r="G3562" s="109"/>
    </row>
    <row r="3563" spans="3:7" x14ac:dyDescent="0.3">
      <c r="C3563" s="109"/>
      <c r="D3563" s="109"/>
      <c r="E3563" s="109"/>
      <c r="F3563" s="110"/>
      <c r="G3563" s="109"/>
    </row>
    <row r="3564" spans="3:7" x14ac:dyDescent="0.3">
      <c r="C3564" s="109"/>
      <c r="D3564" s="109"/>
      <c r="E3564" s="109"/>
      <c r="F3564" s="110"/>
      <c r="G3564" s="109"/>
    </row>
    <row r="3565" spans="3:7" x14ac:dyDescent="0.3">
      <c r="C3565" s="109"/>
      <c r="D3565" s="109"/>
      <c r="E3565" s="109"/>
      <c r="F3565" s="110"/>
      <c r="G3565" s="109"/>
    </row>
    <row r="3566" spans="3:7" x14ac:dyDescent="0.3">
      <c r="C3566" s="109"/>
      <c r="D3566" s="109"/>
      <c r="E3566" s="109"/>
      <c r="F3566" s="110"/>
      <c r="G3566" s="109"/>
    </row>
    <row r="3567" spans="3:7" x14ac:dyDescent="0.3">
      <c r="C3567" s="109"/>
      <c r="D3567" s="109"/>
      <c r="E3567" s="109"/>
      <c r="F3567" s="110"/>
      <c r="G3567" s="109"/>
    </row>
    <row r="3568" spans="3:7" x14ac:dyDescent="0.3">
      <c r="C3568" s="109"/>
      <c r="D3568" s="109"/>
      <c r="E3568" s="109"/>
      <c r="F3568" s="110"/>
      <c r="G3568" s="109"/>
    </row>
    <row r="3569" spans="3:7" x14ac:dyDescent="0.3">
      <c r="C3569" s="109"/>
      <c r="D3569" s="109"/>
      <c r="E3569" s="109"/>
      <c r="F3569" s="110"/>
      <c r="G3569" s="109"/>
    </row>
    <row r="3570" spans="3:7" x14ac:dyDescent="0.3">
      <c r="C3570" s="109"/>
      <c r="D3570" s="109"/>
      <c r="E3570" s="109"/>
      <c r="F3570" s="110"/>
      <c r="G3570" s="109"/>
    </row>
    <row r="3571" spans="3:7" x14ac:dyDescent="0.3">
      <c r="C3571" s="109"/>
      <c r="D3571" s="109"/>
      <c r="E3571" s="109"/>
      <c r="F3571" s="110"/>
      <c r="G3571" s="109"/>
    </row>
    <row r="3572" spans="3:7" x14ac:dyDescent="0.3">
      <c r="C3572" s="109"/>
      <c r="D3572" s="109"/>
      <c r="E3572" s="109"/>
      <c r="F3572" s="110"/>
      <c r="G3572" s="109"/>
    </row>
    <row r="3573" spans="3:7" x14ac:dyDescent="0.3">
      <c r="C3573" s="109"/>
      <c r="D3573" s="109"/>
      <c r="E3573" s="109"/>
      <c r="F3573" s="110"/>
      <c r="G3573" s="109"/>
    </row>
    <row r="3574" spans="3:7" x14ac:dyDescent="0.3">
      <c r="C3574" s="109"/>
      <c r="D3574" s="109"/>
      <c r="E3574" s="109"/>
      <c r="F3574" s="110"/>
      <c r="G3574" s="109"/>
    </row>
    <row r="3575" spans="3:7" x14ac:dyDescent="0.3">
      <c r="C3575" s="109"/>
      <c r="D3575" s="109"/>
      <c r="E3575" s="109"/>
      <c r="F3575" s="110"/>
      <c r="G3575" s="109"/>
    </row>
    <row r="3576" spans="3:7" x14ac:dyDescent="0.3">
      <c r="C3576" s="109"/>
      <c r="D3576" s="109"/>
      <c r="E3576" s="109"/>
      <c r="F3576" s="110"/>
      <c r="G3576" s="109"/>
    </row>
    <row r="3577" spans="3:7" x14ac:dyDescent="0.3">
      <c r="C3577" s="109"/>
      <c r="D3577" s="109"/>
      <c r="E3577" s="109"/>
      <c r="F3577" s="110"/>
      <c r="G3577" s="109"/>
    </row>
    <row r="3578" spans="3:7" x14ac:dyDescent="0.3">
      <c r="C3578" s="109"/>
      <c r="D3578" s="109"/>
      <c r="E3578" s="109"/>
      <c r="F3578" s="110"/>
      <c r="G3578" s="109"/>
    </row>
    <row r="3579" spans="3:7" x14ac:dyDescent="0.3">
      <c r="C3579" s="109"/>
      <c r="D3579" s="109"/>
      <c r="E3579" s="109"/>
      <c r="F3579" s="110"/>
      <c r="G3579" s="109"/>
    </row>
    <row r="3580" spans="3:7" x14ac:dyDescent="0.3">
      <c r="C3580" s="109"/>
      <c r="D3580" s="109"/>
      <c r="E3580" s="109"/>
      <c r="F3580" s="110"/>
      <c r="G3580" s="109"/>
    </row>
    <row r="3581" spans="3:7" x14ac:dyDescent="0.3">
      <c r="C3581" s="109"/>
      <c r="D3581" s="109"/>
      <c r="E3581" s="109"/>
      <c r="F3581" s="110"/>
      <c r="G3581" s="109"/>
    </row>
    <row r="3582" spans="3:7" x14ac:dyDescent="0.3">
      <c r="C3582" s="109"/>
      <c r="D3582" s="109"/>
      <c r="E3582" s="109"/>
      <c r="F3582" s="110"/>
      <c r="G3582" s="109"/>
    </row>
    <row r="3583" spans="3:7" x14ac:dyDescent="0.3">
      <c r="C3583" s="109"/>
      <c r="D3583" s="109"/>
      <c r="E3583" s="109"/>
      <c r="F3583" s="110"/>
      <c r="G3583" s="109"/>
    </row>
    <row r="3584" spans="3:7" x14ac:dyDescent="0.3">
      <c r="C3584" s="109"/>
      <c r="D3584" s="109"/>
      <c r="E3584" s="109"/>
      <c r="F3584" s="110"/>
      <c r="G3584" s="109"/>
    </row>
    <row r="3585" spans="3:7" x14ac:dyDescent="0.3">
      <c r="C3585" s="109"/>
      <c r="D3585" s="109"/>
      <c r="E3585" s="109"/>
      <c r="F3585" s="110"/>
      <c r="G3585" s="109"/>
    </row>
    <row r="3586" spans="3:7" x14ac:dyDescent="0.3">
      <c r="C3586" s="109"/>
      <c r="D3586" s="109"/>
      <c r="E3586" s="109"/>
      <c r="F3586" s="110"/>
      <c r="G3586" s="109"/>
    </row>
    <row r="3587" spans="3:7" x14ac:dyDescent="0.3">
      <c r="C3587" s="109"/>
      <c r="D3587" s="109"/>
      <c r="E3587" s="109"/>
      <c r="F3587" s="110"/>
      <c r="G3587" s="109"/>
    </row>
    <row r="3588" spans="3:7" x14ac:dyDescent="0.3">
      <c r="C3588" s="109"/>
      <c r="D3588" s="109"/>
      <c r="E3588" s="109"/>
      <c r="F3588" s="110"/>
      <c r="G3588" s="109"/>
    </row>
    <row r="3589" spans="3:7" x14ac:dyDescent="0.3">
      <c r="C3589" s="109"/>
      <c r="D3589" s="109"/>
      <c r="E3589" s="109"/>
      <c r="F3589" s="110"/>
      <c r="G3589" s="109"/>
    </row>
    <row r="3590" spans="3:7" x14ac:dyDescent="0.3">
      <c r="C3590" s="109"/>
      <c r="D3590" s="109"/>
      <c r="E3590" s="109"/>
      <c r="F3590" s="110"/>
      <c r="G3590" s="109"/>
    </row>
    <row r="3591" spans="3:7" x14ac:dyDescent="0.3">
      <c r="C3591" s="109"/>
      <c r="D3591" s="109"/>
      <c r="E3591" s="109"/>
      <c r="F3591" s="110"/>
      <c r="G3591" s="109"/>
    </row>
    <row r="3592" spans="3:7" x14ac:dyDescent="0.3">
      <c r="C3592" s="109"/>
      <c r="D3592" s="109"/>
      <c r="E3592" s="109"/>
      <c r="F3592" s="110"/>
      <c r="G3592" s="109"/>
    </row>
    <row r="3593" spans="3:7" x14ac:dyDescent="0.3">
      <c r="C3593" s="109"/>
      <c r="D3593" s="109"/>
      <c r="E3593" s="109"/>
      <c r="F3593" s="110"/>
      <c r="G3593" s="109"/>
    </row>
    <row r="3594" spans="3:7" x14ac:dyDescent="0.3">
      <c r="C3594" s="109"/>
      <c r="D3594" s="109"/>
      <c r="E3594" s="109"/>
      <c r="F3594" s="110"/>
      <c r="G3594" s="109"/>
    </row>
    <row r="3595" spans="3:7" x14ac:dyDescent="0.3">
      <c r="C3595" s="109"/>
      <c r="D3595" s="109"/>
      <c r="E3595" s="109"/>
      <c r="F3595" s="110"/>
      <c r="G3595" s="109"/>
    </row>
    <row r="3596" spans="3:7" x14ac:dyDescent="0.3">
      <c r="C3596" s="109"/>
      <c r="D3596" s="109"/>
      <c r="E3596" s="109"/>
      <c r="F3596" s="110"/>
      <c r="G3596" s="109"/>
    </row>
    <row r="3597" spans="3:7" x14ac:dyDescent="0.3">
      <c r="C3597" s="109"/>
      <c r="D3597" s="109"/>
      <c r="E3597" s="109"/>
      <c r="F3597" s="110"/>
      <c r="G3597" s="109"/>
    </row>
    <row r="3598" spans="3:7" x14ac:dyDescent="0.3">
      <c r="C3598" s="109"/>
      <c r="D3598" s="109"/>
      <c r="E3598" s="109"/>
      <c r="F3598" s="110"/>
      <c r="G3598" s="109"/>
    </row>
    <row r="3599" spans="3:7" x14ac:dyDescent="0.3">
      <c r="C3599" s="109"/>
      <c r="D3599" s="109"/>
      <c r="E3599" s="109"/>
      <c r="F3599" s="110"/>
      <c r="G3599" s="109"/>
    </row>
    <row r="3600" spans="3:7" x14ac:dyDescent="0.3">
      <c r="C3600" s="109"/>
      <c r="D3600" s="109"/>
      <c r="E3600" s="109"/>
      <c r="F3600" s="110"/>
      <c r="G3600" s="109"/>
    </row>
    <row r="3601" spans="3:7" x14ac:dyDescent="0.3">
      <c r="C3601" s="109"/>
      <c r="D3601" s="109"/>
      <c r="E3601" s="109"/>
      <c r="F3601" s="110"/>
      <c r="G3601" s="109"/>
    </row>
    <row r="3602" spans="3:7" x14ac:dyDescent="0.3">
      <c r="C3602" s="109"/>
      <c r="D3602" s="109"/>
      <c r="E3602" s="109"/>
      <c r="F3602" s="110"/>
      <c r="G3602" s="109"/>
    </row>
    <row r="3603" spans="3:7" x14ac:dyDescent="0.3">
      <c r="C3603" s="109"/>
      <c r="D3603" s="109"/>
      <c r="E3603" s="109"/>
      <c r="F3603" s="110"/>
      <c r="G3603" s="109"/>
    </row>
    <row r="3604" spans="3:7" x14ac:dyDescent="0.3">
      <c r="C3604" s="109"/>
      <c r="D3604" s="109"/>
      <c r="E3604" s="109"/>
      <c r="F3604" s="110"/>
      <c r="G3604" s="109"/>
    </row>
    <row r="3605" spans="3:7" x14ac:dyDescent="0.3">
      <c r="C3605" s="109"/>
      <c r="D3605" s="109"/>
      <c r="E3605" s="109"/>
      <c r="F3605" s="110"/>
      <c r="G3605" s="109"/>
    </row>
    <row r="3606" spans="3:7" x14ac:dyDescent="0.3">
      <c r="C3606" s="109"/>
      <c r="D3606" s="109"/>
      <c r="E3606" s="109"/>
      <c r="F3606" s="110"/>
      <c r="G3606" s="109"/>
    </row>
    <row r="3607" spans="3:7" x14ac:dyDescent="0.3">
      <c r="C3607" s="109"/>
      <c r="D3607" s="109"/>
      <c r="E3607" s="109"/>
      <c r="F3607" s="110"/>
      <c r="G3607" s="109"/>
    </row>
    <row r="3608" spans="3:7" x14ac:dyDescent="0.3">
      <c r="C3608" s="109"/>
      <c r="D3608" s="109"/>
      <c r="E3608" s="109"/>
      <c r="F3608" s="110"/>
      <c r="G3608" s="109"/>
    </row>
    <row r="3609" spans="3:7" x14ac:dyDescent="0.3">
      <c r="C3609" s="109"/>
      <c r="D3609" s="109"/>
      <c r="E3609" s="109"/>
      <c r="F3609" s="110"/>
      <c r="G3609" s="109"/>
    </row>
    <row r="3610" spans="3:7" x14ac:dyDescent="0.3">
      <c r="C3610" s="109"/>
      <c r="D3610" s="109"/>
      <c r="E3610" s="109"/>
      <c r="F3610" s="110"/>
      <c r="G3610" s="109"/>
    </row>
    <row r="3611" spans="3:7" x14ac:dyDescent="0.3">
      <c r="C3611" s="109"/>
      <c r="D3611" s="109"/>
      <c r="E3611" s="109"/>
      <c r="F3611" s="110"/>
      <c r="G3611" s="109"/>
    </row>
    <row r="3612" spans="3:7" x14ac:dyDescent="0.3">
      <c r="C3612" s="109"/>
      <c r="D3612" s="109"/>
      <c r="E3612" s="109"/>
      <c r="F3612" s="110"/>
      <c r="G3612" s="109"/>
    </row>
    <row r="3613" spans="3:7" x14ac:dyDescent="0.3">
      <c r="C3613" s="109"/>
      <c r="D3613" s="109"/>
      <c r="E3613" s="109"/>
      <c r="F3613" s="110"/>
      <c r="G3613" s="109"/>
    </row>
    <row r="3614" spans="3:7" x14ac:dyDescent="0.3">
      <c r="C3614" s="109"/>
      <c r="D3614" s="109"/>
      <c r="E3614" s="109"/>
      <c r="F3614" s="110"/>
      <c r="G3614" s="109"/>
    </row>
    <row r="3615" spans="3:7" x14ac:dyDescent="0.3">
      <c r="C3615" s="109"/>
      <c r="D3615" s="109"/>
      <c r="E3615" s="109"/>
      <c r="F3615" s="110"/>
      <c r="G3615" s="109"/>
    </row>
    <row r="3616" spans="3:7" x14ac:dyDescent="0.3">
      <c r="C3616" s="109"/>
      <c r="D3616" s="109"/>
      <c r="E3616" s="109"/>
      <c r="F3616" s="110"/>
      <c r="G3616" s="109"/>
    </row>
    <row r="3617" spans="3:7" x14ac:dyDescent="0.3">
      <c r="C3617" s="109"/>
      <c r="D3617" s="109"/>
      <c r="E3617" s="109"/>
      <c r="F3617" s="110"/>
      <c r="G3617" s="109"/>
    </row>
    <row r="3618" spans="3:7" x14ac:dyDescent="0.3">
      <c r="C3618" s="109"/>
      <c r="D3618" s="109"/>
      <c r="E3618" s="109"/>
      <c r="F3618" s="110"/>
      <c r="G3618" s="109"/>
    </row>
    <row r="3619" spans="3:7" x14ac:dyDescent="0.3">
      <c r="C3619" s="109"/>
      <c r="D3619" s="109"/>
      <c r="E3619" s="109"/>
      <c r="F3619" s="110"/>
      <c r="G3619" s="109"/>
    </row>
    <row r="3620" spans="3:7" x14ac:dyDescent="0.3">
      <c r="C3620" s="109"/>
      <c r="D3620" s="109"/>
      <c r="E3620" s="109"/>
      <c r="F3620" s="110"/>
      <c r="G3620" s="109"/>
    </row>
    <row r="3621" spans="3:7" x14ac:dyDescent="0.3">
      <c r="C3621" s="109"/>
      <c r="D3621" s="109"/>
      <c r="E3621" s="109"/>
      <c r="F3621" s="110"/>
      <c r="G3621" s="109"/>
    </row>
    <row r="3622" spans="3:7" x14ac:dyDescent="0.3">
      <c r="C3622" s="109"/>
      <c r="D3622" s="109"/>
      <c r="E3622" s="109"/>
      <c r="F3622" s="110"/>
      <c r="G3622" s="109"/>
    </row>
    <row r="3623" spans="3:7" x14ac:dyDescent="0.3">
      <c r="C3623" s="109"/>
      <c r="D3623" s="109"/>
      <c r="E3623" s="109"/>
      <c r="F3623" s="110"/>
      <c r="G3623" s="109"/>
    </row>
    <row r="3624" spans="3:7" x14ac:dyDescent="0.3">
      <c r="C3624" s="109"/>
      <c r="D3624" s="109"/>
      <c r="E3624" s="109"/>
      <c r="F3624" s="110"/>
      <c r="G3624" s="109"/>
    </row>
    <row r="3625" spans="3:7" x14ac:dyDescent="0.3">
      <c r="C3625" s="109"/>
      <c r="D3625" s="109"/>
      <c r="E3625" s="109"/>
      <c r="F3625" s="110"/>
      <c r="G3625" s="109"/>
    </row>
    <row r="3626" spans="3:7" x14ac:dyDescent="0.3">
      <c r="C3626" s="109"/>
      <c r="D3626" s="109"/>
      <c r="E3626" s="109"/>
      <c r="F3626" s="110"/>
      <c r="G3626" s="109"/>
    </row>
    <row r="3627" spans="3:7" x14ac:dyDescent="0.3">
      <c r="C3627" s="109"/>
      <c r="D3627" s="109"/>
      <c r="E3627" s="109"/>
      <c r="F3627" s="110"/>
      <c r="G3627" s="109"/>
    </row>
    <row r="3628" spans="3:7" x14ac:dyDescent="0.3">
      <c r="C3628" s="109"/>
      <c r="D3628" s="109"/>
      <c r="E3628" s="109"/>
      <c r="F3628" s="110"/>
      <c r="G3628" s="109"/>
    </row>
    <row r="3629" spans="3:7" x14ac:dyDescent="0.3">
      <c r="C3629" s="109"/>
      <c r="D3629" s="109"/>
      <c r="E3629" s="109"/>
      <c r="F3629" s="110"/>
      <c r="G3629" s="109"/>
    </row>
    <row r="3630" spans="3:7" x14ac:dyDescent="0.3">
      <c r="C3630" s="109"/>
      <c r="D3630" s="109"/>
      <c r="E3630" s="109"/>
      <c r="F3630" s="110"/>
      <c r="G3630" s="109"/>
    </row>
    <row r="3631" spans="3:7" x14ac:dyDescent="0.3">
      <c r="C3631" s="109"/>
      <c r="D3631" s="109"/>
      <c r="E3631" s="109"/>
      <c r="F3631" s="110"/>
      <c r="G3631" s="109"/>
    </row>
    <row r="3632" spans="3:7" x14ac:dyDescent="0.3">
      <c r="C3632" s="109"/>
      <c r="D3632" s="109"/>
      <c r="E3632" s="109"/>
      <c r="F3632" s="110"/>
      <c r="G3632" s="109"/>
    </row>
    <row r="3633" spans="3:7" x14ac:dyDescent="0.3">
      <c r="C3633" s="109"/>
      <c r="D3633" s="109"/>
      <c r="E3633" s="109"/>
      <c r="F3633" s="110"/>
      <c r="G3633" s="109"/>
    </row>
    <row r="3634" spans="3:7" x14ac:dyDescent="0.3">
      <c r="C3634" s="109"/>
      <c r="D3634" s="109"/>
      <c r="E3634" s="109"/>
      <c r="F3634" s="110"/>
      <c r="G3634" s="109"/>
    </row>
    <row r="3635" spans="3:7" x14ac:dyDescent="0.3">
      <c r="C3635" s="109"/>
      <c r="D3635" s="109"/>
      <c r="E3635" s="109"/>
      <c r="F3635" s="110"/>
      <c r="G3635" s="109"/>
    </row>
    <row r="3636" spans="3:7" x14ac:dyDescent="0.3">
      <c r="C3636" s="109"/>
      <c r="D3636" s="109"/>
      <c r="E3636" s="109"/>
      <c r="F3636" s="110"/>
      <c r="G3636" s="109"/>
    </row>
    <row r="3637" spans="3:7" x14ac:dyDescent="0.3">
      <c r="C3637" s="109"/>
      <c r="D3637" s="109"/>
      <c r="E3637" s="109"/>
      <c r="F3637" s="110"/>
      <c r="G3637" s="109"/>
    </row>
    <row r="3638" spans="3:7" x14ac:dyDescent="0.3">
      <c r="C3638" s="109"/>
      <c r="D3638" s="109"/>
      <c r="E3638" s="109"/>
      <c r="F3638" s="110"/>
      <c r="G3638" s="109"/>
    </row>
    <row r="3639" spans="3:7" x14ac:dyDescent="0.3">
      <c r="C3639" s="109"/>
      <c r="D3639" s="109"/>
      <c r="E3639" s="109"/>
      <c r="F3639" s="110"/>
      <c r="G3639" s="109"/>
    </row>
    <row r="3640" spans="3:7" x14ac:dyDescent="0.3">
      <c r="C3640" s="109"/>
      <c r="D3640" s="109"/>
      <c r="E3640" s="109"/>
      <c r="F3640" s="110"/>
      <c r="G3640" s="109"/>
    </row>
    <row r="3641" spans="3:7" x14ac:dyDescent="0.3">
      <c r="C3641" s="109"/>
      <c r="D3641" s="109"/>
      <c r="E3641" s="109"/>
      <c r="F3641" s="110"/>
      <c r="G3641" s="109"/>
    </row>
    <row r="3642" spans="3:7" x14ac:dyDescent="0.3">
      <c r="C3642" s="109"/>
      <c r="D3642" s="109"/>
      <c r="E3642" s="109"/>
      <c r="F3642" s="110"/>
      <c r="G3642" s="109"/>
    </row>
    <row r="3643" spans="3:7" x14ac:dyDescent="0.3">
      <c r="C3643" s="109"/>
      <c r="D3643" s="109"/>
      <c r="E3643" s="109"/>
      <c r="F3643" s="110"/>
      <c r="G3643" s="109"/>
    </row>
    <row r="3644" spans="3:7" x14ac:dyDescent="0.3">
      <c r="C3644" s="109"/>
      <c r="D3644" s="109"/>
      <c r="E3644" s="109"/>
      <c r="F3644" s="110"/>
      <c r="G3644" s="109"/>
    </row>
    <row r="3645" spans="3:7" x14ac:dyDescent="0.3">
      <c r="C3645" s="109"/>
      <c r="D3645" s="109"/>
      <c r="E3645" s="109"/>
      <c r="F3645" s="110"/>
      <c r="G3645" s="109"/>
    </row>
    <row r="3646" spans="3:7" x14ac:dyDescent="0.3">
      <c r="C3646" s="109"/>
      <c r="D3646" s="109"/>
      <c r="E3646" s="109"/>
      <c r="F3646" s="110"/>
      <c r="G3646" s="109"/>
    </row>
    <row r="3647" spans="3:7" x14ac:dyDescent="0.3">
      <c r="C3647" s="109"/>
      <c r="D3647" s="109"/>
      <c r="E3647" s="109"/>
      <c r="F3647" s="110"/>
      <c r="G3647" s="109"/>
    </row>
    <row r="3648" spans="3:7" x14ac:dyDescent="0.3">
      <c r="C3648" s="109"/>
      <c r="D3648" s="109"/>
      <c r="E3648" s="109"/>
      <c r="F3648" s="110"/>
      <c r="G3648" s="109"/>
    </row>
    <row r="3649" spans="3:7" x14ac:dyDescent="0.3">
      <c r="C3649" s="109"/>
      <c r="D3649" s="109"/>
      <c r="E3649" s="109"/>
      <c r="F3649" s="110"/>
      <c r="G3649" s="109"/>
    </row>
    <row r="3650" spans="3:7" x14ac:dyDescent="0.3">
      <c r="C3650" s="109"/>
      <c r="D3650" s="109"/>
      <c r="E3650" s="109"/>
      <c r="F3650" s="110"/>
      <c r="G3650" s="109"/>
    </row>
    <row r="3651" spans="3:7" x14ac:dyDescent="0.3">
      <c r="C3651" s="109"/>
      <c r="D3651" s="109"/>
      <c r="E3651" s="109"/>
      <c r="F3651" s="110"/>
      <c r="G3651" s="109"/>
    </row>
    <row r="3652" spans="3:7" x14ac:dyDescent="0.3">
      <c r="C3652" s="109"/>
      <c r="D3652" s="109"/>
      <c r="E3652" s="109"/>
      <c r="F3652" s="110"/>
      <c r="G3652" s="109"/>
    </row>
    <row r="3653" spans="3:7" x14ac:dyDescent="0.3">
      <c r="C3653" s="109"/>
      <c r="D3653" s="109"/>
      <c r="E3653" s="109"/>
      <c r="F3653" s="110"/>
      <c r="G3653" s="109"/>
    </row>
    <row r="3654" spans="3:7" x14ac:dyDescent="0.3">
      <c r="C3654" s="109"/>
      <c r="D3654" s="109"/>
      <c r="E3654" s="109"/>
      <c r="F3654" s="110"/>
      <c r="G3654" s="109"/>
    </row>
    <row r="3655" spans="3:7" x14ac:dyDescent="0.3">
      <c r="C3655" s="109"/>
      <c r="D3655" s="109"/>
      <c r="E3655" s="109"/>
      <c r="F3655" s="110"/>
      <c r="G3655" s="109"/>
    </row>
    <row r="3656" spans="3:7" x14ac:dyDescent="0.3">
      <c r="C3656" s="109"/>
      <c r="D3656" s="109"/>
      <c r="E3656" s="109"/>
      <c r="F3656" s="110"/>
      <c r="G3656" s="109"/>
    </row>
    <row r="3657" spans="3:7" x14ac:dyDescent="0.3">
      <c r="C3657" s="109"/>
      <c r="D3657" s="109"/>
      <c r="E3657" s="109"/>
      <c r="F3657" s="110"/>
      <c r="G3657" s="109"/>
    </row>
    <row r="3658" spans="3:7" x14ac:dyDescent="0.3">
      <c r="C3658" s="109"/>
      <c r="D3658" s="109"/>
      <c r="E3658" s="109"/>
      <c r="F3658" s="110"/>
      <c r="G3658" s="109"/>
    </row>
    <row r="3659" spans="3:7" x14ac:dyDescent="0.3">
      <c r="C3659" s="109"/>
      <c r="D3659" s="109"/>
      <c r="E3659" s="109"/>
      <c r="F3659" s="110"/>
      <c r="G3659" s="109"/>
    </row>
    <row r="3660" spans="3:7" x14ac:dyDescent="0.3">
      <c r="C3660" s="109"/>
      <c r="D3660" s="109"/>
      <c r="E3660" s="109"/>
      <c r="F3660" s="110"/>
      <c r="G3660" s="109"/>
    </row>
    <row r="3661" spans="3:7" x14ac:dyDescent="0.3">
      <c r="C3661" s="109"/>
      <c r="D3661" s="109"/>
      <c r="E3661" s="109"/>
      <c r="F3661" s="110"/>
      <c r="G3661" s="109"/>
    </row>
    <row r="3662" spans="3:7" x14ac:dyDescent="0.3">
      <c r="C3662" s="109"/>
      <c r="D3662" s="109"/>
      <c r="E3662" s="109"/>
      <c r="F3662" s="110"/>
      <c r="G3662" s="109"/>
    </row>
    <row r="3663" spans="3:7" x14ac:dyDescent="0.3">
      <c r="C3663" s="109"/>
      <c r="D3663" s="109"/>
      <c r="E3663" s="109"/>
      <c r="F3663" s="110"/>
      <c r="G3663" s="109"/>
    </row>
    <row r="3664" spans="3:7" x14ac:dyDescent="0.3">
      <c r="C3664" s="109"/>
      <c r="D3664" s="109"/>
      <c r="E3664" s="109"/>
      <c r="F3664" s="110"/>
      <c r="G3664" s="109"/>
    </row>
    <row r="3665" spans="3:7" x14ac:dyDescent="0.3">
      <c r="C3665" s="109"/>
      <c r="D3665" s="109"/>
      <c r="E3665" s="109"/>
      <c r="F3665" s="110"/>
      <c r="G3665" s="109"/>
    </row>
    <row r="3666" spans="3:7" x14ac:dyDescent="0.3">
      <c r="C3666" s="109"/>
      <c r="D3666" s="109"/>
      <c r="E3666" s="109"/>
      <c r="F3666" s="110"/>
      <c r="G3666" s="109"/>
    </row>
    <row r="3667" spans="3:7" x14ac:dyDescent="0.3">
      <c r="C3667" s="109"/>
      <c r="D3667" s="109"/>
      <c r="E3667" s="109"/>
      <c r="F3667" s="110"/>
      <c r="G3667" s="109"/>
    </row>
    <row r="3668" spans="3:7" x14ac:dyDescent="0.3">
      <c r="C3668" s="109"/>
      <c r="D3668" s="109"/>
      <c r="E3668" s="109"/>
      <c r="F3668" s="110"/>
      <c r="G3668" s="109"/>
    </row>
    <row r="3669" spans="3:7" x14ac:dyDescent="0.3">
      <c r="C3669" s="109"/>
      <c r="D3669" s="109"/>
      <c r="E3669" s="109"/>
      <c r="F3669" s="110"/>
      <c r="G3669" s="109"/>
    </row>
    <row r="3670" spans="3:7" x14ac:dyDescent="0.3">
      <c r="C3670" s="109"/>
      <c r="D3670" s="109"/>
      <c r="E3670" s="109"/>
      <c r="F3670" s="110"/>
      <c r="G3670" s="109"/>
    </row>
    <row r="3671" spans="3:7" x14ac:dyDescent="0.3">
      <c r="C3671" s="109"/>
      <c r="D3671" s="109"/>
      <c r="E3671" s="109"/>
      <c r="F3671" s="110"/>
      <c r="G3671" s="109"/>
    </row>
    <row r="3672" spans="3:7" x14ac:dyDescent="0.3">
      <c r="C3672" s="109"/>
      <c r="D3672" s="109"/>
      <c r="E3672" s="109"/>
      <c r="F3672" s="110"/>
      <c r="G3672" s="109"/>
    </row>
    <row r="3673" spans="3:7" x14ac:dyDescent="0.3">
      <c r="C3673" s="109"/>
      <c r="D3673" s="109"/>
      <c r="E3673" s="109"/>
      <c r="F3673" s="110"/>
      <c r="G3673" s="109"/>
    </row>
    <row r="3674" spans="3:7" x14ac:dyDescent="0.3">
      <c r="C3674" s="109"/>
      <c r="D3674" s="109"/>
      <c r="E3674" s="109"/>
      <c r="F3674" s="110"/>
      <c r="G3674" s="109"/>
    </row>
    <row r="3675" spans="3:7" x14ac:dyDescent="0.3">
      <c r="C3675" s="109"/>
      <c r="D3675" s="109"/>
      <c r="E3675" s="109"/>
      <c r="F3675" s="110"/>
      <c r="G3675" s="109"/>
    </row>
    <row r="3676" spans="3:7" x14ac:dyDescent="0.3">
      <c r="C3676" s="109"/>
      <c r="D3676" s="109"/>
      <c r="E3676" s="109"/>
      <c r="F3676" s="110"/>
      <c r="G3676" s="109"/>
    </row>
    <row r="3677" spans="3:7" x14ac:dyDescent="0.3">
      <c r="C3677" s="109"/>
      <c r="D3677" s="109"/>
      <c r="E3677" s="109"/>
      <c r="F3677" s="110"/>
      <c r="G3677" s="109"/>
    </row>
    <row r="3678" spans="3:7" x14ac:dyDescent="0.3">
      <c r="C3678" s="109"/>
      <c r="D3678" s="109"/>
      <c r="E3678" s="109"/>
      <c r="F3678" s="110"/>
      <c r="G3678" s="109"/>
    </row>
    <row r="3679" spans="3:7" x14ac:dyDescent="0.3">
      <c r="C3679" s="109"/>
      <c r="D3679" s="109"/>
      <c r="E3679" s="109"/>
      <c r="F3679" s="110"/>
      <c r="G3679" s="109"/>
    </row>
    <row r="3680" spans="3:7" x14ac:dyDescent="0.3">
      <c r="C3680" s="109"/>
      <c r="D3680" s="109"/>
      <c r="E3680" s="109"/>
      <c r="F3680" s="110"/>
      <c r="G3680" s="109"/>
    </row>
    <row r="3681" spans="3:7" x14ac:dyDescent="0.3">
      <c r="C3681" s="109"/>
      <c r="D3681" s="109"/>
      <c r="E3681" s="109"/>
      <c r="F3681" s="110"/>
      <c r="G3681" s="109"/>
    </row>
    <row r="3682" spans="3:7" x14ac:dyDescent="0.3">
      <c r="C3682" s="109"/>
      <c r="D3682" s="109"/>
      <c r="E3682" s="109"/>
      <c r="F3682" s="110"/>
      <c r="G3682" s="109"/>
    </row>
    <row r="3683" spans="3:7" x14ac:dyDescent="0.3">
      <c r="C3683" s="109"/>
      <c r="D3683" s="109"/>
      <c r="E3683" s="109"/>
      <c r="F3683" s="110"/>
      <c r="G3683" s="109"/>
    </row>
    <row r="3684" spans="3:7" x14ac:dyDescent="0.3">
      <c r="C3684" s="109"/>
      <c r="D3684" s="109"/>
      <c r="E3684" s="109"/>
      <c r="F3684" s="110"/>
      <c r="G3684" s="109"/>
    </row>
    <row r="3685" spans="3:7" x14ac:dyDescent="0.3">
      <c r="C3685" s="109"/>
      <c r="D3685" s="109"/>
      <c r="E3685" s="109"/>
      <c r="F3685" s="110"/>
      <c r="G3685" s="109"/>
    </row>
    <row r="3686" spans="3:7" x14ac:dyDescent="0.3">
      <c r="C3686" s="109"/>
      <c r="D3686" s="109"/>
      <c r="E3686" s="109"/>
      <c r="F3686" s="110"/>
      <c r="G3686" s="109"/>
    </row>
    <row r="3687" spans="3:7" x14ac:dyDescent="0.3">
      <c r="C3687" s="109"/>
      <c r="D3687" s="109"/>
      <c r="E3687" s="109"/>
      <c r="F3687" s="110"/>
      <c r="G3687" s="109"/>
    </row>
    <row r="3688" spans="3:7" x14ac:dyDescent="0.3">
      <c r="C3688" s="109"/>
      <c r="D3688" s="109"/>
      <c r="E3688" s="109"/>
      <c r="F3688" s="110"/>
      <c r="G3688" s="109"/>
    </row>
    <row r="3689" spans="3:7" x14ac:dyDescent="0.3">
      <c r="C3689" s="109"/>
      <c r="D3689" s="109"/>
      <c r="E3689" s="109"/>
      <c r="F3689" s="110"/>
      <c r="G3689" s="109"/>
    </row>
    <row r="3690" spans="3:7" x14ac:dyDescent="0.3">
      <c r="C3690" s="109"/>
      <c r="D3690" s="109"/>
      <c r="E3690" s="109"/>
      <c r="F3690" s="110"/>
      <c r="G3690" s="109"/>
    </row>
    <row r="3691" spans="3:7" x14ac:dyDescent="0.3">
      <c r="C3691" s="109"/>
      <c r="D3691" s="109"/>
      <c r="E3691" s="109"/>
      <c r="F3691" s="110"/>
      <c r="G3691" s="109"/>
    </row>
    <row r="3692" spans="3:7" x14ac:dyDescent="0.3">
      <c r="C3692" s="109"/>
      <c r="D3692" s="109"/>
      <c r="E3692" s="109"/>
      <c r="F3692" s="110"/>
      <c r="G3692" s="109"/>
    </row>
    <row r="3693" spans="3:7" x14ac:dyDescent="0.3">
      <c r="C3693" s="109"/>
      <c r="D3693" s="109"/>
      <c r="E3693" s="109"/>
      <c r="F3693" s="110"/>
      <c r="G3693" s="109"/>
    </row>
    <row r="3694" spans="3:7" x14ac:dyDescent="0.3">
      <c r="C3694" s="109"/>
      <c r="D3694" s="109"/>
      <c r="E3694" s="109"/>
      <c r="F3694" s="110"/>
      <c r="G3694" s="109"/>
    </row>
    <row r="3695" spans="3:7" x14ac:dyDescent="0.3">
      <c r="C3695" s="109"/>
      <c r="D3695" s="109"/>
      <c r="E3695" s="109"/>
      <c r="F3695" s="110"/>
      <c r="G3695" s="109"/>
    </row>
    <row r="3696" spans="3:7" x14ac:dyDescent="0.3">
      <c r="C3696" s="109"/>
      <c r="D3696" s="109"/>
      <c r="E3696" s="109"/>
      <c r="F3696" s="110"/>
      <c r="G3696" s="109"/>
    </row>
    <row r="3697" spans="3:7" x14ac:dyDescent="0.3">
      <c r="C3697" s="109"/>
      <c r="D3697" s="109"/>
      <c r="E3697" s="109"/>
      <c r="F3697" s="110"/>
      <c r="G3697" s="109"/>
    </row>
    <row r="3698" spans="3:7" x14ac:dyDescent="0.3">
      <c r="C3698" s="109"/>
      <c r="D3698" s="109"/>
      <c r="E3698" s="109"/>
      <c r="F3698" s="110"/>
      <c r="G3698" s="109"/>
    </row>
    <row r="3699" spans="3:7" x14ac:dyDescent="0.3">
      <c r="C3699" s="109"/>
      <c r="D3699" s="109"/>
      <c r="E3699" s="109"/>
      <c r="F3699" s="110"/>
      <c r="G3699" s="109"/>
    </row>
    <row r="3700" spans="3:7" x14ac:dyDescent="0.3">
      <c r="C3700" s="109"/>
      <c r="D3700" s="109"/>
      <c r="E3700" s="109"/>
      <c r="F3700" s="110"/>
      <c r="G3700" s="109"/>
    </row>
    <row r="3701" spans="3:7" x14ac:dyDescent="0.3">
      <c r="C3701" s="109"/>
      <c r="D3701" s="109"/>
      <c r="E3701" s="109"/>
      <c r="F3701" s="110"/>
      <c r="G3701" s="109"/>
    </row>
    <row r="3702" spans="3:7" x14ac:dyDescent="0.3">
      <c r="C3702" s="109"/>
      <c r="D3702" s="109"/>
      <c r="E3702" s="109"/>
      <c r="F3702" s="110"/>
      <c r="G3702" s="109"/>
    </row>
    <row r="3703" spans="3:7" x14ac:dyDescent="0.3">
      <c r="C3703" s="109"/>
      <c r="D3703" s="109"/>
      <c r="E3703" s="109"/>
      <c r="F3703" s="110"/>
      <c r="G3703" s="109"/>
    </row>
    <row r="3704" spans="3:7" x14ac:dyDescent="0.3">
      <c r="C3704" s="109"/>
      <c r="D3704" s="109"/>
      <c r="E3704" s="109"/>
      <c r="F3704" s="110"/>
      <c r="G3704" s="109"/>
    </row>
    <row r="3705" spans="3:7" x14ac:dyDescent="0.3">
      <c r="C3705" s="109"/>
      <c r="D3705" s="109"/>
      <c r="E3705" s="109"/>
      <c r="F3705" s="110"/>
      <c r="G3705" s="109"/>
    </row>
    <row r="3706" spans="3:7" x14ac:dyDescent="0.3">
      <c r="C3706" s="109"/>
      <c r="D3706" s="109"/>
      <c r="E3706" s="109"/>
      <c r="F3706" s="110"/>
      <c r="G3706" s="109"/>
    </row>
    <row r="3707" spans="3:7" x14ac:dyDescent="0.3">
      <c r="C3707" s="109"/>
      <c r="D3707" s="109"/>
      <c r="E3707" s="109"/>
      <c r="F3707" s="110"/>
      <c r="G3707" s="109"/>
    </row>
    <row r="3708" spans="3:7" x14ac:dyDescent="0.3">
      <c r="C3708" s="109"/>
      <c r="D3708" s="109"/>
      <c r="E3708" s="109"/>
      <c r="F3708" s="110"/>
      <c r="G3708" s="109"/>
    </row>
    <row r="3709" spans="3:7" x14ac:dyDescent="0.3">
      <c r="C3709" s="109"/>
      <c r="D3709" s="109"/>
      <c r="E3709" s="109"/>
      <c r="F3709" s="110"/>
      <c r="G3709" s="109"/>
    </row>
    <row r="3710" spans="3:7" x14ac:dyDescent="0.3">
      <c r="C3710" s="109"/>
      <c r="D3710" s="109"/>
      <c r="E3710" s="109"/>
      <c r="F3710" s="110"/>
      <c r="G3710" s="109"/>
    </row>
    <row r="3711" spans="3:7" x14ac:dyDescent="0.3">
      <c r="C3711" s="109"/>
      <c r="D3711" s="109"/>
      <c r="E3711" s="109"/>
      <c r="F3711" s="110"/>
      <c r="G3711" s="109"/>
    </row>
    <row r="3712" spans="3:7" x14ac:dyDescent="0.3">
      <c r="C3712" s="109"/>
      <c r="D3712" s="109"/>
      <c r="E3712" s="109"/>
      <c r="F3712" s="110"/>
      <c r="G3712" s="109"/>
    </row>
    <row r="3713" spans="3:7" x14ac:dyDescent="0.3">
      <c r="C3713" s="109"/>
      <c r="D3713" s="109"/>
      <c r="E3713" s="109"/>
      <c r="F3713" s="110"/>
      <c r="G3713" s="109"/>
    </row>
    <row r="3714" spans="3:7" x14ac:dyDescent="0.3">
      <c r="C3714" s="109"/>
      <c r="D3714" s="109"/>
      <c r="E3714" s="109"/>
      <c r="F3714" s="110"/>
      <c r="G3714" s="109"/>
    </row>
    <row r="3715" spans="3:7" x14ac:dyDescent="0.3">
      <c r="C3715" s="109"/>
      <c r="D3715" s="109"/>
      <c r="E3715" s="109"/>
      <c r="F3715" s="110"/>
      <c r="G3715" s="109"/>
    </row>
    <row r="3716" spans="3:7" x14ac:dyDescent="0.3">
      <c r="C3716" s="109"/>
      <c r="D3716" s="109"/>
      <c r="E3716" s="109"/>
      <c r="F3716" s="110"/>
      <c r="G3716" s="109"/>
    </row>
    <row r="3717" spans="3:7" x14ac:dyDescent="0.3">
      <c r="C3717" s="109"/>
      <c r="D3717" s="109"/>
      <c r="E3717" s="109"/>
      <c r="F3717" s="110"/>
      <c r="G3717" s="109"/>
    </row>
    <row r="3718" spans="3:7" x14ac:dyDescent="0.3">
      <c r="C3718" s="109"/>
      <c r="D3718" s="109"/>
      <c r="E3718" s="109"/>
      <c r="F3718" s="110"/>
      <c r="G3718" s="109"/>
    </row>
    <row r="3719" spans="3:7" x14ac:dyDescent="0.3">
      <c r="C3719" s="109"/>
      <c r="D3719" s="109"/>
      <c r="E3719" s="109"/>
      <c r="F3719" s="110"/>
      <c r="G3719" s="109"/>
    </row>
    <row r="3720" spans="3:7" x14ac:dyDescent="0.3">
      <c r="C3720" s="109"/>
      <c r="D3720" s="109"/>
      <c r="E3720" s="109"/>
      <c r="F3720" s="110"/>
      <c r="G3720" s="109"/>
    </row>
    <row r="3721" spans="3:7" x14ac:dyDescent="0.3">
      <c r="C3721" s="109"/>
      <c r="D3721" s="109"/>
      <c r="E3721" s="109"/>
      <c r="F3721" s="110"/>
      <c r="G3721" s="109"/>
    </row>
    <row r="3722" spans="3:7" x14ac:dyDescent="0.3">
      <c r="C3722" s="109"/>
      <c r="D3722" s="109"/>
      <c r="E3722" s="109"/>
      <c r="F3722" s="110"/>
      <c r="G3722" s="109"/>
    </row>
    <row r="3723" spans="3:7" x14ac:dyDescent="0.3">
      <c r="C3723" s="109"/>
      <c r="D3723" s="109"/>
      <c r="E3723" s="109"/>
      <c r="F3723" s="110"/>
      <c r="G3723" s="109"/>
    </row>
    <row r="3724" spans="3:7" x14ac:dyDescent="0.3">
      <c r="C3724" s="109"/>
      <c r="D3724" s="109"/>
      <c r="E3724" s="109"/>
      <c r="F3724" s="110"/>
      <c r="G3724" s="109"/>
    </row>
    <row r="3725" spans="3:7" x14ac:dyDescent="0.3">
      <c r="C3725" s="109"/>
      <c r="D3725" s="109"/>
      <c r="E3725" s="109"/>
      <c r="F3725" s="110"/>
      <c r="G3725" s="109"/>
    </row>
    <row r="3726" spans="3:7" x14ac:dyDescent="0.3">
      <c r="C3726" s="109"/>
      <c r="D3726" s="109"/>
      <c r="E3726" s="109"/>
      <c r="F3726" s="110"/>
      <c r="G3726" s="109"/>
    </row>
    <row r="3727" spans="3:7" x14ac:dyDescent="0.3">
      <c r="C3727" s="109"/>
      <c r="D3727" s="109"/>
      <c r="E3727" s="109"/>
      <c r="F3727" s="110"/>
      <c r="G3727" s="109"/>
    </row>
    <row r="3728" spans="3:7" x14ac:dyDescent="0.3">
      <c r="C3728" s="109"/>
      <c r="D3728" s="109"/>
      <c r="E3728" s="109"/>
      <c r="F3728" s="110"/>
      <c r="G3728" s="109"/>
    </row>
    <row r="3729" spans="3:7" x14ac:dyDescent="0.3">
      <c r="C3729" s="109"/>
      <c r="D3729" s="109"/>
      <c r="E3729" s="109"/>
      <c r="F3729" s="110"/>
      <c r="G3729" s="109"/>
    </row>
    <row r="3730" spans="3:7" x14ac:dyDescent="0.3">
      <c r="C3730" s="109"/>
      <c r="D3730" s="109"/>
      <c r="E3730" s="109"/>
      <c r="F3730" s="110"/>
      <c r="G3730" s="109"/>
    </row>
    <row r="3731" spans="3:7" x14ac:dyDescent="0.3">
      <c r="C3731" s="109"/>
      <c r="D3731" s="109"/>
      <c r="E3731" s="109"/>
      <c r="F3731" s="110"/>
      <c r="G3731" s="109"/>
    </row>
    <row r="3732" spans="3:7" x14ac:dyDescent="0.3">
      <c r="C3732" s="109"/>
      <c r="D3732" s="109"/>
      <c r="E3732" s="109"/>
      <c r="F3732" s="110"/>
      <c r="G3732" s="109"/>
    </row>
    <row r="3733" spans="3:7" x14ac:dyDescent="0.3">
      <c r="C3733" s="109"/>
      <c r="D3733" s="109"/>
      <c r="E3733" s="109"/>
      <c r="F3733" s="110"/>
      <c r="G3733" s="109"/>
    </row>
    <row r="3734" spans="3:7" x14ac:dyDescent="0.3">
      <c r="C3734" s="109"/>
      <c r="D3734" s="109"/>
      <c r="E3734" s="109"/>
      <c r="F3734" s="110"/>
      <c r="G3734" s="109"/>
    </row>
    <row r="3735" spans="3:7" x14ac:dyDescent="0.3">
      <c r="C3735" s="109"/>
      <c r="D3735" s="109"/>
      <c r="E3735" s="109"/>
      <c r="F3735" s="110"/>
      <c r="G3735" s="109"/>
    </row>
    <row r="3736" spans="3:7" x14ac:dyDescent="0.3">
      <c r="C3736" s="109"/>
      <c r="D3736" s="109"/>
      <c r="E3736" s="109"/>
      <c r="F3736" s="110"/>
      <c r="G3736" s="109"/>
    </row>
    <row r="3737" spans="3:7" x14ac:dyDescent="0.3">
      <c r="C3737" s="109"/>
      <c r="D3737" s="109"/>
      <c r="E3737" s="109"/>
      <c r="F3737" s="110"/>
      <c r="G3737" s="109"/>
    </row>
    <row r="3738" spans="3:7" x14ac:dyDescent="0.3">
      <c r="C3738" s="109"/>
      <c r="D3738" s="109"/>
      <c r="E3738" s="109"/>
      <c r="F3738" s="110"/>
      <c r="G3738" s="109"/>
    </row>
    <row r="3739" spans="3:7" x14ac:dyDescent="0.3">
      <c r="C3739" s="109"/>
      <c r="D3739" s="109"/>
      <c r="E3739" s="109"/>
      <c r="F3739" s="110"/>
      <c r="G3739" s="109"/>
    </row>
    <row r="3740" spans="3:7" x14ac:dyDescent="0.3">
      <c r="C3740" s="109"/>
      <c r="D3740" s="109"/>
      <c r="E3740" s="109"/>
      <c r="F3740" s="110"/>
      <c r="G3740" s="109"/>
    </row>
    <row r="3741" spans="3:7" x14ac:dyDescent="0.3">
      <c r="C3741" s="109"/>
      <c r="D3741" s="109"/>
      <c r="E3741" s="109"/>
      <c r="F3741" s="110"/>
      <c r="G3741" s="109"/>
    </row>
    <row r="3742" spans="3:7" x14ac:dyDescent="0.3">
      <c r="C3742" s="109"/>
      <c r="D3742" s="109"/>
      <c r="E3742" s="109"/>
      <c r="F3742" s="110"/>
      <c r="G3742" s="109"/>
    </row>
    <row r="3743" spans="3:7" x14ac:dyDescent="0.3">
      <c r="C3743" s="109"/>
      <c r="D3743" s="109"/>
      <c r="E3743" s="109"/>
      <c r="F3743" s="110"/>
      <c r="G3743" s="109"/>
    </row>
    <row r="3744" spans="3:7" x14ac:dyDescent="0.3">
      <c r="C3744" s="109"/>
      <c r="D3744" s="109"/>
      <c r="E3744" s="109"/>
      <c r="F3744" s="110"/>
      <c r="G3744" s="109"/>
    </row>
    <row r="3745" spans="3:7" x14ac:dyDescent="0.3">
      <c r="C3745" s="109"/>
      <c r="D3745" s="109"/>
      <c r="E3745" s="109"/>
      <c r="F3745" s="110"/>
      <c r="G3745" s="109"/>
    </row>
    <row r="3746" spans="3:7" x14ac:dyDescent="0.3">
      <c r="C3746" s="109"/>
      <c r="D3746" s="109"/>
      <c r="E3746" s="109"/>
      <c r="F3746" s="110"/>
      <c r="G3746" s="109"/>
    </row>
    <row r="3747" spans="3:7" x14ac:dyDescent="0.3">
      <c r="C3747" s="109"/>
      <c r="D3747" s="109"/>
      <c r="E3747" s="109"/>
      <c r="F3747" s="110"/>
      <c r="G3747" s="109"/>
    </row>
    <row r="3748" spans="3:7" x14ac:dyDescent="0.3">
      <c r="C3748" s="109"/>
      <c r="D3748" s="109"/>
      <c r="E3748" s="109"/>
      <c r="F3748" s="110"/>
      <c r="G3748" s="109"/>
    </row>
    <row r="3749" spans="3:7" x14ac:dyDescent="0.3">
      <c r="C3749" s="109"/>
      <c r="D3749" s="109"/>
      <c r="E3749" s="109"/>
      <c r="F3749" s="110"/>
      <c r="G3749" s="109"/>
    </row>
    <row r="3750" spans="3:7" x14ac:dyDescent="0.3">
      <c r="C3750" s="109"/>
      <c r="D3750" s="109"/>
      <c r="E3750" s="109"/>
      <c r="F3750" s="110"/>
      <c r="G3750" s="109"/>
    </row>
    <row r="3751" spans="3:7" x14ac:dyDescent="0.3">
      <c r="C3751" s="109"/>
      <c r="D3751" s="109"/>
      <c r="E3751" s="109"/>
      <c r="F3751" s="110"/>
      <c r="G3751" s="109"/>
    </row>
    <row r="3752" spans="3:7" x14ac:dyDescent="0.3">
      <c r="C3752" s="109"/>
      <c r="D3752" s="109"/>
      <c r="E3752" s="109"/>
      <c r="F3752" s="110"/>
      <c r="G3752" s="109"/>
    </row>
    <row r="3753" spans="3:7" x14ac:dyDescent="0.3">
      <c r="C3753" s="109"/>
      <c r="D3753" s="109"/>
      <c r="E3753" s="109"/>
      <c r="F3753" s="110"/>
      <c r="G3753" s="109"/>
    </row>
    <row r="3754" spans="3:7" x14ac:dyDescent="0.3">
      <c r="C3754" s="109"/>
      <c r="D3754" s="109"/>
      <c r="E3754" s="109"/>
      <c r="F3754" s="110"/>
      <c r="G3754" s="109"/>
    </row>
    <row r="3755" spans="3:7" x14ac:dyDescent="0.3">
      <c r="C3755" s="109"/>
      <c r="D3755" s="109"/>
      <c r="E3755" s="109"/>
      <c r="F3755" s="110"/>
      <c r="G3755" s="109"/>
    </row>
    <row r="3756" spans="3:7" x14ac:dyDescent="0.3">
      <c r="C3756" s="109"/>
      <c r="D3756" s="109"/>
      <c r="E3756" s="109"/>
      <c r="F3756" s="110"/>
      <c r="G3756" s="109"/>
    </row>
    <row r="3757" spans="3:7" x14ac:dyDescent="0.3">
      <c r="C3757" s="109"/>
      <c r="D3757" s="109"/>
      <c r="E3757" s="109"/>
      <c r="F3757" s="110"/>
      <c r="G3757" s="109"/>
    </row>
    <row r="3758" spans="3:7" x14ac:dyDescent="0.3">
      <c r="C3758" s="109"/>
      <c r="D3758" s="109"/>
      <c r="E3758" s="109"/>
      <c r="F3758" s="110"/>
      <c r="G3758" s="109"/>
    </row>
    <row r="3759" spans="3:7" x14ac:dyDescent="0.3">
      <c r="C3759" s="109"/>
      <c r="D3759" s="109"/>
      <c r="E3759" s="109"/>
      <c r="F3759" s="110"/>
      <c r="G3759" s="109"/>
    </row>
    <row r="3760" spans="3:7" x14ac:dyDescent="0.3">
      <c r="C3760" s="109"/>
      <c r="D3760" s="109"/>
      <c r="E3760" s="109"/>
      <c r="F3760" s="110"/>
      <c r="G3760" s="109"/>
    </row>
    <row r="3761" spans="3:7" x14ac:dyDescent="0.3">
      <c r="C3761" s="109"/>
      <c r="D3761" s="109"/>
      <c r="E3761" s="109"/>
      <c r="F3761" s="110"/>
      <c r="G3761" s="109"/>
    </row>
    <row r="3762" spans="3:7" x14ac:dyDescent="0.3">
      <c r="C3762" s="109"/>
      <c r="D3762" s="109"/>
      <c r="E3762" s="109"/>
      <c r="F3762" s="110"/>
      <c r="G3762" s="109"/>
    </row>
    <row r="3763" spans="3:7" x14ac:dyDescent="0.3">
      <c r="C3763" s="109"/>
      <c r="D3763" s="109"/>
      <c r="E3763" s="109"/>
      <c r="F3763" s="110"/>
      <c r="G3763" s="109"/>
    </row>
    <row r="3764" spans="3:7" x14ac:dyDescent="0.3">
      <c r="C3764" s="109"/>
      <c r="D3764" s="109"/>
      <c r="E3764" s="109"/>
      <c r="F3764" s="110"/>
      <c r="G3764" s="109"/>
    </row>
    <row r="3765" spans="3:7" x14ac:dyDescent="0.3">
      <c r="C3765" s="109"/>
      <c r="D3765" s="109"/>
      <c r="E3765" s="109"/>
      <c r="F3765" s="110"/>
      <c r="G3765" s="109"/>
    </row>
    <row r="3766" spans="3:7" x14ac:dyDescent="0.3">
      <c r="C3766" s="109"/>
      <c r="D3766" s="109"/>
      <c r="E3766" s="109"/>
      <c r="F3766" s="110"/>
      <c r="G3766" s="109"/>
    </row>
    <row r="3767" spans="3:7" x14ac:dyDescent="0.3">
      <c r="C3767" s="109"/>
      <c r="D3767" s="109"/>
      <c r="E3767" s="109"/>
      <c r="F3767" s="110"/>
      <c r="G3767" s="109"/>
    </row>
    <row r="3768" spans="3:7" x14ac:dyDescent="0.3">
      <c r="C3768" s="109"/>
      <c r="D3768" s="109"/>
      <c r="E3768" s="109"/>
      <c r="F3768" s="110"/>
      <c r="G3768" s="109"/>
    </row>
    <row r="3769" spans="3:7" x14ac:dyDescent="0.3">
      <c r="C3769" s="109"/>
      <c r="D3769" s="109"/>
      <c r="E3769" s="109"/>
      <c r="F3769" s="110"/>
      <c r="G3769" s="109"/>
    </row>
    <row r="3770" spans="3:7" x14ac:dyDescent="0.3">
      <c r="C3770" s="109"/>
      <c r="D3770" s="109"/>
      <c r="E3770" s="109"/>
      <c r="F3770" s="110"/>
      <c r="G3770" s="109"/>
    </row>
    <row r="3771" spans="3:7" x14ac:dyDescent="0.3">
      <c r="C3771" s="109"/>
      <c r="D3771" s="109"/>
      <c r="E3771" s="109"/>
      <c r="F3771" s="110"/>
      <c r="G3771" s="109"/>
    </row>
    <row r="3772" spans="3:7" x14ac:dyDescent="0.3">
      <c r="C3772" s="109"/>
      <c r="D3772" s="109"/>
      <c r="E3772" s="109"/>
      <c r="F3772" s="110"/>
      <c r="G3772" s="109"/>
    </row>
    <row r="3773" spans="3:7" x14ac:dyDescent="0.3">
      <c r="C3773" s="109"/>
      <c r="D3773" s="109"/>
      <c r="E3773" s="109"/>
      <c r="F3773" s="110"/>
      <c r="G3773" s="109"/>
    </row>
    <row r="3774" spans="3:7" x14ac:dyDescent="0.3">
      <c r="C3774" s="109"/>
      <c r="D3774" s="109"/>
      <c r="E3774" s="109"/>
      <c r="F3774" s="110"/>
      <c r="G3774" s="109"/>
    </row>
    <row r="3775" spans="3:7" x14ac:dyDescent="0.3">
      <c r="C3775" s="109"/>
      <c r="D3775" s="109"/>
      <c r="E3775" s="109"/>
      <c r="F3775" s="110"/>
      <c r="G3775" s="109"/>
    </row>
    <row r="3776" spans="3:7" x14ac:dyDescent="0.3">
      <c r="C3776" s="109"/>
      <c r="D3776" s="109"/>
      <c r="E3776" s="109"/>
      <c r="F3776" s="110"/>
      <c r="G3776" s="109"/>
    </row>
    <row r="3777" spans="3:7" x14ac:dyDescent="0.3">
      <c r="C3777" s="109"/>
      <c r="D3777" s="109"/>
      <c r="E3777" s="109"/>
      <c r="F3777" s="110"/>
      <c r="G3777" s="109"/>
    </row>
    <row r="3778" spans="3:7" x14ac:dyDescent="0.3">
      <c r="C3778" s="109"/>
      <c r="D3778" s="109"/>
      <c r="E3778" s="109"/>
      <c r="F3778" s="110"/>
      <c r="G3778" s="109"/>
    </row>
    <row r="3779" spans="3:7" x14ac:dyDescent="0.3">
      <c r="C3779" s="109"/>
      <c r="D3779" s="109"/>
      <c r="E3779" s="109"/>
      <c r="F3779" s="110"/>
      <c r="G3779" s="109"/>
    </row>
    <row r="3780" spans="3:7" x14ac:dyDescent="0.3">
      <c r="C3780" s="109"/>
      <c r="D3780" s="109"/>
      <c r="E3780" s="109"/>
      <c r="F3780" s="110"/>
      <c r="G3780" s="109"/>
    </row>
    <row r="3781" spans="3:7" x14ac:dyDescent="0.3">
      <c r="C3781" s="109"/>
      <c r="D3781" s="109"/>
      <c r="E3781" s="109"/>
      <c r="F3781" s="110"/>
      <c r="G3781" s="109"/>
    </row>
    <row r="3782" spans="3:7" x14ac:dyDescent="0.3">
      <c r="C3782" s="109"/>
      <c r="D3782" s="109"/>
      <c r="E3782" s="109"/>
      <c r="F3782" s="110"/>
      <c r="G3782" s="109"/>
    </row>
    <row r="3783" spans="3:7" x14ac:dyDescent="0.3">
      <c r="C3783" s="109"/>
      <c r="D3783" s="109"/>
      <c r="E3783" s="109"/>
      <c r="F3783" s="110"/>
      <c r="G3783" s="109"/>
    </row>
    <row r="3784" spans="3:7" x14ac:dyDescent="0.3">
      <c r="C3784" s="109"/>
      <c r="D3784" s="109"/>
      <c r="E3784" s="109"/>
      <c r="F3784" s="110"/>
      <c r="G3784" s="109"/>
    </row>
    <row r="3785" spans="3:7" x14ac:dyDescent="0.3">
      <c r="C3785" s="109"/>
      <c r="D3785" s="109"/>
      <c r="E3785" s="109"/>
      <c r="F3785" s="110"/>
      <c r="G3785" s="109"/>
    </row>
    <row r="3786" spans="3:7" x14ac:dyDescent="0.3">
      <c r="C3786" s="109"/>
      <c r="D3786" s="109"/>
      <c r="E3786" s="109"/>
      <c r="F3786" s="110"/>
      <c r="G3786" s="109"/>
    </row>
    <row r="3787" spans="3:7" x14ac:dyDescent="0.3">
      <c r="C3787" s="109"/>
      <c r="D3787" s="109"/>
      <c r="E3787" s="109"/>
      <c r="F3787" s="110"/>
      <c r="G3787" s="109"/>
    </row>
    <row r="3788" spans="3:7" x14ac:dyDescent="0.3">
      <c r="C3788" s="109"/>
      <c r="D3788" s="109"/>
      <c r="E3788" s="109"/>
      <c r="F3788" s="110"/>
      <c r="G3788" s="109"/>
    </row>
    <row r="3789" spans="3:7" x14ac:dyDescent="0.3">
      <c r="C3789" s="109"/>
      <c r="D3789" s="109"/>
      <c r="E3789" s="109"/>
      <c r="F3789" s="110"/>
      <c r="G3789" s="109"/>
    </row>
    <row r="3790" spans="3:7" x14ac:dyDescent="0.3">
      <c r="C3790" s="109"/>
      <c r="D3790" s="109"/>
      <c r="E3790" s="109"/>
      <c r="F3790" s="110"/>
      <c r="G3790" s="109"/>
    </row>
    <row r="3791" spans="3:7" x14ac:dyDescent="0.3">
      <c r="C3791" s="109"/>
      <c r="D3791" s="109"/>
      <c r="E3791" s="109"/>
      <c r="F3791" s="110"/>
      <c r="G3791" s="109"/>
    </row>
    <row r="3792" spans="3:7" x14ac:dyDescent="0.3">
      <c r="C3792" s="109"/>
      <c r="D3792" s="109"/>
      <c r="E3792" s="109"/>
      <c r="F3792" s="110"/>
      <c r="G3792" s="109"/>
    </row>
    <row r="3793" spans="3:7" x14ac:dyDescent="0.3">
      <c r="C3793" s="109"/>
      <c r="D3793" s="109"/>
      <c r="E3793" s="109"/>
      <c r="F3793" s="110"/>
      <c r="G3793" s="109"/>
    </row>
    <row r="3794" spans="3:7" x14ac:dyDescent="0.3">
      <c r="C3794" s="109"/>
      <c r="D3794" s="109"/>
      <c r="E3794" s="109"/>
      <c r="F3794" s="110"/>
      <c r="G3794" s="109"/>
    </row>
    <row r="3795" spans="3:7" x14ac:dyDescent="0.3">
      <c r="C3795" s="109"/>
      <c r="D3795" s="109"/>
      <c r="E3795" s="109"/>
      <c r="F3795" s="110"/>
      <c r="G3795" s="109"/>
    </row>
    <row r="3796" spans="3:7" x14ac:dyDescent="0.3">
      <c r="C3796" s="109"/>
      <c r="D3796" s="109"/>
      <c r="E3796" s="109"/>
      <c r="F3796" s="110"/>
      <c r="G3796" s="109"/>
    </row>
    <row r="3797" spans="3:7" x14ac:dyDescent="0.3">
      <c r="C3797" s="109"/>
      <c r="D3797" s="109"/>
      <c r="E3797" s="109"/>
      <c r="F3797" s="110"/>
      <c r="G3797" s="109"/>
    </row>
    <row r="3798" spans="3:7" x14ac:dyDescent="0.3">
      <c r="C3798" s="109"/>
      <c r="D3798" s="109"/>
      <c r="E3798" s="109"/>
      <c r="F3798" s="110"/>
      <c r="G3798" s="109"/>
    </row>
    <row r="3799" spans="3:7" x14ac:dyDescent="0.3">
      <c r="C3799" s="109"/>
      <c r="D3799" s="109"/>
      <c r="E3799" s="109"/>
      <c r="F3799" s="110"/>
      <c r="G3799" s="109"/>
    </row>
    <row r="3800" spans="3:7" x14ac:dyDescent="0.3">
      <c r="C3800" s="109"/>
      <c r="D3800" s="109"/>
      <c r="E3800" s="109"/>
      <c r="F3800" s="110"/>
      <c r="G3800" s="109"/>
    </row>
    <row r="3801" spans="3:7" x14ac:dyDescent="0.3">
      <c r="C3801" s="109"/>
      <c r="D3801" s="109"/>
      <c r="E3801" s="109"/>
      <c r="F3801" s="110"/>
      <c r="G3801" s="109"/>
    </row>
    <row r="3802" spans="3:7" x14ac:dyDescent="0.3">
      <c r="C3802" s="109"/>
      <c r="D3802" s="109"/>
      <c r="E3802" s="109"/>
      <c r="F3802" s="110"/>
      <c r="G3802" s="109"/>
    </row>
    <row r="3803" spans="3:7" x14ac:dyDescent="0.3">
      <c r="C3803" s="109"/>
      <c r="D3803" s="109"/>
      <c r="E3803" s="109"/>
      <c r="F3803" s="110"/>
      <c r="G3803" s="109"/>
    </row>
    <row r="3804" spans="3:7" x14ac:dyDescent="0.3">
      <c r="C3804" s="109"/>
      <c r="D3804" s="109"/>
      <c r="E3804" s="109"/>
      <c r="F3804" s="110"/>
      <c r="G3804" s="109"/>
    </row>
    <row r="3805" spans="3:7" x14ac:dyDescent="0.3">
      <c r="C3805" s="109"/>
      <c r="D3805" s="109"/>
      <c r="E3805" s="109"/>
      <c r="F3805" s="110"/>
      <c r="G3805" s="109"/>
    </row>
    <row r="3806" spans="3:7" x14ac:dyDescent="0.3">
      <c r="C3806" s="109"/>
      <c r="D3806" s="109"/>
      <c r="E3806" s="109"/>
      <c r="F3806" s="110"/>
      <c r="G3806" s="109"/>
    </row>
    <row r="3807" spans="3:7" x14ac:dyDescent="0.3">
      <c r="C3807" s="109"/>
      <c r="D3807" s="109"/>
      <c r="E3807" s="109"/>
      <c r="F3807" s="110"/>
      <c r="G3807" s="109"/>
    </row>
    <row r="3808" spans="3:7" x14ac:dyDescent="0.3">
      <c r="C3808" s="109"/>
      <c r="D3808" s="109"/>
      <c r="E3808" s="109"/>
      <c r="F3808" s="110"/>
      <c r="G3808" s="109"/>
    </row>
    <row r="3809" spans="3:7" x14ac:dyDescent="0.3">
      <c r="C3809" s="109"/>
      <c r="D3809" s="109"/>
      <c r="E3809" s="109"/>
      <c r="F3809" s="110"/>
      <c r="G3809" s="109"/>
    </row>
    <row r="3810" spans="3:7" x14ac:dyDescent="0.3">
      <c r="C3810" s="109"/>
      <c r="D3810" s="109"/>
      <c r="E3810" s="109"/>
      <c r="F3810" s="110"/>
      <c r="G3810" s="109"/>
    </row>
    <row r="3811" spans="3:7" x14ac:dyDescent="0.3">
      <c r="C3811" s="109"/>
      <c r="D3811" s="109"/>
      <c r="E3811" s="109"/>
      <c r="F3811" s="110"/>
      <c r="G3811" s="109"/>
    </row>
    <row r="3812" spans="3:7" x14ac:dyDescent="0.3">
      <c r="C3812" s="109"/>
      <c r="D3812" s="109"/>
      <c r="E3812" s="109"/>
      <c r="F3812" s="110"/>
      <c r="G3812" s="109"/>
    </row>
    <row r="3813" spans="3:7" x14ac:dyDescent="0.3">
      <c r="C3813" s="109"/>
      <c r="D3813" s="109"/>
      <c r="E3813" s="109"/>
      <c r="F3813" s="110"/>
      <c r="G3813" s="109"/>
    </row>
    <row r="3814" spans="3:7" x14ac:dyDescent="0.3">
      <c r="C3814" s="109"/>
      <c r="D3814" s="109"/>
      <c r="E3814" s="109"/>
      <c r="F3814" s="110"/>
      <c r="G3814" s="109"/>
    </row>
    <row r="3815" spans="3:7" x14ac:dyDescent="0.3">
      <c r="C3815" s="109"/>
      <c r="D3815" s="109"/>
      <c r="E3815" s="109"/>
      <c r="F3815" s="110"/>
      <c r="G3815" s="109"/>
    </row>
    <row r="3816" spans="3:7" x14ac:dyDescent="0.3">
      <c r="C3816" s="109"/>
      <c r="D3816" s="109"/>
      <c r="E3816" s="109"/>
      <c r="F3816" s="110"/>
      <c r="G3816" s="109"/>
    </row>
    <row r="3817" spans="3:7" x14ac:dyDescent="0.3">
      <c r="C3817" s="109"/>
      <c r="D3817" s="109"/>
      <c r="E3817" s="109"/>
      <c r="F3817" s="110"/>
      <c r="G3817" s="109"/>
    </row>
    <row r="3818" spans="3:7" x14ac:dyDescent="0.3">
      <c r="C3818" s="109"/>
      <c r="D3818" s="109"/>
      <c r="E3818" s="109"/>
      <c r="F3818" s="110"/>
      <c r="G3818" s="109"/>
    </row>
    <row r="3819" spans="3:7" x14ac:dyDescent="0.3">
      <c r="C3819" s="109"/>
      <c r="D3819" s="109"/>
      <c r="E3819" s="109"/>
      <c r="F3819" s="110"/>
      <c r="G3819" s="109"/>
    </row>
    <row r="3820" spans="3:7" x14ac:dyDescent="0.3">
      <c r="C3820" s="109"/>
      <c r="D3820" s="109"/>
      <c r="E3820" s="109"/>
      <c r="F3820" s="110"/>
      <c r="G3820" s="109"/>
    </row>
    <row r="3821" spans="3:7" x14ac:dyDescent="0.3">
      <c r="C3821" s="109"/>
      <c r="D3821" s="109"/>
      <c r="E3821" s="109"/>
      <c r="F3821" s="110"/>
      <c r="G3821" s="109"/>
    </row>
    <row r="3822" spans="3:7" x14ac:dyDescent="0.3">
      <c r="C3822" s="109"/>
      <c r="D3822" s="109"/>
      <c r="E3822" s="109"/>
      <c r="F3822" s="110"/>
      <c r="G3822" s="109"/>
    </row>
    <row r="3823" spans="3:7" x14ac:dyDescent="0.3">
      <c r="C3823" s="109"/>
      <c r="D3823" s="109"/>
      <c r="E3823" s="109"/>
      <c r="F3823" s="110"/>
      <c r="G3823" s="109"/>
    </row>
    <row r="3824" spans="3:7" x14ac:dyDescent="0.3">
      <c r="C3824" s="109"/>
      <c r="D3824" s="109"/>
      <c r="E3824" s="109"/>
      <c r="F3824" s="110"/>
      <c r="G3824" s="109"/>
    </row>
    <row r="3825" spans="3:7" x14ac:dyDescent="0.3">
      <c r="C3825" s="109"/>
      <c r="D3825" s="109"/>
      <c r="E3825" s="109"/>
      <c r="F3825" s="110"/>
      <c r="G3825" s="109"/>
    </row>
    <row r="3826" spans="3:7" x14ac:dyDescent="0.3">
      <c r="C3826" s="109"/>
      <c r="D3826" s="109"/>
      <c r="E3826" s="109"/>
      <c r="F3826" s="110"/>
      <c r="G3826" s="109"/>
    </row>
    <row r="3827" spans="3:7" x14ac:dyDescent="0.3">
      <c r="C3827" s="109"/>
      <c r="D3827" s="109"/>
      <c r="E3827" s="109"/>
      <c r="F3827" s="110"/>
      <c r="G3827" s="109"/>
    </row>
    <row r="3828" spans="3:7" x14ac:dyDescent="0.3">
      <c r="C3828" s="109"/>
      <c r="D3828" s="109"/>
      <c r="E3828" s="109"/>
      <c r="F3828" s="110"/>
      <c r="G3828" s="109"/>
    </row>
    <row r="3829" spans="3:7" x14ac:dyDescent="0.3">
      <c r="C3829" s="109"/>
      <c r="D3829" s="109"/>
      <c r="E3829" s="109"/>
      <c r="F3829" s="110"/>
      <c r="G3829" s="109"/>
    </row>
    <row r="3830" spans="3:7" x14ac:dyDescent="0.3">
      <c r="C3830" s="109"/>
      <c r="D3830" s="109"/>
      <c r="E3830" s="109"/>
      <c r="F3830" s="110"/>
      <c r="G3830" s="109"/>
    </row>
    <row r="3831" spans="3:7" x14ac:dyDescent="0.3">
      <c r="C3831" s="109"/>
      <c r="D3831" s="109"/>
      <c r="E3831" s="109"/>
      <c r="F3831" s="110"/>
      <c r="G3831" s="109"/>
    </row>
    <row r="3832" spans="3:7" x14ac:dyDescent="0.3">
      <c r="C3832" s="109"/>
      <c r="D3832" s="109"/>
      <c r="E3832" s="109"/>
      <c r="F3832" s="110"/>
      <c r="G3832" s="109"/>
    </row>
    <row r="3833" spans="3:7" x14ac:dyDescent="0.3">
      <c r="C3833" s="109"/>
      <c r="D3833" s="109"/>
      <c r="E3833" s="109"/>
      <c r="F3833" s="110"/>
      <c r="G3833" s="109"/>
    </row>
    <row r="3834" spans="3:7" x14ac:dyDescent="0.3">
      <c r="C3834" s="109"/>
      <c r="D3834" s="109"/>
      <c r="E3834" s="109"/>
      <c r="F3834" s="110"/>
      <c r="G3834" s="109"/>
    </row>
    <row r="3835" spans="3:7" x14ac:dyDescent="0.3">
      <c r="C3835" s="109"/>
      <c r="D3835" s="109"/>
      <c r="E3835" s="109"/>
      <c r="F3835" s="110"/>
      <c r="G3835" s="109"/>
    </row>
    <row r="3836" spans="3:7" x14ac:dyDescent="0.3">
      <c r="C3836" s="109"/>
      <c r="D3836" s="109"/>
      <c r="E3836" s="109"/>
      <c r="F3836" s="110"/>
      <c r="G3836" s="109"/>
    </row>
    <row r="3837" spans="3:7" x14ac:dyDescent="0.3">
      <c r="C3837" s="109"/>
      <c r="D3837" s="109"/>
      <c r="E3837" s="109"/>
      <c r="F3837" s="110"/>
      <c r="G3837" s="109"/>
    </row>
    <row r="3838" spans="3:7" x14ac:dyDescent="0.3">
      <c r="C3838" s="109"/>
      <c r="D3838" s="109"/>
      <c r="E3838" s="109"/>
      <c r="F3838" s="110"/>
      <c r="G3838" s="109"/>
    </row>
    <row r="3839" spans="3:7" x14ac:dyDescent="0.3">
      <c r="C3839" s="109"/>
      <c r="D3839" s="109"/>
      <c r="E3839" s="109"/>
      <c r="F3839" s="110"/>
      <c r="G3839" s="109"/>
    </row>
    <row r="3840" spans="3:7" x14ac:dyDescent="0.3">
      <c r="C3840" s="109"/>
      <c r="D3840" s="109"/>
      <c r="E3840" s="109"/>
      <c r="F3840" s="110"/>
      <c r="G3840" s="109"/>
    </row>
    <row r="3841" spans="3:7" x14ac:dyDescent="0.3">
      <c r="C3841" s="109"/>
      <c r="D3841" s="109"/>
      <c r="E3841" s="109"/>
      <c r="F3841" s="110"/>
      <c r="G3841" s="109"/>
    </row>
    <row r="3842" spans="3:7" x14ac:dyDescent="0.3">
      <c r="C3842" s="109"/>
      <c r="D3842" s="109"/>
      <c r="E3842" s="109"/>
      <c r="F3842" s="110"/>
      <c r="G3842" s="109"/>
    </row>
    <row r="3843" spans="3:7" x14ac:dyDescent="0.3">
      <c r="C3843" s="109"/>
      <c r="D3843" s="109"/>
      <c r="E3843" s="109"/>
      <c r="F3843" s="110"/>
      <c r="G3843" s="109"/>
    </row>
    <row r="3844" spans="3:7" x14ac:dyDescent="0.3">
      <c r="C3844" s="109"/>
      <c r="D3844" s="109"/>
      <c r="E3844" s="109"/>
      <c r="F3844" s="110"/>
      <c r="G3844" s="109"/>
    </row>
    <row r="3845" spans="3:7" x14ac:dyDescent="0.3">
      <c r="C3845" s="109"/>
      <c r="D3845" s="109"/>
      <c r="E3845" s="109"/>
      <c r="F3845" s="110"/>
      <c r="G3845" s="109"/>
    </row>
    <row r="3846" spans="3:7" x14ac:dyDescent="0.3">
      <c r="C3846" s="109"/>
      <c r="D3846" s="109"/>
      <c r="E3846" s="109"/>
      <c r="F3846" s="110"/>
      <c r="G3846" s="109"/>
    </row>
    <row r="3847" spans="3:7" x14ac:dyDescent="0.3">
      <c r="C3847" s="109"/>
      <c r="D3847" s="109"/>
      <c r="E3847" s="109"/>
      <c r="F3847" s="110"/>
      <c r="G3847" s="109"/>
    </row>
    <row r="3848" spans="3:7" x14ac:dyDescent="0.3">
      <c r="C3848" s="109"/>
      <c r="D3848" s="109"/>
      <c r="E3848" s="109"/>
      <c r="F3848" s="110"/>
      <c r="G3848" s="109"/>
    </row>
    <row r="3849" spans="3:7" x14ac:dyDescent="0.3">
      <c r="C3849" s="109"/>
      <c r="D3849" s="109"/>
      <c r="E3849" s="109"/>
      <c r="F3849" s="110"/>
      <c r="G3849" s="109"/>
    </row>
    <row r="3850" spans="3:7" x14ac:dyDescent="0.3">
      <c r="C3850" s="109"/>
      <c r="D3850" s="109"/>
      <c r="E3850" s="109"/>
      <c r="F3850" s="110"/>
      <c r="G3850" s="109"/>
    </row>
    <row r="3851" spans="3:7" x14ac:dyDescent="0.3">
      <c r="C3851" s="109"/>
      <c r="D3851" s="109"/>
      <c r="E3851" s="109"/>
      <c r="F3851" s="110"/>
      <c r="G3851" s="109"/>
    </row>
    <row r="3852" spans="3:7" x14ac:dyDescent="0.3">
      <c r="C3852" s="109"/>
      <c r="D3852" s="109"/>
      <c r="E3852" s="109"/>
      <c r="F3852" s="110"/>
      <c r="G3852" s="109"/>
    </row>
    <row r="3853" spans="3:7" x14ac:dyDescent="0.3">
      <c r="C3853" s="109"/>
      <c r="D3853" s="109"/>
      <c r="E3853" s="109"/>
      <c r="F3853" s="110"/>
      <c r="G3853" s="109"/>
    </row>
    <row r="3854" spans="3:7" x14ac:dyDescent="0.3">
      <c r="C3854" s="109"/>
      <c r="D3854" s="109"/>
      <c r="E3854" s="109"/>
      <c r="F3854" s="110"/>
      <c r="G3854" s="109"/>
    </row>
    <row r="3855" spans="3:7" x14ac:dyDescent="0.3">
      <c r="C3855" s="109"/>
      <c r="D3855" s="109"/>
      <c r="E3855" s="109"/>
      <c r="F3855" s="110"/>
      <c r="G3855" s="109"/>
    </row>
    <row r="3856" spans="3:7" x14ac:dyDescent="0.3">
      <c r="C3856" s="109"/>
      <c r="D3856" s="109"/>
      <c r="E3856" s="109"/>
      <c r="F3856" s="110"/>
      <c r="G3856" s="109"/>
    </row>
    <row r="3857" spans="3:7" x14ac:dyDescent="0.3">
      <c r="C3857" s="109"/>
      <c r="D3857" s="109"/>
      <c r="E3857" s="109"/>
      <c r="F3857" s="110"/>
      <c r="G3857" s="109"/>
    </row>
    <row r="3858" spans="3:7" x14ac:dyDescent="0.3">
      <c r="C3858" s="109"/>
      <c r="D3858" s="109"/>
      <c r="E3858" s="109"/>
      <c r="F3858" s="110"/>
      <c r="G3858" s="109"/>
    </row>
    <row r="3859" spans="3:7" x14ac:dyDescent="0.3">
      <c r="C3859" s="109"/>
      <c r="D3859" s="109"/>
      <c r="E3859" s="109"/>
      <c r="F3859" s="110"/>
      <c r="G3859" s="109"/>
    </row>
    <row r="3860" spans="3:7" x14ac:dyDescent="0.3">
      <c r="C3860" s="109"/>
      <c r="D3860" s="109"/>
      <c r="E3860" s="109"/>
      <c r="F3860" s="110"/>
      <c r="G3860" s="109"/>
    </row>
    <row r="3861" spans="3:7" x14ac:dyDescent="0.3">
      <c r="C3861" s="109"/>
      <c r="D3861" s="109"/>
      <c r="E3861" s="109"/>
      <c r="F3861" s="110"/>
      <c r="G3861" s="109"/>
    </row>
    <row r="3862" spans="3:7" x14ac:dyDescent="0.3">
      <c r="C3862" s="109"/>
      <c r="D3862" s="109"/>
      <c r="E3862" s="109"/>
      <c r="F3862" s="110"/>
      <c r="G3862" s="109"/>
    </row>
    <row r="3863" spans="3:7" x14ac:dyDescent="0.3">
      <c r="C3863" s="109"/>
      <c r="D3863" s="109"/>
      <c r="E3863" s="109"/>
      <c r="F3863" s="110"/>
      <c r="G3863" s="109"/>
    </row>
    <row r="3864" spans="3:7" x14ac:dyDescent="0.3">
      <c r="C3864" s="109"/>
      <c r="D3864" s="109"/>
      <c r="E3864" s="109"/>
      <c r="F3864" s="110"/>
      <c r="G3864" s="109"/>
    </row>
    <row r="3865" spans="3:7" x14ac:dyDescent="0.3">
      <c r="C3865" s="109"/>
      <c r="D3865" s="109"/>
      <c r="E3865" s="109"/>
      <c r="F3865" s="110"/>
      <c r="G3865" s="109"/>
    </row>
    <row r="3866" spans="3:7" x14ac:dyDescent="0.3">
      <c r="C3866" s="109"/>
      <c r="D3866" s="109"/>
      <c r="E3866" s="109"/>
      <c r="F3866" s="110"/>
      <c r="G3866" s="109"/>
    </row>
    <row r="3867" spans="3:7" x14ac:dyDescent="0.3">
      <c r="C3867" s="109"/>
      <c r="D3867" s="109"/>
      <c r="E3867" s="109"/>
      <c r="F3867" s="110"/>
      <c r="G3867" s="109"/>
    </row>
    <row r="3868" spans="3:7" x14ac:dyDescent="0.3">
      <c r="C3868" s="109"/>
      <c r="D3868" s="109"/>
      <c r="E3868" s="109"/>
      <c r="F3868" s="110"/>
      <c r="G3868" s="109"/>
    </row>
    <row r="3869" spans="3:7" x14ac:dyDescent="0.3">
      <c r="C3869" s="109"/>
      <c r="D3869" s="109"/>
      <c r="E3869" s="109"/>
      <c r="F3869" s="110"/>
      <c r="G3869" s="109"/>
    </row>
    <row r="3870" spans="3:7" x14ac:dyDescent="0.3">
      <c r="C3870" s="109"/>
      <c r="D3870" s="109"/>
      <c r="E3870" s="109"/>
      <c r="F3870" s="110"/>
      <c r="G3870" s="109"/>
    </row>
    <row r="3871" spans="3:7" x14ac:dyDescent="0.3">
      <c r="C3871" s="109"/>
      <c r="D3871" s="109"/>
      <c r="E3871" s="109"/>
      <c r="F3871" s="110"/>
      <c r="G3871" s="109"/>
    </row>
    <row r="3872" spans="3:7" x14ac:dyDescent="0.3">
      <c r="C3872" s="109"/>
      <c r="D3872" s="109"/>
      <c r="E3872" s="109"/>
      <c r="F3872" s="110"/>
      <c r="G3872" s="109"/>
    </row>
    <row r="3873" spans="3:7" x14ac:dyDescent="0.3">
      <c r="C3873" s="109"/>
      <c r="D3873" s="109"/>
      <c r="E3873" s="109"/>
      <c r="F3873" s="110"/>
      <c r="G3873" s="109"/>
    </row>
    <row r="3874" spans="3:7" x14ac:dyDescent="0.3">
      <c r="C3874" s="109"/>
      <c r="D3874" s="109"/>
      <c r="E3874" s="109"/>
      <c r="F3874" s="110"/>
      <c r="G3874" s="109"/>
    </row>
    <row r="3875" spans="3:7" x14ac:dyDescent="0.3">
      <c r="C3875" s="109"/>
      <c r="D3875" s="109"/>
      <c r="E3875" s="109"/>
      <c r="F3875" s="110"/>
      <c r="G3875" s="109"/>
    </row>
    <row r="3876" spans="3:7" x14ac:dyDescent="0.3">
      <c r="C3876" s="109"/>
      <c r="D3876" s="109"/>
      <c r="E3876" s="109"/>
      <c r="F3876" s="110"/>
      <c r="G3876" s="109"/>
    </row>
    <row r="3877" spans="3:7" x14ac:dyDescent="0.3">
      <c r="C3877" s="109"/>
      <c r="D3877" s="109"/>
      <c r="E3877" s="109"/>
      <c r="F3877" s="110"/>
      <c r="G3877" s="109"/>
    </row>
    <row r="3878" spans="3:7" x14ac:dyDescent="0.3">
      <c r="C3878" s="109"/>
      <c r="D3878" s="109"/>
      <c r="E3878" s="109"/>
      <c r="F3878" s="110"/>
      <c r="G3878" s="109"/>
    </row>
    <row r="3879" spans="3:7" x14ac:dyDescent="0.3">
      <c r="C3879" s="109"/>
      <c r="D3879" s="109"/>
      <c r="E3879" s="109"/>
      <c r="F3879" s="110"/>
      <c r="G3879" s="109"/>
    </row>
    <row r="3880" spans="3:7" x14ac:dyDescent="0.3">
      <c r="C3880" s="109"/>
      <c r="D3880" s="109"/>
      <c r="E3880" s="109"/>
      <c r="F3880" s="110"/>
      <c r="G3880" s="109"/>
    </row>
    <row r="3881" spans="3:7" x14ac:dyDescent="0.3">
      <c r="C3881" s="109"/>
      <c r="D3881" s="109"/>
      <c r="E3881" s="109"/>
      <c r="F3881" s="110"/>
      <c r="G3881" s="109"/>
    </row>
    <row r="3882" spans="3:7" x14ac:dyDescent="0.3">
      <c r="C3882" s="109"/>
      <c r="D3882" s="109"/>
      <c r="E3882" s="109"/>
      <c r="F3882" s="110"/>
      <c r="G3882" s="109"/>
    </row>
    <row r="3883" spans="3:7" x14ac:dyDescent="0.3">
      <c r="C3883" s="109"/>
      <c r="D3883" s="109"/>
      <c r="E3883" s="109"/>
      <c r="F3883" s="110"/>
      <c r="G3883" s="109"/>
    </row>
    <row r="3884" spans="3:7" x14ac:dyDescent="0.3">
      <c r="C3884" s="109"/>
      <c r="D3884" s="109"/>
      <c r="E3884" s="109"/>
      <c r="F3884" s="110"/>
      <c r="G3884" s="109"/>
    </row>
    <row r="3885" spans="3:7" x14ac:dyDescent="0.3">
      <c r="C3885" s="109"/>
      <c r="D3885" s="109"/>
      <c r="E3885" s="109"/>
      <c r="F3885" s="110"/>
      <c r="G3885" s="109"/>
    </row>
    <row r="3886" spans="3:7" x14ac:dyDescent="0.3">
      <c r="C3886" s="109"/>
      <c r="D3886" s="109"/>
      <c r="E3886" s="109"/>
      <c r="F3886" s="110"/>
      <c r="G3886" s="109"/>
    </row>
    <row r="3887" spans="3:7" x14ac:dyDescent="0.3">
      <c r="C3887" s="109"/>
      <c r="D3887" s="109"/>
      <c r="E3887" s="109"/>
      <c r="F3887" s="110"/>
      <c r="G3887" s="109"/>
    </row>
    <row r="3888" spans="3:7" x14ac:dyDescent="0.3">
      <c r="C3888" s="109"/>
      <c r="D3888" s="109"/>
      <c r="E3888" s="109"/>
      <c r="F3888" s="110"/>
      <c r="G3888" s="109"/>
    </row>
    <row r="3889" spans="3:7" x14ac:dyDescent="0.3">
      <c r="C3889" s="109"/>
      <c r="D3889" s="109"/>
      <c r="E3889" s="109"/>
      <c r="F3889" s="110"/>
      <c r="G3889" s="109"/>
    </row>
    <row r="3890" spans="3:7" x14ac:dyDescent="0.3">
      <c r="C3890" s="109"/>
      <c r="D3890" s="109"/>
      <c r="E3890" s="109"/>
      <c r="F3890" s="110"/>
      <c r="G3890" s="109"/>
    </row>
    <row r="3891" spans="3:7" x14ac:dyDescent="0.3">
      <c r="C3891" s="109"/>
      <c r="D3891" s="109"/>
      <c r="E3891" s="109"/>
      <c r="F3891" s="110"/>
      <c r="G3891" s="109"/>
    </row>
    <row r="3892" spans="3:7" x14ac:dyDescent="0.3">
      <c r="C3892" s="109"/>
      <c r="D3892" s="109"/>
      <c r="E3892" s="109"/>
      <c r="F3892" s="110"/>
      <c r="G3892" s="109"/>
    </row>
    <row r="3893" spans="3:7" x14ac:dyDescent="0.3">
      <c r="C3893" s="109"/>
      <c r="D3893" s="109"/>
      <c r="E3893" s="109"/>
      <c r="F3893" s="110"/>
      <c r="G3893" s="109"/>
    </row>
    <row r="3894" spans="3:7" x14ac:dyDescent="0.3">
      <c r="C3894" s="109"/>
      <c r="D3894" s="109"/>
      <c r="E3894" s="109"/>
      <c r="F3894" s="110"/>
      <c r="G3894" s="109"/>
    </row>
    <row r="3895" spans="3:7" x14ac:dyDescent="0.3">
      <c r="C3895" s="109"/>
      <c r="D3895" s="109"/>
      <c r="E3895" s="109"/>
      <c r="F3895" s="110"/>
      <c r="G3895" s="109"/>
    </row>
    <row r="3896" spans="3:7" x14ac:dyDescent="0.3">
      <c r="C3896" s="109"/>
      <c r="D3896" s="109"/>
      <c r="E3896" s="109"/>
      <c r="F3896" s="110"/>
      <c r="G3896" s="109"/>
    </row>
    <row r="3897" spans="3:7" x14ac:dyDescent="0.3">
      <c r="C3897" s="109"/>
      <c r="D3897" s="109"/>
      <c r="E3897" s="109"/>
      <c r="F3897" s="110"/>
      <c r="G3897" s="109"/>
    </row>
    <row r="3898" spans="3:7" x14ac:dyDescent="0.3">
      <c r="C3898" s="109"/>
      <c r="D3898" s="109"/>
      <c r="E3898" s="109"/>
      <c r="F3898" s="110"/>
      <c r="G3898" s="109"/>
    </row>
    <row r="3899" spans="3:7" x14ac:dyDescent="0.3">
      <c r="C3899" s="109"/>
      <c r="D3899" s="109"/>
      <c r="E3899" s="109"/>
      <c r="F3899" s="110"/>
      <c r="G3899" s="109"/>
    </row>
    <row r="3900" spans="3:7" x14ac:dyDescent="0.3">
      <c r="C3900" s="109"/>
      <c r="D3900" s="109"/>
      <c r="E3900" s="109"/>
      <c r="F3900" s="110"/>
      <c r="G3900" s="109"/>
    </row>
    <row r="3901" spans="3:7" x14ac:dyDescent="0.3">
      <c r="C3901" s="109"/>
      <c r="D3901" s="109"/>
      <c r="E3901" s="109"/>
      <c r="F3901" s="110"/>
      <c r="G3901" s="109"/>
    </row>
    <row r="3902" spans="3:7" x14ac:dyDescent="0.3">
      <c r="C3902" s="109"/>
      <c r="D3902" s="109"/>
      <c r="E3902" s="109"/>
      <c r="F3902" s="110"/>
      <c r="G3902" s="109"/>
    </row>
    <row r="3903" spans="3:7" x14ac:dyDescent="0.3">
      <c r="C3903" s="109"/>
      <c r="D3903" s="109"/>
      <c r="E3903" s="109"/>
      <c r="F3903" s="110"/>
      <c r="G3903" s="109"/>
    </row>
    <row r="3904" spans="3:7" x14ac:dyDescent="0.3">
      <c r="C3904" s="109"/>
      <c r="D3904" s="109"/>
      <c r="E3904" s="109"/>
      <c r="F3904" s="110"/>
      <c r="G3904" s="109"/>
    </row>
    <row r="3905" spans="3:7" x14ac:dyDescent="0.3">
      <c r="C3905" s="109"/>
      <c r="D3905" s="109"/>
      <c r="E3905" s="109"/>
      <c r="F3905" s="110"/>
      <c r="G3905" s="109"/>
    </row>
    <row r="3906" spans="3:7" x14ac:dyDescent="0.3">
      <c r="C3906" s="109"/>
      <c r="D3906" s="109"/>
      <c r="E3906" s="109"/>
      <c r="F3906" s="110"/>
      <c r="G3906" s="109"/>
    </row>
    <row r="3907" spans="3:7" x14ac:dyDescent="0.3">
      <c r="C3907" s="109"/>
      <c r="D3907" s="109"/>
      <c r="E3907" s="109"/>
      <c r="F3907" s="110"/>
      <c r="G3907" s="109"/>
    </row>
    <row r="3908" spans="3:7" x14ac:dyDescent="0.3">
      <c r="C3908" s="109"/>
      <c r="D3908" s="109"/>
      <c r="E3908" s="109"/>
      <c r="F3908" s="110"/>
      <c r="G3908" s="109"/>
    </row>
    <row r="3909" spans="3:7" x14ac:dyDescent="0.3">
      <c r="C3909" s="109"/>
      <c r="D3909" s="109"/>
      <c r="E3909" s="109"/>
      <c r="F3909" s="110"/>
      <c r="G3909" s="109"/>
    </row>
    <row r="3910" spans="3:7" x14ac:dyDescent="0.3">
      <c r="C3910" s="109"/>
      <c r="D3910" s="109"/>
      <c r="E3910" s="109"/>
      <c r="F3910" s="110"/>
      <c r="G3910" s="109"/>
    </row>
    <row r="3911" spans="3:7" x14ac:dyDescent="0.3">
      <c r="C3911" s="109"/>
      <c r="D3911" s="109"/>
      <c r="E3911" s="109"/>
      <c r="F3911" s="110"/>
      <c r="G3911" s="109"/>
    </row>
    <row r="3912" spans="3:7" x14ac:dyDescent="0.3">
      <c r="C3912" s="109"/>
      <c r="D3912" s="109"/>
      <c r="E3912" s="109"/>
      <c r="F3912" s="110"/>
      <c r="G3912" s="109"/>
    </row>
    <row r="3913" spans="3:7" x14ac:dyDescent="0.3">
      <c r="C3913" s="109"/>
      <c r="D3913" s="109"/>
      <c r="E3913" s="109"/>
      <c r="F3913" s="110"/>
      <c r="G3913" s="109"/>
    </row>
    <row r="3914" spans="3:7" x14ac:dyDescent="0.3">
      <c r="C3914" s="109"/>
      <c r="D3914" s="109"/>
      <c r="E3914" s="109"/>
      <c r="F3914" s="110"/>
      <c r="G3914" s="109"/>
    </row>
    <row r="3915" spans="3:7" x14ac:dyDescent="0.3">
      <c r="C3915" s="109"/>
      <c r="D3915" s="109"/>
      <c r="E3915" s="109"/>
      <c r="F3915" s="110"/>
      <c r="G3915" s="109"/>
    </row>
    <row r="3916" spans="3:7" x14ac:dyDescent="0.3">
      <c r="C3916" s="109"/>
      <c r="D3916" s="109"/>
      <c r="E3916" s="109"/>
      <c r="F3916" s="110"/>
      <c r="G3916" s="109"/>
    </row>
    <row r="3917" spans="3:7" x14ac:dyDescent="0.3">
      <c r="C3917" s="109"/>
      <c r="D3917" s="109"/>
      <c r="E3917" s="109"/>
      <c r="F3917" s="110"/>
      <c r="G3917" s="109"/>
    </row>
    <row r="3918" spans="3:7" x14ac:dyDescent="0.3">
      <c r="C3918" s="109"/>
      <c r="D3918" s="109"/>
      <c r="E3918" s="109"/>
      <c r="F3918" s="110"/>
      <c r="G3918" s="109"/>
    </row>
    <row r="3919" spans="3:7" x14ac:dyDescent="0.3">
      <c r="C3919" s="109"/>
      <c r="D3919" s="109"/>
      <c r="E3919" s="109"/>
      <c r="F3919" s="110"/>
      <c r="G3919" s="109"/>
    </row>
    <row r="3920" spans="3:7" x14ac:dyDescent="0.3">
      <c r="C3920" s="109"/>
      <c r="D3920" s="109"/>
      <c r="E3920" s="109"/>
      <c r="F3920" s="110"/>
      <c r="G3920" s="109"/>
    </row>
    <row r="3921" spans="3:7" x14ac:dyDescent="0.3">
      <c r="C3921" s="109"/>
      <c r="D3921" s="109"/>
      <c r="E3921" s="109"/>
      <c r="F3921" s="110"/>
      <c r="G3921" s="109"/>
    </row>
    <row r="3922" spans="3:7" x14ac:dyDescent="0.3">
      <c r="C3922" s="109"/>
      <c r="D3922" s="109"/>
      <c r="E3922" s="109"/>
      <c r="F3922" s="110"/>
      <c r="G3922" s="109"/>
    </row>
    <row r="3923" spans="3:7" x14ac:dyDescent="0.3">
      <c r="C3923" s="109"/>
      <c r="D3923" s="109"/>
      <c r="E3923" s="109"/>
      <c r="F3923" s="110"/>
      <c r="G3923" s="109"/>
    </row>
    <row r="3924" spans="3:7" x14ac:dyDescent="0.3">
      <c r="C3924" s="109"/>
      <c r="D3924" s="109"/>
      <c r="E3924" s="109"/>
      <c r="F3924" s="110"/>
      <c r="G3924" s="109"/>
    </row>
    <row r="3925" spans="3:7" x14ac:dyDescent="0.3">
      <c r="C3925" s="109"/>
      <c r="D3925" s="109"/>
      <c r="E3925" s="109"/>
      <c r="F3925" s="110"/>
      <c r="G3925" s="109"/>
    </row>
    <row r="3926" spans="3:7" x14ac:dyDescent="0.3">
      <c r="C3926" s="109"/>
      <c r="D3926" s="109"/>
      <c r="E3926" s="109"/>
      <c r="F3926" s="110"/>
      <c r="G3926" s="109"/>
    </row>
    <row r="3927" spans="3:7" x14ac:dyDescent="0.3">
      <c r="C3927" s="109"/>
      <c r="D3927" s="109"/>
      <c r="E3927" s="109"/>
      <c r="F3927" s="110"/>
      <c r="G3927" s="109"/>
    </row>
    <row r="3928" spans="3:7" x14ac:dyDescent="0.3">
      <c r="C3928" s="109"/>
      <c r="D3928" s="109"/>
      <c r="E3928" s="109"/>
      <c r="F3928" s="110"/>
      <c r="G3928" s="109"/>
    </row>
    <row r="3929" spans="3:7" x14ac:dyDescent="0.3">
      <c r="C3929" s="109"/>
      <c r="D3929" s="109"/>
      <c r="E3929" s="109"/>
      <c r="F3929" s="110"/>
      <c r="G3929" s="109"/>
    </row>
    <row r="3930" spans="3:7" x14ac:dyDescent="0.3">
      <c r="C3930" s="109"/>
      <c r="D3930" s="109"/>
      <c r="E3930" s="109"/>
      <c r="F3930" s="110"/>
      <c r="G3930" s="109"/>
    </row>
    <row r="3931" spans="3:7" x14ac:dyDescent="0.3">
      <c r="C3931" s="109"/>
      <c r="D3931" s="109"/>
      <c r="E3931" s="109"/>
      <c r="F3931" s="110"/>
      <c r="G3931" s="109"/>
    </row>
    <row r="3932" spans="3:7" x14ac:dyDescent="0.3">
      <c r="C3932" s="109"/>
      <c r="D3932" s="109"/>
      <c r="E3932" s="109"/>
      <c r="F3932" s="110"/>
      <c r="G3932" s="109"/>
    </row>
    <row r="3933" spans="3:7" x14ac:dyDescent="0.3">
      <c r="C3933" s="109"/>
      <c r="D3933" s="109"/>
      <c r="E3933" s="109"/>
      <c r="F3933" s="110"/>
      <c r="G3933" s="109"/>
    </row>
    <row r="3934" spans="3:7" x14ac:dyDescent="0.3">
      <c r="C3934" s="109"/>
      <c r="D3934" s="109"/>
      <c r="E3934" s="109"/>
      <c r="F3934" s="110"/>
      <c r="G3934" s="109"/>
    </row>
    <row r="3935" spans="3:7" x14ac:dyDescent="0.3">
      <c r="C3935" s="109"/>
      <c r="D3935" s="109"/>
      <c r="E3935" s="109"/>
      <c r="F3935" s="110"/>
      <c r="G3935" s="109"/>
    </row>
    <row r="3936" spans="3:7" x14ac:dyDescent="0.3">
      <c r="C3936" s="109"/>
      <c r="D3936" s="109"/>
      <c r="E3936" s="109"/>
      <c r="F3936" s="110"/>
      <c r="G3936" s="109"/>
    </row>
    <row r="3937" spans="3:7" x14ac:dyDescent="0.3">
      <c r="C3937" s="109"/>
      <c r="D3937" s="109"/>
      <c r="E3937" s="109"/>
      <c r="F3937" s="110"/>
      <c r="G3937" s="109"/>
    </row>
    <row r="3938" spans="3:7" x14ac:dyDescent="0.3">
      <c r="C3938" s="109"/>
      <c r="D3938" s="109"/>
      <c r="E3938" s="109"/>
      <c r="F3938" s="110"/>
      <c r="G3938" s="109"/>
    </row>
    <row r="3939" spans="3:7" x14ac:dyDescent="0.3">
      <c r="C3939" s="109"/>
      <c r="D3939" s="109"/>
      <c r="E3939" s="109"/>
      <c r="F3939" s="110"/>
      <c r="G3939" s="109"/>
    </row>
    <row r="3940" spans="3:7" x14ac:dyDescent="0.3">
      <c r="C3940" s="109"/>
      <c r="D3940" s="109"/>
      <c r="E3940" s="109"/>
      <c r="F3940" s="110"/>
      <c r="G3940" s="109"/>
    </row>
    <row r="3941" spans="3:7" x14ac:dyDescent="0.3">
      <c r="C3941" s="109"/>
      <c r="D3941" s="109"/>
      <c r="E3941" s="109"/>
      <c r="F3941" s="110"/>
      <c r="G3941" s="109"/>
    </row>
    <row r="3942" spans="3:7" x14ac:dyDescent="0.3">
      <c r="C3942" s="109"/>
      <c r="D3942" s="109"/>
      <c r="E3942" s="109"/>
      <c r="F3942" s="110"/>
      <c r="G3942" s="109"/>
    </row>
    <row r="3943" spans="3:7" x14ac:dyDescent="0.3">
      <c r="C3943" s="109"/>
      <c r="D3943" s="109"/>
      <c r="E3943" s="109"/>
      <c r="F3943" s="110"/>
      <c r="G3943" s="109"/>
    </row>
    <row r="3944" spans="3:7" x14ac:dyDescent="0.3">
      <c r="C3944" s="109"/>
      <c r="D3944" s="109"/>
      <c r="E3944" s="109"/>
      <c r="F3944" s="110"/>
      <c r="G3944" s="109"/>
    </row>
    <row r="3945" spans="3:7" x14ac:dyDescent="0.3">
      <c r="C3945" s="109"/>
      <c r="D3945" s="109"/>
      <c r="E3945" s="109"/>
      <c r="F3945" s="110"/>
      <c r="G3945" s="109"/>
    </row>
    <row r="3946" spans="3:7" x14ac:dyDescent="0.3">
      <c r="C3946" s="109"/>
      <c r="D3946" s="109"/>
      <c r="E3946" s="109"/>
      <c r="F3946" s="110"/>
      <c r="G3946" s="109"/>
    </row>
    <row r="3947" spans="3:7" x14ac:dyDescent="0.3">
      <c r="C3947" s="109"/>
      <c r="D3947" s="109"/>
      <c r="E3947" s="109"/>
      <c r="F3947" s="110"/>
      <c r="G3947" s="109"/>
    </row>
    <row r="3948" spans="3:7" x14ac:dyDescent="0.3">
      <c r="C3948" s="109"/>
      <c r="D3948" s="109"/>
      <c r="E3948" s="109"/>
      <c r="F3948" s="110"/>
      <c r="G3948" s="109"/>
    </row>
    <row r="3949" spans="3:7" x14ac:dyDescent="0.3">
      <c r="C3949" s="109"/>
      <c r="D3949" s="109"/>
      <c r="E3949" s="109"/>
      <c r="F3949" s="110"/>
      <c r="G3949" s="109"/>
    </row>
    <row r="3950" spans="3:7" x14ac:dyDescent="0.3">
      <c r="C3950" s="109"/>
      <c r="D3950" s="109"/>
      <c r="E3950" s="109"/>
      <c r="F3950" s="110"/>
      <c r="G3950" s="109"/>
    </row>
    <row r="3951" spans="3:7" x14ac:dyDescent="0.3">
      <c r="C3951" s="109"/>
      <c r="D3951" s="109"/>
      <c r="E3951" s="109"/>
      <c r="F3951" s="110"/>
      <c r="G3951" s="109"/>
    </row>
    <row r="3952" spans="3:7" x14ac:dyDescent="0.3">
      <c r="C3952" s="109"/>
      <c r="D3952" s="109"/>
      <c r="E3952" s="109"/>
      <c r="F3952" s="110"/>
      <c r="G3952" s="109"/>
    </row>
    <row r="3953" spans="3:7" x14ac:dyDescent="0.3">
      <c r="C3953" s="109"/>
      <c r="D3953" s="109"/>
      <c r="E3953" s="109"/>
      <c r="F3953" s="110"/>
      <c r="G3953" s="109"/>
    </row>
    <row r="3954" spans="3:7" x14ac:dyDescent="0.3">
      <c r="C3954" s="109"/>
      <c r="D3954" s="109"/>
      <c r="E3954" s="109"/>
      <c r="F3954" s="110"/>
      <c r="G3954" s="109"/>
    </row>
    <row r="3955" spans="3:7" x14ac:dyDescent="0.3">
      <c r="C3955" s="109"/>
      <c r="D3955" s="109"/>
      <c r="E3955" s="109"/>
      <c r="F3955" s="110"/>
      <c r="G3955" s="109"/>
    </row>
    <row r="3956" spans="3:7" x14ac:dyDescent="0.3">
      <c r="C3956" s="109"/>
      <c r="D3956" s="109"/>
      <c r="E3956" s="109"/>
      <c r="F3956" s="110"/>
      <c r="G3956" s="109"/>
    </row>
    <row r="3957" spans="3:7" x14ac:dyDescent="0.3">
      <c r="C3957" s="109"/>
      <c r="D3957" s="109"/>
      <c r="E3957" s="109"/>
      <c r="F3957" s="110"/>
      <c r="G3957" s="109"/>
    </row>
    <row r="3958" spans="3:7" x14ac:dyDescent="0.3">
      <c r="C3958" s="109"/>
      <c r="D3958" s="109"/>
      <c r="E3958" s="109"/>
      <c r="F3958" s="110"/>
      <c r="G3958" s="109"/>
    </row>
    <row r="3959" spans="3:7" x14ac:dyDescent="0.3">
      <c r="C3959" s="109"/>
      <c r="D3959" s="109"/>
      <c r="E3959" s="109"/>
      <c r="F3959" s="110"/>
      <c r="G3959" s="109"/>
    </row>
    <row r="3960" spans="3:7" x14ac:dyDescent="0.3">
      <c r="C3960" s="109"/>
      <c r="D3960" s="109"/>
      <c r="E3960" s="109"/>
      <c r="F3960" s="110"/>
      <c r="G3960" s="109"/>
    </row>
    <row r="3961" spans="3:7" x14ac:dyDescent="0.3">
      <c r="C3961" s="109"/>
      <c r="D3961" s="109"/>
      <c r="E3961" s="109"/>
      <c r="F3961" s="110"/>
      <c r="G3961" s="109"/>
    </row>
    <row r="3962" spans="3:7" x14ac:dyDescent="0.3">
      <c r="C3962" s="109"/>
      <c r="D3962" s="109"/>
      <c r="E3962" s="109"/>
      <c r="F3962" s="110"/>
      <c r="G3962" s="109"/>
    </row>
    <row r="3963" spans="3:7" x14ac:dyDescent="0.3">
      <c r="C3963" s="109"/>
      <c r="D3963" s="109"/>
      <c r="E3963" s="109"/>
      <c r="F3963" s="110"/>
      <c r="G3963" s="109"/>
    </row>
    <row r="3964" spans="3:7" x14ac:dyDescent="0.3">
      <c r="C3964" s="109"/>
      <c r="D3964" s="109"/>
      <c r="E3964" s="109"/>
      <c r="F3964" s="110"/>
      <c r="G3964" s="109"/>
    </row>
    <row r="3965" spans="3:7" x14ac:dyDescent="0.3">
      <c r="C3965" s="109"/>
      <c r="D3965" s="109"/>
      <c r="E3965" s="109"/>
      <c r="F3965" s="110"/>
      <c r="G3965" s="109"/>
    </row>
    <row r="3966" spans="3:7" x14ac:dyDescent="0.3">
      <c r="C3966" s="109"/>
      <c r="D3966" s="109"/>
      <c r="E3966" s="109"/>
      <c r="F3966" s="110"/>
      <c r="G3966" s="109"/>
    </row>
    <row r="3967" spans="3:7" x14ac:dyDescent="0.3">
      <c r="C3967" s="109"/>
      <c r="D3967" s="109"/>
      <c r="E3967" s="109"/>
      <c r="F3967" s="110"/>
      <c r="G3967" s="109"/>
    </row>
    <row r="3968" spans="3:7" x14ac:dyDescent="0.3">
      <c r="C3968" s="109"/>
      <c r="D3968" s="109"/>
      <c r="E3968" s="109"/>
      <c r="F3968" s="110"/>
      <c r="G3968" s="109"/>
    </row>
    <row r="3969" spans="3:7" x14ac:dyDescent="0.3">
      <c r="C3969" s="109"/>
      <c r="D3969" s="109"/>
      <c r="E3969" s="109"/>
      <c r="F3969" s="110"/>
      <c r="G3969" s="109"/>
    </row>
    <row r="3970" spans="3:7" x14ac:dyDescent="0.3">
      <c r="C3970" s="109"/>
      <c r="D3970" s="109"/>
      <c r="E3970" s="109"/>
      <c r="F3970" s="110"/>
      <c r="G3970" s="109"/>
    </row>
    <row r="3971" spans="3:7" x14ac:dyDescent="0.3">
      <c r="C3971" s="109"/>
      <c r="D3971" s="109"/>
      <c r="E3971" s="109"/>
      <c r="F3971" s="110"/>
      <c r="G3971" s="109"/>
    </row>
    <row r="3972" spans="3:7" x14ac:dyDescent="0.3">
      <c r="C3972" s="109"/>
      <c r="D3972" s="109"/>
      <c r="E3972" s="109"/>
      <c r="F3972" s="110"/>
      <c r="G3972" s="109"/>
    </row>
    <row r="3973" spans="3:7" x14ac:dyDescent="0.3">
      <c r="C3973" s="109"/>
      <c r="D3973" s="109"/>
      <c r="E3973" s="109"/>
      <c r="F3973" s="110"/>
      <c r="G3973" s="109"/>
    </row>
    <row r="3974" spans="3:7" x14ac:dyDescent="0.3">
      <c r="C3974" s="109"/>
      <c r="D3974" s="109"/>
      <c r="E3974" s="109"/>
      <c r="F3974" s="110"/>
      <c r="G3974" s="109"/>
    </row>
    <row r="3975" spans="3:7" x14ac:dyDescent="0.3">
      <c r="C3975" s="109"/>
      <c r="D3975" s="109"/>
      <c r="E3975" s="109"/>
      <c r="F3975" s="110"/>
      <c r="G3975" s="109"/>
    </row>
    <row r="3976" spans="3:7" x14ac:dyDescent="0.3">
      <c r="C3976" s="109"/>
      <c r="D3976" s="109"/>
      <c r="E3976" s="109"/>
      <c r="F3976" s="110"/>
      <c r="G3976" s="109"/>
    </row>
    <row r="3977" spans="3:7" x14ac:dyDescent="0.3">
      <c r="C3977" s="109"/>
      <c r="D3977" s="109"/>
      <c r="E3977" s="109"/>
      <c r="F3977" s="110"/>
      <c r="G3977" s="109"/>
    </row>
    <row r="3978" spans="3:7" x14ac:dyDescent="0.3">
      <c r="C3978" s="109"/>
      <c r="D3978" s="109"/>
      <c r="E3978" s="109"/>
      <c r="F3978" s="110"/>
      <c r="G3978" s="109"/>
    </row>
    <row r="3979" spans="3:7" x14ac:dyDescent="0.3">
      <c r="C3979" s="109"/>
      <c r="D3979" s="109"/>
      <c r="E3979" s="109"/>
      <c r="F3979" s="110"/>
      <c r="G3979" s="109"/>
    </row>
    <row r="3980" spans="3:7" x14ac:dyDescent="0.3">
      <c r="C3980" s="109"/>
      <c r="D3980" s="109"/>
      <c r="E3980" s="109"/>
      <c r="F3980" s="110"/>
      <c r="G3980" s="109"/>
    </row>
    <row r="3981" spans="3:7" x14ac:dyDescent="0.3">
      <c r="C3981" s="109"/>
      <c r="D3981" s="109"/>
      <c r="E3981" s="109"/>
      <c r="F3981" s="110"/>
      <c r="G3981" s="109"/>
    </row>
    <row r="3982" spans="3:7" x14ac:dyDescent="0.3">
      <c r="C3982" s="109"/>
      <c r="D3982" s="109"/>
      <c r="E3982" s="109"/>
      <c r="F3982" s="110"/>
      <c r="G3982" s="109"/>
    </row>
    <row r="3983" spans="3:7" x14ac:dyDescent="0.3">
      <c r="C3983" s="109"/>
      <c r="D3983" s="109"/>
      <c r="E3983" s="109"/>
      <c r="F3983" s="110"/>
      <c r="G3983" s="109"/>
    </row>
    <row r="3984" spans="3:7" x14ac:dyDescent="0.3">
      <c r="C3984" s="109"/>
      <c r="D3984" s="109"/>
      <c r="E3984" s="109"/>
      <c r="F3984" s="110"/>
      <c r="G3984" s="109"/>
    </row>
    <row r="3985" spans="3:7" x14ac:dyDescent="0.3">
      <c r="C3985" s="109"/>
      <c r="D3985" s="109"/>
      <c r="E3985" s="109"/>
      <c r="F3985" s="110"/>
      <c r="G3985" s="109"/>
    </row>
    <row r="3986" spans="3:7" x14ac:dyDescent="0.3">
      <c r="C3986" s="109"/>
      <c r="D3986" s="109"/>
      <c r="E3986" s="109"/>
      <c r="F3986" s="110"/>
      <c r="G3986" s="109"/>
    </row>
    <row r="3987" spans="3:7" x14ac:dyDescent="0.3">
      <c r="C3987" s="109"/>
      <c r="D3987" s="109"/>
      <c r="E3987" s="109"/>
      <c r="F3987" s="110"/>
      <c r="G3987" s="109"/>
    </row>
    <row r="3988" spans="3:7" x14ac:dyDescent="0.3">
      <c r="C3988" s="109"/>
      <c r="D3988" s="109"/>
      <c r="E3988" s="109"/>
      <c r="F3988" s="110"/>
      <c r="G3988" s="109"/>
    </row>
    <row r="3989" spans="3:7" x14ac:dyDescent="0.3">
      <c r="C3989" s="109"/>
      <c r="D3989" s="109"/>
      <c r="E3989" s="109"/>
      <c r="F3989" s="110"/>
      <c r="G3989" s="109"/>
    </row>
    <row r="3990" spans="3:7" x14ac:dyDescent="0.3">
      <c r="C3990" s="109"/>
      <c r="D3990" s="109"/>
      <c r="E3990" s="109"/>
      <c r="F3990" s="110"/>
      <c r="G3990" s="109"/>
    </row>
    <row r="3991" spans="3:7" x14ac:dyDescent="0.3">
      <c r="C3991" s="109"/>
      <c r="D3991" s="109"/>
      <c r="E3991" s="109"/>
      <c r="F3991" s="110"/>
      <c r="G3991" s="109"/>
    </row>
    <row r="3992" spans="3:7" x14ac:dyDescent="0.3">
      <c r="C3992" s="109"/>
      <c r="D3992" s="109"/>
      <c r="E3992" s="109"/>
      <c r="F3992" s="110"/>
      <c r="G3992" s="109"/>
    </row>
    <row r="3993" spans="3:7" x14ac:dyDescent="0.3">
      <c r="C3993" s="109"/>
      <c r="D3993" s="109"/>
      <c r="E3993" s="109"/>
      <c r="F3993" s="110"/>
      <c r="G3993" s="109"/>
    </row>
    <row r="3994" spans="3:7" x14ac:dyDescent="0.3">
      <c r="C3994" s="109"/>
      <c r="D3994" s="109"/>
      <c r="E3994" s="109"/>
      <c r="F3994" s="110"/>
      <c r="G3994" s="109"/>
    </row>
    <row r="3995" spans="3:7" x14ac:dyDescent="0.3">
      <c r="C3995" s="109"/>
      <c r="D3995" s="109"/>
      <c r="E3995" s="109"/>
      <c r="F3995" s="110"/>
      <c r="G3995" s="109"/>
    </row>
    <row r="3996" spans="3:7" x14ac:dyDescent="0.3">
      <c r="C3996" s="109"/>
      <c r="D3996" s="109"/>
      <c r="E3996" s="109"/>
      <c r="F3996" s="110"/>
      <c r="G3996" s="109"/>
    </row>
    <row r="3997" spans="3:7" x14ac:dyDescent="0.3">
      <c r="C3997" s="109"/>
      <c r="D3997" s="109"/>
      <c r="E3997" s="109"/>
      <c r="F3997" s="110"/>
      <c r="G3997" s="109"/>
    </row>
    <row r="3998" spans="3:7" x14ac:dyDescent="0.3">
      <c r="C3998" s="109"/>
      <c r="D3998" s="109"/>
      <c r="E3998" s="109"/>
      <c r="F3998" s="110"/>
      <c r="G3998" s="109"/>
    </row>
    <row r="3999" spans="3:7" x14ac:dyDescent="0.3">
      <c r="C3999" s="109"/>
      <c r="D3999" s="109"/>
      <c r="E3999" s="109"/>
      <c r="F3999" s="110"/>
      <c r="G3999" s="109"/>
    </row>
    <row r="4000" spans="3:7" x14ac:dyDescent="0.3">
      <c r="C4000" s="109"/>
      <c r="D4000" s="109"/>
      <c r="E4000" s="109"/>
      <c r="F4000" s="110"/>
      <c r="G4000" s="109"/>
    </row>
    <row r="4001" spans="3:7" x14ac:dyDescent="0.3">
      <c r="C4001" s="109"/>
      <c r="D4001" s="109"/>
      <c r="E4001" s="109"/>
      <c r="F4001" s="110"/>
      <c r="G4001" s="109"/>
    </row>
    <row r="4002" spans="3:7" x14ac:dyDescent="0.3">
      <c r="C4002" s="109"/>
      <c r="D4002" s="109"/>
      <c r="E4002" s="109"/>
      <c r="F4002" s="110"/>
      <c r="G4002" s="109"/>
    </row>
    <row r="4003" spans="3:7" x14ac:dyDescent="0.3">
      <c r="C4003" s="109"/>
      <c r="D4003" s="109"/>
      <c r="E4003" s="109"/>
      <c r="F4003" s="110"/>
      <c r="G4003" s="109"/>
    </row>
    <row r="4004" spans="3:7" x14ac:dyDescent="0.3">
      <c r="C4004" s="109"/>
      <c r="D4004" s="109"/>
      <c r="E4004" s="109"/>
      <c r="F4004" s="110"/>
      <c r="G4004" s="109"/>
    </row>
    <row r="4005" spans="3:7" x14ac:dyDescent="0.3">
      <c r="C4005" s="109"/>
      <c r="D4005" s="109"/>
      <c r="E4005" s="109"/>
      <c r="F4005" s="110"/>
      <c r="G4005" s="109"/>
    </row>
    <row r="4006" spans="3:7" x14ac:dyDescent="0.3">
      <c r="C4006" s="109"/>
      <c r="D4006" s="109"/>
      <c r="E4006" s="109"/>
      <c r="F4006" s="110"/>
      <c r="G4006" s="109"/>
    </row>
    <row r="4007" spans="3:7" x14ac:dyDescent="0.3">
      <c r="C4007" s="109"/>
      <c r="D4007" s="109"/>
      <c r="E4007" s="109"/>
      <c r="F4007" s="110"/>
      <c r="G4007" s="109"/>
    </row>
    <row r="4008" spans="3:7" x14ac:dyDescent="0.3">
      <c r="C4008" s="109"/>
      <c r="D4008" s="109"/>
      <c r="E4008" s="109"/>
      <c r="F4008" s="110"/>
      <c r="G4008" s="109"/>
    </row>
    <row r="4009" spans="3:7" x14ac:dyDescent="0.3">
      <c r="C4009" s="109"/>
      <c r="D4009" s="109"/>
      <c r="E4009" s="109"/>
      <c r="F4009" s="110"/>
      <c r="G4009" s="109"/>
    </row>
    <row r="4010" spans="3:7" x14ac:dyDescent="0.3">
      <c r="C4010" s="109"/>
      <c r="D4010" s="109"/>
      <c r="E4010" s="109"/>
      <c r="F4010" s="110"/>
      <c r="G4010" s="109"/>
    </row>
    <row r="4011" spans="3:7" x14ac:dyDescent="0.3">
      <c r="C4011" s="109"/>
      <c r="D4011" s="109"/>
      <c r="E4011" s="109"/>
      <c r="F4011" s="110"/>
      <c r="G4011" s="109"/>
    </row>
    <row r="4012" spans="3:7" x14ac:dyDescent="0.3">
      <c r="C4012" s="109"/>
      <c r="D4012" s="109"/>
      <c r="E4012" s="109"/>
      <c r="F4012" s="110"/>
      <c r="G4012" s="109"/>
    </row>
    <row r="4013" spans="3:7" x14ac:dyDescent="0.3">
      <c r="C4013" s="109"/>
      <c r="D4013" s="109"/>
      <c r="E4013" s="109"/>
      <c r="F4013" s="110"/>
      <c r="G4013" s="109"/>
    </row>
    <row r="4014" spans="3:7" x14ac:dyDescent="0.3">
      <c r="C4014" s="109"/>
      <c r="D4014" s="109"/>
      <c r="E4014" s="109"/>
      <c r="F4014" s="110"/>
      <c r="G4014" s="109"/>
    </row>
    <row r="4015" spans="3:7" x14ac:dyDescent="0.3">
      <c r="C4015" s="109"/>
      <c r="D4015" s="109"/>
      <c r="E4015" s="109"/>
      <c r="F4015" s="110"/>
      <c r="G4015" s="109"/>
    </row>
    <row r="4016" spans="3:7" x14ac:dyDescent="0.3">
      <c r="C4016" s="109"/>
      <c r="D4016" s="109"/>
      <c r="E4016" s="109"/>
      <c r="F4016" s="110"/>
      <c r="G4016" s="109"/>
    </row>
    <row r="4017" spans="3:7" x14ac:dyDescent="0.3">
      <c r="C4017" s="109"/>
      <c r="D4017" s="109"/>
      <c r="E4017" s="109"/>
      <c r="F4017" s="110"/>
      <c r="G4017" s="109"/>
    </row>
    <row r="4018" spans="3:7" x14ac:dyDescent="0.3">
      <c r="C4018" s="109"/>
      <c r="D4018" s="109"/>
      <c r="E4018" s="109"/>
      <c r="F4018" s="110"/>
      <c r="G4018" s="109"/>
    </row>
    <row r="4019" spans="3:7" x14ac:dyDescent="0.3">
      <c r="C4019" s="109"/>
      <c r="D4019" s="109"/>
      <c r="E4019" s="109"/>
      <c r="F4019" s="110"/>
      <c r="G4019" s="109"/>
    </row>
    <row r="4020" spans="3:7" x14ac:dyDescent="0.3">
      <c r="C4020" s="109"/>
      <c r="D4020" s="109"/>
      <c r="E4020" s="109"/>
      <c r="F4020" s="110"/>
      <c r="G4020" s="109"/>
    </row>
    <row r="4021" spans="3:7" x14ac:dyDescent="0.3">
      <c r="C4021" s="109"/>
      <c r="D4021" s="109"/>
      <c r="E4021" s="109"/>
      <c r="F4021" s="110"/>
      <c r="G4021" s="109"/>
    </row>
    <row r="4022" spans="3:7" x14ac:dyDescent="0.3">
      <c r="C4022" s="109"/>
      <c r="D4022" s="109"/>
      <c r="E4022" s="109"/>
      <c r="F4022" s="110"/>
      <c r="G4022" s="109"/>
    </row>
    <row r="4023" spans="3:7" x14ac:dyDescent="0.3">
      <c r="C4023" s="109"/>
      <c r="D4023" s="109"/>
      <c r="E4023" s="109"/>
      <c r="F4023" s="110"/>
      <c r="G4023" s="109"/>
    </row>
    <row r="4024" spans="3:7" x14ac:dyDescent="0.3">
      <c r="C4024" s="109"/>
      <c r="D4024" s="109"/>
      <c r="E4024" s="109"/>
      <c r="F4024" s="110"/>
      <c r="G4024" s="109"/>
    </row>
    <row r="4025" spans="3:7" x14ac:dyDescent="0.3">
      <c r="C4025" s="109"/>
      <c r="D4025" s="109"/>
      <c r="E4025" s="109"/>
      <c r="F4025" s="110"/>
      <c r="G4025" s="109"/>
    </row>
    <row r="4026" spans="3:7" x14ac:dyDescent="0.3">
      <c r="C4026" s="109"/>
      <c r="D4026" s="109"/>
      <c r="E4026" s="109"/>
      <c r="F4026" s="110"/>
      <c r="G4026" s="109"/>
    </row>
    <row r="4027" spans="3:7" x14ac:dyDescent="0.3">
      <c r="C4027" s="109"/>
      <c r="D4027" s="109"/>
      <c r="E4027" s="109"/>
      <c r="F4027" s="110"/>
      <c r="G4027" s="109"/>
    </row>
    <row r="4028" spans="3:7" x14ac:dyDescent="0.3">
      <c r="C4028" s="109"/>
      <c r="D4028" s="109"/>
      <c r="E4028" s="109"/>
      <c r="F4028" s="110"/>
      <c r="G4028" s="109"/>
    </row>
    <row r="4029" spans="3:7" x14ac:dyDescent="0.3">
      <c r="C4029" s="109"/>
      <c r="D4029" s="109"/>
      <c r="E4029" s="109"/>
      <c r="F4029" s="110"/>
      <c r="G4029" s="109"/>
    </row>
    <row r="4030" spans="3:7" x14ac:dyDescent="0.3">
      <c r="C4030" s="109"/>
      <c r="D4030" s="109"/>
      <c r="E4030" s="109"/>
      <c r="F4030" s="110"/>
      <c r="G4030" s="109"/>
    </row>
    <row r="4031" spans="3:7" x14ac:dyDescent="0.3">
      <c r="C4031" s="109"/>
      <c r="D4031" s="109"/>
      <c r="E4031" s="109"/>
      <c r="F4031" s="110"/>
      <c r="G4031" s="109"/>
    </row>
    <row r="4032" spans="3:7" x14ac:dyDescent="0.3">
      <c r="C4032" s="109"/>
      <c r="D4032" s="109"/>
      <c r="E4032" s="109"/>
      <c r="F4032" s="110"/>
      <c r="G4032" s="109"/>
    </row>
    <row r="4033" spans="3:7" x14ac:dyDescent="0.3">
      <c r="C4033" s="109"/>
      <c r="D4033" s="109"/>
      <c r="E4033" s="109"/>
      <c r="F4033" s="110"/>
      <c r="G4033" s="109"/>
    </row>
    <row r="4034" spans="3:7" x14ac:dyDescent="0.3">
      <c r="C4034" s="109"/>
      <c r="D4034" s="109"/>
      <c r="E4034" s="109"/>
      <c r="F4034" s="110"/>
      <c r="G4034" s="109"/>
    </row>
    <row r="4035" spans="3:7" x14ac:dyDescent="0.3">
      <c r="C4035" s="109"/>
      <c r="D4035" s="109"/>
      <c r="E4035" s="109"/>
      <c r="F4035" s="110"/>
      <c r="G4035" s="109"/>
    </row>
    <row r="4036" spans="3:7" x14ac:dyDescent="0.3">
      <c r="C4036" s="109"/>
      <c r="D4036" s="109"/>
      <c r="E4036" s="109"/>
      <c r="F4036" s="110"/>
      <c r="G4036" s="109"/>
    </row>
    <row r="4037" spans="3:7" x14ac:dyDescent="0.3">
      <c r="C4037" s="109"/>
      <c r="D4037" s="109"/>
      <c r="E4037" s="109"/>
      <c r="F4037" s="110"/>
      <c r="G4037" s="109"/>
    </row>
    <row r="4038" spans="3:7" x14ac:dyDescent="0.3">
      <c r="C4038" s="109"/>
      <c r="D4038" s="109"/>
      <c r="E4038" s="109"/>
      <c r="F4038" s="110"/>
      <c r="G4038" s="109"/>
    </row>
    <row r="4039" spans="3:7" x14ac:dyDescent="0.3">
      <c r="C4039" s="109"/>
      <c r="D4039" s="109"/>
      <c r="E4039" s="109"/>
      <c r="F4039" s="110"/>
      <c r="G4039" s="109"/>
    </row>
    <row r="4040" spans="3:7" x14ac:dyDescent="0.3">
      <c r="C4040" s="109"/>
      <c r="D4040" s="109"/>
      <c r="E4040" s="109"/>
      <c r="F4040" s="110"/>
      <c r="G4040" s="109"/>
    </row>
    <row r="4041" spans="3:7" x14ac:dyDescent="0.3">
      <c r="C4041" s="109"/>
      <c r="D4041" s="109"/>
      <c r="E4041" s="109"/>
      <c r="F4041" s="110"/>
      <c r="G4041" s="109"/>
    </row>
    <row r="4042" spans="3:7" x14ac:dyDescent="0.3">
      <c r="C4042" s="109"/>
      <c r="D4042" s="109"/>
      <c r="E4042" s="109"/>
      <c r="F4042" s="110"/>
      <c r="G4042" s="109"/>
    </row>
    <row r="4043" spans="3:7" x14ac:dyDescent="0.3">
      <c r="C4043" s="109"/>
      <c r="D4043" s="109"/>
      <c r="E4043" s="109"/>
      <c r="F4043" s="110"/>
      <c r="G4043" s="109"/>
    </row>
    <row r="4044" spans="3:7" x14ac:dyDescent="0.3">
      <c r="C4044" s="109"/>
      <c r="D4044" s="109"/>
      <c r="E4044" s="109"/>
      <c r="F4044" s="110"/>
      <c r="G4044" s="109"/>
    </row>
    <row r="4045" spans="3:7" x14ac:dyDescent="0.3">
      <c r="C4045" s="109"/>
      <c r="D4045" s="109"/>
      <c r="E4045" s="109"/>
      <c r="F4045" s="110"/>
      <c r="G4045" s="109"/>
    </row>
    <row r="4046" spans="3:7" x14ac:dyDescent="0.3">
      <c r="C4046" s="109"/>
      <c r="D4046" s="109"/>
      <c r="E4046" s="109"/>
      <c r="F4046" s="110"/>
      <c r="G4046" s="109"/>
    </row>
    <row r="4047" spans="3:7" x14ac:dyDescent="0.3">
      <c r="C4047" s="109"/>
      <c r="D4047" s="109"/>
      <c r="E4047" s="109"/>
      <c r="F4047" s="110"/>
      <c r="G4047" s="109"/>
    </row>
    <row r="4048" spans="3:7" x14ac:dyDescent="0.3">
      <c r="C4048" s="109"/>
      <c r="D4048" s="109"/>
      <c r="E4048" s="109"/>
      <c r="F4048" s="110"/>
      <c r="G4048" s="109"/>
    </row>
    <row r="4049" spans="3:7" x14ac:dyDescent="0.3">
      <c r="C4049" s="109"/>
      <c r="D4049" s="109"/>
      <c r="E4049" s="109"/>
      <c r="F4049" s="110"/>
      <c r="G4049" s="109"/>
    </row>
    <row r="4050" spans="3:7" x14ac:dyDescent="0.3">
      <c r="C4050" s="109"/>
      <c r="D4050" s="109"/>
      <c r="E4050" s="109"/>
      <c r="F4050" s="110"/>
      <c r="G4050" s="109"/>
    </row>
    <row r="4051" spans="3:7" x14ac:dyDescent="0.3">
      <c r="C4051" s="109"/>
      <c r="D4051" s="109"/>
      <c r="E4051" s="109"/>
      <c r="F4051" s="110"/>
      <c r="G4051" s="109"/>
    </row>
    <row r="4052" spans="3:7" x14ac:dyDescent="0.3">
      <c r="C4052" s="109"/>
      <c r="D4052" s="109"/>
      <c r="E4052" s="109"/>
      <c r="F4052" s="110"/>
      <c r="G4052" s="109"/>
    </row>
    <row r="4053" spans="3:7" x14ac:dyDescent="0.3">
      <c r="C4053" s="109"/>
      <c r="D4053" s="109"/>
      <c r="E4053" s="109"/>
      <c r="F4053" s="110"/>
      <c r="G4053" s="109"/>
    </row>
    <row r="4054" spans="3:7" x14ac:dyDescent="0.3">
      <c r="C4054" s="109"/>
      <c r="D4054" s="109"/>
      <c r="E4054" s="109"/>
      <c r="F4054" s="110"/>
      <c r="G4054" s="109"/>
    </row>
    <row r="4055" spans="3:7" x14ac:dyDescent="0.3">
      <c r="C4055" s="109"/>
      <c r="D4055" s="109"/>
      <c r="E4055" s="109"/>
      <c r="F4055" s="110"/>
      <c r="G4055" s="109"/>
    </row>
    <row r="4056" spans="3:7" x14ac:dyDescent="0.3">
      <c r="C4056" s="109"/>
      <c r="D4056" s="109"/>
      <c r="E4056" s="109"/>
      <c r="F4056" s="110"/>
      <c r="G4056" s="109"/>
    </row>
    <row r="4057" spans="3:7" x14ac:dyDescent="0.3">
      <c r="C4057" s="109"/>
      <c r="D4057" s="109"/>
      <c r="E4057" s="109"/>
      <c r="F4057" s="110"/>
      <c r="G4057" s="109"/>
    </row>
    <row r="4058" spans="3:7" x14ac:dyDescent="0.3">
      <c r="C4058" s="109"/>
      <c r="D4058" s="109"/>
      <c r="E4058" s="109"/>
      <c r="F4058" s="110"/>
      <c r="G4058" s="109"/>
    </row>
    <row r="4059" spans="3:7" x14ac:dyDescent="0.3">
      <c r="C4059" s="109"/>
      <c r="D4059" s="109"/>
      <c r="E4059" s="109"/>
      <c r="F4059" s="110"/>
      <c r="G4059" s="109"/>
    </row>
    <row r="4060" spans="3:7" x14ac:dyDescent="0.3">
      <c r="C4060" s="109"/>
      <c r="D4060" s="109"/>
      <c r="E4060" s="109"/>
      <c r="F4060" s="110"/>
      <c r="G4060" s="109"/>
    </row>
    <row r="4061" spans="3:7" x14ac:dyDescent="0.3">
      <c r="C4061" s="109"/>
      <c r="D4061" s="109"/>
      <c r="E4061" s="109"/>
      <c r="F4061" s="110"/>
      <c r="G4061" s="109"/>
    </row>
    <row r="4062" spans="3:7" x14ac:dyDescent="0.3">
      <c r="C4062" s="109"/>
      <c r="D4062" s="109"/>
      <c r="E4062" s="109"/>
      <c r="F4062" s="110"/>
      <c r="G4062" s="109"/>
    </row>
    <row r="4063" spans="3:7" x14ac:dyDescent="0.3">
      <c r="C4063" s="109"/>
      <c r="D4063" s="109"/>
      <c r="E4063" s="109"/>
      <c r="F4063" s="110"/>
      <c r="G4063" s="109"/>
    </row>
    <row r="4064" spans="3:7" x14ac:dyDescent="0.3">
      <c r="C4064" s="109"/>
      <c r="D4064" s="109"/>
      <c r="E4064" s="109"/>
      <c r="F4064" s="110"/>
      <c r="G4064" s="109"/>
    </row>
    <row r="4065" spans="3:7" x14ac:dyDescent="0.3">
      <c r="C4065" s="109"/>
      <c r="D4065" s="109"/>
      <c r="E4065" s="109"/>
      <c r="F4065" s="110"/>
      <c r="G4065" s="109"/>
    </row>
    <row r="4066" spans="3:7" x14ac:dyDescent="0.3">
      <c r="C4066" s="109"/>
      <c r="D4066" s="109"/>
      <c r="E4066" s="109"/>
      <c r="F4066" s="110"/>
      <c r="G4066" s="109"/>
    </row>
    <row r="4067" spans="3:7" x14ac:dyDescent="0.3">
      <c r="C4067" s="109"/>
      <c r="D4067" s="109"/>
      <c r="E4067" s="109"/>
      <c r="F4067" s="110"/>
      <c r="G4067" s="109"/>
    </row>
    <row r="4068" spans="3:7" x14ac:dyDescent="0.3">
      <c r="C4068" s="109"/>
      <c r="D4068" s="109"/>
      <c r="E4068" s="109"/>
      <c r="F4068" s="110"/>
      <c r="G4068" s="109"/>
    </row>
    <row r="4069" spans="3:7" x14ac:dyDescent="0.3">
      <c r="C4069" s="109"/>
      <c r="D4069" s="109"/>
      <c r="E4069" s="109"/>
      <c r="F4069" s="110"/>
      <c r="G4069" s="109"/>
    </row>
    <row r="4070" spans="3:7" x14ac:dyDescent="0.3">
      <c r="C4070" s="109"/>
      <c r="D4070" s="109"/>
      <c r="E4070" s="109"/>
      <c r="F4070" s="110"/>
      <c r="G4070" s="109"/>
    </row>
    <row r="4071" spans="3:7" x14ac:dyDescent="0.3">
      <c r="C4071" s="109"/>
      <c r="D4071" s="109"/>
      <c r="E4071" s="109"/>
      <c r="F4071" s="110"/>
      <c r="G4071" s="109"/>
    </row>
    <row r="4072" spans="3:7" x14ac:dyDescent="0.3">
      <c r="C4072" s="109"/>
      <c r="D4072" s="109"/>
      <c r="E4072" s="109"/>
      <c r="F4072" s="110"/>
      <c r="G4072" s="109"/>
    </row>
    <row r="4073" spans="3:7" x14ac:dyDescent="0.3">
      <c r="C4073" s="109"/>
      <c r="D4073" s="109"/>
      <c r="E4073" s="109"/>
      <c r="F4073" s="110"/>
      <c r="G4073" s="109"/>
    </row>
    <row r="4074" spans="3:7" x14ac:dyDescent="0.3">
      <c r="C4074" s="109"/>
      <c r="D4074" s="109"/>
      <c r="E4074" s="109"/>
      <c r="F4074" s="110"/>
      <c r="G4074" s="109"/>
    </row>
    <row r="4075" spans="3:7" x14ac:dyDescent="0.3">
      <c r="C4075" s="109"/>
      <c r="D4075" s="109"/>
      <c r="E4075" s="109"/>
      <c r="F4075" s="110"/>
      <c r="G4075" s="109"/>
    </row>
    <row r="4076" spans="3:7" x14ac:dyDescent="0.3">
      <c r="C4076" s="109"/>
      <c r="D4076" s="109"/>
      <c r="E4076" s="109"/>
      <c r="F4076" s="110"/>
      <c r="G4076" s="109"/>
    </row>
    <row r="4077" spans="3:7" x14ac:dyDescent="0.3">
      <c r="C4077" s="109"/>
      <c r="D4077" s="109"/>
      <c r="E4077" s="109"/>
      <c r="F4077" s="110"/>
      <c r="G4077" s="109"/>
    </row>
    <row r="4078" spans="3:7" x14ac:dyDescent="0.3">
      <c r="C4078" s="109"/>
      <c r="D4078" s="109"/>
      <c r="E4078" s="109"/>
      <c r="F4078" s="110"/>
      <c r="G4078" s="109"/>
    </row>
    <row r="4079" spans="3:7" x14ac:dyDescent="0.3">
      <c r="C4079" s="109"/>
      <c r="D4079" s="109"/>
      <c r="E4079" s="109"/>
      <c r="F4079" s="110"/>
      <c r="G4079" s="109"/>
    </row>
    <row r="4080" spans="3:7" x14ac:dyDescent="0.3">
      <c r="C4080" s="109"/>
      <c r="D4080" s="109"/>
      <c r="E4080" s="109"/>
      <c r="F4080" s="110"/>
      <c r="G4080" s="109"/>
    </row>
    <row r="4081" spans="3:7" x14ac:dyDescent="0.3">
      <c r="C4081" s="109"/>
      <c r="D4081" s="109"/>
      <c r="E4081" s="109"/>
      <c r="F4081" s="110"/>
      <c r="G4081" s="109"/>
    </row>
    <row r="4082" spans="3:7" x14ac:dyDescent="0.3">
      <c r="C4082" s="109"/>
      <c r="D4082" s="109"/>
      <c r="E4082" s="109"/>
      <c r="F4082" s="110"/>
      <c r="G4082" s="109"/>
    </row>
    <row r="4083" spans="3:7" x14ac:dyDescent="0.3">
      <c r="C4083" s="109"/>
      <c r="D4083" s="109"/>
      <c r="E4083" s="109"/>
      <c r="F4083" s="110"/>
      <c r="G4083" s="109"/>
    </row>
    <row r="4084" spans="3:7" x14ac:dyDescent="0.3">
      <c r="C4084" s="109"/>
      <c r="D4084" s="109"/>
      <c r="E4084" s="109"/>
      <c r="F4084" s="110"/>
      <c r="G4084" s="109"/>
    </row>
    <row r="4085" spans="3:7" x14ac:dyDescent="0.3">
      <c r="C4085" s="109"/>
      <c r="D4085" s="109"/>
      <c r="E4085" s="109"/>
      <c r="F4085" s="110"/>
      <c r="G4085" s="109"/>
    </row>
    <row r="4086" spans="3:7" x14ac:dyDescent="0.3">
      <c r="C4086" s="109"/>
      <c r="D4086" s="109"/>
      <c r="E4086" s="109"/>
      <c r="F4086" s="110"/>
      <c r="G4086" s="109"/>
    </row>
    <row r="4087" spans="3:7" x14ac:dyDescent="0.3">
      <c r="C4087" s="109"/>
      <c r="D4087" s="109"/>
      <c r="E4087" s="109"/>
      <c r="F4087" s="110"/>
      <c r="G4087" s="109"/>
    </row>
    <row r="4088" spans="3:7" x14ac:dyDescent="0.3">
      <c r="C4088" s="109"/>
      <c r="D4088" s="109"/>
      <c r="E4088" s="109"/>
      <c r="F4088" s="110"/>
      <c r="G4088" s="109"/>
    </row>
    <row r="4089" spans="3:7" x14ac:dyDescent="0.3">
      <c r="C4089" s="109"/>
      <c r="D4089" s="109"/>
      <c r="E4089" s="109"/>
      <c r="F4089" s="110"/>
      <c r="G4089" s="109"/>
    </row>
    <row r="4090" spans="3:7" x14ac:dyDescent="0.3">
      <c r="C4090" s="109"/>
      <c r="D4090" s="109"/>
      <c r="E4090" s="109"/>
      <c r="F4090" s="110"/>
      <c r="G4090" s="109"/>
    </row>
    <row r="4091" spans="3:7" x14ac:dyDescent="0.3">
      <c r="C4091" s="109"/>
      <c r="D4091" s="109"/>
      <c r="E4091" s="109"/>
      <c r="F4091" s="110"/>
      <c r="G4091" s="109"/>
    </row>
    <row r="4092" spans="3:7" x14ac:dyDescent="0.3">
      <c r="C4092" s="109"/>
      <c r="D4092" s="109"/>
      <c r="E4092" s="109"/>
      <c r="F4092" s="110"/>
      <c r="G4092" s="109"/>
    </row>
    <row r="4093" spans="3:7" x14ac:dyDescent="0.3">
      <c r="C4093" s="109"/>
      <c r="D4093" s="109"/>
      <c r="E4093" s="109"/>
      <c r="F4093" s="110"/>
      <c r="G4093" s="109"/>
    </row>
    <row r="4094" spans="3:7" x14ac:dyDescent="0.3">
      <c r="C4094" s="109"/>
      <c r="D4094" s="109"/>
      <c r="E4094" s="109"/>
      <c r="F4094" s="110"/>
      <c r="G4094" s="109"/>
    </row>
    <row r="4095" spans="3:7" x14ac:dyDescent="0.3">
      <c r="C4095" s="109"/>
      <c r="D4095" s="109"/>
      <c r="E4095" s="109"/>
      <c r="F4095" s="110"/>
      <c r="G4095" s="109"/>
    </row>
    <row r="4096" spans="3:7" x14ac:dyDescent="0.3">
      <c r="C4096" s="109"/>
      <c r="D4096" s="109"/>
      <c r="E4096" s="109"/>
      <c r="F4096" s="110"/>
      <c r="G4096" s="109"/>
    </row>
    <row r="4097" spans="3:7" x14ac:dyDescent="0.3">
      <c r="C4097" s="109"/>
      <c r="D4097" s="109"/>
      <c r="E4097" s="109"/>
      <c r="F4097" s="110"/>
      <c r="G4097" s="109"/>
    </row>
    <row r="4098" spans="3:7" x14ac:dyDescent="0.3">
      <c r="C4098" s="109"/>
      <c r="D4098" s="109"/>
      <c r="E4098" s="109"/>
      <c r="F4098" s="110"/>
      <c r="G4098" s="109"/>
    </row>
    <row r="4099" spans="3:7" x14ac:dyDescent="0.3">
      <c r="C4099" s="109"/>
      <c r="D4099" s="109"/>
      <c r="E4099" s="109"/>
      <c r="F4099" s="110"/>
      <c r="G4099" s="109"/>
    </row>
    <row r="4100" spans="3:7" x14ac:dyDescent="0.3">
      <c r="C4100" s="109"/>
      <c r="D4100" s="109"/>
      <c r="E4100" s="109"/>
      <c r="F4100" s="110"/>
      <c r="G4100" s="109"/>
    </row>
    <row r="4101" spans="3:7" x14ac:dyDescent="0.3">
      <c r="C4101" s="109"/>
      <c r="D4101" s="109"/>
      <c r="E4101" s="109"/>
      <c r="F4101" s="110"/>
      <c r="G4101" s="109"/>
    </row>
    <row r="4102" spans="3:7" x14ac:dyDescent="0.3">
      <c r="C4102" s="109"/>
      <c r="D4102" s="109"/>
      <c r="E4102" s="109"/>
      <c r="F4102" s="110"/>
      <c r="G4102" s="109"/>
    </row>
    <row r="4103" spans="3:7" x14ac:dyDescent="0.3">
      <c r="C4103" s="109"/>
      <c r="D4103" s="109"/>
      <c r="E4103" s="109"/>
      <c r="F4103" s="110"/>
      <c r="G4103" s="109"/>
    </row>
    <row r="4104" spans="3:7" x14ac:dyDescent="0.3">
      <c r="C4104" s="109"/>
      <c r="D4104" s="109"/>
      <c r="E4104" s="109"/>
      <c r="F4104" s="110"/>
      <c r="G4104" s="109"/>
    </row>
    <row r="4105" spans="3:7" x14ac:dyDescent="0.3">
      <c r="C4105" s="109"/>
      <c r="D4105" s="109"/>
      <c r="E4105" s="109"/>
      <c r="F4105" s="110"/>
      <c r="G4105" s="109"/>
    </row>
    <row r="4106" spans="3:7" x14ac:dyDescent="0.3">
      <c r="C4106" s="109"/>
      <c r="D4106" s="109"/>
      <c r="E4106" s="109"/>
      <c r="F4106" s="110"/>
      <c r="G4106" s="109"/>
    </row>
    <row r="4107" spans="3:7" x14ac:dyDescent="0.3">
      <c r="C4107" s="109"/>
      <c r="D4107" s="109"/>
      <c r="E4107" s="109"/>
      <c r="F4107" s="110"/>
      <c r="G4107" s="109"/>
    </row>
    <row r="4108" spans="3:7" x14ac:dyDescent="0.3">
      <c r="C4108" s="109"/>
      <c r="D4108" s="109"/>
      <c r="E4108" s="109"/>
      <c r="F4108" s="110"/>
      <c r="G4108" s="109"/>
    </row>
    <row r="4109" spans="3:7" x14ac:dyDescent="0.3">
      <c r="C4109" s="109"/>
      <c r="D4109" s="109"/>
      <c r="E4109" s="109"/>
      <c r="F4109" s="110"/>
      <c r="G4109" s="109"/>
    </row>
    <row r="4110" spans="3:7" x14ac:dyDescent="0.3">
      <c r="C4110" s="109"/>
      <c r="D4110" s="109"/>
      <c r="E4110" s="109"/>
      <c r="F4110" s="110"/>
      <c r="G4110" s="109"/>
    </row>
    <row r="4111" spans="3:7" x14ac:dyDescent="0.3">
      <c r="C4111" s="109"/>
      <c r="D4111" s="109"/>
      <c r="E4111" s="109"/>
      <c r="F4111" s="110"/>
      <c r="G4111" s="109"/>
    </row>
    <row r="4112" spans="3:7" x14ac:dyDescent="0.3">
      <c r="C4112" s="109"/>
      <c r="D4112" s="109"/>
      <c r="E4112" s="109"/>
      <c r="F4112" s="110"/>
      <c r="G4112" s="109"/>
    </row>
    <row r="4113" spans="3:7" x14ac:dyDescent="0.3">
      <c r="C4113" s="109"/>
      <c r="D4113" s="109"/>
      <c r="E4113" s="109"/>
      <c r="F4113" s="110"/>
      <c r="G4113" s="109"/>
    </row>
    <row r="4114" spans="3:7" x14ac:dyDescent="0.3">
      <c r="C4114" s="109"/>
      <c r="D4114" s="109"/>
      <c r="E4114" s="109"/>
      <c r="F4114" s="110"/>
      <c r="G4114" s="109"/>
    </row>
    <row r="4115" spans="3:7" x14ac:dyDescent="0.3">
      <c r="C4115" s="109"/>
      <c r="D4115" s="109"/>
      <c r="E4115" s="109"/>
      <c r="F4115" s="110"/>
      <c r="G4115" s="109"/>
    </row>
    <row r="4116" spans="3:7" x14ac:dyDescent="0.3">
      <c r="C4116" s="109"/>
      <c r="D4116" s="109"/>
      <c r="E4116" s="109"/>
      <c r="F4116" s="110"/>
      <c r="G4116" s="109"/>
    </row>
    <row r="4117" spans="3:7" x14ac:dyDescent="0.3">
      <c r="C4117" s="109"/>
      <c r="D4117" s="109"/>
      <c r="E4117" s="109"/>
      <c r="F4117" s="110"/>
      <c r="G4117" s="109"/>
    </row>
    <row r="4118" spans="3:7" x14ac:dyDescent="0.3">
      <c r="C4118" s="109"/>
      <c r="D4118" s="109"/>
      <c r="E4118" s="109"/>
      <c r="F4118" s="110"/>
      <c r="G4118" s="109"/>
    </row>
    <row r="4119" spans="3:7" x14ac:dyDescent="0.3">
      <c r="C4119" s="109"/>
      <c r="D4119" s="109"/>
      <c r="E4119" s="109"/>
      <c r="F4119" s="110"/>
      <c r="G4119" s="109"/>
    </row>
    <row r="4120" spans="3:7" x14ac:dyDescent="0.3">
      <c r="C4120" s="109"/>
      <c r="D4120" s="109"/>
      <c r="E4120" s="109"/>
      <c r="F4120" s="110"/>
      <c r="G4120" s="109"/>
    </row>
    <row r="4121" spans="3:7" x14ac:dyDescent="0.3">
      <c r="C4121" s="109"/>
      <c r="D4121" s="109"/>
      <c r="E4121" s="109"/>
      <c r="F4121" s="110"/>
      <c r="G4121" s="109"/>
    </row>
    <row r="4122" spans="3:7" x14ac:dyDescent="0.3">
      <c r="C4122" s="109"/>
      <c r="D4122" s="109"/>
      <c r="E4122" s="109"/>
      <c r="F4122" s="110"/>
      <c r="G4122" s="109"/>
    </row>
    <row r="4123" spans="3:7" x14ac:dyDescent="0.3">
      <c r="C4123" s="109"/>
      <c r="D4123" s="109"/>
      <c r="E4123" s="109"/>
      <c r="F4123" s="110"/>
      <c r="G4123" s="109"/>
    </row>
    <row r="4124" spans="3:7" x14ac:dyDescent="0.3">
      <c r="C4124" s="109"/>
      <c r="D4124" s="109"/>
      <c r="E4124" s="109"/>
      <c r="F4124" s="110"/>
      <c r="G4124" s="109"/>
    </row>
    <row r="4125" spans="3:7" x14ac:dyDescent="0.3">
      <c r="C4125" s="109"/>
      <c r="D4125" s="109"/>
      <c r="E4125" s="109"/>
      <c r="F4125" s="110"/>
      <c r="G4125" s="109"/>
    </row>
    <row r="4126" spans="3:7" x14ac:dyDescent="0.3">
      <c r="C4126" s="109"/>
      <c r="D4126" s="109"/>
      <c r="E4126" s="109"/>
      <c r="F4126" s="110"/>
      <c r="G4126" s="109"/>
    </row>
    <row r="4127" spans="3:7" x14ac:dyDescent="0.3">
      <c r="C4127" s="109"/>
      <c r="D4127" s="109"/>
      <c r="E4127" s="109"/>
      <c r="F4127" s="110"/>
      <c r="G4127" s="109"/>
    </row>
    <row r="4128" spans="3:7" x14ac:dyDescent="0.3">
      <c r="C4128" s="109"/>
      <c r="D4128" s="109"/>
      <c r="E4128" s="109"/>
      <c r="F4128" s="110"/>
      <c r="G4128" s="109"/>
    </row>
    <row r="4129" spans="3:7" x14ac:dyDescent="0.3">
      <c r="C4129" s="109"/>
      <c r="D4129" s="109"/>
      <c r="E4129" s="109"/>
      <c r="F4129" s="110"/>
      <c r="G4129" s="109"/>
    </row>
    <row r="4130" spans="3:7" x14ac:dyDescent="0.3">
      <c r="C4130" s="109"/>
      <c r="D4130" s="109"/>
      <c r="E4130" s="109"/>
      <c r="F4130" s="110"/>
      <c r="G4130" s="109"/>
    </row>
    <row r="4131" spans="3:7" x14ac:dyDescent="0.3">
      <c r="C4131" s="109"/>
      <c r="D4131" s="109"/>
      <c r="E4131" s="109"/>
      <c r="F4131" s="110"/>
      <c r="G4131" s="109"/>
    </row>
    <row r="4132" spans="3:7" x14ac:dyDescent="0.3">
      <c r="C4132" s="109"/>
      <c r="D4132" s="109"/>
      <c r="E4132" s="109"/>
      <c r="F4132" s="110"/>
      <c r="G4132" s="109"/>
    </row>
    <row r="4133" spans="3:7" x14ac:dyDescent="0.3">
      <c r="C4133" s="109"/>
      <c r="D4133" s="109"/>
      <c r="E4133" s="109"/>
      <c r="F4133" s="110"/>
      <c r="G4133" s="109"/>
    </row>
    <row r="4134" spans="3:7" x14ac:dyDescent="0.3">
      <c r="C4134" s="109"/>
      <c r="D4134" s="109"/>
      <c r="E4134" s="109"/>
      <c r="F4134" s="110"/>
      <c r="G4134" s="109"/>
    </row>
    <row r="4135" spans="3:7" x14ac:dyDescent="0.3">
      <c r="C4135" s="109"/>
      <c r="D4135" s="109"/>
      <c r="E4135" s="109"/>
      <c r="F4135" s="110"/>
      <c r="G4135" s="109"/>
    </row>
    <row r="4136" spans="3:7" x14ac:dyDescent="0.3">
      <c r="C4136" s="109"/>
      <c r="D4136" s="109"/>
      <c r="E4136" s="109"/>
      <c r="F4136" s="110"/>
      <c r="G4136" s="109"/>
    </row>
    <row r="4137" spans="3:7" x14ac:dyDescent="0.3">
      <c r="C4137" s="109"/>
      <c r="D4137" s="109"/>
      <c r="E4137" s="109"/>
      <c r="F4137" s="110"/>
      <c r="G4137" s="109"/>
    </row>
    <row r="4138" spans="3:7" x14ac:dyDescent="0.3">
      <c r="C4138" s="109"/>
      <c r="D4138" s="109"/>
      <c r="E4138" s="109"/>
      <c r="F4138" s="110"/>
      <c r="G4138" s="109"/>
    </row>
    <row r="4139" spans="3:7" x14ac:dyDescent="0.3">
      <c r="C4139" s="109"/>
      <c r="D4139" s="109"/>
      <c r="E4139" s="109"/>
      <c r="F4139" s="110"/>
      <c r="G4139" s="109"/>
    </row>
    <row r="4140" spans="3:7" x14ac:dyDescent="0.3">
      <c r="C4140" s="109"/>
      <c r="D4140" s="109"/>
      <c r="E4140" s="109"/>
      <c r="F4140" s="110"/>
      <c r="G4140" s="109"/>
    </row>
    <row r="4141" spans="3:7" x14ac:dyDescent="0.3">
      <c r="C4141" s="109"/>
      <c r="D4141" s="109"/>
      <c r="E4141" s="109"/>
      <c r="F4141" s="110"/>
      <c r="G4141" s="109"/>
    </row>
    <row r="4142" spans="3:7" x14ac:dyDescent="0.3">
      <c r="C4142" s="109"/>
      <c r="D4142" s="109"/>
      <c r="E4142" s="109"/>
      <c r="F4142" s="110"/>
      <c r="G4142" s="109"/>
    </row>
    <row r="4143" spans="3:7" x14ac:dyDescent="0.3">
      <c r="C4143" s="109"/>
      <c r="D4143" s="109"/>
      <c r="E4143" s="109"/>
      <c r="F4143" s="110"/>
      <c r="G4143" s="109"/>
    </row>
    <row r="4144" spans="3:7" x14ac:dyDescent="0.3">
      <c r="C4144" s="109"/>
      <c r="D4144" s="109"/>
      <c r="E4144" s="109"/>
      <c r="F4144" s="110"/>
      <c r="G4144" s="109"/>
    </row>
    <row r="4145" spans="3:7" x14ac:dyDescent="0.3">
      <c r="C4145" s="109"/>
      <c r="D4145" s="109"/>
      <c r="E4145" s="109"/>
      <c r="F4145" s="110"/>
      <c r="G4145" s="109"/>
    </row>
    <row r="4146" spans="3:7" x14ac:dyDescent="0.3">
      <c r="C4146" s="109"/>
      <c r="D4146" s="109"/>
      <c r="E4146" s="109"/>
      <c r="F4146" s="110"/>
      <c r="G4146" s="109"/>
    </row>
    <row r="4147" spans="3:7" x14ac:dyDescent="0.3">
      <c r="C4147" s="109"/>
      <c r="D4147" s="109"/>
      <c r="E4147" s="109"/>
      <c r="F4147" s="110"/>
      <c r="G4147" s="109"/>
    </row>
    <row r="4148" spans="3:7" x14ac:dyDescent="0.3">
      <c r="C4148" s="109"/>
      <c r="D4148" s="109"/>
      <c r="E4148" s="109"/>
      <c r="F4148" s="110"/>
      <c r="G4148" s="109"/>
    </row>
    <row r="4149" spans="3:7" x14ac:dyDescent="0.3">
      <c r="C4149" s="109"/>
      <c r="D4149" s="109"/>
      <c r="E4149" s="109"/>
      <c r="F4149" s="110"/>
      <c r="G4149" s="109"/>
    </row>
    <row r="4150" spans="3:7" x14ac:dyDescent="0.3">
      <c r="C4150" s="109"/>
      <c r="D4150" s="109"/>
      <c r="E4150" s="109"/>
      <c r="F4150" s="110"/>
      <c r="G4150" s="109"/>
    </row>
    <row r="4151" spans="3:7" x14ac:dyDescent="0.3">
      <c r="C4151" s="109"/>
      <c r="D4151" s="109"/>
      <c r="E4151" s="109"/>
      <c r="F4151" s="110"/>
      <c r="G4151" s="109"/>
    </row>
    <row r="4152" spans="3:7" x14ac:dyDescent="0.3">
      <c r="C4152" s="109"/>
      <c r="D4152" s="109"/>
      <c r="E4152" s="109"/>
      <c r="F4152" s="110"/>
      <c r="G4152" s="109"/>
    </row>
    <row r="4153" spans="3:7" x14ac:dyDescent="0.3">
      <c r="C4153" s="109"/>
      <c r="D4153" s="109"/>
      <c r="E4153" s="109"/>
      <c r="F4153" s="110"/>
      <c r="G4153" s="109"/>
    </row>
    <row r="4154" spans="3:7" x14ac:dyDescent="0.3">
      <c r="C4154" s="109"/>
      <c r="D4154" s="109"/>
      <c r="E4154" s="109"/>
      <c r="F4154" s="110"/>
      <c r="G4154" s="109"/>
    </row>
    <row r="4155" spans="3:7" x14ac:dyDescent="0.3">
      <c r="C4155" s="109"/>
      <c r="D4155" s="109"/>
      <c r="E4155" s="109"/>
      <c r="F4155" s="110"/>
      <c r="G4155" s="109"/>
    </row>
    <row r="4156" spans="3:7" x14ac:dyDescent="0.3">
      <c r="C4156" s="109"/>
      <c r="D4156" s="109"/>
      <c r="E4156" s="109"/>
      <c r="F4156" s="110"/>
      <c r="G4156" s="109"/>
    </row>
    <row r="4157" spans="3:7" x14ac:dyDescent="0.3">
      <c r="C4157" s="109"/>
      <c r="D4157" s="109"/>
      <c r="E4157" s="109"/>
      <c r="F4157" s="110"/>
      <c r="G4157" s="109"/>
    </row>
    <row r="4158" spans="3:7" x14ac:dyDescent="0.3">
      <c r="C4158" s="109"/>
      <c r="D4158" s="109"/>
      <c r="E4158" s="109"/>
      <c r="F4158" s="110"/>
      <c r="G4158" s="109"/>
    </row>
    <row r="4159" spans="3:7" x14ac:dyDescent="0.3">
      <c r="C4159" s="109"/>
      <c r="D4159" s="109"/>
      <c r="E4159" s="109"/>
      <c r="F4159" s="110"/>
      <c r="G4159" s="109"/>
    </row>
    <row r="4160" spans="3:7" x14ac:dyDescent="0.3">
      <c r="C4160" s="109"/>
      <c r="D4160" s="109"/>
      <c r="E4160" s="109"/>
      <c r="F4160" s="110"/>
      <c r="G4160" s="109"/>
    </row>
    <row r="4161" spans="3:7" x14ac:dyDescent="0.3">
      <c r="C4161" s="109"/>
      <c r="D4161" s="109"/>
      <c r="E4161" s="109"/>
      <c r="F4161" s="110"/>
      <c r="G4161" s="109"/>
    </row>
    <row r="4162" spans="3:7" x14ac:dyDescent="0.3">
      <c r="C4162" s="109"/>
      <c r="D4162" s="109"/>
      <c r="E4162" s="109"/>
      <c r="F4162" s="110"/>
      <c r="G4162" s="109"/>
    </row>
    <row r="4163" spans="3:7" x14ac:dyDescent="0.3">
      <c r="C4163" s="109"/>
      <c r="D4163" s="109"/>
      <c r="E4163" s="109"/>
      <c r="F4163" s="110"/>
      <c r="G4163" s="109"/>
    </row>
    <row r="4164" spans="3:7" x14ac:dyDescent="0.3">
      <c r="C4164" s="109"/>
      <c r="D4164" s="109"/>
      <c r="E4164" s="109"/>
      <c r="F4164" s="110"/>
      <c r="G4164" s="109"/>
    </row>
    <row r="4165" spans="3:7" x14ac:dyDescent="0.3">
      <c r="C4165" s="109"/>
      <c r="D4165" s="109"/>
      <c r="E4165" s="109"/>
      <c r="F4165" s="110"/>
      <c r="G4165" s="109"/>
    </row>
    <row r="4166" spans="3:7" x14ac:dyDescent="0.3">
      <c r="C4166" s="109"/>
      <c r="D4166" s="109"/>
      <c r="E4166" s="109"/>
      <c r="F4166" s="110"/>
      <c r="G4166" s="109"/>
    </row>
    <row r="4167" spans="3:7" x14ac:dyDescent="0.3">
      <c r="C4167" s="109"/>
      <c r="D4167" s="109"/>
      <c r="E4167" s="109"/>
      <c r="F4167" s="110"/>
      <c r="G4167" s="109"/>
    </row>
    <row r="4168" spans="3:7" x14ac:dyDescent="0.3">
      <c r="C4168" s="109"/>
      <c r="D4168" s="109"/>
      <c r="E4168" s="109"/>
      <c r="F4168" s="110"/>
      <c r="G4168" s="109"/>
    </row>
    <row r="4169" spans="3:7" x14ac:dyDescent="0.3">
      <c r="C4169" s="109"/>
      <c r="D4169" s="109"/>
      <c r="E4169" s="109"/>
      <c r="F4169" s="110"/>
      <c r="G4169" s="109"/>
    </row>
    <row r="4170" spans="3:7" x14ac:dyDescent="0.3">
      <c r="C4170" s="109"/>
      <c r="D4170" s="109"/>
      <c r="E4170" s="109"/>
      <c r="F4170" s="110"/>
      <c r="G4170" s="109"/>
    </row>
    <row r="4171" spans="3:7" x14ac:dyDescent="0.3">
      <c r="C4171" s="109"/>
      <c r="D4171" s="109"/>
      <c r="E4171" s="109"/>
      <c r="F4171" s="110"/>
      <c r="G4171" s="109"/>
    </row>
    <row r="4172" spans="3:7" x14ac:dyDescent="0.3">
      <c r="C4172" s="109"/>
      <c r="D4172" s="109"/>
      <c r="E4172" s="109"/>
      <c r="F4172" s="110"/>
      <c r="G4172" s="109"/>
    </row>
    <row r="4173" spans="3:7" x14ac:dyDescent="0.3">
      <c r="C4173" s="109"/>
      <c r="D4173" s="109"/>
      <c r="E4173" s="109"/>
      <c r="F4173" s="110"/>
      <c r="G4173" s="109"/>
    </row>
    <row r="4174" spans="3:7" x14ac:dyDescent="0.3">
      <c r="C4174" s="109"/>
      <c r="D4174" s="109"/>
      <c r="E4174" s="109"/>
      <c r="F4174" s="110"/>
      <c r="G4174" s="109"/>
    </row>
    <row r="4175" spans="3:7" x14ac:dyDescent="0.3">
      <c r="C4175" s="109"/>
      <c r="D4175" s="109"/>
      <c r="E4175" s="109"/>
      <c r="F4175" s="110"/>
      <c r="G4175" s="109"/>
    </row>
    <row r="4176" spans="3:7" x14ac:dyDescent="0.3">
      <c r="C4176" s="109"/>
      <c r="D4176" s="109"/>
      <c r="E4176" s="109"/>
      <c r="F4176" s="110"/>
      <c r="G4176" s="109"/>
    </row>
    <row r="4177" spans="3:7" x14ac:dyDescent="0.3">
      <c r="C4177" s="109"/>
      <c r="D4177" s="109"/>
      <c r="E4177" s="109"/>
      <c r="F4177" s="110"/>
      <c r="G4177" s="109"/>
    </row>
    <row r="4178" spans="3:7" x14ac:dyDescent="0.3">
      <c r="C4178" s="109"/>
      <c r="D4178" s="109"/>
      <c r="E4178" s="109"/>
      <c r="F4178" s="110"/>
      <c r="G4178" s="109"/>
    </row>
    <row r="4179" spans="3:7" x14ac:dyDescent="0.3">
      <c r="C4179" s="109"/>
      <c r="D4179" s="109"/>
      <c r="E4179" s="109"/>
      <c r="F4179" s="110"/>
      <c r="G4179" s="109"/>
    </row>
    <row r="4180" spans="3:7" x14ac:dyDescent="0.3">
      <c r="C4180" s="109"/>
      <c r="D4180" s="109"/>
      <c r="E4180" s="109"/>
      <c r="F4180" s="110"/>
      <c r="G4180" s="109"/>
    </row>
    <row r="4181" spans="3:7" x14ac:dyDescent="0.3">
      <c r="C4181" s="109"/>
      <c r="D4181" s="109"/>
      <c r="E4181" s="109"/>
      <c r="F4181" s="110"/>
      <c r="G4181" s="109"/>
    </row>
    <row r="4182" spans="3:7" x14ac:dyDescent="0.3">
      <c r="C4182" s="109"/>
      <c r="D4182" s="109"/>
      <c r="E4182" s="109"/>
      <c r="F4182" s="110"/>
      <c r="G4182" s="109"/>
    </row>
    <row r="4183" spans="3:7" x14ac:dyDescent="0.3">
      <c r="C4183" s="109"/>
      <c r="D4183" s="109"/>
      <c r="E4183" s="109"/>
      <c r="F4183" s="110"/>
      <c r="G4183" s="109"/>
    </row>
    <row r="4184" spans="3:7" x14ac:dyDescent="0.3">
      <c r="C4184" s="109"/>
      <c r="D4184" s="109"/>
      <c r="E4184" s="109"/>
      <c r="F4184" s="110"/>
      <c r="G4184" s="109"/>
    </row>
    <row r="4185" spans="3:7" x14ac:dyDescent="0.3">
      <c r="C4185" s="109"/>
      <c r="D4185" s="109"/>
      <c r="E4185" s="109"/>
      <c r="F4185" s="110"/>
      <c r="G4185" s="109"/>
    </row>
    <row r="4186" spans="3:7" x14ac:dyDescent="0.3">
      <c r="C4186" s="109"/>
      <c r="D4186" s="109"/>
      <c r="E4186" s="109"/>
      <c r="F4186" s="110"/>
      <c r="G4186" s="109"/>
    </row>
    <row r="4187" spans="3:7" x14ac:dyDescent="0.3">
      <c r="C4187" s="109"/>
      <c r="D4187" s="109"/>
      <c r="E4187" s="109"/>
      <c r="F4187" s="110"/>
      <c r="G4187" s="109"/>
    </row>
    <row r="4188" spans="3:7" x14ac:dyDescent="0.3">
      <c r="C4188" s="109"/>
      <c r="D4188" s="109"/>
      <c r="E4188" s="109"/>
      <c r="F4188" s="110"/>
      <c r="G4188" s="109"/>
    </row>
    <row r="4189" spans="3:7" x14ac:dyDescent="0.3">
      <c r="C4189" s="109"/>
      <c r="D4189" s="109"/>
      <c r="E4189" s="109"/>
      <c r="F4189" s="110"/>
      <c r="G4189" s="109"/>
    </row>
    <row r="4190" spans="3:7" x14ac:dyDescent="0.3">
      <c r="C4190" s="109"/>
      <c r="D4190" s="109"/>
      <c r="E4190" s="109"/>
      <c r="F4190" s="110"/>
      <c r="G4190" s="109"/>
    </row>
    <row r="4191" spans="3:7" x14ac:dyDescent="0.3">
      <c r="C4191" s="109"/>
      <c r="D4191" s="109"/>
      <c r="E4191" s="109"/>
      <c r="F4191" s="110"/>
      <c r="G4191" s="109"/>
    </row>
    <row r="4192" spans="3:7" x14ac:dyDescent="0.3">
      <c r="C4192" s="109"/>
      <c r="D4192" s="109"/>
      <c r="E4192" s="109"/>
      <c r="F4192" s="110"/>
      <c r="G4192" s="109"/>
    </row>
    <row r="4193" spans="3:7" x14ac:dyDescent="0.3">
      <c r="C4193" s="109"/>
      <c r="D4193" s="109"/>
      <c r="E4193" s="109"/>
      <c r="F4193" s="110"/>
      <c r="G4193" s="109"/>
    </row>
    <row r="4194" spans="3:7" x14ac:dyDescent="0.3">
      <c r="C4194" s="109"/>
      <c r="D4194" s="109"/>
      <c r="E4194" s="109"/>
      <c r="F4194" s="110"/>
      <c r="G4194" s="109"/>
    </row>
    <row r="4195" spans="3:7" x14ac:dyDescent="0.3">
      <c r="C4195" s="109"/>
      <c r="D4195" s="109"/>
      <c r="E4195" s="109"/>
      <c r="F4195" s="110"/>
      <c r="G4195" s="109"/>
    </row>
    <row r="4196" spans="3:7" x14ac:dyDescent="0.3">
      <c r="C4196" s="109"/>
      <c r="D4196" s="109"/>
      <c r="E4196" s="109"/>
      <c r="F4196" s="110"/>
      <c r="G4196" s="109"/>
    </row>
    <row r="4197" spans="3:7" x14ac:dyDescent="0.3">
      <c r="C4197" s="109"/>
      <c r="D4197" s="109"/>
      <c r="E4197" s="109"/>
      <c r="F4197" s="110"/>
      <c r="G4197" s="109"/>
    </row>
    <row r="4198" spans="3:7" x14ac:dyDescent="0.3">
      <c r="C4198" s="109"/>
      <c r="D4198" s="109"/>
      <c r="E4198" s="109"/>
      <c r="F4198" s="110"/>
      <c r="G4198" s="109"/>
    </row>
    <row r="4199" spans="3:7" x14ac:dyDescent="0.3">
      <c r="C4199" s="109"/>
      <c r="D4199" s="109"/>
      <c r="E4199" s="109"/>
      <c r="F4199" s="110"/>
      <c r="G4199" s="109"/>
    </row>
    <row r="4200" spans="3:7" x14ac:dyDescent="0.3">
      <c r="C4200" s="109"/>
      <c r="D4200" s="109"/>
      <c r="E4200" s="109"/>
      <c r="F4200" s="110"/>
      <c r="G4200" s="109"/>
    </row>
    <row r="4201" spans="3:7" x14ac:dyDescent="0.3">
      <c r="C4201" s="109"/>
      <c r="D4201" s="109"/>
      <c r="E4201" s="109"/>
      <c r="F4201" s="110"/>
      <c r="G4201" s="109"/>
    </row>
    <row r="4202" spans="3:7" x14ac:dyDescent="0.3">
      <c r="C4202" s="109"/>
      <c r="D4202" s="109"/>
      <c r="E4202" s="109"/>
      <c r="F4202" s="110"/>
      <c r="G4202" s="109"/>
    </row>
    <row r="4203" spans="3:7" x14ac:dyDescent="0.3">
      <c r="C4203" s="109"/>
      <c r="D4203" s="109"/>
      <c r="E4203" s="109"/>
      <c r="F4203" s="110"/>
      <c r="G4203" s="109"/>
    </row>
    <row r="4204" spans="3:7" x14ac:dyDescent="0.3">
      <c r="C4204" s="109"/>
      <c r="D4204" s="109"/>
      <c r="E4204" s="109"/>
      <c r="F4204" s="110"/>
      <c r="G4204" s="109"/>
    </row>
    <row r="4205" spans="3:7" x14ac:dyDescent="0.3">
      <c r="C4205" s="109"/>
      <c r="D4205" s="109"/>
      <c r="E4205" s="109"/>
      <c r="F4205" s="110"/>
      <c r="G4205" s="109"/>
    </row>
    <row r="4206" spans="3:7" x14ac:dyDescent="0.3">
      <c r="C4206" s="109"/>
      <c r="D4206" s="109"/>
      <c r="E4206" s="109"/>
      <c r="F4206" s="110"/>
      <c r="G4206" s="109"/>
    </row>
    <row r="4207" spans="3:7" x14ac:dyDescent="0.3">
      <c r="C4207" s="109"/>
      <c r="D4207" s="109"/>
      <c r="E4207" s="109"/>
      <c r="F4207" s="110"/>
      <c r="G4207" s="109"/>
    </row>
    <row r="4208" spans="3:7" x14ac:dyDescent="0.3">
      <c r="C4208" s="109"/>
      <c r="D4208" s="109"/>
      <c r="E4208" s="109"/>
      <c r="F4208" s="110"/>
      <c r="G4208" s="109"/>
    </row>
    <row r="4209" spans="3:7" x14ac:dyDescent="0.3">
      <c r="C4209" s="109"/>
      <c r="D4209" s="109"/>
      <c r="E4209" s="109"/>
      <c r="F4209" s="110"/>
      <c r="G4209" s="109"/>
    </row>
    <row r="4210" spans="3:7" x14ac:dyDescent="0.3">
      <c r="C4210" s="109"/>
      <c r="D4210" s="109"/>
      <c r="E4210" s="109"/>
      <c r="F4210" s="110"/>
      <c r="G4210" s="109"/>
    </row>
    <row r="4211" spans="3:7" x14ac:dyDescent="0.3">
      <c r="C4211" s="109"/>
      <c r="D4211" s="109"/>
      <c r="E4211" s="109"/>
      <c r="F4211" s="110"/>
      <c r="G4211" s="109"/>
    </row>
    <row r="4212" spans="3:7" x14ac:dyDescent="0.3">
      <c r="C4212" s="109"/>
      <c r="D4212" s="109"/>
      <c r="E4212" s="109"/>
      <c r="F4212" s="110"/>
      <c r="G4212" s="109"/>
    </row>
    <row r="4213" spans="3:7" x14ac:dyDescent="0.3">
      <c r="C4213" s="109"/>
      <c r="D4213" s="109"/>
      <c r="E4213" s="109"/>
      <c r="F4213" s="110"/>
      <c r="G4213" s="109"/>
    </row>
    <row r="4214" spans="3:7" x14ac:dyDescent="0.3">
      <c r="C4214" s="109"/>
      <c r="D4214" s="109"/>
      <c r="E4214" s="109"/>
      <c r="F4214" s="110"/>
      <c r="G4214" s="109"/>
    </row>
    <row r="4215" spans="3:7" x14ac:dyDescent="0.3">
      <c r="C4215" s="109"/>
      <c r="D4215" s="109"/>
      <c r="E4215" s="109"/>
      <c r="F4215" s="110"/>
      <c r="G4215" s="109"/>
    </row>
    <row r="4216" spans="3:7" x14ac:dyDescent="0.3">
      <c r="C4216" s="109"/>
      <c r="D4216" s="109"/>
      <c r="E4216" s="109"/>
      <c r="F4216" s="110"/>
      <c r="G4216" s="109"/>
    </row>
    <row r="4217" spans="3:7" x14ac:dyDescent="0.3">
      <c r="C4217" s="109"/>
      <c r="D4217" s="109"/>
      <c r="E4217" s="109"/>
      <c r="F4217" s="110"/>
      <c r="G4217" s="109"/>
    </row>
    <row r="4218" spans="3:7" x14ac:dyDescent="0.3">
      <c r="C4218" s="109"/>
      <c r="D4218" s="109"/>
      <c r="E4218" s="109"/>
      <c r="F4218" s="110"/>
      <c r="G4218" s="109"/>
    </row>
    <row r="4219" spans="3:7" x14ac:dyDescent="0.3">
      <c r="C4219" s="109"/>
      <c r="D4219" s="109"/>
      <c r="E4219" s="109"/>
      <c r="F4219" s="110"/>
      <c r="G4219" s="109"/>
    </row>
    <row r="4220" spans="3:7" x14ac:dyDescent="0.3">
      <c r="C4220" s="109"/>
      <c r="D4220" s="109"/>
      <c r="E4220" s="109"/>
      <c r="F4220" s="110"/>
      <c r="G4220" s="109"/>
    </row>
    <row r="4221" spans="3:7" x14ac:dyDescent="0.3">
      <c r="C4221" s="109"/>
      <c r="D4221" s="109"/>
      <c r="E4221" s="109"/>
      <c r="F4221" s="110"/>
      <c r="G4221" s="109"/>
    </row>
    <row r="4222" spans="3:7" x14ac:dyDescent="0.3">
      <c r="C4222" s="109"/>
      <c r="D4222" s="109"/>
      <c r="E4222" s="109"/>
      <c r="F4222" s="110"/>
      <c r="G4222" s="109"/>
    </row>
    <row r="4223" spans="3:7" x14ac:dyDescent="0.3">
      <c r="C4223" s="109"/>
      <c r="D4223" s="109"/>
      <c r="E4223" s="109"/>
      <c r="F4223" s="110"/>
      <c r="G4223" s="109"/>
    </row>
    <row r="4224" spans="3:7" x14ac:dyDescent="0.3">
      <c r="C4224" s="109"/>
      <c r="D4224" s="109"/>
      <c r="E4224" s="109"/>
      <c r="F4224" s="110"/>
      <c r="G4224" s="109"/>
    </row>
    <row r="4225" spans="3:7" x14ac:dyDescent="0.3">
      <c r="C4225" s="109"/>
      <c r="D4225" s="109"/>
      <c r="E4225" s="109"/>
      <c r="F4225" s="110"/>
      <c r="G4225" s="109"/>
    </row>
    <row r="4226" spans="3:7" x14ac:dyDescent="0.3">
      <c r="C4226" s="109"/>
      <c r="D4226" s="109"/>
      <c r="E4226" s="109"/>
      <c r="F4226" s="110"/>
      <c r="G4226" s="109"/>
    </row>
    <row r="4227" spans="3:7" x14ac:dyDescent="0.3">
      <c r="C4227" s="109"/>
      <c r="D4227" s="109"/>
      <c r="E4227" s="109"/>
      <c r="F4227" s="110"/>
      <c r="G4227" s="109"/>
    </row>
    <row r="4228" spans="3:7" x14ac:dyDescent="0.3">
      <c r="C4228" s="109"/>
      <c r="D4228" s="109"/>
      <c r="E4228" s="109"/>
      <c r="F4228" s="110"/>
      <c r="G4228" s="109"/>
    </row>
    <row r="4229" spans="3:7" x14ac:dyDescent="0.3">
      <c r="C4229" s="109"/>
      <c r="D4229" s="109"/>
      <c r="E4229" s="109"/>
      <c r="F4229" s="110"/>
      <c r="G4229" s="109"/>
    </row>
    <row r="4230" spans="3:7" x14ac:dyDescent="0.3">
      <c r="C4230" s="109"/>
      <c r="D4230" s="109"/>
      <c r="E4230" s="109"/>
      <c r="F4230" s="110"/>
      <c r="G4230" s="109"/>
    </row>
    <row r="4231" spans="3:7" x14ac:dyDescent="0.3">
      <c r="C4231" s="109"/>
      <c r="D4231" s="109"/>
      <c r="E4231" s="109"/>
      <c r="F4231" s="110"/>
      <c r="G4231" s="109"/>
    </row>
    <row r="4232" spans="3:7" x14ac:dyDescent="0.3">
      <c r="C4232" s="109"/>
      <c r="D4232" s="109"/>
      <c r="E4232" s="109"/>
      <c r="F4232" s="110"/>
      <c r="G4232" s="109"/>
    </row>
    <row r="4233" spans="3:7" x14ac:dyDescent="0.3">
      <c r="C4233" s="109"/>
      <c r="D4233" s="109"/>
      <c r="E4233" s="109"/>
      <c r="F4233" s="110"/>
      <c r="G4233" s="109"/>
    </row>
    <row r="4234" spans="3:7" x14ac:dyDescent="0.3">
      <c r="C4234" s="109"/>
      <c r="D4234" s="109"/>
      <c r="E4234" s="109"/>
      <c r="F4234" s="110"/>
      <c r="G4234" s="109"/>
    </row>
    <row r="4235" spans="3:7" x14ac:dyDescent="0.3">
      <c r="C4235" s="109"/>
      <c r="D4235" s="109"/>
      <c r="E4235" s="109"/>
      <c r="F4235" s="110"/>
      <c r="G4235" s="109"/>
    </row>
    <row r="4236" spans="3:7" x14ac:dyDescent="0.3">
      <c r="C4236" s="109"/>
      <c r="D4236" s="109"/>
      <c r="E4236" s="109"/>
      <c r="F4236" s="110"/>
      <c r="G4236" s="109"/>
    </row>
    <row r="4237" spans="3:7" x14ac:dyDescent="0.3">
      <c r="C4237" s="109"/>
      <c r="D4237" s="109"/>
      <c r="E4237" s="109"/>
      <c r="F4237" s="110"/>
      <c r="G4237" s="109"/>
    </row>
    <row r="4238" spans="3:7" x14ac:dyDescent="0.3">
      <c r="C4238" s="109"/>
      <c r="D4238" s="109"/>
      <c r="E4238" s="109"/>
      <c r="F4238" s="110"/>
      <c r="G4238" s="109"/>
    </row>
    <row r="4239" spans="3:7" x14ac:dyDescent="0.3">
      <c r="C4239" s="109"/>
      <c r="D4239" s="109"/>
      <c r="E4239" s="109"/>
      <c r="F4239" s="110"/>
      <c r="G4239" s="109"/>
    </row>
    <row r="4240" spans="3:7" x14ac:dyDescent="0.3">
      <c r="C4240" s="109"/>
      <c r="D4240" s="109"/>
      <c r="E4240" s="109"/>
      <c r="F4240" s="110"/>
      <c r="G4240" s="109"/>
    </row>
    <row r="4241" spans="3:7" x14ac:dyDescent="0.3">
      <c r="C4241" s="109"/>
      <c r="D4241" s="109"/>
      <c r="E4241" s="109"/>
      <c r="F4241" s="110"/>
      <c r="G4241" s="109"/>
    </row>
    <row r="4242" spans="3:7" x14ac:dyDescent="0.3">
      <c r="C4242" s="109"/>
      <c r="D4242" s="109"/>
      <c r="E4242" s="109"/>
      <c r="F4242" s="110"/>
      <c r="G4242" s="109"/>
    </row>
    <row r="4243" spans="3:7" x14ac:dyDescent="0.3">
      <c r="C4243" s="109"/>
      <c r="D4243" s="109"/>
      <c r="E4243" s="109"/>
      <c r="F4243" s="110"/>
      <c r="G4243" s="109"/>
    </row>
    <row r="4244" spans="3:7" x14ac:dyDescent="0.3">
      <c r="C4244" s="109"/>
      <c r="D4244" s="109"/>
      <c r="E4244" s="109"/>
      <c r="F4244" s="110"/>
      <c r="G4244" s="109"/>
    </row>
    <row r="4245" spans="3:7" x14ac:dyDescent="0.3">
      <c r="C4245" s="109"/>
      <c r="D4245" s="109"/>
      <c r="E4245" s="109"/>
      <c r="F4245" s="110"/>
      <c r="G4245" s="109"/>
    </row>
    <row r="4246" spans="3:7" x14ac:dyDescent="0.3">
      <c r="C4246" s="109"/>
      <c r="D4246" s="109"/>
      <c r="E4246" s="109"/>
      <c r="F4246" s="110"/>
      <c r="G4246" s="109"/>
    </row>
    <row r="4247" spans="3:7" x14ac:dyDescent="0.3">
      <c r="C4247" s="109"/>
      <c r="D4247" s="109"/>
      <c r="E4247" s="109"/>
      <c r="F4247" s="110"/>
      <c r="G4247" s="109"/>
    </row>
    <row r="4248" spans="3:7" x14ac:dyDescent="0.3">
      <c r="C4248" s="109"/>
      <c r="D4248" s="109"/>
      <c r="E4248" s="109"/>
      <c r="F4248" s="110"/>
      <c r="G4248" s="109"/>
    </row>
    <row r="4249" spans="3:7" x14ac:dyDescent="0.3">
      <c r="C4249" s="109"/>
      <c r="D4249" s="109"/>
      <c r="E4249" s="109"/>
      <c r="F4249" s="110"/>
      <c r="G4249" s="109"/>
    </row>
    <row r="4250" spans="3:7" x14ac:dyDescent="0.3">
      <c r="C4250" s="109"/>
      <c r="D4250" s="109"/>
      <c r="E4250" s="109"/>
      <c r="F4250" s="110"/>
      <c r="G4250" s="109"/>
    </row>
    <row r="4251" spans="3:7" x14ac:dyDescent="0.3">
      <c r="C4251" s="109"/>
      <c r="D4251" s="109"/>
      <c r="E4251" s="109"/>
      <c r="F4251" s="110"/>
      <c r="G4251" s="109"/>
    </row>
    <row r="4252" spans="3:7" x14ac:dyDescent="0.3">
      <c r="C4252" s="109"/>
      <c r="D4252" s="109"/>
      <c r="E4252" s="109"/>
      <c r="F4252" s="110"/>
      <c r="G4252" s="109"/>
    </row>
    <row r="4253" spans="3:7" x14ac:dyDescent="0.3">
      <c r="C4253" s="109"/>
      <c r="D4253" s="109"/>
      <c r="E4253" s="109"/>
      <c r="F4253" s="110"/>
      <c r="G4253" s="109"/>
    </row>
    <row r="4254" spans="3:7" x14ac:dyDescent="0.3">
      <c r="C4254" s="109"/>
      <c r="D4254" s="109"/>
      <c r="E4254" s="109"/>
      <c r="F4254" s="110"/>
      <c r="G4254" s="109"/>
    </row>
    <row r="4255" spans="3:7" x14ac:dyDescent="0.3">
      <c r="C4255" s="109"/>
      <c r="D4255" s="109"/>
      <c r="E4255" s="109"/>
      <c r="F4255" s="110"/>
      <c r="G4255" s="109"/>
    </row>
    <row r="4256" spans="3:7" x14ac:dyDescent="0.3">
      <c r="C4256" s="109"/>
      <c r="D4256" s="109"/>
      <c r="E4256" s="109"/>
      <c r="F4256" s="110"/>
      <c r="G4256" s="109"/>
    </row>
    <row r="4257" spans="3:7" x14ac:dyDescent="0.3">
      <c r="C4257" s="109"/>
      <c r="D4257" s="109"/>
      <c r="E4257" s="109"/>
      <c r="F4257" s="110"/>
      <c r="G4257" s="109"/>
    </row>
    <row r="4258" spans="3:7" x14ac:dyDescent="0.3">
      <c r="C4258" s="109"/>
      <c r="D4258" s="109"/>
      <c r="E4258" s="109"/>
      <c r="F4258" s="110"/>
      <c r="G4258" s="109"/>
    </row>
    <row r="4259" spans="3:7" x14ac:dyDescent="0.3">
      <c r="C4259" s="109"/>
      <c r="D4259" s="109"/>
      <c r="E4259" s="109"/>
      <c r="F4259" s="110"/>
      <c r="G4259" s="109"/>
    </row>
    <row r="4260" spans="3:7" x14ac:dyDescent="0.3">
      <c r="C4260" s="109"/>
      <c r="D4260" s="109"/>
      <c r="E4260" s="109"/>
      <c r="F4260" s="110"/>
      <c r="G4260" s="109"/>
    </row>
    <row r="4261" spans="3:7" x14ac:dyDescent="0.3">
      <c r="C4261" s="109"/>
      <c r="D4261" s="109"/>
      <c r="E4261" s="109"/>
      <c r="F4261" s="110"/>
      <c r="G4261" s="109"/>
    </row>
    <row r="4262" spans="3:7" x14ac:dyDescent="0.3">
      <c r="C4262" s="109"/>
      <c r="D4262" s="109"/>
      <c r="E4262" s="109"/>
      <c r="F4262" s="110"/>
      <c r="G4262" s="109"/>
    </row>
    <row r="4263" spans="3:7" x14ac:dyDescent="0.3">
      <c r="C4263" s="109"/>
      <c r="D4263" s="109"/>
      <c r="E4263" s="109"/>
      <c r="F4263" s="110"/>
      <c r="G4263" s="109"/>
    </row>
    <row r="4264" spans="3:7" x14ac:dyDescent="0.3">
      <c r="C4264" s="109"/>
      <c r="D4264" s="109"/>
      <c r="E4264" s="109"/>
      <c r="F4264" s="110"/>
      <c r="G4264" s="109"/>
    </row>
    <row r="4265" spans="3:7" x14ac:dyDescent="0.3">
      <c r="C4265" s="109"/>
      <c r="D4265" s="109"/>
      <c r="E4265" s="109"/>
      <c r="F4265" s="110"/>
      <c r="G4265" s="109"/>
    </row>
    <row r="4266" spans="3:7" x14ac:dyDescent="0.3">
      <c r="C4266" s="109"/>
      <c r="D4266" s="109"/>
      <c r="E4266" s="109"/>
      <c r="F4266" s="110"/>
      <c r="G4266" s="109"/>
    </row>
    <row r="4267" spans="3:7" x14ac:dyDescent="0.3">
      <c r="C4267" s="109"/>
      <c r="D4267" s="109"/>
      <c r="E4267" s="109"/>
      <c r="F4267" s="110"/>
      <c r="G4267" s="109"/>
    </row>
    <row r="4268" spans="3:7" x14ac:dyDescent="0.3">
      <c r="C4268" s="109"/>
      <c r="D4268" s="109"/>
      <c r="E4268" s="109"/>
      <c r="F4268" s="110"/>
      <c r="G4268" s="109"/>
    </row>
    <row r="4269" spans="3:7" x14ac:dyDescent="0.3">
      <c r="C4269" s="109"/>
      <c r="D4269" s="109"/>
      <c r="E4269" s="109"/>
      <c r="F4269" s="110"/>
      <c r="G4269" s="109"/>
    </row>
    <row r="4270" spans="3:7" x14ac:dyDescent="0.3">
      <c r="C4270" s="109"/>
      <c r="D4270" s="109"/>
      <c r="E4270" s="109"/>
      <c r="F4270" s="110"/>
      <c r="G4270" s="109"/>
    </row>
    <row r="4271" spans="3:7" x14ac:dyDescent="0.3">
      <c r="C4271" s="109"/>
      <c r="D4271" s="109"/>
      <c r="E4271" s="109"/>
      <c r="F4271" s="110"/>
      <c r="G4271" s="109"/>
    </row>
    <row r="4272" spans="3:7" x14ac:dyDescent="0.3">
      <c r="C4272" s="109"/>
      <c r="D4272" s="109"/>
      <c r="E4272" s="109"/>
      <c r="F4272" s="110"/>
      <c r="G4272" s="109"/>
    </row>
    <row r="4273" spans="3:7" x14ac:dyDescent="0.3">
      <c r="C4273" s="109"/>
      <c r="D4273" s="109"/>
      <c r="E4273" s="109"/>
      <c r="F4273" s="110"/>
      <c r="G4273" s="109"/>
    </row>
    <row r="4274" spans="3:7" x14ac:dyDescent="0.3">
      <c r="C4274" s="109"/>
      <c r="D4274" s="109"/>
      <c r="E4274" s="109"/>
      <c r="F4274" s="110"/>
      <c r="G4274" s="109"/>
    </row>
    <row r="4275" spans="3:7" x14ac:dyDescent="0.3">
      <c r="C4275" s="109"/>
      <c r="D4275" s="109"/>
      <c r="E4275" s="109"/>
      <c r="F4275" s="110"/>
      <c r="G4275" s="109"/>
    </row>
    <row r="4276" spans="3:7" x14ac:dyDescent="0.3">
      <c r="C4276" s="109"/>
      <c r="D4276" s="109"/>
      <c r="E4276" s="109"/>
      <c r="F4276" s="110"/>
      <c r="G4276" s="109"/>
    </row>
    <row r="4277" spans="3:7" x14ac:dyDescent="0.3">
      <c r="C4277" s="109"/>
      <c r="D4277" s="109"/>
      <c r="E4277" s="109"/>
      <c r="F4277" s="110"/>
      <c r="G4277" s="109"/>
    </row>
    <row r="4278" spans="3:7" x14ac:dyDescent="0.3">
      <c r="C4278" s="109"/>
      <c r="D4278" s="109"/>
      <c r="E4278" s="109"/>
      <c r="F4278" s="110"/>
      <c r="G4278" s="109"/>
    </row>
    <row r="4279" spans="3:7" x14ac:dyDescent="0.3">
      <c r="C4279" s="109"/>
      <c r="D4279" s="109"/>
      <c r="E4279" s="109"/>
      <c r="F4279" s="110"/>
      <c r="G4279" s="109"/>
    </row>
    <row r="4280" spans="3:7" x14ac:dyDescent="0.3">
      <c r="C4280" s="109"/>
      <c r="D4280" s="109"/>
      <c r="E4280" s="109"/>
      <c r="F4280" s="110"/>
      <c r="G4280" s="109"/>
    </row>
    <row r="4281" spans="3:7" x14ac:dyDescent="0.3">
      <c r="C4281" s="109"/>
      <c r="D4281" s="109"/>
      <c r="E4281" s="109"/>
      <c r="F4281" s="110"/>
      <c r="G4281" s="109"/>
    </row>
    <row r="4282" spans="3:7" x14ac:dyDescent="0.3">
      <c r="C4282" s="109"/>
      <c r="D4282" s="109"/>
      <c r="E4282" s="109"/>
      <c r="F4282" s="110"/>
      <c r="G4282" s="109"/>
    </row>
    <row r="4283" spans="3:7" x14ac:dyDescent="0.3">
      <c r="C4283" s="109"/>
      <c r="D4283" s="109"/>
      <c r="E4283" s="109"/>
      <c r="F4283" s="110"/>
      <c r="G4283" s="109"/>
    </row>
    <row r="4284" spans="3:7" x14ac:dyDescent="0.3">
      <c r="C4284" s="109"/>
      <c r="D4284" s="109"/>
      <c r="E4284" s="109"/>
      <c r="F4284" s="110"/>
      <c r="G4284" s="109"/>
    </row>
    <row r="4285" spans="3:7" x14ac:dyDescent="0.3">
      <c r="C4285" s="109"/>
      <c r="D4285" s="109"/>
      <c r="E4285" s="109"/>
      <c r="F4285" s="110"/>
      <c r="G4285" s="109"/>
    </row>
    <row r="4286" spans="3:7" x14ac:dyDescent="0.3">
      <c r="C4286" s="109"/>
      <c r="D4286" s="109"/>
      <c r="E4286" s="109"/>
      <c r="F4286" s="110"/>
      <c r="G4286" s="109"/>
    </row>
    <row r="4287" spans="3:7" x14ac:dyDescent="0.3">
      <c r="C4287" s="109"/>
      <c r="D4287" s="109"/>
      <c r="E4287" s="109"/>
      <c r="F4287" s="110"/>
      <c r="G4287" s="109"/>
    </row>
    <row r="4288" spans="3:7" x14ac:dyDescent="0.3">
      <c r="C4288" s="109"/>
      <c r="D4288" s="109"/>
      <c r="E4288" s="109"/>
      <c r="F4288" s="110"/>
      <c r="G4288" s="109"/>
    </row>
    <row r="4289" spans="3:7" x14ac:dyDescent="0.3">
      <c r="C4289" s="109"/>
      <c r="D4289" s="109"/>
      <c r="E4289" s="109"/>
      <c r="F4289" s="110"/>
      <c r="G4289" s="109"/>
    </row>
    <row r="4290" spans="3:7" x14ac:dyDescent="0.3">
      <c r="C4290" s="109"/>
      <c r="D4290" s="109"/>
      <c r="E4290" s="109"/>
      <c r="F4290" s="110"/>
      <c r="G4290" s="109"/>
    </row>
    <row r="4291" spans="3:7" x14ac:dyDescent="0.3">
      <c r="C4291" s="109"/>
      <c r="D4291" s="109"/>
      <c r="E4291" s="109"/>
      <c r="F4291" s="110"/>
      <c r="G4291" s="109"/>
    </row>
    <row r="4292" spans="3:7" x14ac:dyDescent="0.3">
      <c r="C4292" s="109"/>
      <c r="D4292" s="109"/>
      <c r="E4292" s="109"/>
      <c r="F4292" s="110"/>
      <c r="G4292" s="109"/>
    </row>
    <row r="4293" spans="3:7" x14ac:dyDescent="0.3">
      <c r="C4293" s="109"/>
      <c r="D4293" s="109"/>
      <c r="E4293" s="109"/>
      <c r="F4293" s="110"/>
      <c r="G4293" s="109"/>
    </row>
    <row r="4294" spans="3:7" x14ac:dyDescent="0.3">
      <c r="C4294" s="109"/>
      <c r="D4294" s="109"/>
      <c r="E4294" s="109"/>
      <c r="F4294" s="110"/>
      <c r="G4294" s="109"/>
    </row>
    <row r="4295" spans="3:7" x14ac:dyDescent="0.3">
      <c r="C4295" s="109"/>
      <c r="D4295" s="109"/>
      <c r="E4295" s="109"/>
      <c r="F4295" s="110"/>
      <c r="G4295" s="109"/>
    </row>
    <row r="4296" spans="3:7" x14ac:dyDescent="0.3">
      <c r="C4296" s="109"/>
      <c r="D4296" s="109"/>
      <c r="E4296" s="109"/>
      <c r="F4296" s="110"/>
      <c r="G4296" s="109"/>
    </row>
    <row r="4297" spans="3:7" x14ac:dyDescent="0.3">
      <c r="C4297" s="109"/>
      <c r="D4297" s="109"/>
      <c r="E4297" s="109"/>
      <c r="F4297" s="110"/>
      <c r="G4297" s="109"/>
    </row>
    <row r="4298" spans="3:7" x14ac:dyDescent="0.3">
      <c r="C4298" s="109"/>
      <c r="D4298" s="109"/>
      <c r="E4298" s="109"/>
      <c r="F4298" s="110"/>
      <c r="G4298" s="109"/>
    </row>
    <row r="4299" spans="3:7" x14ac:dyDescent="0.3">
      <c r="C4299" s="109"/>
      <c r="D4299" s="109"/>
      <c r="E4299" s="109"/>
      <c r="F4299" s="110"/>
      <c r="G4299" s="109"/>
    </row>
    <row r="4300" spans="3:7" x14ac:dyDescent="0.3">
      <c r="C4300" s="109"/>
      <c r="D4300" s="109"/>
      <c r="E4300" s="109"/>
      <c r="F4300" s="110"/>
      <c r="G4300" s="109"/>
    </row>
    <row r="4301" spans="3:7" x14ac:dyDescent="0.3">
      <c r="C4301" s="109"/>
      <c r="D4301" s="109"/>
      <c r="E4301" s="109"/>
      <c r="F4301" s="110"/>
      <c r="G4301" s="109"/>
    </row>
    <row r="4302" spans="3:7" x14ac:dyDescent="0.3">
      <c r="C4302" s="109"/>
      <c r="D4302" s="109"/>
      <c r="E4302" s="109"/>
      <c r="F4302" s="110"/>
      <c r="G4302" s="109"/>
    </row>
    <row r="4303" spans="3:7" x14ac:dyDescent="0.3">
      <c r="C4303" s="109"/>
      <c r="D4303" s="109"/>
      <c r="E4303" s="109"/>
      <c r="F4303" s="110"/>
      <c r="G4303" s="109"/>
    </row>
    <row r="4304" spans="3:7" x14ac:dyDescent="0.3">
      <c r="C4304" s="109"/>
      <c r="D4304" s="109"/>
      <c r="E4304" s="109"/>
      <c r="F4304" s="110"/>
      <c r="G4304" s="109"/>
    </row>
    <row r="4305" spans="3:7" x14ac:dyDescent="0.3">
      <c r="C4305" s="109"/>
      <c r="D4305" s="109"/>
      <c r="E4305" s="109"/>
      <c r="F4305" s="110"/>
      <c r="G4305" s="109"/>
    </row>
    <row r="4306" spans="3:7" x14ac:dyDescent="0.3">
      <c r="C4306" s="109"/>
      <c r="D4306" s="109"/>
      <c r="E4306" s="109"/>
      <c r="F4306" s="110"/>
      <c r="G4306" s="109"/>
    </row>
    <row r="4307" spans="3:7" x14ac:dyDescent="0.3">
      <c r="C4307" s="109"/>
      <c r="D4307" s="109"/>
      <c r="E4307" s="109"/>
      <c r="F4307" s="110"/>
      <c r="G4307" s="109"/>
    </row>
    <row r="4308" spans="3:7" x14ac:dyDescent="0.3">
      <c r="C4308" s="109"/>
      <c r="D4308" s="109"/>
      <c r="E4308" s="109"/>
      <c r="F4308" s="110"/>
      <c r="G4308" s="109"/>
    </row>
    <row r="4309" spans="3:7" x14ac:dyDescent="0.3">
      <c r="C4309" s="109"/>
      <c r="D4309" s="109"/>
      <c r="E4309" s="109"/>
      <c r="F4309" s="110"/>
      <c r="G4309" s="109"/>
    </row>
    <row r="4310" spans="3:7" x14ac:dyDescent="0.3">
      <c r="C4310" s="109"/>
      <c r="D4310" s="109"/>
      <c r="E4310" s="109"/>
      <c r="F4310" s="110"/>
      <c r="G4310" s="109"/>
    </row>
    <row r="4311" spans="3:7" x14ac:dyDescent="0.3">
      <c r="C4311" s="109"/>
      <c r="D4311" s="109"/>
      <c r="E4311" s="109"/>
      <c r="F4311" s="110"/>
      <c r="G4311" s="109"/>
    </row>
    <row r="4312" spans="3:7" x14ac:dyDescent="0.3">
      <c r="C4312" s="109"/>
      <c r="D4312" s="109"/>
      <c r="E4312" s="109"/>
      <c r="F4312" s="110"/>
      <c r="G4312" s="109"/>
    </row>
    <row r="4313" spans="3:7" x14ac:dyDescent="0.3">
      <c r="C4313" s="109"/>
      <c r="D4313" s="109"/>
      <c r="E4313" s="109"/>
      <c r="F4313" s="110"/>
      <c r="G4313" s="109"/>
    </row>
    <row r="4314" spans="3:7" x14ac:dyDescent="0.3">
      <c r="C4314" s="109"/>
      <c r="D4314" s="109"/>
      <c r="E4314" s="109"/>
      <c r="F4314" s="110"/>
      <c r="G4314" s="109"/>
    </row>
    <row r="4315" spans="3:7" x14ac:dyDescent="0.3">
      <c r="C4315" s="109"/>
      <c r="D4315" s="109"/>
      <c r="E4315" s="109"/>
      <c r="F4315" s="110"/>
      <c r="G4315" s="109"/>
    </row>
    <row r="4316" spans="3:7" x14ac:dyDescent="0.3">
      <c r="C4316" s="109"/>
      <c r="D4316" s="109"/>
      <c r="E4316" s="109"/>
      <c r="F4316" s="110"/>
      <c r="G4316" s="109"/>
    </row>
    <row r="4317" spans="3:7" x14ac:dyDescent="0.3">
      <c r="C4317" s="109"/>
      <c r="D4317" s="109"/>
      <c r="E4317" s="109"/>
      <c r="F4317" s="110"/>
      <c r="G4317" s="109"/>
    </row>
    <row r="4318" spans="3:7" x14ac:dyDescent="0.3">
      <c r="C4318" s="109"/>
      <c r="D4318" s="109"/>
      <c r="E4318" s="109"/>
      <c r="F4318" s="110"/>
      <c r="G4318" s="109"/>
    </row>
    <row r="4319" spans="3:7" x14ac:dyDescent="0.3">
      <c r="C4319" s="109"/>
      <c r="D4319" s="109"/>
      <c r="E4319" s="109"/>
      <c r="F4319" s="110"/>
      <c r="G4319" s="109"/>
    </row>
    <row r="4320" spans="3:7" x14ac:dyDescent="0.3">
      <c r="C4320" s="109"/>
      <c r="D4320" s="109"/>
      <c r="E4320" s="109"/>
      <c r="F4320" s="110"/>
      <c r="G4320" s="109"/>
    </row>
    <row r="4321" spans="3:7" x14ac:dyDescent="0.3">
      <c r="C4321" s="109"/>
      <c r="D4321" s="109"/>
      <c r="E4321" s="109"/>
      <c r="F4321" s="110"/>
      <c r="G4321" s="109"/>
    </row>
    <row r="4322" spans="3:7" x14ac:dyDescent="0.3">
      <c r="C4322" s="109"/>
      <c r="D4322" s="109"/>
      <c r="E4322" s="109"/>
      <c r="F4322" s="110"/>
      <c r="G4322" s="109"/>
    </row>
    <row r="4323" spans="3:7" x14ac:dyDescent="0.3">
      <c r="C4323" s="109"/>
      <c r="D4323" s="109"/>
      <c r="E4323" s="109"/>
      <c r="F4323" s="110"/>
      <c r="G4323" s="109"/>
    </row>
    <row r="4324" spans="3:7" x14ac:dyDescent="0.3">
      <c r="C4324" s="109"/>
      <c r="D4324" s="109"/>
      <c r="E4324" s="109"/>
      <c r="F4324" s="110"/>
      <c r="G4324" s="109"/>
    </row>
    <row r="4325" spans="3:7" x14ac:dyDescent="0.3">
      <c r="C4325" s="109"/>
      <c r="D4325" s="109"/>
      <c r="E4325" s="109"/>
      <c r="F4325" s="110"/>
      <c r="G4325" s="109"/>
    </row>
    <row r="4326" spans="3:7" x14ac:dyDescent="0.3">
      <c r="C4326" s="109"/>
      <c r="D4326" s="109"/>
      <c r="E4326" s="109"/>
      <c r="F4326" s="110"/>
      <c r="G4326" s="109"/>
    </row>
    <row r="4327" spans="3:7" x14ac:dyDescent="0.3">
      <c r="C4327" s="109"/>
      <c r="D4327" s="109"/>
      <c r="E4327" s="109"/>
      <c r="F4327" s="110"/>
      <c r="G4327" s="109"/>
    </row>
    <row r="4328" spans="3:7" x14ac:dyDescent="0.3">
      <c r="C4328" s="109"/>
      <c r="D4328" s="109"/>
      <c r="E4328" s="109"/>
      <c r="F4328" s="110"/>
      <c r="G4328" s="109"/>
    </row>
    <row r="4329" spans="3:7" x14ac:dyDescent="0.3">
      <c r="C4329" s="109"/>
      <c r="D4329" s="109"/>
      <c r="E4329" s="109"/>
      <c r="F4329" s="110"/>
      <c r="G4329" s="109"/>
    </row>
    <row r="4330" spans="3:7" x14ac:dyDescent="0.3">
      <c r="C4330" s="109"/>
      <c r="D4330" s="109"/>
      <c r="E4330" s="109"/>
      <c r="F4330" s="110"/>
      <c r="G4330" s="109"/>
    </row>
    <row r="4331" spans="3:7" x14ac:dyDescent="0.3">
      <c r="C4331" s="109"/>
      <c r="D4331" s="109"/>
      <c r="E4331" s="109"/>
      <c r="F4331" s="110"/>
      <c r="G4331" s="109"/>
    </row>
    <row r="4332" spans="3:7" x14ac:dyDescent="0.3">
      <c r="C4332" s="109"/>
      <c r="D4332" s="109"/>
      <c r="E4332" s="109"/>
      <c r="F4332" s="110"/>
      <c r="G4332" s="109"/>
    </row>
    <row r="4333" spans="3:7" x14ac:dyDescent="0.3">
      <c r="C4333" s="109"/>
      <c r="D4333" s="109"/>
      <c r="E4333" s="109"/>
      <c r="F4333" s="110"/>
      <c r="G4333" s="109"/>
    </row>
    <row r="4334" spans="3:7" x14ac:dyDescent="0.3">
      <c r="C4334" s="109"/>
      <c r="D4334" s="109"/>
      <c r="E4334" s="109"/>
      <c r="F4334" s="110"/>
      <c r="G4334" s="109"/>
    </row>
    <row r="4335" spans="3:7" x14ac:dyDescent="0.3">
      <c r="C4335" s="109"/>
      <c r="D4335" s="109"/>
      <c r="E4335" s="109"/>
      <c r="F4335" s="110"/>
      <c r="G4335" s="109"/>
    </row>
    <row r="4336" spans="3:7" x14ac:dyDescent="0.3">
      <c r="C4336" s="109"/>
      <c r="D4336" s="109"/>
      <c r="E4336" s="109"/>
      <c r="F4336" s="110"/>
      <c r="G4336" s="109"/>
    </row>
    <row r="4337" spans="3:7" x14ac:dyDescent="0.3">
      <c r="C4337" s="109"/>
      <c r="D4337" s="109"/>
      <c r="E4337" s="109"/>
      <c r="F4337" s="110"/>
      <c r="G4337" s="109"/>
    </row>
    <row r="4338" spans="3:7" x14ac:dyDescent="0.3">
      <c r="C4338" s="109"/>
      <c r="D4338" s="109"/>
      <c r="E4338" s="109"/>
      <c r="F4338" s="110"/>
      <c r="G4338" s="109"/>
    </row>
    <row r="4339" spans="3:7" x14ac:dyDescent="0.3">
      <c r="C4339" s="109"/>
      <c r="D4339" s="109"/>
      <c r="E4339" s="109"/>
      <c r="F4339" s="110"/>
      <c r="G4339" s="109"/>
    </row>
    <row r="4340" spans="3:7" x14ac:dyDescent="0.3">
      <c r="C4340" s="109"/>
      <c r="D4340" s="109"/>
      <c r="E4340" s="109"/>
      <c r="F4340" s="110"/>
      <c r="G4340" s="109"/>
    </row>
    <row r="4341" spans="3:7" x14ac:dyDescent="0.3">
      <c r="C4341" s="109"/>
      <c r="D4341" s="109"/>
      <c r="E4341" s="109"/>
      <c r="F4341" s="110"/>
      <c r="G4341" s="109"/>
    </row>
    <row r="4342" spans="3:7" x14ac:dyDescent="0.3">
      <c r="C4342" s="109"/>
      <c r="D4342" s="109"/>
      <c r="E4342" s="109"/>
      <c r="F4342" s="110"/>
      <c r="G4342" s="109"/>
    </row>
    <row r="4343" spans="3:7" x14ac:dyDescent="0.3">
      <c r="C4343" s="109"/>
      <c r="D4343" s="109"/>
      <c r="E4343" s="109"/>
      <c r="F4343" s="110"/>
      <c r="G4343" s="109"/>
    </row>
    <row r="4344" spans="3:7" x14ac:dyDescent="0.3">
      <c r="C4344" s="109"/>
      <c r="D4344" s="109"/>
      <c r="E4344" s="109"/>
      <c r="F4344" s="110"/>
      <c r="G4344" s="109"/>
    </row>
    <row r="4345" spans="3:7" x14ac:dyDescent="0.3">
      <c r="C4345" s="109"/>
      <c r="D4345" s="109"/>
      <c r="E4345" s="109"/>
      <c r="F4345" s="110"/>
      <c r="G4345" s="109"/>
    </row>
    <row r="4346" spans="3:7" x14ac:dyDescent="0.3">
      <c r="C4346" s="109"/>
      <c r="D4346" s="109"/>
      <c r="E4346" s="109"/>
      <c r="F4346" s="110"/>
      <c r="G4346" s="109"/>
    </row>
    <row r="4347" spans="3:7" x14ac:dyDescent="0.3">
      <c r="C4347" s="109"/>
      <c r="D4347" s="109"/>
      <c r="E4347" s="109"/>
      <c r="F4347" s="110"/>
      <c r="G4347" s="109"/>
    </row>
    <row r="4348" spans="3:7" x14ac:dyDescent="0.3">
      <c r="C4348" s="109"/>
      <c r="D4348" s="109"/>
      <c r="E4348" s="109"/>
      <c r="F4348" s="110"/>
      <c r="G4348" s="109"/>
    </row>
    <row r="4349" spans="3:7" x14ac:dyDescent="0.3">
      <c r="C4349" s="109"/>
      <c r="D4349" s="109"/>
      <c r="E4349" s="109"/>
      <c r="F4349" s="110"/>
      <c r="G4349" s="109"/>
    </row>
    <row r="4350" spans="3:7" x14ac:dyDescent="0.3">
      <c r="C4350" s="109"/>
      <c r="D4350" s="109"/>
      <c r="E4350" s="109"/>
      <c r="F4350" s="110"/>
      <c r="G4350" s="109"/>
    </row>
    <row r="4351" spans="3:7" x14ac:dyDescent="0.3">
      <c r="C4351" s="109"/>
      <c r="D4351" s="109"/>
      <c r="E4351" s="109"/>
      <c r="F4351" s="110"/>
      <c r="G4351" s="109"/>
    </row>
    <row r="4352" spans="3:7" x14ac:dyDescent="0.3">
      <c r="C4352" s="109"/>
      <c r="D4352" s="109"/>
      <c r="E4352" s="109"/>
      <c r="F4352" s="110"/>
      <c r="G4352" s="109"/>
    </row>
    <row r="4353" spans="3:7" x14ac:dyDescent="0.3">
      <c r="C4353" s="109"/>
      <c r="D4353" s="109"/>
      <c r="E4353" s="109"/>
      <c r="F4353" s="110"/>
      <c r="G4353" s="109"/>
    </row>
    <row r="4354" spans="3:7" x14ac:dyDescent="0.3">
      <c r="C4354" s="109"/>
      <c r="D4354" s="109"/>
      <c r="E4354" s="109"/>
      <c r="F4354" s="110"/>
      <c r="G4354" s="109"/>
    </row>
    <row r="4355" spans="3:7" x14ac:dyDescent="0.3">
      <c r="C4355" s="109"/>
      <c r="D4355" s="109"/>
      <c r="E4355" s="109"/>
      <c r="F4355" s="110"/>
      <c r="G4355" s="109"/>
    </row>
    <row r="4356" spans="3:7" x14ac:dyDescent="0.3">
      <c r="C4356" s="109"/>
      <c r="D4356" s="109"/>
      <c r="E4356" s="109"/>
      <c r="F4356" s="110"/>
      <c r="G4356" s="109"/>
    </row>
    <row r="4357" spans="3:7" x14ac:dyDescent="0.3">
      <c r="C4357" s="109"/>
      <c r="D4357" s="109"/>
      <c r="E4357" s="109"/>
      <c r="F4357" s="110"/>
      <c r="G4357" s="109"/>
    </row>
    <row r="4358" spans="3:7" x14ac:dyDescent="0.3">
      <c r="C4358" s="109"/>
      <c r="D4358" s="109"/>
      <c r="E4358" s="109"/>
      <c r="F4358" s="110"/>
      <c r="G4358" s="109"/>
    </row>
    <row r="4359" spans="3:7" x14ac:dyDescent="0.3">
      <c r="C4359" s="109"/>
      <c r="D4359" s="109"/>
      <c r="E4359" s="109"/>
      <c r="F4359" s="110"/>
      <c r="G4359" s="109"/>
    </row>
    <row r="4360" spans="3:7" x14ac:dyDescent="0.3">
      <c r="C4360" s="109"/>
      <c r="D4360" s="109"/>
      <c r="E4360" s="109"/>
      <c r="F4360" s="110"/>
      <c r="G4360" s="109"/>
    </row>
    <row r="4361" spans="3:7" x14ac:dyDescent="0.3">
      <c r="C4361" s="109"/>
      <c r="D4361" s="109"/>
      <c r="E4361" s="109"/>
      <c r="F4361" s="110"/>
      <c r="G4361" s="109"/>
    </row>
    <row r="4362" spans="3:7" x14ac:dyDescent="0.3">
      <c r="C4362" s="109"/>
      <c r="D4362" s="109"/>
      <c r="E4362" s="109"/>
      <c r="F4362" s="110"/>
      <c r="G4362" s="109"/>
    </row>
    <row r="4363" spans="3:7" x14ac:dyDescent="0.3">
      <c r="C4363" s="109"/>
      <c r="D4363" s="109"/>
      <c r="E4363" s="109"/>
      <c r="F4363" s="110"/>
      <c r="G4363" s="109"/>
    </row>
    <row r="4364" spans="3:7" x14ac:dyDescent="0.3">
      <c r="C4364" s="109"/>
      <c r="D4364" s="109"/>
      <c r="E4364" s="109"/>
      <c r="F4364" s="110"/>
      <c r="G4364" s="109"/>
    </row>
    <row r="4365" spans="3:7" x14ac:dyDescent="0.3">
      <c r="C4365" s="109"/>
      <c r="D4365" s="109"/>
      <c r="E4365" s="109"/>
      <c r="F4365" s="110"/>
      <c r="G4365" s="109"/>
    </row>
    <row r="4366" spans="3:7" x14ac:dyDescent="0.3">
      <c r="C4366" s="109"/>
      <c r="D4366" s="109"/>
      <c r="E4366" s="109"/>
      <c r="F4366" s="110"/>
      <c r="G4366" s="109"/>
    </row>
    <row r="4367" spans="3:7" x14ac:dyDescent="0.3">
      <c r="C4367" s="109"/>
      <c r="D4367" s="109"/>
      <c r="E4367" s="109"/>
      <c r="F4367" s="110"/>
      <c r="G4367" s="109"/>
    </row>
    <row r="4368" spans="3:7" x14ac:dyDescent="0.3">
      <c r="C4368" s="109"/>
      <c r="D4368" s="109"/>
      <c r="E4368" s="109"/>
      <c r="F4368" s="110"/>
      <c r="G4368" s="109"/>
    </row>
    <row r="4369" spans="3:7" x14ac:dyDescent="0.3">
      <c r="C4369" s="109"/>
      <c r="D4369" s="109"/>
      <c r="E4369" s="109"/>
      <c r="F4369" s="110"/>
      <c r="G4369" s="109"/>
    </row>
    <row r="4370" spans="3:7" x14ac:dyDescent="0.3">
      <c r="C4370" s="109"/>
      <c r="D4370" s="109"/>
      <c r="E4370" s="109"/>
      <c r="F4370" s="110"/>
      <c r="G4370" s="109"/>
    </row>
    <row r="4371" spans="3:7" x14ac:dyDescent="0.3">
      <c r="C4371" s="109"/>
      <c r="D4371" s="109"/>
      <c r="E4371" s="109"/>
      <c r="F4371" s="110"/>
      <c r="G4371" s="109"/>
    </row>
    <row r="4372" spans="3:7" x14ac:dyDescent="0.3">
      <c r="C4372" s="109"/>
      <c r="D4372" s="109"/>
      <c r="E4372" s="109"/>
      <c r="F4372" s="110"/>
      <c r="G4372" s="109"/>
    </row>
    <row r="4373" spans="3:7" x14ac:dyDescent="0.3">
      <c r="C4373" s="109"/>
      <c r="D4373" s="109"/>
      <c r="E4373" s="109"/>
      <c r="F4373" s="110"/>
      <c r="G4373" s="109"/>
    </row>
    <row r="4374" spans="3:7" x14ac:dyDescent="0.3">
      <c r="C4374" s="109"/>
      <c r="D4374" s="109"/>
      <c r="E4374" s="109"/>
      <c r="F4374" s="110"/>
      <c r="G4374" s="109"/>
    </row>
    <row r="4375" spans="3:7" x14ac:dyDescent="0.3">
      <c r="C4375" s="109"/>
      <c r="D4375" s="109"/>
      <c r="E4375" s="109"/>
      <c r="F4375" s="110"/>
      <c r="G4375" s="109"/>
    </row>
    <row r="4376" spans="3:7" x14ac:dyDescent="0.3">
      <c r="C4376" s="109"/>
      <c r="D4376" s="109"/>
      <c r="E4376" s="109"/>
      <c r="F4376" s="110"/>
      <c r="G4376" s="109"/>
    </row>
    <row r="4377" spans="3:7" x14ac:dyDescent="0.3">
      <c r="C4377" s="109"/>
      <c r="D4377" s="109"/>
      <c r="E4377" s="109"/>
      <c r="F4377" s="110"/>
      <c r="G4377" s="109"/>
    </row>
    <row r="4378" spans="3:7" x14ac:dyDescent="0.3">
      <c r="C4378" s="109"/>
      <c r="D4378" s="109"/>
      <c r="E4378" s="109"/>
      <c r="F4378" s="110"/>
      <c r="G4378" s="109"/>
    </row>
    <row r="4379" spans="3:7" x14ac:dyDescent="0.3">
      <c r="C4379" s="109"/>
      <c r="D4379" s="109"/>
      <c r="E4379" s="109"/>
      <c r="F4379" s="110"/>
      <c r="G4379" s="109"/>
    </row>
    <row r="4380" spans="3:7" x14ac:dyDescent="0.3">
      <c r="C4380" s="109"/>
      <c r="D4380" s="109"/>
      <c r="E4380" s="109"/>
      <c r="F4380" s="110"/>
      <c r="G4380" s="109"/>
    </row>
    <row r="4381" spans="3:7" x14ac:dyDescent="0.3">
      <c r="C4381" s="109"/>
      <c r="D4381" s="109"/>
      <c r="E4381" s="109"/>
      <c r="F4381" s="110"/>
      <c r="G4381" s="109"/>
    </row>
    <row r="4382" spans="3:7" x14ac:dyDescent="0.3">
      <c r="C4382" s="109"/>
      <c r="D4382" s="109"/>
      <c r="E4382" s="109"/>
      <c r="F4382" s="110"/>
      <c r="G4382" s="109"/>
    </row>
    <row r="4383" spans="3:7" x14ac:dyDescent="0.3">
      <c r="C4383" s="109"/>
      <c r="D4383" s="109"/>
      <c r="E4383" s="109"/>
      <c r="F4383" s="110"/>
      <c r="G4383" s="109"/>
    </row>
    <row r="4384" spans="3:7" x14ac:dyDescent="0.3">
      <c r="C4384" s="109"/>
      <c r="D4384" s="109"/>
      <c r="E4384" s="109"/>
      <c r="F4384" s="110"/>
      <c r="G4384" s="109"/>
    </row>
    <row r="4385" spans="3:7" x14ac:dyDescent="0.3">
      <c r="C4385" s="109"/>
      <c r="D4385" s="109"/>
      <c r="E4385" s="109"/>
      <c r="F4385" s="110"/>
      <c r="G4385" s="109"/>
    </row>
    <row r="4386" spans="3:7" x14ac:dyDescent="0.3">
      <c r="C4386" s="109"/>
      <c r="D4386" s="109"/>
      <c r="E4386" s="109"/>
      <c r="F4386" s="110"/>
      <c r="G4386" s="109"/>
    </row>
    <row r="4387" spans="3:7" x14ac:dyDescent="0.3">
      <c r="C4387" s="109"/>
      <c r="D4387" s="109"/>
      <c r="E4387" s="109"/>
      <c r="F4387" s="110"/>
      <c r="G4387" s="109"/>
    </row>
    <row r="4388" spans="3:7" x14ac:dyDescent="0.3">
      <c r="C4388" s="109"/>
      <c r="D4388" s="109"/>
      <c r="E4388" s="109"/>
      <c r="F4388" s="110"/>
      <c r="G4388" s="109"/>
    </row>
    <row r="4389" spans="3:7" x14ac:dyDescent="0.3">
      <c r="C4389" s="109"/>
      <c r="D4389" s="109"/>
      <c r="E4389" s="109"/>
      <c r="F4389" s="110"/>
      <c r="G4389" s="109"/>
    </row>
    <row r="4390" spans="3:7" x14ac:dyDescent="0.3">
      <c r="C4390" s="109"/>
      <c r="D4390" s="109"/>
      <c r="E4390" s="109"/>
      <c r="F4390" s="110"/>
      <c r="G4390" s="109"/>
    </row>
    <row r="4391" spans="3:7" x14ac:dyDescent="0.3">
      <c r="C4391" s="109"/>
      <c r="D4391" s="109"/>
      <c r="E4391" s="109"/>
      <c r="F4391" s="110"/>
      <c r="G4391" s="109"/>
    </row>
    <row r="4392" spans="3:7" x14ac:dyDescent="0.3">
      <c r="C4392" s="109"/>
      <c r="D4392" s="109"/>
      <c r="E4392" s="109"/>
      <c r="F4392" s="110"/>
      <c r="G4392" s="109"/>
    </row>
    <row r="4393" spans="3:7" x14ac:dyDescent="0.3">
      <c r="C4393" s="109"/>
      <c r="D4393" s="109"/>
      <c r="E4393" s="109"/>
      <c r="F4393" s="110"/>
      <c r="G4393" s="109"/>
    </row>
    <row r="4394" spans="3:7" x14ac:dyDescent="0.3">
      <c r="C4394" s="109"/>
      <c r="D4394" s="109"/>
      <c r="E4394" s="109"/>
      <c r="F4394" s="110"/>
      <c r="G4394" s="109"/>
    </row>
    <row r="4395" spans="3:7" x14ac:dyDescent="0.3">
      <c r="C4395" s="109"/>
      <c r="D4395" s="109"/>
      <c r="E4395" s="109"/>
      <c r="F4395" s="110"/>
      <c r="G4395" s="109"/>
    </row>
    <row r="4396" spans="3:7" x14ac:dyDescent="0.3">
      <c r="C4396" s="109"/>
      <c r="D4396" s="109"/>
      <c r="E4396" s="109"/>
      <c r="F4396" s="110"/>
      <c r="G4396" s="109"/>
    </row>
    <row r="4397" spans="3:7" x14ac:dyDescent="0.3">
      <c r="C4397" s="109"/>
      <c r="D4397" s="109"/>
      <c r="E4397" s="109"/>
      <c r="F4397" s="110"/>
      <c r="G4397" s="109"/>
    </row>
    <row r="4398" spans="3:7" x14ac:dyDescent="0.3">
      <c r="C4398" s="109"/>
      <c r="D4398" s="109"/>
      <c r="E4398" s="109"/>
      <c r="F4398" s="110"/>
      <c r="G4398" s="109"/>
    </row>
    <row r="4399" spans="3:7" x14ac:dyDescent="0.3">
      <c r="C4399" s="109"/>
      <c r="D4399" s="109"/>
      <c r="E4399" s="109"/>
      <c r="F4399" s="110"/>
      <c r="G4399" s="109"/>
    </row>
    <row r="4400" spans="3:7" x14ac:dyDescent="0.3">
      <c r="C4400" s="109"/>
      <c r="D4400" s="109"/>
      <c r="E4400" s="109"/>
      <c r="F4400" s="110"/>
      <c r="G4400" s="109"/>
    </row>
    <row r="4401" spans="3:7" x14ac:dyDescent="0.3">
      <c r="C4401" s="109"/>
      <c r="D4401" s="109"/>
      <c r="E4401" s="109"/>
      <c r="F4401" s="110"/>
      <c r="G4401" s="109"/>
    </row>
    <row r="4402" spans="3:7" x14ac:dyDescent="0.3">
      <c r="C4402" s="109"/>
      <c r="D4402" s="109"/>
      <c r="E4402" s="109"/>
      <c r="F4402" s="110"/>
      <c r="G4402" s="109"/>
    </row>
    <row r="4403" spans="3:7" x14ac:dyDescent="0.3">
      <c r="C4403" s="109"/>
      <c r="D4403" s="109"/>
      <c r="E4403" s="109"/>
      <c r="F4403" s="110"/>
      <c r="G4403" s="109"/>
    </row>
    <row r="4404" spans="3:7" x14ac:dyDescent="0.3">
      <c r="C4404" s="109"/>
      <c r="D4404" s="109"/>
      <c r="E4404" s="109"/>
      <c r="F4404" s="110"/>
      <c r="G4404" s="109"/>
    </row>
    <row r="4405" spans="3:7" x14ac:dyDescent="0.3">
      <c r="C4405" s="109"/>
      <c r="D4405" s="109"/>
      <c r="E4405" s="109"/>
      <c r="F4405" s="110"/>
      <c r="G4405" s="109"/>
    </row>
    <row r="4406" spans="3:7" x14ac:dyDescent="0.3">
      <c r="C4406" s="109"/>
      <c r="D4406" s="109"/>
      <c r="E4406" s="109"/>
      <c r="F4406" s="110"/>
      <c r="G4406" s="109"/>
    </row>
    <row r="4407" spans="3:7" x14ac:dyDescent="0.3">
      <c r="C4407" s="109"/>
      <c r="D4407" s="109"/>
      <c r="E4407" s="109"/>
      <c r="F4407" s="110"/>
      <c r="G4407" s="109"/>
    </row>
    <row r="4408" spans="3:7" x14ac:dyDescent="0.3">
      <c r="C4408" s="109"/>
      <c r="D4408" s="109"/>
      <c r="E4408" s="109"/>
      <c r="F4408" s="110"/>
      <c r="G4408" s="109"/>
    </row>
    <row r="4409" spans="3:7" x14ac:dyDescent="0.3">
      <c r="C4409" s="109"/>
      <c r="D4409" s="109"/>
      <c r="E4409" s="109"/>
      <c r="F4409" s="110"/>
      <c r="G4409" s="109"/>
    </row>
    <row r="4410" spans="3:7" x14ac:dyDescent="0.3">
      <c r="C4410" s="109"/>
      <c r="D4410" s="109"/>
      <c r="E4410" s="109"/>
      <c r="F4410" s="110"/>
      <c r="G4410" s="109"/>
    </row>
    <row r="4411" spans="3:7" x14ac:dyDescent="0.3">
      <c r="C4411" s="109"/>
      <c r="D4411" s="109"/>
      <c r="E4411" s="109"/>
      <c r="F4411" s="110"/>
      <c r="G4411" s="109"/>
    </row>
    <row r="4412" spans="3:7" x14ac:dyDescent="0.3">
      <c r="C4412" s="109"/>
      <c r="D4412" s="109"/>
      <c r="E4412" s="109"/>
      <c r="F4412" s="110"/>
      <c r="G4412" s="109"/>
    </row>
    <row r="4413" spans="3:7" x14ac:dyDescent="0.3">
      <c r="C4413" s="109"/>
      <c r="D4413" s="109"/>
      <c r="E4413" s="109"/>
      <c r="F4413" s="110"/>
      <c r="G4413" s="109"/>
    </row>
    <row r="4414" spans="3:7" x14ac:dyDescent="0.3">
      <c r="C4414" s="109"/>
      <c r="D4414" s="109"/>
      <c r="E4414" s="109"/>
      <c r="F4414" s="110"/>
      <c r="G4414" s="109"/>
    </row>
    <row r="4415" spans="3:7" x14ac:dyDescent="0.3">
      <c r="C4415" s="109"/>
      <c r="D4415" s="109"/>
      <c r="E4415" s="109"/>
      <c r="F4415" s="110"/>
      <c r="G4415" s="109"/>
    </row>
    <row r="4416" spans="3:7" x14ac:dyDescent="0.3">
      <c r="C4416" s="109"/>
      <c r="D4416" s="109"/>
      <c r="E4416" s="109"/>
      <c r="F4416" s="110"/>
      <c r="G4416" s="109"/>
    </row>
    <row r="4417" spans="3:7" x14ac:dyDescent="0.3">
      <c r="C4417" s="109"/>
      <c r="D4417" s="109"/>
      <c r="E4417" s="109"/>
      <c r="F4417" s="110"/>
      <c r="G4417" s="109"/>
    </row>
    <row r="4418" spans="3:7" x14ac:dyDescent="0.3">
      <c r="C4418" s="109"/>
      <c r="D4418" s="109"/>
      <c r="E4418" s="109"/>
      <c r="F4418" s="110"/>
      <c r="G4418" s="109"/>
    </row>
    <row r="4419" spans="3:7" x14ac:dyDescent="0.3">
      <c r="C4419" s="109"/>
      <c r="D4419" s="109"/>
      <c r="E4419" s="109"/>
      <c r="F4419" s="110"/>
      <c r="G4419" s="109"/>
    </row>
    <row r="4420" spans="3:7" x14ac:dyDescent="0.3">
      <c r="C4420" s="109"/>
      <c r="D4420" s="109"/>
      <c r="E4420" s="109"/>
      <c r="F4420" s="110"/>
      <c r="G4420" s="109"/>
    </row>
    <row r="4421" spans="3:7" x14ac:dyDescent="0.3">
      <c r="C4421" s="109"/>
      <c r="D4421" s="109"/>
      <c r="E4421" s="109"/>
      <c r="F4421" s="110"/>
      <c r="G4421" s="109"/>
    </row>
    <row r="4422" spans="3:7" x14ac:dyDescent="0.3">
      <c r="C4422" s="109"/>
      <c r="D4422" s="109"/>
      <c r="E4422" s="109"/>
      <c r="F4422" s="110"/>
      <c r="G4422" s="109"/>
    </row>
    <row r="4423" spans="3:7" x14ac:dyDescent="0.3">
      <c r="C4423" s="109"/>
      <c r="D4423" s="109"/>
      <c r="E4423" s="109"/>
      <c r="F4423" s="110"/>
      <c r="G4423" s="109"/>
    </row>
    <row r="4424" spans="3:7" x14ac:dyDescent="0.3">
      <c r="C4424" s="109"/>
      <c r="D4424" s="109"/>
      <c r="E4424" s="109"/>
      <c r="F4424" s="110"/>
      <c r="G4424" s="109"/>
    </row>
    <row r="4425" spans="3:7" x14ac:dyDescent="0.3">
      <c r="C4425" s="109"/>
      <c r="D4425" s="109"/>
      <c r="E4425" s="109"/>
      <c r="F4425" s="110"/>
      <c r="G4425" s="109"/>
    </row>
    <row r="4426" spans="3:7" x14ac:dyDescent="0.3">
      <c r="C4426" s="109"/>
      <c r="D4426" s="109"/>
      <c r="E4426" s="109"/>
      <c r="F4426" s="110"/>
      <c r="G4426" s="109"/>
    </row>
    <row r="4427" spans="3:7" x14ac:dyDescent="0.3">
      <c r="C4427" s="109"/>
      <c r="D4427" s="109"/>
      <c r="E4427" s="109"/>
      <c r="F4427" s="110"/>
      <c r="G4427" s="109"/>
    </row>
    <row r="4428" spans="3:7" x14ac:dyDescent="0.3">
      <c r="C4428" s="109"/>
      <c r="D4428" s="109"/>
      <c r="E4428" s="109"/>
      <c r="F4428" s="110"/>
      <c r="G4428" s="109"/>
    </row>
    <row r="4429" spans="3:7" x14ac:dyDescent="0.3">
      <c r="C4429" s="109"/>
      <c r="D4429" s="109"/>
      <c r="E4429" s="109"/>
      <c r="F4429" s="110"/>
      <c r="G4429" s="109"/>
    </row>
    <row r="4430" spans="3:7" x14ac:dyDescent="0.3">
      <c r="C4430" s="109"/>
      <c r="D4430" s="109"/>
      <c r="E4430" s="109"/>
      <c r="F4430" s="110"/>
      <c r="G4430" s="109"/>
    </row>
    <row r="4431" spans="3:7" x14ac:dyDescent="0.3">
      <c r="C4431" s="109"/>
      <c r="D4431" s="109"/>
      <c r="E4431" s="109"/>
      <c r="F4431" s="110"/>
      <c r="G4431" s="109"/>
    </row>
    <row r="4432" spans="3:7" x14ac:dyDescent="0.3">
      <c r="C4432" s="109"/>
      <c r="D4432" s="109"/>
      <c r="E4432" s="109"/>
      <c r="F4432" s="110"/>
      <c r="G4432" s="109"/>
    </row>
    <row r="4433" spans="3:7" x14ac:dyDescent="0.3">
      <c r="C4433" s="109"/>
      <c r="D4433" s="109"/>
      <c r="E4433" s="109"/>
      <c r="F4433" s="110"/>
      <c r="G4433" s="109"/>
    </row>
    <row r="4434" spans="3:7" x14ac:dyDescent="0.3">
      <c r="C4434" s="109"/>
      <c r="D4434" s="109"/>
      <c r="E4434" s="109"/>
      <c r="F4434" s="110"/>
      <c r="G4434" s="109"/>
    </row>
    <row r="4435" spans="3:7" x14ac:dyDescent="0.3">
      <c r="C4435" s="109"/>
      <c r="D4435" s="109"/>
      <c r="E4435" s="109"/>
      <c r="F4435" s="110"/>
      <c r="G4435" s="109"/>
    </row>
    <row r="4436" spans="3:7" x14ac:dyDescent="0.3">
      <c r="C4436" s="109"/>
      <c r="D4436" s="109"/>
      <c r="E4436" s="109"/>
      <c r="F4436" s="110"/>
      <c r="G4436" s="109"/>
    </row>
    <row r="4437" spans="3:7" x14ac:dyDescent="0.3">
      <c r="C4437" s="109"/>
      <c r="D4437" s="109"/>
      <c r="E4437" s="109"/>
      <c r="F4437" s="110"/>
      <c r="G4437" s="109"/>
    </row>
    <row r="4438" spans="3:7" x14ac:dyDescent="0.3">
      <c r="C4438" s="109"/>
      <c r="D4438" s="109"/>
      <c r="E4438" s="109"/>
      <c r="F4438" s="110"/>
      <c r="G4438" s="109"/>
    </row>
    <row r="4439" spans="3:7" x14ac:dyDescent="0.3">
      <c r="C4439" s="109"/>
      <c r="D4439" s="109"/>
      <c r="E4439" s="109"/>
      <c r="F4439" s="110"/>
      <c r="G4439" s="109"/>
    </row>
    <row r="4440" spans="3:7" x14ac:dyDescent="0.3">
      <c r="C4440" s="109"/>
      <c r="D4440" s="109"/>
      <c r="E4440" s="109"/>
      <c r="F4440" s="110"/>
      <c r="G4440" s="109"/>
    </row>
    <row r="4441" spans="3:7" x14ac:dyDescent="0.3">
      <c r="C4441" s="109"/>
      <c r="D4441" s="109"/>
      <c r="E4441" s="109"/>
      <c r="F4441" s="110"/>
      <c r="G4441" s="109"/>
    </row>
    <row r="4442" spans="3:7" x14ac:dyDescent="0.3">
      <c r="C4442" s="109"/>
      <c r="D4442" s="109"/>
      <c r="E4442" s="109"/>
      <c r="F4442" s="110"/>
      <c r="G4442" s="109"/>
    </row>
    <row r="4443" spans="3:7" x14ac:dyDescent="0.3">
      <c r="C4443" s="109"/>
      <c r="D4443" s="109"/>
      <c r="E4443" s="109"/>
      <c r="F4443" s="110"/>
      <c r="G4443" s="109"/>
    </row>
    <row r="4444" spans="3:7" x14ac:dyDescent="0.3">
      <c r="C4444" s="109"/>
      <c r="D4444" s="109"/>
      <c r="E4444" s="109"/>
      <c r="F4444" s="110"/>
      <c r="G4444" s="109"/>
    </row>
    <row r="4445" spans="3:7" x14ac:dyDescent="0.3">
      <c r="C4445" s="109"/>
      <c r="D4445" s="109"/>
      <c r="E4445" s="109"/>
      <c r="F4445" s="110"/>
      <c r="G4445" s="109"/>
    </row>
    <row r="4446" spans="3:7" x14ac:dyDescent="0.3">
      <c r="C4446" s="109"/>
      <c r="D4446" s="109"/>
      <c r="E4446" s="109"/>
      <c r="F4446" s="110"/>
      <c r="G4446" s="109"/>
    </row>
    <row r="4447" spans="3:7" x14ac:dyDescent="0.3">
      <c r="C4447" s="109"/>
      <c r="D4447" s="109"/>
      <c r="E4447" s="109"/>
      <c r="F4447" s="110"/>
      <c r="G4447" s="109"/>
    </row>
    <row r="4448" spans="3:7" x14ac:dyDescent="0.3">
      <c r="C4448" s="109"/>
      <c r="D4448" s="109"/>
      <c r="E4448" s="109"/>
      <c r="F4448" s="110"/>
      <c r="G4448" s="109"/>
    </row>
    <row r="4449" spans="3:7" x14ac:dyDescent="0.3">
      <c r="C4449" s="109"/>
      <c r="D4449" s="109"/>
      <c r="E4449" s="109"/>
      <c r="F4449" s="110"/>
      <c r="G4449" s="109"/>
    </row>
    <row r="4450" spans="3:7" x14ac:dyDescent="0.3">
      <c r="C4450" s="109"/>
      <c r="D4450" s="109"/>
      <c r="E4450" s="109"/>
      <c r="F4450" s="110"/>
      <c r="G4450" s="109"/>
    </row>
    <row r="4451" spans="3:7" x14ac:dyDescent="0.3">
      <c r="C4451" s="109"/>
      <c r="D4451" s="109"/>
      <c r="E4451" s="109"/>
      <c r="F4451" s="110"/>
      <c r="G4451" s="109"/>
    </row>
    <row r="4452" spans="3:7" x14ac:dyDescent="0.3">
      <c r="C4452" s="109"/>
      <c r="D4452" s="109"/>
      <c r="E4452" s="109"/>
      <c r="F4452" s="110"/>
      <c r="G4452" s="109"/>
    </row>
    <row r="4453" spans="3:7" x14ac:dyDescent="0.3">
      <c r="C4453" s="109"/>
      <c r="D4453" s="109"/>
      <c r="E4453" s="109"/>
      <c r="F4453" s="110"/>
      <c r="G4453" s="109"/>
    </row>
    <row r="4454" spans="3:7" x14ac:dyDescent="0.3">
      <c r="C4454" s="109"/>
      <c r="D4454" s="109"/>
      <c r="E4454" s="109"/>
      <c r="F4454" s="110"/>
      <c r="G4454" s="109"/>
    </row>
    <row r="4455" spans="3:7" x14ac:dyDescent="0.3">
      <c r="C4455" s="109"/>
      <c r="D4455" s="109"/>
      <c r="E4455" s="109"/>
      <c r="F4455" s="110"/>
      <c r="G4455" s="109"/>
    </row>
    <row r="4456" spans="3:7" x14ac:dyDescent="0.3">
      <c r="C4456" s="109"/>
      <c r="D4456" s="109"/>
      <c r="E4456" s="109"/>
      <c r="F4456" s="110"/>
      <c r="G4456" s="109"/>
    </row>
    <row r="4457" spans="3:7" x14ac:dyDescent="0.3">
      <c r="C4457" s="109"/>
      <c r="D4457" s="109"/>
      <c r="E4457" s="109"/>
      <c r="F4457" s="110"/>
      <c r="G4457" s="109"/>
    </row>
    <row r="4458" spans="3:7" x14ac:dyDescent="0.3">
      <c r="C4458" s="109"/>
      <c r="D4458" s="109"/>
      <c r="E4458" s="109"/>
      <c r="F4458" s="110"/>
      <c r="G4458" s="109"/>
    </row>
    <row r="4459" spans="3:7" x14ac:dyDescent="0.3">
      <c r="C4459" s="109"/>
      <c r="D4459" s="109"/>
      <c r="E4459" s="109"/>
      <c r="F4459" s="110"/>
      <c r="G4459" s="109"/>
    </row>
    <row r="4460" spans="3:7" x14ac:dyDescent="0.3">
      <c r="C4460" s="109"/>
      <c r="D4460" s="109"/>
      <c r="E4460" s="109"/>
      <c r="F4460" s="110"/>
      <c r="G4460" s="109"/>
    </row>
    <row r="4461" spans="3:7" x14ac:dyDescent="0.3">
      <c r="C4461" s="109"/>
      <c r="D4461" s="109"/>
      <c r="E4461" s="109"/>
      <c r="F4461" s="110"/>
      <c r="G4461" s="109"/>
    </row>
    <row r="4462" spans="3:7" x14ac:dyDescent="0.3">
      <c r="C4462" s="109"/>
      <c r="D4462" s="109"/>
      <c r="E4462" s="109"/>
      <c r="F4462" s="110"/>
      <c r="G4462" s="109"/>
    </row>
    <row r="4463" spans="3:7" x14ac:dyDescent="0.3">
      <c r="C4463" s="109"/>
      <c r="D4463" s="109"/>
      <c r="E4463" s="109"/>
      <c r="F4463" s="110"/>
      <c r="G4463" s="109"/>
    </row>
    <row r="4464" spans="3:7" x14ac:dyDescent="0.3">
      <c r="C4464" s="109"/>
      <c r="D4464" s="109"/>
      <c r="E4464" s="109"/>
      <c r="F4464" s="110"/>
      <c r="G4464" s="109"/>
    </row>
    <row r="4465" spans="3:7" x14ac:dyDescent="0.3">
      <c r="C4465" s="109"/>
      <c r="D4465" s="109"/>
      <c r="E4465" s="109"/>
      <c r="F4465" s="110"/>
      <c r="G4465" s="109"/>
    </row>
    <row r="4466" spans="3:7" x14ac:dyDescent="0.3">
      <c r="C4466" s="109"/>
      <c r="D4466" s="109"/>
      <c r="E4466" s="109"/>
      <c r="F4466" s="110"/>
      <c r="G4466" s="109"/>
    </row>
    <row r="4467" spans="3:7" x14ac:dyDescent="0.3">
      <c r="C4467" s="109"/>
      <c r="D4467" s="109"/>
      <c r="E4467" s="109"/>
      <c r="F4467" s="110"/>
      <c r="G4467" s="109"/>
    </row>
    <row r="4468" spans="3:7" x14ac:dyDescent="0.3">
      <c r="C4468" s="109"/>
      <c r="D4468" s="109"/>
      <c r="E4468" s="109"/>
      <c r="F4468" s="110"/>
      <c r="G4468" s="109"/>
    </row>
    <row r="4469" spans="3:7" x14ac:dyDescent="0.3">
      <c r="C4469" s="109"/>
      <c r="D4469" s="109"/>
      <c r="E4469" s="109"/>
      <c r="F4469" s="110"/>
      <c r="G4469" s="109"/>
    </row>
    <row r="4470" spans="3:7" x14ac:dyDescent="0.3">
      <c r="C4470" s="109"/>
      <c r="D4470" s="109"/>
      <c r="E4470" s="109"/>
      <c r="F4470" s="110"/>
      <c r="G4470" s="109"/>
    </row>
    <row r="4471" spans="3:7" x14ac:dyDescent="0.3">
      <c r="C4471" s="109"/>
      <c r="D4471" s="109"/>
      <c r="E4471" s="109"/>
      <c r="F4471" s="110"/>
      <c r="G4471" s="109"/>
    </row>
    <row r="4472" spans="3:7" x14ac:dyDescent="0.3">
      <c r="C4472" s="109"/>
      <c r="D4472" s="109"/>
      <c r="E4472" s="109"/>
      <c r="F4472" s="110"/>
      <c r="G4472" s="109"/>
    </row>
    <row r="4473" spans="3:7" x14ac:dyDescent="0.3">
      <c r="C4473" s="109"/>
      <c r="D4473" s="109"/>
      <c r="E4473" s="109"/>
      <c r="F4473" s="110"/>
      <c r="G4473" s="109"/>
    </row>
    <row r="4474" spans="3:7" x14ac:dyDescent="0.3">
      <c r="C4474" s="109"/>
      <c r="D4474" s="109"/>
      <c r="E4474" s="109"/>
      <c r="F4474" s="110"/>
      <c r="G4474" s="109"/>
    </row>
    <row r="4475" spans="3:7" x14ac:dyDescent="0.3">
      <c r="C4475" s="109"/>
      <c r="D4475" s="109"/>
      <c r="E4475" s="109"/>
      <c r="F4475" s="110"/>
      <c r="G4475" s="109"/>
    </row>
    <row r="4476" spans="3:7" x14ac:dyDescent="0.3">
      <c r="C4476" s="109"/>
      <c r="D4476" s="109"/>
      <c r="E4476" s="109"/>
      <c r="F4476" s="110"/>
      <c r="G4476" s="109"/>
    </row>
    <row r="4477" spans="3:7" x14ac:dyDescent="0.3">
      <c r="C4477" s="109"/>
      <c r="D4477" s="109"/>
      <c r="E4477" s="109"/>
      <c r="F4477" s="110"/>
      <c r="G4477" s="109"/>
    </row>
    <row r="4478" spans="3:7" x14ac:dyDescent="0.3">
      <c r="C4478" s="109"/>
      <c r="D4478" s="109"/>
      <c r="E4478" s="109"/>
      <c r="F4478" s="110"/>
      <c r="G4478" s="109"/>
    </row>
    <row r="4479" spans="3:7" x14ac:dyDescent="0.3">
      <c r="C4479" s="109"/>
      <c r="D4479" s="109"/>
      <c r="E4479" s="109"/>
      <c r="F4479" s="110"/>
      <c r="G4479" s="109"/>
    </row>
    <row r="4480" spans="3:7" x14ac:dyDescent="0.3">
      <c r="C4480" s="109"/>
      <c r="D4480" s="109"/>
      <c r="E4480" s="109"/>
      <c r="F4480" s="110"/>
      <c r="G4480" s="109"/>
    </row>
    <row r="4481" spans="3:7" x14ac:dyDescent="0.3">
      <c r="C4481" s="109"/>
      <c r="D4481" s="109"/>
      <c r="E4481" s="109"/>
      <c r="F4481" s="110"/>
      <c r="G4481" s="109"/>
    </row>
    <row r="4482" spans="3:7" x14ac:dyDescent="0.3">
      <c r="C4482" s="109"/>
      <c r="D4482" s="109"/>
      <c r="E4482" s="109"/>
      <c r="F4482" s="110"/>
      <c r="G4482" s="109"/>
    </row>
    <row r="4483" spans="3:7" x14ac:dyDescent="0.3">
      <c r="C4483" s="109"/>
      <c r="D4483" s="109"/>
      <c r="E4483" s="109"/>
      <c r="F4483" s="110"/>
      <c r="G4483" s="109"/>
    </row>
    <row r="4484" spans="3:7" x14ac:dyDescent="0.3">
      <c r="C4484" s="109"/>
      <c r="D4484" s="109"/>
      <c r="E4484" s="109"/>
      <c r="F4484" s="110"/>
      <c r="G4484" s="109"/>
    </row>
    <row r="4485" spans="3:7" x14ac:dyDescent="0.3">
      <c r="C4485" s="109"/>
      <c r="D4485" s="109"/>
      <c r="E4485" s="109"/>
      <c r="F4485" s="110"/>
      <c r="G4485" s="109"/>
    </row>
    <row r="4486" spans="3:7" x14ac:dyDescent="0.3">
      <c r="C4486" s="109"/>
      <c r="D4486" s="109"/>
      <c r="E4486" s="109"/>
      <c r="F4486" s="110"/>
      <c r="G4486" s="109"/>
    </row>
    <row r="4487" spans="3:7" x14ac:dyDescent="0.3">
      <c r="C4487" s="109"/>
      <c r="D4487" s="109"/>
      <c r="E4487" s="109"/>
      <c r="F4487" s="110"/>
      <c r="G4487" s="109"/>
    </row>
    <row r="4488" spans="3:7" x14ac:dyDescent="0.3">
      <c r="C4488" s="109"/>
      <c r="D4488" s="109"/>
      <c r="E4488" s="109"/>
      <c r="F4488" s="110"/>
      <c r="G4488" s="109"/>
    </row>
    <row r="4489" spans="3:7" x14ac:dyDescent="0.3">
      <c r="C4489" s="109"/>
      <c r="D4489" s="109"/>
      <c r="E4489" s="109"/>
      <c r="F4489" s="110"/>
      <c r="G4489" s="109"/>
    </row>
    <row r="4490" spans="3:7" x14ac:dyDescent="0.3">
      <c r="C4490" s="109"/>
      <c r="D4490" s="109"/>
      <c r="E4490" s="109"/>
      <c r="F4490" s="110"/>
      <c r="G4490" s="109"/>
    </row>
    <row r="4491" spans="3:7" x14ac:dyDescent="0.3">
      <c r="C4491" s="109"/>
      <c r="D4491" s="109"/>
      <c r="E4491" s="109"/>
      <c r="F4491" s="110"/>
      <c r="G4491" s="109"/>
    </row>
    <row r="4492" spans="3:7" x14ac:dyDescent="0.3">
      <c r="C4492" s="109"/>
      <c r="D4492" s="109"/>
      <c r="E4492" s="109"/>
      <c r="F4492" s="110"/>
      <c r="G4492" s="109"/>
    </row>
    <row r="4493" spans="3:7" x14ac:dyDescent="0.3">
      <c r="C4493" s="109"/>
      <c r="D4493" s="109"/>
      <c r="E4493" s="109"/>
      <c r="F4493" s="110"/>
      <c r="G4493" s="109"/>
    </row>
    <row r="4494" spans="3:7" x14ac:dyDescent="0.3">
      <c r="C4494" s="109"/>
      <c r="D4494" s="109"/>
      <c r="E4494" s="109"/>
      <c r="F4494" s="110"/>
      <c r="G4494" s="109"/>
    </row>
    <row r="4495" spans="3:7" x14ac:dyDescent="0.3">
      <c r="C4495" s="109"/>
      <c r="D4495" s="109"/>
      <c r="E4495" s="109"/>
      <c r="F4495" s="110"/>
      <c r="G4495" s="109"/>
    </row>
    <row r="4496" spans="3:7" x14ac:dyDescent="0.3">
      <c r="C4496" s="109"/>
      <c r="D4496" s="109"/>
      <c r="E4496" s="109"/>
      <c r="F4496" s="110"/>
      <c r="G4496" s="109"/>
    </row>
    <row r="4497" spans="3:7" x14ac:dyDescent="0.3">
      <c r="C4497" s="109"/>
      <c r="D4497" s="109"/>
      <c r="E4497" s="109"/>
      <c r="F4497" s="110"/>
      <c r="G4497" s="109"/>
    </row>
    <row r="4498" spans="3:7" x14ac:dyDescent="0.3">
      <c r="C4498" s="109"/>
      <c r="D4498" s="109"/>
      <c r="E4498" s="109"/>
      <c r="F4498" s="110"/>
      <c r="G4498" s="109"/>
    </row>
    <row r="4499" spans="3:7" x14ac:dyDescent="0.3">
      <c r="C4499" s="109"/>
      <c r="D4499" s="109"/>
      <c r="E4499" s="109"/>
      <c r="F4499" s="110"/>
      <c r="G4499" s="109"/>
    </row>
    <row r="4500" spans="3:7" x14ac:dyDescent="0.3">
      <c r="C4500" s="109"/>
      <c r="D4500" s="109"/>
      <c r="E4500" s="109"/>
      <c r="F4500" s="110"/>
      <c r="G4500" s="109"/>
    </row>
    <row r="4501" spans="3:7" x14ac:dyDescent="0.3">
      <c r="C4501" s="109"/>
      <c r="D4501" s="109"/>
      <c r="E4501" s="109"/>
      <c r="F4501" s="110"/>
      <c r="G4501" s="109"/>
    </row>
    <row r="4502" spans="3:7" x14ac:dyDescent="0.3">
      <c r="C4502" s="109"/>
      <c r="D4502" s="109"/>
      <c r="E4502" s="109"/>
      <c r="F4502" s="110"/>
      <c r="G4502" s="109"/>
    </row>
    <row r="4503" spans="3:7" x14ac:dyDescent="0.3">
      <c r="C4503" s="109"/>
      <c r="D4503" s="109"/>
      <c r="E4503" s="109"/>
      <c r="F4503" s="110"/>
      <c r="G4503" s="109"/>
    </row>
    <row r="4504" spans="3:7" x14ac:dyDescent="0.3">
      <c r="C4504" s="109"/>
      <c r="D4504" s="109"/>
      <c r="E4504" s="109"/>
      <c r="F4504" s="110"/>
      <c r="G4504" s="109"/>
    </row>
    <row r="4505" spans="3:7" x14ac:dyDescent="0.3">
      <c r="C4505" s="109"/>
      <c r="D4505" s="109"/>
      <c r="E4505" s="109"/>
      <c r="F4505" s="110"/>
      <c r="G4505" s="109"/>
    </row>
    <row r="4506" spans="3:7" x14ac:dyDescent="0.3">
      <c r="C4506" s="109"/>
      <c r="D4506" s="109"/>
      <c r="E4506" s="109"/>
      <c r="F4506" s="110"/>
      <c r="G4506" s="109"/>
    </row>
    <row r="4507" spans="3:7" x14ac:dyDescent="0.3">
      <c r="C4507" s="109"/>
      <c r="D4507" s="109"/>
      <c r="E4507" s="109"/>
      <c r="F4507" s="110"/>
      <c r="G4507" s="109"/>
    </row>
    <row r="4508" spans="3:7" x14ac:dyDescent="0.3">
      <c r="C4508" s="109"/>
      <c r="D4508" s="109"/>
      <c r="E4508" s="109"/>
      <c r="F4508" s="110"/>
      <c r="G4508" s="109"/>
    </row>
    <row r="4509" spans="3:7" x14ac:dyDescent="0.3">
      <c r="C4509" s="109"/>
      <c r="D4509" s="109"/>
      <c r="E4509" s="109"/>
      <c r="F4509" s="110"/>
      <c r="G4509" s="109"/>
    </row>
    <row r="4510" spans="3:7" x14ac:dyDescent="0.3">
      <c r="C4510" s="109"/>
      <c r="D4510" s="109"/>
      <c r="E4510" s="109"/>
      <c r="F4510" s="110"/>
      <c r="G4510" s="109"/>
    </row>
    <row r="4511" spans="3:7" x14ac:dyDescent="0.3">
      <c r="C4511" s="109"/>
      <c r="D4511" s="109"/>
      <c r="E4511" s="109"/>
      <c r="F4511" s="110"/>
      <c r="G4511" s="109"/>
    </row>
    <row r="4512" spans="3:7" x14ac:dyDescent="0.3">
      <c r="C4512" s="109"/>
      <c r="D4512" s="109"/>
      <c r="E4512" s="109"/>
      <c r="F4512" s="110"/>
      <c r="G4512" s="109"/>
    </row>
    <row r="4513" spans="3:7" x14ac:dyDescent="0.3">
      <c r="C4513" s="109"/>
      <c r="D4513" s="109"/>
      <c r="E4513" s="109"/>
      <c r="F4513" s="110"/>
      <c r="G4513" s="109"/>
    </row>
    <row r="4514" spans="3:7" x14ac:dyDescent="0.3">
      <c r="C4514" s="109"/>
      <c r="D4514" s="109"/>
      <c r="E4514" s="109"/>
      <c r="F4514" s="110"/>
      <c r="G4514" s="109"/>
    </row>
    <row r="4515" spans="3:7" x14ac:dyDescent="0.3">
      <c r="C4515" s="109"/>
      <c r="D4515" s="109"/>
      <c r="E4515" s="109"/>
      <c r="F4515" s="110"/>
      <c r="G4515" s="109"/>
    </row>
    <row r="4516" spans="3:7" x14ac:dyDescent="0.3">
      <c r="C4516" s="109"/>
      <c r="D4516" s="109"/>
      <c r="E4516" s="109"/>
      <c r="F4516" s="110"/>
      <c r="G4516" s="109"/>
    </row>
    <row r="4517" spans="3:7" x14ac:dyDescent="0.3">
      <c r="C4517" s="109"/>
      <c r="D4517" s="109"/>
      <c r="E4517" s="109"/>
      <c r="F4517" s="110"/>
      <c r="G4517" s="109"/>
    </row>
    <row r="4518" spans="3:7" x14ac:dyDescent="0.3">
      <c r="C4518" s="109"/>
      <c r="D4518" s="109"/>
      <c r="E4518" s="109"/>
      <c r="F4518" s="110"/>
      <c r="G4518" s="109"/>
    </row>
    <row r="4519" spans="3:7" x14ac:dyDescent="0.3">
      <c r="C4519" s="109"/>
      <c r="D4519" s="109"/>
      <c r="E4519" s="109"/>
      <c r="F4519" s="110"/>
      <c r="G4519" s="109"/>
    </row>
    <row r="4520" spans="3:7" x14ac:dyDescent="0.3">
      <c r="C4520" s="109"/>
      <c r="D4520" s="109"/>
      <c r="E4520" s="109"/>
      <c r="F4520" s="110"/>
      <c r="G4520" s="109"/>
    </row>
    <row r="4521" spans="3:7" x14ac:dyDescent="0.3">
      <c r="C4521" s="109"/>
      <c r="D4521" s="109"/>
      <c r="E4521" s="109"/>
      <c r="F4521" s="110"/>
      <c r="G4521" s="109"/>
    </row>
    <row r="4522" spans="3:7" x14ac:dyDescent="0.3">
      <c r="C4522" s="109"/>
      <c r="D4522" s="109"/>
      <c r="E4522" s="109"/>
      <c r="F4522" s="110"/>
      <c r="G4522" s="109"/>
    </row>
    <row r="4523" spans="3:7" x14ac:dyDescent="0.3">
      <c r="C4523" s="109"/>
      <c r="D4523" s="109"/>
      <c r="E4523" s="109"/>
      <c r="F4523" s="110"/>
      <c r="G4523" s="109"/>
    </row>
    <row r="4524" spans="3:7" x14ac:dyDescent="0.3">
      <c r="C4524" s="109"/>
      <c r="D4524" s="109"/>
      <c r="E4524" s="109"/>
      <c r="F4524" s="110"/>
      <c r="G4524" s="109"/>
    </row>
    <row r="4525" spans="3:7" x14ac:dyDescent="0.3">
      <c r="C4525" s="109"/>
      <c r="D4525" s="109"/>
      <c r="E4525" s="109"/>
      <c r="F4525" s="110"/>
      <c r="G4525" s="109"/>
    </row>
    <row r="4526" spans="3:7" x14ac:dyDescent="0.3">
      <c r="C4526" s="109"/>
      <c r="D4526" s="109"/>
      <c r="E4526" s="109"/>
      <c r="F4526" s="110"/>
      <c r="G4526" s="109"/>
    </row>
    <row r="4527" spans="3:7" x14ac:dyDescent="0.3">
      <c r="C4527" s="109"/>
      <c r="D4527" s="109"/>
      <c r="E4527" s="109"/>
      <c r="F4527" s="110"/>
      <c r="G4527" s="109"/>
    </row>
    <row r="4528" spans="3:7" x14ac:dyDescent="0.3">
      <c r="C4528" s="109"/>
      <c r="D4528" s="109"/>
      <c r="E4528" s="109"/>
      <c r="F4528" s="110"/>
      <c r="G4528" s="109"/>
    </row>
    <row r="4529" spans="3:7" x14ac:dyDescent="0.3">
      <c r="C4529" s="109"/>
      <c r="D4529" s="109"/>
      <c r="E4529" s="109"/>
      <c r="F4529" s="110"/>
      <c r="G4529" s="109"/>
    </row>
    <row r="4530" spans="3:7" x14ac:dyDescent="0.3">
      <c r="C4530" s="109"/>
      <c r="D4530" s="109"/>
      <c r="E4530" s="109"/>
      <c r="F4530" s="110"/>
      <c r="G4530" s="109"/>
    </row>
    <row r="4531" spans="3:7" x14ac:dyDescent="0.3">
      <c r="C4531" s="109"/>
      <c r="D4531" s="109"/>
      <c r="E4531" s="109"/>
      <c r="F4531" s="110"/>
      <c r="G4531" s="109"/>
    </row>
    <row r="4532" spans="3:7" x14ac:dyDescent="0.3">
      <c r="C4532" s="109"/>
      <c r="D4532" s="109"/>
      <c r="E4532" s="109"/>
      <c r="F4532" s="110"/>
      <c r="G4532" s="109"/>
    </row>
    <row r="4533" spans="3:7" x14ac:dyDescent="0.3">
      <c r="C4533" s="109"/>
      <c r="D4533" s="109"/>
      <c r="E4533" s="109"/>
      <c r="F4533" s="110"/>
      <c r="G4533" s="109"/>
    </row>
    <row r="4534" spans="3:7" x14ac:dyDescent="0.3">
      <c r="C4534" s="109"/>
      <c r="D4534" s="109"/>
      <c r="E4534" s="109"/>
      <c r="F4534" s="110"/>
      <c r="G4534" s="109"/>
    </row>
    <row r="4535" spans="3:7" x14ac:dyDescent="0.3">
      <c r="C4535" s="109"/>
      <c r="D4535" s="109"/>
      <c r="E4535" s="109"/>
      <c r="F4535" s="110"/>
      <c r="G4535" s="109"/>
    </row>
    <row r="4536" spans="3:7" x14ac:dyDescent="0.3">
      <c r="C4536" s="109"/>
      <c r="D4536" s="109"/>
      <c r="E4536" s="109"/>
      <c r="F4536" s="110"/>
      <c r="G4536" s="109"/>
    </row>
    <row r="4537" spans="3:7" x14ac:dyDescent="0.3">
      <c r="C4537" s="109"/>
      <c r="D4537" s="109"/>
      <c r="E4537" s="109"/>
      <c r="F4537" s="110"/>
      <c r="G4537" s="109"/>
    </row>
    <row r="4538" spans="3:7" x14ac:dyDescent="0.3">
      <c r="C4538" s="109"/>
      <c r="D4538" s="109"/>
      <c r="E4538" s="109"/>
      <c r="F4538" s="110"/>
      <c r="G4538" s="109"/>
    </row>
    <row r="4539" spans="3:7" x14ac:dyDescent="0.3">
      <c r="C4539" s="109"/>
      <c r="D4539" s="109"/>
      <c r="E4539" s="109"/>
      <c r="F4539" s="110"/>
      <c r="G4539" s="109"/>
    </row>
    <row r="4540" spans="3:7" x14ac:dyDescent="0.3">
      <c r="C4540" s="109"/>
      <c r="D4540" s="109"/>
      <c r="E4540" s="109"/>
      <c r="F4540" s="110"/>
      <c r="G4540" s="109"/>
    </row>
    <row r="4541" spans="3:7" x14ac:dyDescent="0.3">
      <c r="C4541" s="109"/>
      <c r="D4541" s="109"/>
      <c r="E4541" s="109"/>
      <c r="F4541" s="110"/>
      <c r="G4541" s="109"/>
    </row>
    <row r="4542" spans="3:7" x14ac:dyDescent="0.3">
      <c r="C4542" s="109"/>
      <c r="D4542" s="109"/>
      <c r="E4542" s="109"/>
      <c r="F4542" s="110"/>
      <c r="G4542" s="109"/>
    </row>
    <row r="4543" spans="3:7" x14ac:dyDescent="0.3">
      <c r="C4543" s="109"/>
      <c r="D4543" s="109"/>
      <c r="E4543" s="109"/>
      <c r="F4543" s="110"/>
      <c r="G4543" s="109"/>
    </row>
    <row r="4544" spans="3:7" x14ac:dyDescent="0.3">
      <c r="C4544" s="109"/>
      <c r="D4544" s="109"/>
      <c r="E4544" s="109"/>
      <c r="F4544" s="110"/>
      <c r="G4544" s="109"/>
    </row>
    <row r="4545" spans="3:7" x14ac:dyDescent="0.3">
      <c r="C4545" s="109"/>
      <c r="D4545" s="109"/>
      <c r="E4545" s="109"/>
      <c r="F4545" s="110"/>
      <c r="G4545" s="109"/>
    </row>
    <row r="4546" spans="3:7" x14ac:dyDescent="0.3">
      <c r="C4546" s="109"/>
      <c r="D4546" s="109"/>
      <c r="E4546" s="109"/>
      <c r="F4546" s="110"/>
      <c r="G4546" s="109"/>
    </row>
    <row r="4547" spans="3:7" x14ac:dyDescent="0.3">
      <c r="C4547" s="109"/>
      <c r="D4547" s="109"/>
      <c r="E4547" s="109"/>
      <c r="F4547" s="110"/>
      <c r="G4547" s="109"/>
    </row>
    <row r="4548" spans="3:7" x14ac:dyDescent="0.3">
      <c r="C4548" s="109"/>
      <c r="D4548" s="109"/>
      <c r="E4548" s="109"/>
      <c r="F4548" s="110"/>
      <c r="G4548" s="109"/>
    </row>
    <row r="4549" spans="3:7" x14ac:dyDescent="0.3">
      <c r="C4549" s="109"/>
      <c r="D4549" s="109"/>
      <c r="E4549" s="109"/>
      <c r="F4549" s="110"/>
      <c r="G4549" s="109"/>
    </row>
    <row r="4550" spans="3:7" x14ac:dyDescent="0.3">
      <c r="C4550" s="109"/>
      <c r="D4550" s="109"/>
      <c r="E4550" s="109"/>
      <c r="F4550" s="110"/>
      <c r="G4550" s="109"/>
    </row>
    <row r="4551" spans="3:7" x14ac:dyDescent="0.3">
      <c r="C4551" s="109"/>
      <c r="D4551" s="109"/>
      <c r="E4551" s="109"/>
      <c r="F4551" s="110"/>
      <c r="G4551" s="109"/>
    </row>
    <row r="4552" spans="3:7" x14ac:dyDescent="0.3">
      <c r="C4552" s="109"/>
      <c r="D4552" s="109"/>
      <c r="E4552" s="109"/>
      <c r="F4552" s="110"/>
      <c r="G4552" s="109"/>
    </row>
    <row r="4553" spans="3:7" x14ac:dyDescent="0.3">
      <c r="C4553" s="109"/>
      <c r="D4553" s="109"/>
      <c r="E4553" s="109"/>
      <c r="F4553" s="110"/>
      <c r="G4553" s="109"/>
    </row>
    <row r="4554" spans="3:7" x14ac:dyDescent="0.3">
      <c r="C4554" s="109"/>
      <c r="D4554" s="109"/>
      <c r="E4554" s="109"/>
      <c r="F4554" s="110"/>
      <c r="G4554" s="109"/>
    </row>
    <row r="4555" spans="3:7" x14ac:dyDescent="0.3">
      <c r="C4555" s="109"/>
      <c r="D4555" s="109"/>
      <c r="E4555" s="109"/>
      <c r="F4555" s="110"/>
      <c r="G4555" s="109"/>
    </row>
    <row r="4556" spans="3:7" x14ac:dyDescent="0.3">
      <c r="C4556" s="109"/>
      <c r="D4556" s="109"/>
      <c r="E4556" s="109"/>
      <c r="F4556" s="110"/>
      <c r="G4556" s="109"/>
    </row>
    <row r="4557" spans="3:7" x14ac:dyDescent="0.3">
      <c r="C4557" s="109"/>
      <c r="D4557" s="109"/>
      <c r="E4557" s="109"/>
      <c r="F4557" s="110"/>
      <c r="G4557" s="109"/>
    </row>
    <row r="4558" spans="3:7" x14ac:dyDescent="0.3">
      <c r="C4558" s="109"/>
      <c r="D4558" s="109"/>
      <c r="E4558" s="109"/>
      <c r="F4558" s="110"/>
      <c r="G4558" s="109"/>
    </row>
    <row r="4559" spans="3:7" x14ac:dyDescent="0.3">
      <c r="C4559" s="109"/>
      <c r="D4559" s="109"/>
      <c r="E4559" s="109"/>
      <c r="F4559" s="110"/>
      <c r="G4559" s="109"/>
    </row>
    <row r="4560" spans="3:7" x14ac:dyDescent="0.3">
      <c r="C4560" s="109"/>
      <c r="D4560" s="109"/>
      <c r="E4560" s="109"/>
      <c r="F4560" s="110"/>
      <c r="G4560" s="109"/>
    </row>
    <row r="4561" spans="3:7" x14ac:dyDescent="0.3">
      <c r="C4561" s="109"/>
      <c r="D4561" s="109"/>
      <c r="E4561" s="109"/>
      <c r="F4561" s="110"/>
      <c r="G4561" s="109"/>
    </row>
    <row r="4562" spans="3:7" x14ac:dyDescent="0.3">
      <c r="C4562" s="109"/>
      <c r="D4562" s="109"/>
      <c r="E4562" s="109"/>
      <c r="F4562" s="110"/>
      <c r="G4562" s="109"/>
    </row>
    <row r="4563" spans="3:7" x14ac:dyDescent="0.3">
      <c r="C4563" s="109"/>
      <c r="D4563" s="109"/>
      <c r="E4563" s="109"/>
      <c r="F4563" s="110"/>
      <c r="G4563" s="109"/>
    </row>
    <row r="4564" spans="3:7" x14ac:dyDescent="0.3">
      <c r="C4564" s="109"/>
      <c r="D4564" s="109"/>
      <c r="E4564" s="109"/>
      <c r="F4564" s="110"/>
      <c r="G4564" s="109"/>
    </row>
    <row r="4565" spans="3:7" x14ac:dyDescent="0.3">
      <c r="C4565" s="109"/>
      <c r="D4565" s="109"/>
      <c r="E4565" s="109"/>
      <c r="F4565" s="110"/>
      <c r="G4565" s="109"/>
    </row>
    <row r="4566" spans="3:7" x14ac:dyDescent="0.3">
      <c r="C4566" s="109"/>
      <c r="D4566" s="109"/>
      <c r="E4566" s="109"/>
      <c r="F4566" s="110"/>
      <c r="G4566" s="109"/>
    </row>
    <row r="4567" spans="3:7" x14ac:dyDescent="0.3">
      <c r="C4567" s="109"/>
      <c r="D4567" s="109"/>
      <c r="E4567" s="109"/>
      <c r="F4567" s="110"/>
      <c r="G4567" s="109"/>
    </row>
    <row r="4568" spans="3:7" x14ac:dyDescent="0.3">
      <c r="C4568" s="109"/>
      <c r="D4568" s="109"/>
      <c r="E4568" s="109"/>
      <c r="F4568" s="110"/>
      <c r="G4568" s="109"/>
    </row>
    <row r="4569" spans="3:7" x14ac:dyDescent="0.3">
      <c r="C4569" s="109"/>
      <c r="D4569" s="109"/>
      <c r="E4569" s="109"/>
      <c r="F4569" s="110"/>
      <c r="G4569" s="109"/>
    </row>
    <row r="4570" spans="3:7" x14ac:dyDescent="0.3">
      <c r="C4570" s="109"/>
      <c r="D4570" s="109"/>
      <c r="E4570" s="109"/>
      <c r="F4570" s="110"/>
      <c r="G4570" s="109"/>
    </row>
    <row r="4571" spans="3:7" x14ac:dyDescent="0.3">
      <c r="C4571" s="109"/>
      <c r="D4571" s="109"/>
      <c r="E4571" s="109"/>
      <c r="F4571" s="110"/>
      <c r="G4571" s="109"/>
    </row>
    <row r="4572" spans="3:7" x14ac:dyDescent="0.3">
      <c r="C4572" s="109"/>
      <c r="D4572" s="109"/>
      <c r="E4572" s="109"/>
      <c r="F4572" s="110"/>
      <c r="G4572" s="109"/>
    </row>
    <row r="4573" spans="3:7" x14ac:dyDescent="0.3">
      <c r="C4573" s="109"/>
      <c r="D4573" s="109"/>
      <c r="E4573" s="109"/>
      <c r="F4573" s="110"/>
      <c r="G4573" s="109"/>
    </row>
    <row r="4574" spans="3:7" x14ac:dyDescent="0.3">
      <c r="C4574" s="109"/>
      <c r="D4574" s="109"/>
      <c r="E4574" s="109"/>
      <c r="F4574" s="110"/>
      <c r="G4574" s="109"/>
    </row>
    <row r="4575" spans="3:7" x14ac:dyDescent="0.3">
      <c r="C4575" s="109"/>
      <c r="D4575" s="109"/>
      <c r="E4575" s="109"/>
      <c r="F4575" s="110"/>
      <c r="G4575" s="109"/>
    </row>
    <row r="4576" spans="3:7" x14ac:dyDescent="0.3">
      <c r="C4576" s="109"/>
      <c r="D4576" s="109"/>
      <c r="E4576" s="109"/>
      <c r="F4576" s="110"/>
      <c r="G4576" s="109"/>
    </row>
    <row r="4577" spans="3:7" x14ac:dyDescent="0.3">
      <c r="C4577" s="109"/>
      <c r="D4577" s="109"/>
      <c r="E4577" s="109"/>
      <c r="F4577" s="110"/>
      <c r="G4577" s="109"/>
    </row>
    <row r="4578" spans="3:7" x14ac:dyDescent="0.3">
      <c r="C4578" s="109"/>
      <c r="D4578" s="109"/>
      <c r="E4578" s="109"/>
      <c r="F4578" s="110"/>
      <c r="G4578" s="109"/>
    </row>
    <row r="4579" spans="3:7" x14ac:dyDescent="0.3">
      <c r="C4579" s="109"/>
      <c r="D4579" s="109"/>
      <c r="E4579" s="109"/>
      <c r="F4579" s="110"/>
      <c r="G4579" s="109"/>
    </row>
    <row r="4580" spans="3:7" x14ac:dyDescent="0.3">
      <c r="C4580" s="109"/>
      <c r="D4580" s="109"/>
      <c r="E4580" s="109"/>
      <c r="F4580" s="110"/>
      <c r="G4580" s="109"/>
    </row>
    <row r="4581" spans="3:7" x14ac:dyDescent="0.3">
      <c r="C4581" s="109"/>
      <c r="D4581" s="109"/>
      <c r="E4581" s="109"/>
      <c r="F4581" s="110"/>
      <c r="G4581" s="109"/>
    </row>
    <row r="4582" spans="3:7" x14ac:dyDescent="0.3">
      <c r="C4582" s="109"/>
      <c r="D4582" s="109"/>
      <c r="E4582" s="109"/>
      <c r="F4582" s="110"/>
      <c r="G4582" s="109"/>
    </row>
    <row r="4583" spans="3:7" x14ac:dyDescent="0.3">
      <c r="C4583" s="109"/>
      <c r="D4583" s="109"/>
      <c r="E4583" s="109"/>
      <c r="F4583" s="110"/>
      <c r="G4583" s="109"/>
    </row>
    <row r="4584" spans="3:7" x14ac:dyDescent="0.3">
      <c r="C4584" s="109"/>
      <c r="D4584" s="109"/>
      <c r="E4584" s="109"/>
      <c r="F4584" s="110"/>
      <c r="G4584" s="109"/>
    </row>
    <row r="4585" spans="3:7" x14ac:dyDescent="0.3">
      <c r="C4585" s="109"/>
      <c r="D4585" s="109"/>
      <c r="E4585" s="109"/>
      <c r="F4585" s="110"/>
      <c r="G4585" s="109"/>
    </row>
    <row r="4586" spans="3:7" x14ac:dyDescent="0.3">
      <c r="C4586" s="109"/>
      <c r="D4586" s="109"/>
      <c r="E4586" s="109"/>
      <c r="F4586" s="110"/>
      <c r="G4586" s="109"/>
    </row>
    <row r="4587" spans="3:7" x14ac:dyDescent="0.3">
      <c r="C4587" s="109"/>
      <c r="D4587" s="109"/>
      <c r="E4587" s="109"/>
      <c r="F4587" s="110"/>
      <c r="G4587" s="109"/>
    </row>
    <row r="4588" spans="3:7" x14ac:dyDescent="0.3">
      <c r="C4588" s="109"/>
      <c r="D4588" s="109"/>
      <c r="E4588" s="109"/>
      <c r="F4588" s="110"/>
      <c r="G4588" s="109"/>
    </row>
    <row r="4589" spans="3:7" x14ac:dyDescent="0.3">
      <c r="C4589" s="109"/>
      <c r="D4589" s="109"/>
      <c r="E4589" s="109"/>
      <c r="F4589" s="110"/>
      <c r="G4589" s="109"/>
    </row>
    <row r="4590" spans="3:7" x14ac:dyDescent="0.3">
      <c r="C4590" s="109"/>
      <c r="D4590" s="109"/>
      <c r="E4590" s="109"/>
      <c r="F4590" s="110"/>
      <c r="G4590" s="109"/>
    </row>
    <row r="4591" spans="3:7" x14ac:dyDescent="0.3">
      <c r="C4591" s="109"/>
      <c r="D4591" s="109"/>
      <c r="E4591" s="109"/>
      <c r="F4591" s="110"/>
      <c r="G4591" s="109"/>
    </row>
    <row r="4592" spans="3:7" x14ac:dyDescent="0.3">
      <c r="C4592" s="109"/>
      <c r="D4592" s="109"/>
      <c r="E4592" s="109"/>
      <c r="F4592" s="110"/>
      <c r="G4592" s="109"/>
    </row>
    <row r="4593" spans="3:7" x14ac:dyDescent="0.3">
      <c r="C4593" s="109"/>
      <c r="D4593" s="109"/>
      <c r="E4593" s="109"/>
      <c r="F4593" s="110"/>
      <c r="G4593" s="109"/>
    </row>
    <row r="4594" spans="3:7" x14ac:dyDescent="0.3">
      <c r="C4594" s="109"/>
      <c r="D4594" s="109"/>
      <c r="E4594" s="109"/>
      <c r="F4594" s="110"/>
      <c r="G4594" s="109"/>
    </row>
    <row r="4595" spans="3:7" x14ac:dyDescent="0.3">
      <c r="C4595" s="109"/>
      <c r="D4595" s="109"/>
      <c r="E4595" s="109"/>
      <c r="F4595" s="110"/>
      <c r="G4595" s="109"/>
    </row>
    <row r="4596" spans="3:7" x14ac:dyDescent="0.3">
      <c r="C4596" s="109"/>
      <c r="D4596" s="109"/>
      <c r="E4596" s="109"/>
      <c r="F4596" s="110"/>
      <c r="G4596" s="109"/>
    </row>
    <row r="4597" spans="3:7" x14ac:dyDescent="0.3">
      <c r="C4597" s="109"/>
      <c r="D4597" s="109"/>
      <c r="E4597" s="109"/>
      <c r="F4597" s="110"/>
      <c r="G4597" s="109"/>
    </row>
    <row r="4598" spans="3:7" x14ac:dyDescent="0.3">
      <c r="C4598" s="109"/>
      <c r="D4598" s="109"/>
      <c r="E4598" s="109"/>
      <c r="F4598" s="110"/>
      <c r="G4598" s="109"/>
    </row>
    <row r="4599" spans="3:7" x14ac:dyDescent="0.3">
      <c r="C4599" s="109"/>
      <c r="D4599" s="109"/>
      <c r="E4599" s="109"/>
      <c r="F4599" s="110"/>
      <c r="G4599" s="109"/>
    </row>
    <row r="4600" spans="3:7" x14ac:dyDescent="0.3">
      <c r="C4600" s="109"/>
      <c r="D4600" s="109"/>
      <c r="E4600" s="109"/>
      <c r="F4600" s="110"/>
      <c r="G4600" s="109"/>
    </row>
    <row r="4601" spans="3:7" x14ac:dyDescent="0.3">
      <c r="C4601" s="109"/>
      <c r="D4601" s="109"/>
      <c r="E4601" s="109"/>
      <c r="F4601" s="110"/>
      <c r="G4601" s="109"/>
    </row>
    <row r="4602" spans="3:7" x14ac:dyDescent="0.3">
      <c r="C4602" s="109"/>
      <c r="D4602" s="109"/>
      <c r="E4602" s="109"/>
      <c r="F4602" s="110"/>
      <c r="G4602" s="109"/>
    </row>
    <row r="4603" spans="3:7" x14ac:dyDescent="0.3">
      <c r="C4603" s="109"/>
      <c r="D4603" s="109"/>
      <c r="E4603" s="109"/>
      <c r="F4603" s="110"/>
      <c r="G4603" s="109"/>
    </row>
    <row r="4604" spans="3:7" x14ac:dyDescent="0.3">
      <c r="C4604" s="109"/>
      <c r="D4604" s="109"/>
      <c r="E4604" s="109"/>
      <c r="F4604" s="110"/>
      <c r="G4604" s="109"/>
    </row>
    <row r="4605" spans="3:7" x14ac:dyDescent="0.3">
      <c r="C4605" s="109"/>
      <c r="D4605" s="109"/>
      <c r="E4605" s="109"/>
      <c r="F4605" s="110"/>
      <c r="G4605" s="109"/>
    </row>
    <row r="4606" spans="3:7" x14ac:dyDescent="0.3">
      <c r="C4606" s="109"/>
      <c r="D4606" s="109"/>
      <c r="E4606" s="109"/>
      <c r="F4606" s="110"/>
      <c r="G4606" s="109"/>
    </row>
    <row r="4607" spans="3:7" x14ac:dyDescent="0.3">
      <c r="C4607" s="109"/>
      <c r="D4607" s="109"/>
      <c r="E4607" s="109"/>
      <c r="F4607" s="110"/>
      <c r="G4607" s="109"/>
    </row>
    <row r="4608" spans="3:7" x14ac:dyDescent="0.3">
      <c r="C4608" s="109"/>
      <c r="D4608" s="109"/>
      <c r="E4608" s="109"/>
      <c r="F4608" s="110"/>
      <c r="G4608" s="109"/>
    </row>
    <row r="4609" spans="3:7" x14ac:dyDescent="0.3">
      <c r="C4609" s="109"/>
      <c r="D4609" s="109"/>
      <c r="E4609" s="109"/>
      <c r="F4609" s="110"/>
      <c r="G4609" s="109"/>
    </row>
    <row r="4610" spans="3:7" x14ac:dyDescent="0.3">
      <c r="C4610" s="109"/>
      <c r="D4610" s="109"/>
      <c r="E4610" s="109"/>
      <c r="F4610" s="110"/>
      <c r="G4610" s="109"/>
    </row>
    <row r="4611" spans="3:7" x14ac:dyDescent="0.3">
      <c r="C4611" s="109"/>
      <c r="D4611" s="109"/>
      <c r="E4611" s="109"/>
      <c r="F4611" s="110"/>
      <c r="G4611" s="109"/>
    </row>
    <row r="4612" spans="3:7" x14ac:dyDescent="0.3">
      <c r="C4612" s="109"/>
      <c r="D4612" s="109"/>
      <c r="E4612" s="109"/>
      <c r="F4612" s="110"/>
      <c r="G4612" s="109"/>
    </row>
    <row r="4613" spans="3:7" x14ac:dyDescent="0.3">
      <c r="C4613" s="109"/>
      <c r="D4613" s="109"/>
      <c r="E4613" s="109"/>
      <c r="F4613" s="110"/>
      <c r="G4613" s="109"/>
    </row>
    <row r="4614" spans="3:7" x14ac:dyDescent="0.3">
      <c r="C4614" s="109"/>
      <c r="D4614" s="109"/>
      <c r="E4614" s="109"/>
      <c r="F4614" s="110"/>
      <c r="G4614" s="109"/>
    </row>
    <row r="4615" spans="3:7" x14ac:dyDescent="0.3">
      <c r="C4615" s="109"/>
      <c r="D4615" s="109"/>
      <c r="E4615" s="109"/>
      <c r="F4615" s="110"/>
      <c r="G4615" s="109"/>
    </row>
    <row r="4616" spans="3:7" x14ac:dyDescent="0.3">
      <c r="C4616" s="109"/>
      <c r="D4616" s="109"/>
      <c r="E4616" s="109"/>
      <c r="F4616" s="110"/>
      <c r="G4616" s="109"/>
    </row>
    <row r="4617" spans="3:7" x14ac:dyDescent="0.3">
      <c r="C4617" s="109"/>
      <c r="D4617" s="109"/>
      <c r="E4617" s="109"/>
      <c r="F4617" s="110"/>
      <c r="G4617" s="109"/>
    </row>
    <row r="4618" spans="3:7" x14ac:dyDescent="0.3">
      <c r="C4618" s="109"/>
      <c r="D4618" s="109"/>
      <c r="E4618" s="109"/>
      <c r="F4618" s="110"/>
      <c r="G4618" s="109"/>
    </row>
    <row r="4619" spans="3:7" x14ac:dyDescent="0.3">
      <c r="C4619" s="109"/>
      <c r="D4619" s="109"/>
      <c r="E4619" s="109"/>
      <c r="F4619" s="110"/>
      <c r="G4619" s="109"/>
    </row>
    <row r="4620" spans="3:7" x14ac:dyDescent="0.3">
      <c r="C4620" s="109"/>
      <c r="D4620" s="109"/>
      <c r="E4620" s="109"/>
      <c r="F4620" s="110"/>
      <c r="G4620" s="109"/>
    </row>
    <row r="4621" spans="3:7" x14ac:dyDescent="0.3">
      <c r="C4621" s="109"/>
      <c r="D4621" s="109"/>
      <c r="E4621" s="109"/>
      <c r="F4621" s="110"/>
      <c r="G4621" s="109"/>
    </row>
    <row r="4622" spans="3:7" x14ac:dyDescent="0.3">
      <c r="C4622" s="109"/>
      <c r="D4622" s="109"/>
      <c r="E4622" s="109"/>
      <c r="F4622" s="110"/>
      <c r="G4622" s="109"/>
    </row>
    <row r="4623" spans="3:7" x14ac:dyDescent="0.3">
      <c r="C4623" s="109"/>
      <c r="D4623" s="109"/>
      <c r="E4623" s="109"/>
      <c r="F4623" s="110"/>
      <c r="G4623" s="109"/>
    </row>
    <row r="4624" spans="3:7" x14ac:dyDescent="0.3">
      <c r="C4624" s="109"/>
      <c r="D4624" s="109"/>
      <c r="E4624" s="109"/>
      <c r="F4624" s="110"/>
      <c r="G4624" s="109"/>
    </row>
    <row r="4625" spans="3:7" x14ac:dyDescent="0.3">
      <c r="C4625" s="109"/>
      <c r="D4625" s="109"/>
      <c r="E4625" s="109"/>
      <c r="F4625" s="110"/>
      <c r="G4625" s="109"/>
    </row>
    <row r="4626" spans="3:7" x14ac:dyDescent="0.3">
      <c r="C4626" s="109"/>
      <c r="D4626" s="109"/>
      <c r="E4626" s="109"/>
      <c r="F4626" s="110"/>
      <c r="G4626" s="109"/>
    </row>
    <row r="4627" spans="3:7" x14ac:dyDescent="0.3">
      <c r="C4627" s="109"/>
      <c r="D4627" s="109"/>
      <c r="E4627" s="109"/>
      <c r="F4627" s="110"/>
      <c r="G4627" s="109"/>
    </row>
    <row r="4628" spans="3:7" x14ac:dyDescent="0.3">
      <c r="C4628" s="109"/>
      <c r="D4628" s="109"/>
      <c r="E4628" s="109"/>
      <c r="F4628" s="110"/>
      <c r="G4628" s="109"/>
    </row>
    <row r="4629" spans="3:7" x14ac:dyDescent="0.3">
      <c r="C4629" s="109"/>
      <c r="D4629" s="109"/>
      <c r="E4629" s="109"/>
      <c r="F4629" s="110"/>
      <c r="G4629" s="109"/>
    </row>
    <row r="4630" spans="3:7" x14ac:dyDescent="0.3">
      <c r="C4630" s="109"/>
      <c r="D4630" s="109"/>
      <c r="E4630" s="109"/>
      <c r="F4630" s="110"/>
      <c r="G4630" s="109"/>
    </row>
    <row r="4631" spans="3:7" x14ac:dyDescent="0.3">
      <c r="C4631" s="109"/>
      <c r="D4631" s="109"/>
      <c r="E4631" s="109"/>
      <c r="F4631" s="110"/>
      <c r="G4631" s="109"/>
    </row>
    <row r="4632" spans="3:7" x14ac:dyDescent="0.3">
      <c r="C4632" s="109"/>
      <c r="D4632" s="109"/>
      <c r="E4632" s="109"/>
      <c r="F4632" s="110"/>
      <c r="G4632" s="109"/>
    </row>
    <row r="4633" spans="3:7" x14ac:dyDescent="0.3">
      <c r="C4633" s="109"/>
      <c r="D4633" s="109"/>
      <c r="E4633" s="109"/>
      <c r="F4633" s="110"/>
      <c r="G4633" s="109"/>
    </row>
    <row r="4634" spans="3:7" x14ac:dyDescent="0.3">
      <c r="C4634" s="109"/>
      <c r="D4634" s="109"/>
      <c r="E4634" s="109"/>
      <c r="F4634" s="110"/>
      <c r="G4634" s="109"/>
    </row>
    <row r="4635" spans="3:7" x14ac:dyDescent="0.3">
      <c r="C4635" s="109"/>
      <c r="D4635" s="109"/>
      <c r="E4635" s="109"/>
      <c r="F4635" s="110"/>
      <c r="G4635" s="109"/>
    </row>
    <row r="4636" spans="3:7" x14ac:dyDescent="0.3">
      <c r="C4636" s="109"/>
      <c r="D4636" s="109"/>
      <c r="E4636" s="109"/>
      <c r="F4636" s="110"/>
      <c r="G4636" s="109"/>
    </row>
    <row r="4637" spans="3:7" x14ac:dyDescent="0.3">
      <c r="C4637" s="109"/>
      <c r="D4637" s="109"/>
      <c r="E4637" s="109"/>
      <c r="F4637" s="110"/>
      <c r="G4637" s="109"/>
    </row>
    <row r="4638" spans="3:7" x14ac:dyDescent="0.3">
      <c r="C4638" s="109"/>
      <c r="D4638" s="109"/>
      <c r="E4638" s="109"/>
      <c r="F4638" s="110"/>
      <c r="G4638" s="109"/>
    </row>
    <row r="4639" spans="3:7" x14ac:dyDescent="0.3">
      <c r="C4639" s="109"/>
      <c r="D4639" s="109"/>
      <c r="E4639" s="109"/>
      <c r="F4639" s="110"/>
      <c r="G4639" s="109"/>
    </row>
    <row r="4640" spans="3:7" x14ac:dyDescent="0.3">
      <c r="C4640" s="109"/>
      <c r="D4640" s="109"/>
      <c r="E4640" s="109"/>
      <c r="F4640" s="110"/>
      <c r="G4640" s="109"/>
    </row>
    <row r="4641" spans="3:7" x14ac:dyDescent="0.3">
      <c r="C4641" s="109"/>
      <c r="D4641" s="109"/>
      <c r="E4641" s="109"/>
      <c r="F4641" s="110"/>
      <c r="G4641" s="109"/>
    </row>
    <row r="4642" spans="3:7" x14ac:dyDescent="0.3">
      <c r="C4642" s="109"/>
      <c r="D4642" s="109"/>
      <c r="E4642" s="109"/>
      <c r="F4642" s="110"/>
      <c r="G4642" s="109"/>
    </row>
    <row r="4643" spans="3:7" x14ac:dyDescent="0.3">
      <c r="C4643" s="109"/>
      <c r="D4643" s="109"/>
      <c r="E4643" s="109"/>
      <c r="F4643" s="110"/>
      <c r="G4643" s="109"/>
    </row>
    <row r="4644" spans="3:7" x14ac:dyDescent="0.3">
      <c r="C4644" s="109"/>
      <c r="D4644" s="109"/>
      <c r="E4644" s="109"/>
      <c r="F4644" s="110"/>
      <c r="G4644" s="109"/>
    </row>
    <row r="4645" spans="3:7" x14ac:dyDescent="0.3">
      <c r="C4645" s="109"/>
      <c r="D4645" s="109"/>
      <c r="E4645" s="109"/>
      <c r="F4645" s="110"/>
      <c r="G4645" s="109"/>
    </row>
    <row r="4646" spans="3:7" x14ac:dyDescent="0.3">
      <c r="C4646" s="109"/>
      <c r="D4646" s="109"/>
      <c r="E4646" s="109"/>
      <c r="F4646" s="110"/>
      <c r="G4646" s="109"/>
    </row>
    <row r="4647" spans="3:7" x14ac:dyDescent="0.3">
      <c r="C4647" s="109"/>
      <c r="D4647" s="109"/>
      <c r="E4647" s="109"/>
      <c r="F4647" s="110"/>
      <c r="G4647" s="109"/>
    </row>
    <row r="4648" spans="3:7" x14ac:dyDescent="0.3">
      <c r="C4648" s="109"/>
      <c r="D4648" s="109"/>
      <c r="E4648" s="109"/>
      <c r="F4648" s="110"/>
      <c r="G4648" s="109"/>
    </row>
    <row r="4649" spans="3:7" x14ac:dyDescent="0.3">
      <c r="C4649" s="109"/>
      <c r="D4649" s="109"/>
      <c r="E4649" s="109"/>
      <c r="F4649" s="110"/>
      <c r="G4649" s="109"/>
    </row>
    <row r="4650" spans="3:7" x14ac:dyDescent="0.3">
      <c r="C4650" s="109"/>
      <c r="D4650" s="109"/>
      <c r="E4650" s="109"/>
      <c r="F4650" s="110"/>
      <c r="G4650" s="109"/>
    </row>
    <row r="4651" spans="3:7" x14ac:dyDescent="0.3">
      <c r="C4651" s="109"/>
      <c r="D4651" s="109"/>
      <c r="E4651" s="109"/>
      <c r="F4651" s="110"/>
      <c r="G4651" s="109"/>
    </row>
    <row r="4652" spans="3:7" x14ac:dyDescent="0.3">
      <c r="C4652" s="109"/>
      <c r="D4652" s="109"/>
      <c r="E4652" s="109"/>
      <c r="F4652" s="110"/>
      <c r="G4652" s="109"/>
    </row>
    <row r="4653" spans="3:7" x14ac:dyDescent="0.3">
      <c r="C4653" s="109"/>
      <c r="D4653" s="109"/>
      <c r="E4653" s="109"/>
      <c r="F4653" s="110"/>
      <c r="G4653" s="109"/>
    </row>
    <row r="4654" spans="3:7" x14ac:dyDescent="0.3">
      <c r="C4654" s="109"/>
      <c r="D4654" s="109"/>
      <c r="E4654" s="109"/>
      <c r="F4654" s="110"/>
      <c r="G4654" s="109"/>
    </row>
    <row r="4655" spans="3:7" x14ac:dyDescent="0.3">
      <c r="C4655" s="109"/>
      <c r="D4655" s="109"/>
      <c r="E4655" s="109"/>
      <c r="F4655" s="110"/>
      <c r="G4655" s="109"/>
    </row>
    <row r="4656" spans="3:7" x14ac:dyDescent="0.3">
      <c r="C4656" s="109"/>
      <c r="D4656" s="109"/>
      <c r="E4656" s="109"/>
      <c r="F4656" s="110"/>
      <c r="G4656" s="109"/>
    </row>
    <row r="4657" spans="3:7" x14ac:dyDescent="0.3">
      <c r="C4657" s="109"/>
      <c r="D4657" s="109"/>
      <c r="E4657" s="109"/>
      <c r="F4657" s="110"/>
      <c r="G4657" s="109"/>
    </row>
    <row r="4658" spans="3:7" x14ac:dyDescent="0.3">
      <c r="C4658" s="109"/>
      <c r="D4658" s="109"/>
      <c r="E4658" s="109"/>
      <c r="F4658" s="110"/>
      <c r="G4658" s="109"/>
    </row>
    <row r="4659" spans="3:7" x14ac:dyDescent="0.3">
      <c r="C4659" s="109"/>
      <c r="D4659" s="109"/>
      <c r="E4659" s="109"/>
      <c r="F4659" s="110"/>
      <c r="G4659" s="109"/>
    </row>
    <row r="4660" spans="3:7" x14ac:dyDescent="0.3">
      <c r="C4660" s="109"/>
      <c r="D4660" s="109"/>
      <c r="E4660" s="109"/>
      <c r="F4660" s="110"/>
      <c r="G4660" s="109"/>
    </row>
    <row r="4661" spans="3:7" x14ac:dyDescent="0.3">
      <c r="C4661" s="109"/>
      <c r="D4661" s="109"/>
      <c r="E4661" s="109"/>
      <c r="F4661" s="110"/>
      <c r="G4661" s="109"/>
    </row>
    <row r="4662" spans="3:7" x14ac:dyDescent="0.3">
      <c r="C4662" s="109"/>
      <c r="D4662" s="109"/>
      <c r="E4662" s="109"/>
      <c r="F4662" s="110"/>
      <c r="G4662" s="109"/>
    </row>
    <row r="4663" spans="3:7" x14ac:dyDescent="0.3">
      <c r="C4663" s="109"/>
      <c r="D4663" s="109"/>
      <c r="E4663" s="109"/>
      <c r="F4663" s="110"/>
      <c r="G4663" s="109"/>
    </row>
    <row r="4664" spans="3:7" x14ac:dyDescent="0.3">
      <c r="C4664" s="109"/>
      <c r="D4664" s="109"/>
      <c r="E4664" s="109"/>
      <c r="F4664" s="110"/>
      <c r="G4664" s="109"/>
    </row>
    <row r="4665" spans="3:7" x14ac:dyDescent="0.3">
      <c r="C4665" s="109"/>
      <c r="D4665" s="109"/>
      <c r="E4665" s="109"/>
      <c r="F4665" s="110"/>
      <c r="G4665" s="109"/>
    </row>
    <row r="4666" spans="3:7" x14ac:dyDescent="0.3">
      <c r="C4666" s="109"/>
      <c r="D4666" s="109"/>
      <c r="E4666" s="109"/>
      <c r="F4666" s="110"/>
      <c r="G4666" s="109"/>
    </row>
    <row r="4667" spans="3:7" x14ac:dyDescent="0.3">
      <c r="C4667" s="109"/>
      <c r="D4667" s="109"/>
      <c r="E4667" s="109"/>
      <c r="F4667" s="110"/>
      <c r="G4667" s="109"/>
    </row>
    <row r="4668" spans="3:7" x14ac:dyDescent="0.3">
      <c r="C4668" s="109"/>
      <c r="D4668" s="109"/>
      <c r="E4668" s="109"/>
      <c r="F4668" s="110"/>
      <c r="G4668" s="109"/>
    </row>
    <row r="4669" spans="3:7" x14ac:dyDescent="0.3">
      <c r="C4669" s="109"/>
      <c r="D4669" s="109"/>
      <c r="E4669" s="109"/>
      <c r="F4669" s="110"/>
      <c r="G4669" s="109"/>
    </row>
    <row r="4670" spans="3:7" x14ac:dyDescent="0.3">
      <c r="C4670" s="109"/>
      <c r="D4670" s="109"/>
      <c r="E4670" s="109"/>
      <c r="F4670" s="110"/>
      <c r="G4670" s="109"/>
    </row>
    <row r="4671" spans="3:7" x14ac:dyDescent="0.3">
      <c r="C4671" s="109"/>
      <c r="D4671" s="109"/>
      <c r="E4671" s="109"/>
      <c r="F4671" s="110"/>
      <c r="G4671" s="109"/>
    </row>
    <row r="4672" spans="3:7" x14ac:dyDescent="0.3">
      <c r="C4672" s="109"/>
      <c r="D4672" s="109"/>
      <c r="E4672" s="109"/>
      <c r="F4672" s="110"/>
      <c r="G4672" s="109"/>
    </row>
    <row r="4673" spans="3:7" x14ac:dyDescent="0.3">
      <c r="C4673" s="109"/>
      <c r="D4673" s="109"/>
      <c r="E4673" s="109"/>
      <c r="F4673" s="110"/>
      <c r="G4673" s="109"/>
    </row>
    <row r="4674" spans="3:7" x14ac:dyDescent="0.3">
      <c r="C4674" s="109"/>
      <c r="D4674" s="109"/>
      <c r="E4674" s="109"/>
      <c r="F4674" s="110"/>
      <c r="G4674" s="109"/>
    </row>
    <row r="4675" spans="3:7" x14ac:dyDescent="0.3">
      <c r="C4675" s="109"/>
      <c r="D4675" s="109"/>
      <c r="E4675" s="109"/>
      <c r="F4675" s="110"/>
      <c r="G4675" s="109"/>
    </row>
    <row r="4676" spans="3:7" x14ac:dyDescent="0.3">
      <c r="C4676" s="109"/>
      <c r="D4676" s="109"/>
      <c r="E4676" s="109"/>
      <c r="F4676" s="110"/>
      <c r="G4676" s="109"/>
    </row>
    <row r="4677" spans="3:7" x14ac:dyDescent="0.3">
      <c r="C4677" s="109"/>
      <c r="D4677" s="109"/>
      <c r="E4677" s="109"/>
      <c r="F4677" s="110"/>
      <c r="G4677" s="109"/>
    </row>
    <row r="4678" spans="3:7" x14ac:dyDescent="0.3">
      <c r="C4678" s="109"/>
      <c r="D4678" s="109"/>
      <c r="E4678" s="109"/>
      <c r="F4678" s="110"/>
      <c r="G4678" s="109"/>
    </row>
    <row r="4679" spans="3:7" x14ac:dyDescent="0.3">
      <c r="C4679" s="109"/>
      <c r="D4679" s="109"/>
      <c r="E4679" s="109"/>
      <c r="F4679" s="110"/>
      <c r="G4679" s="109"/>
    </row>
    <row r="4680" spans="3:7" x14ac:dyDescent="0.3">
      <c r="C4680" s="109"/>
      <c r="D4680" s="109"/>
      <c r="E4680" s="109"/>
      <c r="F4680" s="110"/>
      <c r="G4680" s="109"/>
    </row>
    <row r="4681" spans="3:7" x14ac:dyDescent="0.3">
      <c r="C4681" s="109"/>
      <c r="D4681" s="109"/>
      <c r="E4681" s="109"/>
      <c r="F4681" s="110"/>
      <c r="G4681" s="109"/>
    </row>
    <row r="4682" spans="3:7" x14ac:dyDescent="0.3">
      <c r="C4682" s="109"/>
      <c r="D4682" s="109"/>
      <c r="E4682" s="109"/>
      <c r="F4682" s="110"/>
      <c r="G4682" s="109"/>
    </row>
    <row r="4683" spans="3:7" x14ac:dyDescent="0.3">
      <c r="C4683" s="109"/>
      <c r="D4683" s="109"/>
      <c r="E4683" s="109"/>
      <c r="F4683" s="110"/>
      <c r="G4683" s="109"/>
    </row>
    <row r="4684" spans="3:7" x14ac:dyDescent="0.3">
      <c r="C4684" s="109"/>
      <c r="D4684" s="109"/>
      <c r="E4684" s="109"/>
      <c r="F4684" s="110"/>
      <c r="G4684" s="109"/>
    </row>
    <row r="4685" spans="3:7" x14ac:dyDescent="0.3">
      <c r="C4685" s="109"/>
      <c r="D4685" s="109"/>
      <c r="E4685" s="109"/>
      <c r="F4685" s="110"/>
      <c r="G4685" s="109"/>
    </row>
    <row r="4686" spans="3:7" x14ac:dyDescent="0.3">
      <c r="C4686" s="109"/>
      <c r="D4686" s="109"/>
      <c r="E4686" s="109"/>
      <c r="F4686" s="110"/>
      <c r="G4686" s="109"/>
    </row>
    <row r="4687" spans="3:7" x14ac:dyDescent="0.3">
      <c r="C4687" s="109"/>
      <c r="D4687" s="109"/>
      <c r="E4687" s="109"/>
      <c r="F4687" s="110"/>
      <c r="G4687" s="109"/>
    </row>
    <row r="4688" spans="3:7" x14ac:dyDescent="0.3">
      <c r="C4688" s="109"/>
      <c r="D4688" s="109"/>
      <c r="E4688" s="109"/>
      <c r="F4688" s="110"/>
      <c r="G4688" s="109"/>
    </row>
    <row r="4689" spans="3:7" x14ac:dyDescent="0.3">
      <c r="C4689" s="109"/>
      <c r="D4689" s="109"/>
      <c r="E4689" s="109"/>
      <c r="F4689" s="110"/>
      <c r="G4689" s="109"/>
    </row>
    <row r="4690" spans="3:7" x14ac:dyDescent="0.3">
      <c r="C4690" s="109"/>
      <c r="D4690" s="109"/>
      <c r="E4690" s="109"/>
      <c r="F4690" s="110"/>
      <c r="G4690" s="109"/>
    </row>
    <row r="4691" spans="3:7" x14ac:dyDescent="0.3">
      <c r="C4691" s="109"/>
      <c r="D4691" s="109"/>
      <c r="E4691" s="109"/>
      <c r="F4691" s="110"/>
      <c r="G4691" s="109"/>
    </row>
    <row r="4692" spans="3:7" x14ac:dyDescent="0.3">
      <c r="C4692" s="109"/>
      <c r="D4692" s="109"/>
      <c r="E4692" s="109"/>
      <c r="F4692" s="110"/>
      <c r="G4692" s="109"/>
    </row>
    <row r="4693" spans="3:7" x14ac:dyDescent="0.3">
      <c r="C4693" s="109"/>
      <c r="D4693" s="109"/>
      <c r="E4693" s="109"/>
      <c r="F4693" s="110"/>
      <c r="G4693" s="109"/>
    </row>
    <row r="4694" spans="3:7" x14ac:dyDescent="0.3">
      <c r="C4694" s="109"/>
      <c r="D4694" s="109"/>
      <c r="E4694" s="109"/>
      <c r="F4694" s="110"/>
      <c r="G4694" s="109"/>
    </row>
    <row r="4695" spans="3:7" x14ac:dyDescent="0.3">
      <c r="C4695" s="109"/>
      <c r="D4695" s="109"/>
      <c r="E4695" s="109"/>
      <c r="F4695" s="110"/>
      <c r="G4695" s="109"/>
    </row>
    <row r="4696" spans="3:7" x14ac:dyDescent="0.3">
      <c r="C4696" s="109"/>
      <c r="D4696" s="109"/>
      <c r="E4696" s="109"/>
      <c r="F4696" s="110"/>
      <c r="G4696" s="109"/>
    </row>
    <row r="4697" spans="3:7" x14ac:dyDescent="0.3">
      <c r="C4697" s="109"/>
      <c r="D4697" s="109"/>
      <c r="E4697" s="109"/>
      <c r="F4697" s="110"/>
      <c r="G4697" s="109"/>
    </row>
    <row r="4698" spans="3:7" x14ac:dyDescent="0.3">
      <c r="C4698" s="109"/>
      <c r="D4698" s="109"/>
      <c r="E4698" s="109"/>
      <c r="F4698" s="110"/>
      <c r="G4698" s="109"/>
    </row>
    <row r="4699" spans="3:7" x14ac:dyDescent="0.3">
      <c r="C4699" s="109"/>
      <c r="D4699" s="109"/>
      <c r="E4699" s="109"/>
      <c r="F4699" s="110"/>
      <c r="G4699" s="109"/>
    </row>
    <row r="4700" spans="3:7" x14ac:dyDescent="0.3">
      <c r="C4700" s="109"/>
      <c r="D4700" s="109"/>
      <c r="E4700" s="109"/>
      <c r="F4700" s="110"/>
      <c r="G4700" s="109"/>
    </row>
    <row r="4701" spans="3:7" x14ac:dyDescent="0.3">
      <c r="C4701" s="109"/>
      <c r="D4701" s="109"/>
      <c r="E4701" s="109"/>
      <c r="F4701" s="110"/>
      <c r="G4701" s="109"/>
    </row>
    <row r="4702" spans="3:7" x14ac:dyDescent="0.3">
      <c r="C4702" s="109"/>
      <c r="D4702" s="109"/>
      <c r="E4702" s="109"/>
      <c r="F4702" s="110"/>
      <c r="G4702" s="109"/>
    </row>
    <row r="4703" spans="3:7" x14ac:dyDescent="0.3">
      <c r="C4703" s="109"/>
      <c r="D4703" s="109"/>
      <c r="E4703" s="109"/>
      <c r="F4703" s="110"/>
      <c r="G4703" s="109"/>
    </row>
    <row r="4704" spans="3:7" x14ac:dyDescent="0.3">
      <c r="C4704" s="109"/>
      <c r="D4704" s="109"/>
      <c r="E4704" s="109"/>
      <c r="F4704" s="110"/>
      <c r="G4704" s="109"/>
    </row>
    <row r="4705" spans="3:7" x14ac:dyDescent="0.3">
      <c r="C4705" s="109"/>
      <c r="D4705" s="109"/>
      <c r="E4705" s="109"/>
      <c r="F4705" s="110"/>
      <c r="G4705" s="109"/>
    </row>
    <row r="4706" spans="3:7" x14ac:dyDescent="0.3">
      <c r="C4706" s="109"/>
      <c r="D4706" s="109"/>
      <c r="E4706" s="109"/>
      <c r="F4706" s="110"/>
      <c r="G4706" s="109"/>
    </row>
    <row r="4707" spans="3:7" x14ac:dyDescent="0.3">
      <c r="C4707" s="109"/>
      <c r="D4707" s="109"/>
      <c r="E4707" s="109"/>
      <c r="F4707" s="110"/>
      <c r="G4707" s="109"/>
    </row>
    <row r="4708" spans="3:7" x14ac:dyDescent="0.3">
      <c r="C4708" s="109"/>
      <c r="D4708" s="109"/>
      <c r="E4708" s="109"/>
      <c r="F4708" s="110"/>
      <c r="G4708" s="109"/>
    </row>
    <row r="4709" spans="3:7" x14ac:dyDescent="0.3">
      <c r="C4709" s="109"/>
      <c r="D4709" s="109"/>
      <c r="E4709" s="109"/>
      <c r="F4709" s="110"/>
      <c r="G4709" s="109"/>
    </row>
    <row r="4710" spans="3:7" x14ac:dyDescent="0.3">
      <c r="C4710" s="109"/>
      <c r="D4710" s="109"/>
      <c r="E4710" s="109"/>
      <c r="F4710" s="110"/>
      <c r="G4710" s="109"/>
    </row>
    <row r="4711" spans="3:7" x14ac:dyDescent="0.3">
      <c r="C4711" s="109"/>
      <c r="D4711" s="109"/>
      <c r="E4711" s="109"/>
      <c r="F4711" s="110"/>
      <c r="G4711" s="109"/>
    </row>
    <row r="4712" spans="3:7" x14ac:dyDescent="0.3">
      <c r="C4712" s="109"/>
      <c r="D4712" s="109"/>
      <c r="E4712" s="109"/>
      <c r="F4712" s="110"/>
      <c r="G4712" s="109"/>
    </row>
    <row r="4713" spans="3:7" x14ac:dyDescent="0.3">
      <c r="C4713" s="109"/>
      <c r="D4713" s="109"/>
      <c r="E4713" s="109"/>
      <c r="F4713" s="110"/>
      <c r="G4713" s="109"/>
    </row>
    <row r="4714" spans="3:7" x14ac:dyDescent="0.3">
      <c r="C4714" s="109"/>
      <c r="D4714" s="109"/>
      <c r="E4714" s="109"/>
      <c r="F4714" s="110"/>
      <c r="G4714" s="109"/>
    </row>
    <row r="4715" spans="3:7" x14ac:dyDescent="0.3">
      <c r="C4715" s="109"/>
      <c r="D4715" s="109"/>
      <c r="E4715" s="109"/>
      <c r="F4715" s="110"/>
      <c r="G4715" s="109"/>
    </row>
    <row r="4716" spans="3:7" x14ac:dyDescent="0.3">
      <c r="C4716" s="109"/>
      <c r="D4716" s="109"/>
      <c r="E4716" s="109"/>
      <c r="F4716" s="110"/>
      <c r="G4716" s="109"/>
    </row>
    <row r="4717" spans="3:7" x14ac:dyDescent="0.3">
      <c r="C4717" s="109"/>
      <c r="D4717" s="109"/>
      <c r="E4717" s="109"/>
      <c r="F4717" s="110"/>
      <c r="G4717" s="109"/>
    </row>
    <row r="4718" spans="3:7" x14ac:dyDescent="0.3">
      <c r="C4718" s="109"/>
      <c r="D4718" s="109"/>
      <c r="E4718" s="109"/>
      <c r="F4718" s="110"/>
      <c r="G4718" s="109"/>
    </row>
    <row r="4719" spans="3:7" x14ac:dyDescent="0.3">
      <c r="C4719" s="109"/>
      <c r="D4719" s="109"/>
      <c r="E4719" s="109"/>
      <c r="F4719" s="110"/>
      <c r="G4719" s="109"/>
    </row>
    <row r="4720" spans="3:7" x14ac:dyDescent="0.3">
      <c r="C4720" s="109"/>
      <c r="D4720" s="109"/>
      <c r="E4720" s="109"/>
      <c r="F4720" s="110"/>
      <c r="G4720" s="109"/>
    </row>
    <row r="4721" spans="3:7" x14ac:dyDescent="0.3">
      <c r="C4721" s="109"/>
      <c r="D4721" s="109"/>
      <c r="E4721" s="109"/>
      <c r="F4721" s="110"/>
      <c r="G4721" s="109"/>
    </row>
    <row r="4722" spans="3:7" x14ac:dyDescent="0.3">
      <c r="C4722" s="109"/>
      <c r="D4722" s="109"/>
      <c r="E4722" s="109"/>
      <c r="F4722" s="110"/>
      <c r="G4722" s="109"/>
    </row>
    <row r="4723" spans="3:7" x14ac:dyDescent="0.3">
      <c r="C4723" s="109"/>
      <c r="D4723" s="109"/>
      <c r="E4723" s="109"/>
      <c r="F4723" s="110"/>
      <c r="G4723" s="109"/>
    </row>
    <row r="4724" spans="3:7" x14ac:dyDescent="0.3">
      <c r="C4724" s="109"/>
      <c r="D4724" s="109"/>
      <c r="E4724" s="109"/>
      <c r="F4724" s="110"/>
      <c r="G4724" s="109"/>
    </row>
    <row r="4725" spans="3:7" x14ac:dyDescent="0.3">
      <c r="C4725" s="109"/>
      <c r="D4725" s="109"/>
      <c r="E4725" s="109"/>
      <c r="F4725" s="110"/>
      <c r="G4725" s="109"/>
    </row>
    <row r="4726" spans="3:7" x14ac:dyDescent="0.3">
      <c r="C4726" s="109"/>
      <c r="D4726" s="109"/>
      <c r="E4726" s="109"/>
      <c r="F4726" s="110"/>
      <c r="G4726" s="109"/>
    </row>
    <row r="4727" spans="3:7" x14ac:dyDescent="0.3">
      <c r="C4727" s="109"/>
      <c r="D4727" s="109"/>
      <c r="E4727" s="109"/>
      <c r="F4727" s="110"/>
      <c r="G4727" s="109"/>
    </row>
    <row r="4728" spans="3:7" x14ac:dyDescent="0.3">
      <c r="C4728" s="109"/>
      <c r="D4728" s="109"/>
      <c r="E4728" s="109"/>
      <c r="F4728" s="110"/>
      <c r="G4728" s="109"/>
    </row>
    <row r="4729" spans="3:7" x14ac:dyDescent="0.3">
      <c r="C4729" s="109"/>
      <c r="D4729" s="109"/>
      <c r="E4729" s="109"/>
      <c r="F4729" s="110"/>
      <c r="G4729" s="109"/>
    </row>
    <row r="4730" spans="3:7" x14ac:dyDescent="0.3">
      <c r="C4730" s="109"/>
      <c r="D4730" s="109"/>
      <c r="E4730" s="109"/>
      <c r="F4730" s="110"/>
      <c r="G4730" s="109"/>
    </row>
    <row r="4731" spans="3:7" x14ac:dyDescent="0.3">
      <c r="C4731" s="109"/>
      <c r="D4731" s="109"/>
      <c r="E4731" s="109"/>
      <c r="F4731" s="110"/>
      <c r="G4731" s="109"/>
    </row>
    <row r="4732" spans="3:7" x14ac:dyDescent="0.3">
      <c r="C4732" s="109"/>
      <c r="D4732" s="109"/>
      <c r="E4732" s="109"/>
      <c r="F4732" s="110"/>
      <c r="G4732" s="109"/>
    </row>
    <row r="4733" spans="3:7" x14ac:dyDescent="0.3">
      <c r="C4733" s="109"/>
      <c r="D4733" s="109"/>
      <c r="E4733" s="109"/>
      <c r="F4733" s="110"/>
      <c r="G4733" s="109"/>
    </row>
    <row r="4734" spans="3:7" x14ac:dyDescent="0.3">
      <c r="C4734" s="109"/>
      <c r="D4734" s="109"/>
      <c r="E4734" s="109"/>
      <c r="F4734" s="110"/>
      <c r="G4734" s="109"/>
    </row>
    <row r="4735" spans="3:7" x14ac:dyDescent="0.3">
      <c r="C4735" s="109"/>
      <c r="D4735" s="109"/>
      <c r="E4735" s="109"/>
      <c r="F4735" s="110"/>
      <c r="G4735" s="109"/>
    </row>
    <row r="4736" spans="3:7" x14ac:dyDescent="0.3">
      <c r="C4736" s="109"/>
      <c r="D4736" s="109"/>
      <c r="E4736" s="109"/>
      <c r="F4736" s="110"/>
      <c r="G4736" s="109"/>
    </row>
    <row r="4737" spans="3:7" x14ac:dyDescent="0.3">
      <c r="C4737" s="109"/>
      <c r="D4737" s="109"/>
      <c r="E4737" s="109"/>
      <c r="F4737" s="110"/>
      <c r="G4737" s="109"/>
    </row>
    <row r="4738" spans="3:7" x14ac:dyDescent="0.3">
      <c r="C4738" s="109"/>
      <c r="D4738" s="109"/>
      <c r="E4738" s="109"/>
      <c r="F4738" s="110"/>
      <c r="G4738" s="109"/>
    </row>
    <row r="4739" spans="3:7" x14ac:dyDescent="0.3">
      <c r="C4739" s="109"/>
      <c r="D4739" s="109"/>
      <c r="E4739" s="109"/>
      <c r="F4739" s="110"/>
      <c r="G4739" s="109"/>
    </row>
    <row r="4740" spans="3:7" x14ac:dyDescent="0.3">
      <c r="C4740" s="109"/>
      <c r="D4740" s="109"/>
      <c r="E4740" s="109"/>
      <c r="F4740" s="110"/>
      <c r="G4740" s="109"/>
    </row>
    <row r="4741" spans="3:7" x14ac:dyDescent="0.3">
      <c r="C4741" s="109"/>
      <c r="D4741" s="109"/>
      <c r="E4741" s="109"/>
      <c r="F4741" s="110"/>
      <c r="G4741" s="109"/>
    </row>
    <row r="4742" spans="3:7" x14ac:dyDescent="0.3">
      <c r="C4742" s="109"/>
      <c r="D4742" s="109"/>
      <c r="E4742" s="109"/>
      <c r="F4742" s="110"/>
      <c r="G4742" s="109"/>
    </row>
    <row r="4743" spans="3:7" x14ac:dyDescent="0.3">
      <c r="C4743" s="109"/>
      <c r="D4743" s="109"/>
      <c r="E4743" s="109"/>
      <c r="F4743" s="110"/>
      <c r="G4743" s="109"/>
    </row>
    <row r="4744" spans="3:7" x14ac:dyDescent="0.3">
      <c r="C4744" s="109"/>
      <c r="D4744" s="109"/>
      <c r="E4744" s="109"/>
      <c r="F4744" s="110"/>
      <c r="G4744" s="109"/>
    </row>
    <row r="4745" spans="3:7" x14ac:dyDescent="0.3">
      <c r="C4745" s="109"/>
      <c r="D4745" s="109"/>
      <c r="E4745" s="109"/>
      <c r="F4745" s="110"/>
      <c r="G4745" s="109"/>
    </row>
    <row r="4746" spans="3:7" x14ac:dyDescent="0.3">
      <c r="C4746" s="109"/>
      <c r="D4746" s="109"/>
      <c r="E4746" s="109"/>
      <c r="F4746" s="110"/>
      <c r="G4746" s="109"/>
    </row>
    <row r="4747" spans="3:7" x14ac:dyDescent="0.3">
      <c r="C4747" s="109"/>
      <c r="D4747" s="109"/>
      <c r="E4747" s="109"/>
      <c r="F4747" s="110"/>
      <c r="G4747" s="109"/>
    </row>
    <row r="4748" spans="3:7" x14ac:dyDescent="0.3">
      <c r="C4748" s="109"/>
      <c r="D4748" s="109"/>
      <c r="E4748" s="109"/>
      <c r="F4748" s="110"/>
      <c r="G4748" s="109"/>
    </row>
    <row r="4749" spans="3:7" x14ac:dyDescent="0.3">
      <c r="C4749" s="109"/>
      <c r="D4749" s="109"/>
      <c r="E4749" s="109"/>
      <c r="F4749" s="110"/>
      <c r="G4749" s="109"/>
    </row>
    <row r="4750" spans="3:7" x14ac:dyDescent="0.3">
      <c r="C4750" s="109"/>
      <c r="D4750" s="109"/>
      <c r="E4750" s="109"/>
      <c r="F4750" s="110"/>
      <c r="G4750" s="109"/>
    </row>
    <row r="4751" spans="3:7" x14ac:dyDescent="0.3">
      <c r="C4751" s="109"/>
      <c r="D4751" s="109"/>
      <c r="E4751" s="109"/>
      <c r="F4751" s="110"/>
      <c r="G4751" s="109"/>
    </row>
    <row r="4752" spans="3:7" x14ac:dyDescent="0.3">
      <c r="C4752" s="109"/>
      <c r="D4752" s="109"/>
      <c r="E4752" s="109"/>
      <c r="F4752" s="110"/>
      <c r="G4752" s="109"/>
    </row>
    <row r="4753" spans="3:7" x14ac:dyDescent="0.3">
      <c r="C4753" s="109"/>
      <c r="D4753" s="109"/>
      <c r="E4753" s="109"/>
      <c r="F4753" s="110"/>
      <c r="G4753" s="109"/>
    </row>
    <row r="4754" spans="3:7" x14ac:dyDescent="0.3">
      <c r="C4754" s="109"/>
      <c r="D4754" s="109"/>
      <c r="E4754" s="109"/>
      <c r="F4754" s="110"/>
      <c r="G4754" s="109"/>
    </row>
    <row r="4755" spans="3:7" x14ac:dyDescent="0.3">
      <c r="C4755" s="109"/>
      <c r="D4755" s="109"/>
      <c r="E4755" s="109"/>
      <c r="F4755" s="110"/>
      <c r="G4755" s="109"/>
    </row>
    <row r="4756" spans="3:7" x14ac:dyDescent="0.3">
      <c r="C4756" s="109"/>
      <c r="D4756" s="109"/>
      <c r="E4756" s="109"/>
      <c r="F4756" s="110"/>
      <c r="G4756" s="109"/>
    </row>
    <row r="4757" spans="3:7" x14ac:dyDescent="0.3">
      <c r="C4757" s="109"/>
      <c r="D4757" s="109"/>
      <c r="E4757" s="109"/>
      <c r="F4757" s="110"/>
      <c r="G4757" s="109"/>
    </row>
    <row r="4758" spans="3:7" x14ac:dyDescent="0.3">
      <c r="C4758" s="109"/>
      <c r="D4758" s="109"/>
      <c r="E4758" s="109"/>
      <c r="F4758" s="110"/>
      <c r="G4758" s="109"/>
    </row>
    <row r="4759" spans="3:7" x14ac:dyDescent="0.3">
      <c r="C4759" s="109"/>
      <c r="D4759" s="109"/>
      <c r="E4759" s="109"/>
      <c r="F4759" s="110"/>
      <c r="G4759" s="109"/>
    </row>
    <row r="4760" spans="3:7" x14ac:dyDescent="0.3">
      <c r="C4760" s="109"/>
      <c r="D4760" s="109"/>
      <c r="E4760" s="109"/>
      <c r="F4760" s="110"/>
      <c r="G4760" s="109"/>
    </row>
    <row r="4761" spans="3:7" x14ac:dyDescent="0.3">
      <c r="C4761" s="109"/>
      <c r="D4761" s="109"/>
      <c r="E4761" s="109"/>
      <c r="F4761" s="110"/>
      <c r="G4761" s="109"/>
    </row>
    <row r="4762" spans="3:7" x14ac:dyDescent="0.3">
      <c r="C4762" s="109"/>
      <c r="D4762" s="109"/>
      <c r="E4762" s="109"/>
      <c r="F4762" s="110"/>
      <c r="G4762" s="109"/>
    </row>
    <row r="4763" spans="3:7" x14ac:dyDescent="0.3">
      <c r="C4763" s="109"/>
      <c r="D4763" s="109"/>
      <c r="E4763" s="109"/>
      <c r="F4763" s="110"/>
      <c r="G4763" s="109"/>
    </row>
    <row r="4764" spans="3:7" x14ac:dyDescent="0.3">
      <c r="C4764" s="109"/>
      <c r="D4764" s="109"/>
      <c r="E4764" s="109"/>
      <c r="F4764" s="110"/>
      <c r="G4764" s="109"/>
    </row>
    <row r="4765" spans="3:7" x14ac:dyDescent="0.3">
      <c r="C4765" s="109"/>
      <c r="D4765" s="109"/>
      <c r="E4765" s="109"/>
      <c r="F4765" s="110"/>
      <c r="G4765" s="109"/>
    </row>
    <row r="4766" spans="3:7" x14ac:dyDescent="0.3">
      <c r="C4766" s="109"/>
      <c r="D4766" s="109"/>
      <c r="E4766" s="109"/>
      <c r="F4766" s="110"/>
      <c r="G4766" s="109"/>
    </row>
    <row r="4767" spans="3:7" x14ac:dyDescent="0.3">
      <c r="C4767" s="109"/>
      <c r="D4767" s="109"/>
      <c r="E4767" s="109"/>
      <c r="F4767" s="110"/>
      <c r="G4767" s="109"/>
    </row>
    <row r="4768" spans="3:7" x14ac:dyDescent="0.3">
      <c r="C4768" s="109"/>
      <c r="D4768" s="109"/>
      <c r="E4768" s="109"/>
      <c r="F4768" s="110"/>
      <c r="G4768" s="109"/>
    </row>
    <row r="4769" spans="3:7" x14ac:dyDescent="0.3">
      <c r="C4769" s="109"/>
      <c r="D4769" s="109"/>
      <c r="E4769" s="109"/>
      <c r="F4769" s="110"/>
      <c r="G4769" s="109"/>
    </row>
    <row r="4770" spans="3:7" x14ac:dyDescent="0.3">
      <c r="C4770" s="109"/>
      <c r="D4770" s="109"/>
      <c r="E4770" s="109"/>
      <c r="F4770" s="110"/>
      <c r="G4770" s="109"/>
    </row>
    <row r="4771" spans="3:7" x14ac:dyDescent="0.3">
      <c r="C4771" s="109"/>
      <c r="D4771" s="109"/>
      <c r="E4771" s="109"/>
      <c r="F4771" s="110"/>
      <c r="G4771" s="109"/>
    </row>
    <row r="4772" spans="3:7" x14ac:dyDescent="0.3">
      <c r="C4772" s="109"/>
      <c r="D4772" s="109"/>
      <c r="E4772" s="109"/>
      <c r="F4772" s="110"/>
      <c r="G4772" s="109"/>
    </row>
    <row r="4773" spans="3:7" x14ac:dyDescent="0.3">
      <c r="C4773" s="109"/>
      <c r="D4773" s="109"/>
      <c r="E4773" s="109"/>
      <c r="F4773" s="110"/>
      <c r="G4773" s="109"/>
    </row>
    <row r="4774" spans="3:7" x14ac:dyDescent="0.3">
      <c r="C4774" s="109"/>
      <c r="D4774" s="109"/>
      <c r="E4774" s="109"/>
      <c r="F4774" s="110"/>
      <c r="G4774" s="109"/>
    </row>
    <row r="4775" spans="3:7" x14ac:dyDescent="0.3">
      <c r="C4775" s="109"/>
      <c r="D4775" s="109"/>
      <c r="E4775" s="109"/>
      <c r="F4775" s="110"/>
      <c r="G4775" s="109"/>
    </row>
    <row r="4776" spans="3:7" x14ac:dyDescent="0.3">
      <c r="C4776" s="109"/>
      <c r="D4776" s="109"/>
      <c r="E4776" s="109"/>
      <c r="F4776" s="110"/>
      <c r="G4776" s="109"/>
    </row>
    <row r="4777" spans="3:7" x14ac:dyDescent="0.3">
      <c r="C4777" s="109"/>
      <c r="D4777" s="109"/>
      <c r="E4777" s="109"/>
      <c r="F4777" s="110"/>
      <c r="G4777" s="109"/>
    </row>
    <row r="4778" spans="3:7" x14ac:dyDescent="0.3">
      <c r="C4778" s="109"/>
      <c r="D4778" s="109"/>
      <c r="E4778" s="109"/>
      <c r="F4778" s="110"/>
      <c r="G4778" s="109"/>
    </row>
    <row r="4779" spans="3:7" x14ac:dyDescent="0.3">
      <c r="C4779" s="109"/>
      <c r="D4779" s="109"/>
      <c r="E4779" s="109"/>
      <c r="F4779" s="110"/>
      <c r="G4779" s="109"/>
    </row>
    <row r="4780" spans="3:7" x14ac:dyDescent="0.3">
      <c r="C4780" s="109"/>
      <c r="D4780" s="109"/>
      <c r="E4780" s="109"/>
      <c r="F4780" s="110"/>
      <c r="G4780" s="109"/>
    </row>
    <row r="4781" spans="3:7" x14ac:dyDescent="0.3">
      <c r="C4781" s="109"/>
      <c r="D4781" s="109"/>
      <c r="E4781" s="109"/>
      <c r="F4781" s="110"/>
      <c r="G4781" s="109"/>
    </row>
    <row r="4782" spans="3:7" x14ac:dyDescent="0.3">
      <c r="C4782" s="109"/>
      <c r="D4782" s="109"/>
      <c r="E4782" s="109"/>
      <c r="F4782" s="110"/>
      <c r="G4782" s="109"/>
    </row>
    <row r="4783" spans="3:7" x14ac:dyDescent="0.3">
      <c r="C4783" s="109"/>
      <c r="D4783" s="109"/>
      <c r="E4783" s="109"/>
      <c r="F4783" s="110"/>
      <c r="G4783" s="109"/>
    </row>
    <row r="4784" spans="3:7" x14ac:dyDescent="0.3">
      <c r="C4784" s="109"/>
      <c r="D4784" s="109"/>
      <c r="E4784" s="109"/>
      <c r="F4784" s="110"/>
      <c r="G4784" s="109"/>
    </row>
    <row r="4785" spans="3:7" x14ac:dyDescent="0.3">
      <c r="C4785" s="109"/>
      <c r="D4785" s="109"/>
      <c r="E4785" s="109"/>
      <c r="F4785" s="110"/>
      <c r="G4785" s="109"/>
    </row>
    <row r="4786" spans="3:7" x14ac:dyDescent="0.3">
      <c r="C4786" s="109"/>
      <c r="D4786" s="109"/>
      <c r="E4786" s="109"/>
      <c r="F4786" s="110"/>
      <c r="G4786" s="109"/>
    </row>
    <row r="4787" spans="3:7" x14ac:dyDescent="0.3">
      <c r="C4787" s="109"/>
      <c r="D4787" s="109"/>
      <c r="E4787" s="109"/>
      <c r="F4787" s="110"/>
      <c r="G4787" s="109"/>
    </row>
    <row r="4788" spans="3:7" x14ac:dyDescent="0.3">
      <c r="C4788" s="109"/>
      <c r="D4788" s="109"/>
      <c r="E4788" s="109"/>
      <c r="F4788" s="110"/>
      <c r="G4788" s="109"/>
    </row>
    <row r="4789" spans="3:7" x14ac:dyDescent="0.3">
      <c r="C4789" s="109"/>
      <c r="D4789" s="109"/>
      <c r="E4789" s="109"/>
      <c r="F4789" s="110"/>
      <c r="G4789" s="109"/>
    </row>
    <row r="4790" spans="3:7" x14ac:dyDescent="0.3">
      <c r="C4790" s="109"/>
      <c r="D4790" s="109"/>
      <c r="E4790" s="109"/>
      <c r="F4790" s="110"/>
      <c r="G4790" s="109"/>
    </row>
    <row r="4791" spans="3:7" x14ac:dyDescent="0.3">
      <c r="C4791" s="109"/>
      <c r="D4791" s="109"/>
      <c r="E4791" s="109"/>
      <c r="F4791" s="110"/>
      <c r="G4791" s="109"/>
    </row>
    <row r="4792" spans="3:7" x14ac:dyDescent="0.3">
      <c r="C4792" s="109"/>
      <c r="D4792" s="109"/>
      <c r="E4792" s="109"/>
      <c r="F4792" s="110"/>
      <c r="G4792" s="109"/>
    </row>
    <row r="4793" spans="3:7" x14ac:dyDescent="0.3">
      <c r="C4793" s="109"/>
      <c r="D4793" s="109"/>
      <c r="E4793" s="109"/>
      <c r="F4793" s="110"/>
      <c r="G4793" s="109"/>
    </row>
    <row r="4794" spans="3:7" x14ac:dyDescent="0.3">
      <c r="C4794" s="109"/>
      <c r="D4794" s="109"/>
      <c r="E4794" s="109"/>
      <c r="F4794" s="110"/>
      <c r="G4794" s="109"/>
    </row>
    <row r="4795" spans="3:7" x14ac:dyDescent="0.3">
      <c r="C4795" s="109"/>
      <c r="D4795" s="109"/>
      <c r="E4795" s="109"/>
      <c r="F4795" s="110"/>
      <c r="G4795" s="109"/>
    </row>
    <row r="4796" spans="3:7" x14ac:dyDescent="0.3">
      <c r="C4796" s="109"/>
      <c r="D4796" s="109"/>
      <c r="E4796" s="109"/>
      <c r="F4796" s="110"/>
      <c r="G4796" s="109"/>
    </row>
    <row r="4797" spans="3:7" x14ac:dyDescent="0.3">
      <c r="C4797" s="109"/>
      <c r="D4797" s="109"/>
      <c r="E4797" s="109"/>
      <c r="F4797" s="110"/>
      <c r="G4797" s="109"/>
    </row>
    <row r="4798" spans="3:7" x14ac:dyDescent="0.3">
      <c r="C4798" s="109"/>
      <c r="D4798" s="109"/>
      <c r="E4798" s="109"/>
      <c r="F4798" s="110"/>
      <c r="G4798" s="109"/>
    </row>
    <row r="4799" spans="3:7" x14ac:dyDescent="0.3">
      <c r="C4799" s="109"/>
      <c r="D4799" s="109"/>
      <c r="E4799" s="109"/>
      <c r="F4799" s="110"/>
      <c r="G4799" s="109"/>
    </row>
    <row r="4800" spans="3:7" x14ac:dyDescent="0.3">
      <c r="C4800" s="109"/>
      <c r="D4800" s="109"/>
      <c r="E4800" s="109"/>
      <c r="F4800" s="110"/>
      <c r="G4800" s="109"/>
    </row>
    <row r="4801" spans="3:7" x14ac:dyDescent="0.3">
      <c r="C4801" s="109"/>
      <c r="D4801" s="109"/>
      <c r="E4801" s="109"/>
      <c r="F4801" s="110"/>
      <c r="G4801" s="109"/>
    </row>
    <row r="4802" spans="3:7" x14ac:dyDescent="0.3">
      <c r="C4802" s="109"/>
      <c r="D4802" s="109"/>
      <c r="E4802" s="109"/>
      <c r="F4802" s="110"/>
      <c r="G4802" s="109"/>
    </row>
    <row r="4803" spans="3:7" x14ac:dyDescent="0.3">
      <c r="C4803" s="109"/>
      <c r="D4803" s="109"/>
      <c r="E4803" s="109"/>
      <c r="F4803" s="110"/>
      <c r="G4803" s="109"/>
    </row>
    <row r="4804" spans="3:7" x14ac:dyDescent="0.3">
      <c r="C4804" s="109"/>
      <c r="D4804" s="109"/>
      <c r="E4804" s="109"/>
      <c r="F4804" s="110"/>
      <c r="G4804" s="109"/>
    </row>
    <row r="4805" spans="3:7" x14ac:dyDescent="0.3">
      <c r="C4805" s="109"/>
      <c r="D4805" s="109"/>
      <c r="E4805" s="109"/>
      <c r="F4805" s="110"/>
      <c r="G4805" s="109"/>
    </row>
    <row r="4806" spans="3:7" x14ac:dyDescent="0.3">
      <c r="C4806" s="109"/>
      <c r="D4806" s="109"/>
      <c r="E4806" s="109"/>
      <c r="F4806" s="110"/>
      <c r="G4806" s="109"/>
    </row>
    <row r="4807" spans="3:7" x14ac:dyDescent="0.3">
      <c r="C4807" s="109"/>
      <c r="D4807" s="109"/>
      <c r="E4807" s="109"/>
      <c r="F4807" s="110"/>
      <c r="G4807" s="109"/>
    </row>
    <row r="4808" spans="3:7" x14ac:dyDescent="0.3">
      <c r="C4808" s="109"/>
      <c r="D4808" s="109"/>
      <c r="E4808" s="109"/>
      <c r="F4808" s="110"/>
      <c r="G4808" s="109"/>
    </row>
    <row r="4809" spans="3:7" x14ac:dyDescent="0.3">
      <c r="C4809" s="109"/>
      <c r="D4809" s="109"/>
      <c r="E4809" s="109"/>
      <c r="F4809" s="110"/>
      <c r="G4809" s="109"/>
    </row>
    <row r="4810" spans="3:7" x14ac:dyDescent="0.3">
      <c r="C4810" s="109"/>
      <c r="D4810" s="109"/>
      <c r="E4810" s="109"/>
      <c r="F4810" s="110"/>
      <c r="G4810" s="109"/>
    </row>
    <row r="4811" spans="3:7" x14ac:dyDescent="0.3">
      <c r="C4811" s="109"/>
      <c r="D4811" s="109"/>
      <c r="E4811" s="109"/>
      <c r="F4811" s="110"/>
      <c r="G4811" s="109"/>
    </row>
    <row r="4812" spans="3:7" x14ac:dyDescent="0.3">
      <c r="C4812" s="109"/>
      <c r="D4812" s="109"/>
      <c r="E4812" s="109"/>
      <c r="F4812" s="110"/>
      <c r="G4812" s="109"/>
    </row>
    <row r="4813" spans="3:7" x14ac:dyDescent="0.3">
      <c r="C4813" s="109"/>
      <c r="D4813" s="109"/>
      <c r="E4813" s="109"/>
      <c r="F4813" s="110"/>
      <c r="G4813" s="109"/>
    </row>
    <row r="4814" spans="3:7" x14ac:dyDescent="0.3">
      <c r="C4814" s="109"/>
      <c r="D4814" s="109"/>
      <c r="E4814" s="109"/>
      <c r="F4814" s="110"/>
      <c r="G4814" s="109"/>
    </row>
    <row r="4815" spans="3:7" x14ac:dyDescent="0.3">
      <c r="C4815" s="109"/>
      <c r="D4815" s="109"/>
      <c r="E4815" s="109"/>
      <c r="F4815" s="110"/>
      <c r="G4815" s="109"/>
    </row>
    <row r="4816" spans="3:7" x14ac:dyDescent="0.3">
      <c r="C4816" s="109"/>
      <c r="D4816" s="109"/>
      <c r="E4816" s="109"/>
      <c r="F4816" s="110"/>
      <c r="G4816" s="109"/>
    </row>
    <row r="4817" spans="3:7" x14ac:dyDescent="0.3">
      <c r="C4817" s="109"/>
      <c r="D4817" s="109"/>
      <c r="E4817" s="109"/>
      <c r="F4817" s="110"/>
      <c r="G4817" s="109"/>
    </row>
    <row r="4818" spans="3:7" x14ac:dyDescent="0.3">
      <c r="C4818" s="109"/>
      <c r="D4818" s="109"/>
      <c r="E4818" s="109"/>
      <c r="F4818" s="110"/>
      <c r="G4818" s="109"/>
    </row>
    <row r="4819" spans="3:7" x14ac:dyDescent="0.3">
      <c r="C4819" s="109"/>
      <c r="D4819" s="109"/>
      <c r="E4819" s="109"/>
      <c r="F4819" s="110"/>
      <c r="G4819" s="109"/>
    </row>
    <row r="4820" spans="3:7" x14ac:dyDescent="0.3">
      <c r="C4820" s="109"/>
      <c r="D4820" s="109"/>
      <c r="E4820" s="109"/>
      <c r="F4820" s="110"/>
      <c r="G4820" s="109"/>
    </row>
    <row r="4821" spans="3:7" x14ac:dyDescent="0.3">
      <c r="C4821" s="109"/>
      <c r="D4821" s="109"/>
      <c r="E4821" s="109"/>
      <c r="F4821" s="110"/>
      <c r="G4821" s="109"/>
    </row>
    <row r="4822" spans="3:7" x14ac:dyDescent="0.3">
      <c r="C4822" s="109"/>
      <c r="D4822" s="109"/>
      <c r="E4822" s="109"/>
      <c r="F4822" s="110"/>
      <c r="G4822" s="109"/>
    </row>
    <row r="4823" spans="3:7" x14ac:dyDescent="0.3">
      <c r="C4823" s="109"/>
      <c r="D4823" s="109"/>
      <c r="E4823" s="109"/>
      <c r="F4823" s="110"/>
      <c r="G4823" s="109"/>
    </row>
    <row r="4824" spans="3:7" x14ac:dyDescent="0.3">
      <c r="C4824" s="109"/>
      <c r="D4824" s="109"/>
      <c r="E4824" s="109"/>
      <c r="F4824" s="110"/>
      <c r="G4824" s="109"/>
    </row>
    <row r="4825" spans="3:7" x14ac:dyDescent="0.3">
      <c r="C4825" s="109"/>
      <c r="D4825" s="109"/>
      <c r="E4825" s="109"/>
      <c r="F4825" s="110"/>
      <c r="G4825" s="109"/>
    </row>
    <row r="4826" spans="3:7" x14ac:dyDescent="0.3">
      <c r="C4826" s="109"/>
      <c r="D4826" s="109"/>
      <c r="E4826" s="109"/>
      <c r="F4826" s="110"/>
      <c r="G4826" s="109"/>
    </row>
    <row r="4827" spans="3:7" x14ac:dyDescent="0.3">
      <c r="C4827" s="109"/>
      <c r="D4827" s="109"/>
      <c r="E4827" s="109"/>
      <c r="F4827" s="110"/>
      <c r="G4827" s="109"/>
    </row>
    <row r="4828" spans="3:7" x14ac:dyDescent="0.3">
      <c r="C4828" s="109"/>
      <c r="D4828" s="109"/>
      <c r="E4828" s="109"/>
      <c r="F4828" s="110"/>
      <c r="G4828" s="109"/>
    </row>
    <row r="4829" spans="3:7" x14ac:dyDescent="0.3">
      <c r="C4829" s="109"/>
      <c r="D4829" s="109"/>
      <c r="E4829" s="109"/>
      <c r="F4829" s="110"/>
      <c r="G4829" s="109"/>
    </row>
    <row r="4830" spans="3:7" x14ac:dyDescent="0.3">
      <c r="C4830" s="109"/>
      <c r="D4830" s="109"/>
      <c r="E4830" s="109"/>
      <c r="F4830" s="110"/>
      <c r="G4830" s="109"/>
    </row>
    <row r="4831" spans="3:7" x14ac:dyDescent="0.3">
      <c r="C4831" s="109"/>
      <c r="D4831" s="109"/>
      <c r="E4831" s="109"/>
      <c r="F4831" s="110"/>
      <c r="G4831" s="109"/>
    </row>
    <row r="4832" spans="3:7" x14ac:dyDescent="0.3">
      <c r="C4832" s="109"/>
      <c r="D4832" s="109"/>
      <c r="E4832" s="109"/>
      <c r="F4832" s="110"/>
      <c r="G4832" s="109"/>
    </row>
    <row r="4833" spans="3:7" x14ac:dyDescent="0.3">
      <c r="C4833" s="109"/>
      <c r="D4833" s="109"/>
      <c r="E4833" s="109"/>
      <c r="F4833" s="110"/>
      <c r="G4833" s="109"/>
    </row>
    <row r="4834" spans="3:7" x14ac:dyDescent="0.3">
      <c r="C4834" s="109"/>
      <c r="D4834" s="109"/>
      <c r="E4834" s="109"/>
      <c r="F4834" s="110"/>
      <c r="G4834" s="109"/>
    </row>
    <row r="4835" spans="3:7" x14ac:dyDescent="0.3">
      <c r="C4835" s="109"/>
      <c r="D4835" s="109"/>
      <c r="E4835" s="109"/>
      <c r="F4835" s="110"/>
      <c r="G4835" s="109"/>
    </row>
    <row r="4836" spans="3:7" x14ac:dyDescent="0.3">
      <c r="C4836" s="109"/>
      <c r="D4836" s="109"/>
      <c r="E4836" s="109"/>
      <c r="F4836" s="110"/>
      <c r="G4836" s="109"/>
    </row>
    <row r="4837" spans="3:7" x14ac:dyDescent="0.3">
      <c r="C4837" s="109"/>
      <c r="D4837" s="109"/>
      <c r="E4837" s="109"/>
      <c r="F4837" s="110"/>
      <c r="G4837" s="109"/>
    </row>
    <row r="4838" spans="3:7" x14ac:dyDescent="0.3">
      <c r="C4838" s="109"/>
      <c r="D4838" s="109"/>
      <c r="E4838" s="109"/>
      <c r="F4838" s="110"/>
      <c r="G4838" s="109"/>
    </row>
    <row r="4839" spans="3:7" x14ac:dyDescent="0.3">
      <c r="C4839" s="109"/>
      <c r="D4839" s="109"/>
      <c r="E4839" s="109"/>
      <c r="F4839" s="110"/>
      <c r="G4839" s="109"/>
    </row>
    <row r="4840" spans="3:7" x14ac:dyDescent="0.3">
      <c r="C4840" s="109"/>
      <c r="D4840" s="109"/>
      <c r="E4840" s="109"/>
      <c r="F4840" s="110"/>
      <c r="G4840" s="109"/>
    </row>
    <row r="4841" spans="3:7" x14ac:dyDescent="0.3">
      <c r="C4841" s="109"/>
      <c r="D4841" s="109"/>
      <c r="E4841" s="109"/>
      <c r="F4841" s="110"/>
      <c r="G4841" s="109"/>
    </row>
    <row r="4842" spans="3:7" x14ac:dyDescent="0.3">
      <c r="C4842" s="109"/>
      <c r="D4842" s="109"/>
      <c r="E4842" s="109"/>
      <c r="F4842" s="110"/>
      <c r="G4842" s="109"/>
    </row>
    <row r="4843" spans="3:7" x14ac:dyDescent="0.3">
      <c r="C4843" s="109"/>
      <c r="D4843" s="109"/>
      <c r="E4843" s="109"/>
      <c r="F4843" s="110"/>
      <c r="G4843" s="109"/>
    </row>
    <row r="4844" spans="3:7" x14ac:dyDescent="0.3">
      <c r="C4844" s="109"/>
      <c r="D4844" s="109"/>
      <c r="E4844" s="109"/>
      <c r="F4844" s="110"/>
      <c r="G4844" s="109"/>
    </row>
    <row r="4845" spans="3:7" x14ac:dyDescent="0.3">
      <c r="C4845" s="109"/>
      <c r="D4845" s="109"/>
      <c r="E4845" s="109"/>
      <c r="F4845" s="110"/>
      <c r="G4845" s="109"/>
    </row>
    <row r="4846" spans="3:7" x14ac:dyDescent="0.3">
      <c r="C4846" s="109"/>
      <c r="D4846" s="109"/>
      <c r="E4846" s="109"/>
      <c r="F4846" s="110"/>
      <c r="G4846" s="109"/>
    </row>
    <row r="4847" spans="3:7" x14ac:dyDescent="0.3">
      <c r="C4847" s="109"/>
      <c r="D4847" s="109"/>
      <c r="E4847" s="109"/>
      <c r="F4847" s="110"/>
      <c r="G4847" s="109"/>
    </row>
    <row r="4848" spans="3:7" x14ac:dyDescent="0.3">
      <c r="C4848" s="109"/>
      <c r="D4848" s="109"/>
      <c r="E4848" s="109"/>
      <c r="F4848" s="110"/>
      <c r="G4848" s="109"/>
    </row>
    <row r="4849" spans="3:7" x14ac:dyDescent="0.3">
      <c r="C4849" s="109"/>
      <c r="D4849" s="109"/>
      <c r="E4849" s="109"/>
      <c r="F4849" s="110"/>
      <c r="G4849" s="109"/>
    </row>
    <row r="4850" spans="3:7" x14ac:dyDescent="0.3">
      <c r="C4850" s="109"/>
      <c r="D4850" s="109"/>
      <c r="E4850" s="109"/>
      <c r="F4850" s="110"/>
      <c r="G4850" s="109"/>
    </row>
    <row r="4851" spans="3:7" x14ac:dyDescent="0.3">
      <c r="C4851" s="109"/>
      <c r="D4851" s="109"/>
      <c r="E4851" s="109"/>
      <c r="F4851" s="110"/>
      <c r="G4851" s="109"/>
    </row>
    <row r="4852" spans="3:7" x14ac:dyDescent="0.3">
      <c r="C4852" s="109"/>
      <c r="D4852" s="109"/>
      <c r="E4852" s="109"/>
      <c r="F4852" s="110"/>
      <c r="G4852" s="109"/>
    </row>
    <row r="4853" spans="3:7" x14ac:dyDescent="0.3">
      <c r="C4853" s="109"/>
      <c r="D4853" s="109"/>
      <c r="E4853" s="109"/>
      <c r="F4853" s="110"/>
      <c r="G4853" s="109"/>
    </row>
    <row r="4854" spans="3:7" x14ac:dyDescent="0.3">
      <c r="C4854" s="109"/>
      <c r="D4854" s="109"/>
      <c r="E4854" s="109"/>
      <c r="F4854" s="110"/>
      <c r="G4854" s="109"/>
    </row>
    <row r="4855" spans="3:7" x14ac:dyDescent="0.3">
      <c r="C4855" s="109"/>
      <c r="D4855" s="109"/>
      <c r="E4855" s="109"/>
      <c r="F4855" s="110"/>
      <c r="G4855" s="109"/>
    </row>
    <row r="4856" spans="3:7" x14ac:dyDescent="0.3">
      <c r="C4856" s="109"/>
      <c r="D4856" s="109"/>
      <c r="E4856" s="109"/>
      <c r="F4856" s="110"/>
      <c r="G4856" s="109"/>
    </row>
    <row r="4857" spans="3:7" x14ac:dyDescent="0.3">
      <c r="C4857" s="109"/>
      <c r="D4857" s="109"/>
      <c r="E4857" s="109"/>
      <c r="F4857" s="110"/>
      <c r="G4857" s="109"/>
    </row>
    <row r="4858" spans="3:7" x14ac:dyDescent="0.3">
      <c r="C4858" s="109"/>
      <c r="D4858" s="109"/>
      <c r="E4858" s="109"/>
      <c r="F4858" s="110"/>
      <c r="G4858" s="109"/>
    </row>
    <row r="4859" spans="3:7" x14ac:dyDescent="0.3">
      <c r="C4859" s="109"/>
      <c r="D4859" s="109"/>
      <c r="E4859" s="109"/>
      <c r="F4859" s="110"/>
      <c r="G4859" s="109"/>
    </row>
    <row r="4860" spans="3:7" x14ac:dyDescent="0.3">
      <c r="C4860" s="109"/>
      <c r="D4860" s="109"/>
      <c r="E4860" s="109"/>
      <c r="F4860" s="110"/>
      <c r="G4860" s="109"/>
    </row>
    <row r="4861" spans="3:7" x14ac:dyDescent="0.3">
      <c r="C4861" s="109"/>
      <c r="D4861" s="109"/>
      <c r="E4861" s="109"/>
      <c r="F4861" s="110"/>
      <c r="G4861" s="109"/>
    </row>
    <row r="4862" spans="3:7" x14ac:dyDescent="0.3">
      <c r="C4862" s="109"/>
      <c r="D4862" s="109"/>
      <c r="E4862" s="109"/>
      <c r="F4862" s="110"/>
      <c r="G4862" s="109"/>
    </row>
    <row r="4863" spans="3:7" x14ac:dyDescent="0.3">
      <c r="C4863" s="109"/>
      <c r="D4863" s="109"/>
      <c r="E4863" s="109"/>
      <c r="F4863" s="110"/>
      <c r="G4863" s="109"/>
    </row>
    <row r="4864" spans="3:7" x14ac:dyDescent="0.3">
      <c r="C4864" s="109"/>
      <c r="D4864" s="109"/>
      <c r="E4864" s="109"/>
      <c r="F4864" s="110"/>
      <c r="G4864" s="109"/>
    </row>
    <row r="4865" spans="3:7" x14ac:dyDescent="0.3">
      <c r="C4865" s="109"/>
      <c r="D4865" s="109"/>
      <c r="E4865" s="109"/>
      <c r="F4865" s="110"/>
      <c r="G4865" s="109"/>
    </row>
    <row r="4866" spans="3:7" x14ac:dyDescent="0.3">
      <c r="C4866" s="109"/>
      <c r="D4866" s="109"/>
      <c r="E4866" s="109"/>
      <c r="F4866" s="110"/>
      <c r="G4866" s="109"/>
    </row>
    <row r="4867" spans="3:7" x14ac:dyDescent="0.3">
      <c r="C4867" s="109"/>
      <c r="D4867" s="109"/>
      <c r="E4867" s="109"/>
      <c r="F4867" s="110"/>
      <c r="G4867" s="109"/>
    </row>
    <row r="4868" spans="3:7" x14ac:dyDescent="0.3">
      <c r="C4868" s="109"/>
      <c r="D4868" s="109"/>
      <c r="E4868" s="109"/>
      <c r="F4868" s="110"/>
      <c r="G4868" s="109"/>
    </row>
    <row r="4869" spans="3:7" x14ac:dyDescent="0.3">
      <c r="C4869" s="109"/>
      <c r="D4869" s="109"/>
      <c r="E4869" s="109"/>
      <c r="F4869" s="110"/>
      <c r="G4869" s="109"/>
    </row>
    <row r="4870" spans="3:7" x14ac:dyDescent="0.3">
      <c r="C4870" s="109"/>
      <c r="D4870" s="109"/>
      <c r="E4870" s="109"/>
      <c r="F4870" s="110"/>
      <c r="G4870" s="109"/>
    </row>
    <row r="4871" spans="3:7" x14ac:dyDescent="0.3">
      <c r="C4871" s="109"/>
      <c r="D4871" s="109"/>
      <c r="E4871" s="109"/>
      <c r="F4871" s="110"/>
      <c r="G4871" s="109"/>
    </row>
    <row r="4872" spans="3:7" x14ac:dyDescent="0.3">
      <c r="C4872" s="109"/>
      <c r="D4872" s="109"/>
      <c r="E4872" s="109"/>
      <c r="F4872" s="110"/>
      <c r="G4872" s="109"/>
    </row>
    <row r="4873" spans="3:7" x14ac:dyDescent="0.3">
      <c r="C4873" s="109"/>
      <c r="D4873" s="109"/>
      <c r="E4873" s="109"/>
      <c r="F4873" s="110"/>
      <c r="G4873" s="109"/>
    </row>
    <row r="4874" spans="3:7" x14ac:dyDescent="0.3">
      <c r="C4874" s="109"/>
      <c r="D4874" s="109"/>
      <c r="E4874" s="109"/>
      <c r="F4874" s="110"/>
      <c r="G4874" s="109"/>
    </row>
    <row r="4875" spans="3:7" x14ac:dyDescent="0.3">
      <c r="C4875" s="109"/>
      <c r="D4875" s="109"/>
      <c r="E4875" s="109"/>
      <c r="F4875" s="110"/>
      <c r="G4875" s="109"/>
    </row>
    <row r="4876" spans="3:7" x14ac:dyDescent="0.3">
      <c r="C4876" s="109"/>
      <c r="D4876" s="109"/>
      <c r="E4876" s="109"/>
      <c r="F4876" s="110"/>
      <c r="G4876" s="109"/>
    </row>
    <row r="4877" spans="3:7" x14ac:dyDescent="0.3">
      <c r="C4877" s="109"/>
      <c r="D4877" s="109"/>
      <c r="E4877" s="109"/>
      <c r="F4877" s="110"/>
      <c r="G4877" s="109"/>
    </row>
    <row r="4878" spans="3:7" x14ac:dyDescent="0.3">
      <c r="C4878" s="109"/>
      <c r="D4878" s="109"/>
      <c r="E4878" s="109"/>
      <c r="F4878" s="110"/>
      <c r="G4878" s="109"/>
    </row>
    <row r="4879" spans="3:7" x14ac:dyDescent="0.3">
      <c r="C4879" s="109"/>
      <c r="D4879" s="109"/>
      <c r="E4879" s="109"/>
      <c r="F4879" s="110"/>
      <c r="G4879" s="109"/>
    </row>
    <row r="4880" spans="3:7" x14ac:dyDescent="0.3">
      <c r="C4880" s="109"/>
      <c r="D4880" s="109"/>
      <c r="E4880" s="109"/>
      <c r="F4880" s="110"/>
      <c r="G4880" s="109"/>
    </row>
    <row r="4881" spans="3:7" x14ac:dyDescent="0.3">
      <c r="C4881" s="109"/>
      <c r="D4881" s="109"/>
      <c r="E4881" s="109"/>
      <c r="F4881" s="110"/>
      <c r="G4881" s="109"/>
    </row>
    <row r="4882" spans="3:7" x14ac:dyDescent="0.3">
      <c r="C4882" s="109"/>
      <c r="D4882" s="109"/>
      <c r="E4882" s="109"/>
      <c r="F4882" s="110"/>
      <c r="G4882" s="109"/>
    </row>
    <row r="4883" spans="3:7" x14ac:dyDescent="0.3">
      <c r="C4883" s="109"/>
      <c r="D4883" s="109"/>
      <c r="E4883" s="109"/>
      <c r="F4883" s="110"/>
      <c r="G4883" s="109"/>
    </row>
    <row r="4884" spans="3:7" x14ac:dyDescent="0.3">
      <c r="C4884" s="109"/>
      <c r="D4884" s="109"/>
      <c r="E4884" s="109"/>
      <c r="F4884" s="110"/>
      <c r="G4884" s="109"/>
    </row>
    <row r="4885" spans="3:7" x14ac:dyDescent="0.3">
      <c r="C4885" s="109"/>
      <c r="D4885" s="109"/>
      <c r="E4885" s="109"/>
      <c r="F4885" s="110"/>
      <c r="G4885" s="109"/>
    </row>
    <row r="4886" spans="3:7" x14ac:dyDescent="0.3">
      <c r="C4886" s="109"/>
      <c r="D4886" s="109"/>
      <c r="E4886" s="109"/>
      <c r="F4886" s="110"/>
      <c r="G4886" s="109"/>
    </row>
    <row r="4887" spans="3:7" x14ac:dyDescent="0.3">
      <c r="C4887" s="109"/>
      <c r="D4887" s="109"/>
      <c r="E4887" s="109"/>
      <c r="F4887" s="110"/>
      <c r="G4887" s="109"/>
    </row>
    <row r="4888" spans="3:7" x14ac:dyDescent="0.3">
      <c r="C4888" s="109"/>
      <c r="D4888" s="109"/>
      <c r="E4888" s="109"/>
      <c r="F4888" s="110"/>
      <c r="G4888" s="109"/>
    </row>
    <row r="4889" spans="3:7" x14ac:dyDescent="0.3">
      <c r="C4889" s="109"/>
      <c r="D4889" s="109"/>
      <c r="E4889" s="109"/>
      <c r="F4889" s="110"/>
      <c r="G4889" s="109"/>
    </row>
    <row r="4890" spans="3:7" x14ac:dyDescent="0.3">
      <c r="C4890" s="109"/>
      <c r="D4890" s="109"/>
      <c r="E4890" s="109"/>
      <c r="F4890" s="110"/>
      <c r="G4890" s="109"/>
    </row>
    <row r="4891" spans="3:7" x14ac:dyDescent="0.3">
      <c r="C4891" s="109"/>
      <c r="D4891" s="109"/>
      <c r="E4891" s="109"/>
      <c r="F4891" s="110"/>
      <c r="G4891" s="109"/>
    </row>
    <row r="4892" spans="3:7" x14ac:dyDescent="0.3">
      <c r="C4892" s="109"/>
      <c r="D4892" s="109"/>
      <c r="E4892" s="109"/>
      <c r="F4892" s="110"/>
      <c r="G4892" s="109"/>
    </row>
    <row r="4893" spans="3:7" x14ac:dyDescent="0.3">
      <c r="C4893" s="109"/>
      <c r="D4893" s="109"/>
      <c r="E4893" s="109"/>
      <c r="F4893" s="110"/>
      <c r="G4893" s="109"/>
    </row>
    <row r="4894" spans="3:7" x14ac:dyDescent="0.3">
      <c r="C4894" s="109"/>
      <c r="D4894" s="109"/>
      <c r="E4894" s="109"/>
      <c r="F4894" s="110"/>
      <c r="G4894" s="109"/>
    </row>
    <row r="4895" spans="3:7" x14ac:dyDescent="0.3">
      <c r="C4895" s="109"/>
      <c r="D4895" s="109"/>
      <c r="E4895" s="109"/>
      <c r="F4895" s="110"/>
      <c r="G4895" s="109"/>
    </row>
    <row r="4896" spans="3:7" x14ac:dyDescent="0.3">
      <c r="C4896" s="109"/>
      <c r="D4896" s="109"/>
      <c r="E4896" s="109"/>
      <c r="F4896" s="110"/>
      <c r="G4896" s="109"/>
    </row>
    <row r="4897" spans="3:7" x14ac:dyDescent="0.3">
      <c r="C4897" s="109"/>
      <c r="D4897" s="109"/>
      <c r="E4897" s="109"/>
      <c r="F4897" s="110"/>
      <c r="G4897" s="109"/>
    </row>
    <row r="4898" spans="3:7" x14ac:dyDescent="0.3">
      <c r="C4898" s="109"/>
      <c r="D4898" s="109"/>
      <c r="E4898" s="109"/>
      <c r="F4898" s="110"/>
      <c r="G4898" s="109"/>
    </row>
    <row r="4899" spans="3:7" x14ac:dyDescent="0.3">
      <c r="C4899" s="109"/>
      <c r="D4899" s="109"/>
      <c r="E4899" s="109"/>
      <c r="F4899" s="110"/>
      <c r="G4899" s="109"/>
    </row>
    <row r="4900" spans="3:7" x14ac:dyDescent="0.3">
      <c r="C4900" s="109"/>
      <c r="D4900" s="109"/>
      <c r="E4900" s="109"/>
      <c r="F4900" s="110"/>
      <c r="G4900" s="109"/>
    </row>
    <row r="4901" spans="3:7" x14ac:dyDescent="0.3">
      <c r="C4901" s="109"/>
      <c r="D4901" s="109"/>
      <c r="E4901" s="109"/>
      <c r="F4901" s="110"/>
      <c r="G4901" s="109"/>
    </row>
    <row r="4902" spans="3:7" x14ac:dyDescent="0.3">
      <c r="C4902" s="109"/>
      <c r="D4902" s="109"/>
      <c r="E4902" s="109"/>
      <c r="F4902" s="110"/>
      <c r="G4902" s="109"/>
    </row>
    <row r="4903" spans="3:7" x14ac:dyDescent="0.3">
      <c r="C4903" s="109"/>
      <c r="D4903" s="109"/>
      <c r="E4903" s="109"/>
      <c r="F4903" s="110"/>
      <c r="G4903" s="109"/>
    </row>
    <row r="4904" spans="3:7" x14ac:dyDescent="0.3">
      <c r="C4904" s="109"/>
      <c r="D4904" s="109"/>
      <c r="E4904" s="109"/>
      <c r="F4904" s="110"/>
      <c r="G4904" s="109"/>
    </row>
    <row r="4905" spans="3:7" x14ac:dyDescent="0.3">
      <c r="C4905" s="109"/>
      <c r="D4905" s="109"/>
      <c r="E4905" s="109"/>
      <c r="F4905" s="110"/>
      <c r="G4905" s="109"/>
    </row>
    <row r="4906" spans="3:7" x14ac:dyDescent="0.3">
      <c r="C4906" s="109"/>
      <c r="D4906" s="109"/>
      <c r="E4906" s="109"/>
      <c r="F4906" s="110"/>
      <c r="G4906" s="109"/>
    </row>
    <row r="4907" spans="3:7" x14ac:dyDescent="0.3">
      <c r="C4907" s="109"/>
      <c r="D4907" s="109"/>
      <c r="E4907" s="109"/>
      <c r="F4907" s="110"/>
      <c r="G4907" s="109"/>
    </row>
    <row r="4908" spans="3:7" x14ac:dyDescent="0.3">
      <c r="C4908" s="109"/>
      <c r="D4908" s="109"/>
      <c r="E4908" s="109"/>
      <c r="F4908" s="110"/>
      <c r="G4908" s="109"/>
    </row>
    <row r="4909" spans="3:7" x14ac:dyDescent="0.3">
      <c r="C4909" s="109"/>
      <c r="D4909" s="109"/>
      <c r="E4909" s="109"/>
      <c r="F4909" s="110"/>
      <c r="G4909" s="109"/>
    </row>
    <row r="4910" spans="3:7" x14ac:dyDescent="0.3">
      <c r="C4910" s="109"/>
      <c r="D4910" s="109"/>
      <c r="E4910" s="109"/>
      <c r="F4910" s="110"/>
      <c r="G4910" s="109"/>
    </row>
    <row r="4911" spans="3:7" x14ac:dyDescent="0.3">
      <c r="C4911" s="109"/>
      <c r="D4911" s="109"/>
      <c r="E4911" s="109"/>
      <c r="F4911" s="110"/>
      <c r="G4911" s="109"/>
    </row>
    <row r="4912" spans="3:7" x14ac:dyDescent="0.3">
      <c r="C4912" s="109"/>
      <c r="D4912" s="109"/>
      <c r="E4912" s="109"/>
      <c r="F4912" s="110"/>
      <c r="G4912" s="109"/>
    </row>
    <row r="4913" spans="3:7" x14ac:dyDescent="0.3">
      <c r="C4913" s="109"/>
      <c r="D4913" s="109"/>
      <c r="E4913" s="109"/>
      <c r="F4913" s="110"/>
      <c r="G4913" s="109"/>
    </row>
    <row r="4914" spans="3:7" x14ac:dyDescent="0.3">
      <c r="C4914" s="109"/>
      <c r="D4914" s="109"/>
      <c r="E4914" s="109"/>
      <c r="F4914" s="110"/>
      <c r="G4914" s="109"/>
    </row>
    <row r="4915" spans="3:7" x14ac:dyDescent="0.3">
      <c r="C4915" s="109"/>
      <c r="D4915" s="109"/>
      <c r="E4915" s="109"/>
      <c r="F4915" s="110"/>
      <c r="G4915" s="109"/>
    </row>
    <row r="4916" spans="3:7" x14ac:dyDescent="0.3">
      <c r="C4916" s="109"/>
      <c r="D4916" s="109"/>
      <c r="E4916" s="109"/>
      <c r="F4916" s="110"/>
      <c r="G4916" s="109"/>
    </row>
    <row r="4917" spans="3:7" x14ac:dyDescent="0.3">
      <c r="C4917" s="109"/>
      <c r="D4917" s="109"/>
      <c r="E4917" s="109"/>
      <c r="F4917" s="110"/>
      <c r="G4917" s="109"/>
    </row>
    <row r="4918" spans="3:7" x14ac:dyDescent="0.3">
      <c r="C4918" s="109"/>
      <c r="D4918" s="109"/>
      <c r="E4918" s="109"/>
      <c r="F4918" s="110"/>
      <c r="G4918" s="109"/>
    </row>
    <row r="4919" spans="3:7" x14ac:dyDescent="0.3">
      <c r="C4919" s="109"/>
      <c r="D4919" s="109"/>
      <c r="E4919" s="109"/>
      <c r="F4919" s="110"/>
      <c r="G4919" s="109"/>
    </row>
    <row r="4920" spans="3:7" x14ac:dyDescent="0.3">
      <c r="C4920" s="109"/>
      <c r="D4920" s="109"/>
      <c r="E4920" s="109"/>
      <c r="F4920" s="110"/>
      <c r="G4920" s="109"/>
    </row>
    <row r="4921" spans="3:7" x14ac:dyDescent="0.3">
      <c r="C4921" s="109"/>
      <c r="D4921" s="109"/>
      <c r="E4921" s="109"/>
      <c r="F4921" s="110"/>
      <c r="G4921" s="109"/>
    </row>
    <row r="4922" spans="3:7" x14ac:dyDescent="0.3">
      <c r="C4922" s="109"/>
      <c r="D4922" s="109"/>
      <c r="E4922" s="109"/>
      <c r="F4922" s="110"/>
      <c r="G4922" s="109"/>
    </row>
    <row r="4923" spans="3:7" x14ac:dyDescent="0.3">
      <c r="C4923" s="109"/>
      <c r="D4923" s="109"/>
      <c r="E4923" s="109"/>
      <c r="F4923" s="110"/>
      <c r="G4923" s="109"/>
    </row>
    <row r="4924" spans="3:7" x14ac:dyDescent="0.3">
      <c r="C4924" s="109"/>
      <c r="D4924" s="109"/>
      <c r="E4924" s="109"/>
      <c r="F4924" s="110"/>
      <c r="G4924" s="109"/>
    </row>
    <row r="4925" spans="3:7" x14ac:dyDescent="0.3">
      <c r="C4925" s="109"/>
      <c r="D4925" s="109"/>
      <c r="E4925" s="109"/>
      <c r="F4925" s="110"/>
      <c r="G4925" s="109"/>
    </row>
    <row r="4926" spans="3:7" x14ac:dyDescent="0.3">
      <c r="C4926" s="109"/>
      <c r="D4926" s="109"/>
      <c r="E4926" s="109"/>
      <c r="F4926" s="110"/>
      <c r="G4926" s="109"/>
    </row>
    <row r="4927" spans="3:7" x14ac:dyDescent="0.3">
      <c r="C4927" s="109"/>
      <c r="D4927" s="109"/>
      <c r="E4927" s="109"/>
      <c r="F4927" s="110"/>
      <c r="G4927" s="109"/>
    </row>
    <row r="4928" spans="3:7" x14ac:dyDescent="0.3">
      <c r="C4928" s="109"/>
      <c r="D4928" s="109"/>
      <c r="E4928" s="109"/>
      <c r="F4928" s="110"/>
      <c r="G4928" s="109"/>
    </row>
    <row r="4929" spans="3:7" x14ac:dyDescent="0.3">
      <c r="C4929" s="109"/>
      <c r="D4929" s="109"/>
      <c r="E4929" s="109"/>
      <c r="F4929" s="110"/>
      <c r="G4929" s="109"/>
    </row>
    <row r="4930" spans="3:7" x14ac:dyDescent="0.3">
      <c r="C4930" s="109"/>
      <c r="D4930" s="109"/>
      <c r="E4930" s="109"/>
      <c r="F4930" s="110"/>
      <c r="G4930" s="109"/>
    </row>
    <row r="4931" spans="3:7" x14ac:dyDescent="0.3">
      <c r="C4931" s="109"/>
      <c r="D4931" s="109"/>
      <c r="E4931" s="109"/>
      <c r="F4931" s="110"/>
      <c r="G4931" s="109"/>
    </row>
    <row r="4932" spans="3:7" x14ac:dyDescent="0.3">
      <c r="C4932" s="109"/>
      <c r="D4932" s="109"/>
      <c r="E4932" s="109"/>
      <c r="F4932" s="110"/>
      <c r="G4932" s="109"/>
    </row>
    <row r="4933" spans="3:7" x14ac:dyDescent="0.3">
      <c r="C4933" s="109"/>
      <c r="D4933" s="109"/>
      <c r="E4933" s="109"/>
      <c r="F4933" s="110"/>
      <c r="G4933" s="109"/>
    </row>
    <row r="4934" spans="3:7" x14ac:dyDescent="0.3">
      <c r="C4934" s="109"/>
      <c r="D4934" s="109"/>
      <c r="E4934" s="109"/>
      <c r="F4934" s="110"/>
      <c r="G4934" s="109"/>
    </row>
    <row r="4935" spans="3:7" x14ac:dyDescent="0.3">
      <c r="C4935" s="109"/>
      <c r="D4935" s="109"/>
      <c r="E4935" s="109"/>
      <c r="F4935" s="110"/>
      <c r="G4935" s="109"/>
    </row>
    <row r="4936" spans="3:7" x14ac:dyDescent="0.3">
      <c r="C4936" s="109"/>
      <c r="D4936" s="109"/>
      <c r="E4936" s="109"/>
      <c r="F4936" s="110"/>
      <c r="G4936" s="109"/>
    </row>
    <row r="4937" spans="3:7" x14ac:dyDescent="0.3">
      <c r="C4937" s="109"/>
      <c r="D4937" s="109"/>
      <c r="E4937" s="109"/>
      <c r="F4937" s="110"/>
      <c r="G4937" s="109"/>
    </row>
    <row r="4938" spans="3:7" x14ac:dyDescent="0.3">
      <c r="C4938" s="109"/>
      <c r="D4938" s="109"/>
      <c r="E4938" s="109"/>
      <c r="F4938" s="110"/>
      <c r="G4938" s="109"/>
    </row>
    <row r="4939" spans="3:7" x14ac:dyDescent="0.3">
      <c r="C4939" s="109"/>
      <c r="D4939" s="109"/>
      <c r="E4939" s="109"/>
      <c r="F4939" s="110"/>
      <c r="G4939" s="109"/>
    </row>
    <row r="4940" spans="3:7" x14ac:dyDescent="0.3">
      <c r="C4940" s="109"/>
      <c r="D4940" s="109"/>
      <c r="E4940" s="109"/>
      <c r="F4940" s="110"/>
      <c r="G4940" s="109"/>
    </row>
    <row r="4941" spans="3:7" x14ac:dyDescent="0.3">
      <c r="C4941" s="109"/>
      <c r="D4941" s="109"/>
      <c r="E4941" s="109"/>
      <c r="F4941" s="110"/>
      <c r="G4941" s="109"/>
    </row>
    <row r="4942" spans="3:7" x14ac:dyDescent="0.3">
      <c r="C4942" s="109"/>
      <c r="D4942" s="109"/>
      <c r="E4942" s="109"/>
      <c r="F4942" s="110"/>
      <c r="G4942" s="109"/>
    </row>
    <row r="4943" spans="3:7" x14ac:dyDescent="0.3">
      <c r="C4943" s="109"/>
      <c r="D4943" s="109"/>
      <c r="E4943" s="109"/>
      <c r="F4943" s="110"/>
      <c r="G4943" s="109"/>
    </row>
    <row r="4944" spans="3:7" x14ac:dyDescent="0.3">
      <c r="C4944" s="109"/>
      <c r="D4944" s="109"/>
      <c r="E4944" s="109"/>
      <c r="F4944" s="110"/>
      <c r="G4944" s="109"/>
    </row>
    <row r="4945" spans="3:7" x14ac:dyDescent="0.3">
      <c r="C4945" s="109"/>
      <c r="D4945" s="109"/>
      <c r="E4945" s="109"/>
      <c r="F4945" s="110"/>
      <c r="G4945" s="109"/>
    </row>
    <row r="4946" spans="3:7" x14ac:dyDescent="0.3">
      <c r="C4946" s="109"/>
      <c r="D4946" s="109"/>
      <c r="E4946" s="109"/>
      <c r="F4946" s="110"/>
      <c r="G4946" s="109"/>
    </row>
    <row r="4947" spans="3:7" x14ac:dyDescent="0.3">
      <c r="C4947" s="109"/>
      <c r="D4947" s="109"/>
      <c r="E4947" s="109"/>
      <c r="F4947" s="110"/>
      <c r="G4947" s="109"/>
    </row>
    <row r="4948" spans="3:7" x14ac:dyDescent="0.3">
      <c r="C4948" s="109"/>
      <c r="D4948" s="109"/>
      <c r="E4948" s="109"/>
      <c r="F4948" s="110"/>
      <c r="G4948" s="109"/>
    </row>
    <row r="4949" spans="3:7" x14ac:dyDescent="0.3">
      <c r="C4949" s="109"/>
      <c r="D4949" s="109"/>
      <c r="E4949" s="109"/>
      <c r="F4949" s="110"/>
      <c r="G4949" s="109"/>
    </row>
    <row r="4950" spans="3:7" x14ac:dyDescent="0.3">
      <c r="C4950" s="109"/>
      <c r="D4950" s="109"/>
      <c r="E4950" s="109"/>
      <c r="F4950" s="110"/>
      <c r="G4950" s="109"/>
    </row>
    <row r="4951" spans="3:7" x14ac:dyDescent="0.3">
      <c r="C4951" s="109"/>
      <c r="D4951" s="109"/>
      <c r="E4951" s="109"/>
      <c r="F4951" s="110"/>
      <c r="G4951" s="109"/>
    </row>
    <row r="4952" spans="3:7" x14ac:dyDescent="0.3">
      <c r="C4952" s="109"/>
      <c r="D4952" s="109"/>
      <c r="E4952" s="109"/>
      <c r="F4952" s="110"/>
      <c r="G4952" s="109"/>
    </row>
    <row r="4953" spans="3:7" x14ac:dyDescent="0.3">
      <c r="C4953" s="109"/>
      <c r="D4953" s="109"/>
      <c r="E4953" s="109"/>
      <c r="F4953" s="110"/>
      <c r="G4953" s="109"/>
    </row>
    <row r="4954" spans="3:7" x14ac:dyDescent="0.3">
      <c r="C4954" s="109"/>
      <c r="D4954" s="109"/>
      <c r="E4954" s="109"/>
      <c r="F4954" s="110"/>
      <c r="G4954" s="109"/>
    </row>
    <row r="4955" spans="3:7" x14ac:dyDescent="0.3">
      <c r="C4955" s="109"/>
      <c r="D4955" s="109"/>
      <c r="E4955" s="109"/>
      <c r="F4955" s="110"/>
      <c r="G4955" s="109"/>
    </row>
    <row r="4956" spans="3:7" x14ac:dyDescent="0.3">
      <c r="C4956" s="109"/>
      <c r="D4956" s="109"/>
      <c r="E4956" s="109"/>
      <c r="F4956" s="110"/>
      <c r="G4956" s="109"/>
    </row>
    <row r="4957" spans="3:7" x14ac:dyDescent="0.3">
      <c r="C4957" s="109"/>
      <c r="D4957" s="109"/>
      <c r="E4957" s="109"/>
      <c r="F4957" s="110"/>
      <c r="G4957" s="109"/>
    </row>
    <row r="4958" spans="3:7" x14ac:dyDescent="0.3">
      <c r="C4958" s="109"/>
      <c r="D4958" s="109"/>
      <c r="E4958" s="109"/>
      <c r="F4958" s="110"/>
      <c r="G4958" s="109"/>
    </row>
    <row r="4959" spans="3:7" x14ac:dyDescent="0.3">
      <c r="C4959" s="109"/>
      <c r="D4959" s="109"/>
      <c r="E4959" s="109"/>
      <c r="F4959" s="110"/>
      <c r="G4959" s="109"/>
    </row>
    <row r="4960" spans="3:7" x14ac:dyDescent="0.3">
      <c r="C4960" s="109"/>
      <c r="D4960" s="109"/>
      <c r="E4960" s="109"/>
      <c r="F4960" s="110"/>
      <c r="G4960" s="109"/>
    </row>
    <row r="4961" spans="3:7" x14ac:dyDescent="0.3">
      <c r="C4961" s="109"/>
      <c r="D4961" s="109"/>
      <c r="E4961" s="109"/>
      <c r="F4961" s="110"/>
      <c r="G4961" s="109"/>
    </row>
    <row r="4962" spans="3:7" x14ac:dyDescent="0.3">
      <c r="C4962" s="109"/>
      <c r="D4962" s="109"/>
      <c r="E4962" s="109"/>
      <c r="F4962" s="110"/>
      <c r="G4962" s="109"/>
    </row>
    <row r="4963" spans="3:7" x14ac:dyDescent="0.3">
      <c r="C4963" s="109"/>
      <c r="D4963" s="109"/>
      <c r="E4963" s="109"/>
      <c r="F4963" s="110"/>
      <c r="G4963" s="109"/>
    </row>
    <row r="4964" spans="3:7" x14ac:dyDescent="0.3">
      <c r="C4964" s="109"/>
      <c r="D4964" s="109"/>
      <c r="E4964" s="109"/>
      <c r="F4964" s="110"/>
      <c r="G4964" s="109"/>
    </row>
    <row r="4965" spans="3:7" x14ac:dyDescent="0.3">
      <c r="C4965" s="109"/>
      <c r="D4965" s="109"/>
      <c r="E4965" s="109"/>
      <c r="F4965" s="110"/>
      <c r="G4965" s="109"/>
    </row>
    <row r="4966" spans="3:7" x14ac:dyDescent="0.3">
      <c r="C4966" s="109"/>
      <c r="D4966" s="109"/>
      <c r="E4966" s="109"/>
      <c r="F4966" s="110"/>
      <c r="G4966" s="109"/>
    </row>
    <row r="4967" spans="3:7" x14ac:dyDescent="0.3">
      <c r="C4967" s="109"/>
      <c r="D4967" s="109"/>
      <c r="E4967" s="109"/>
      <c r="F4967" s="110"/>
      <c r="G4967" s="109"/>
    </row>
    <row r="4968" spans="3:7" x14ac:dyDescent="0.3">
      <c r="C4968" s="109"/>
      <c r="D4968" s="109"/>
      <c r="E4968" s="109"/>
      <c r="F4968" s="110"/>
      <c r="G4968" s="109"/>
    </row>
    <row r="4969" spans="3:7" x14ac:dyDescent="0.3">
      <c r="C4969" s="109"/>
      <c r="D4969" s="109"/>
      <c r="E4969" s="109"/>
      <c r="F4969" s="110"/>
      <c r="G4969" s="109"/>
    </row>
    <row r="4970" spans="3:7" x14ac:dyDescent="0.3">
      <c r="C4970" s="109"/>
      <c r="D4970" s="109"/>
      <c r="E4970" s="109"/>
      <c r="F4970" s="110"/>
      <c r="G4970" s="109"/>
    </row>
    <row r="4971" spans="3:7" x14ac:dyDescent="0.3">
      <c r="C4971" s="109"/>
      <c r="D4971" s="109"/>
      <c r="E4971" s="109"/>
      <c r="F4971" s="110"/>
      <c r="G4971" s="109"/>
    </row>
    <row r="4972" spans="3:7" x14ac:dyDescent="0.3">
      <c r="C4972" s="109"/>
      <c r="D4972" s="109"/>
      <c r="E4972" s="109"/>
      <c r="F4972" s="110"/>
      <c r="G4972" s="109"/>
    </row>
    <row r="4973" spans="3:7" x14ac:dyDescent="0.3">
      <c r="C4973" s="109"/>
      <c r="D4973" s="109"/>
      <c r="E4973" s="109"/>
      <c r="F4973" s="110"/>
      <c r="G4973" s="109"/>
    </row>
    <row r="4974" spans="3:7" x14ac:dyDescent="0.3">
      <c r="C4974" s="109"/>
      <c r="D4974" s="109"/>
      <c r="E4974" s="109"/>
      <c r="F4974" s="110"/>
      <c r="G4974" s="109"/>
    </row>
    <row r="4975" spans="3:7" x14ac:dyDescent="0.3">
      <c r="C4975" s="109"/>
      <c r="D4975" s="109"/>
      <c r="E4975" s="109"/>
      <c r="F4975" s="110"/>
      <c r="G4975" s="109"/>
    </row>
    <row r="4976" spans="3:7" x14ac:dyDescent="0.3">
      <c r="C4976" s="109"/>
      <c r="D4976" s="109"/>
      <c r="E4976" s="109"/>
      <c r="F4976" s="110"/>
      <c r="G4976" s="109"/>
    </row>
    <row r="4977" spans="3:7" x14ac:dyDescent="0.3">
      <c r="C4977" s="109"/>
      <c r="D4977" s="109"/>
      <c r="E4977" s="109"/>
      <c r="F4977" s="110"/>
      <c r="G4977" s="109"/>
    </row>
    <row r="4978" spans="3:7" x14ac:dyDescent="0.3">
      <c r="C4978" s="109"/>
      <c r="D4978" s="109"/>
      <c r="E4978" s="109"/>
      <c r="F4978" s="110"/>
      <c r="G4978" s="109"/>
    </row>
    <row r="4979" spans="3:7" x14ac:dyDescent="0.3">
      <c r="C4979" s="109"/>
      <c r="D4979" s="109"/>
      <c r="E4979" s="109"/>
      <c r="F4979" s="110"/>
      <c r="G4979" s="109"/>
    </row>
    <row r="4980" spans="3:7" x14ac:dyDescent="0.3">
      <c r="C4980" s="109"/>
      <c r="D4980" s="109"/>
      <c r="E4980" s="109"/>
      <c r="F4980" s="110"/>
      <c r="G4980" s="109"/>
    </row>
    <row r="4981" spans="3:7" x14ac:dyDescent="0.3">
      <c r="C4981" s="109"/>
      <c r="D4981" s="109"/>
      <c r="E4981" s="109"/>
      <c r="F4981" s="110"/>
      <c r="G4981" s="109"/>
    </row>
    <row r="4982" spans="3:7" x14ac:dyDescent="0.3">
      <c r="C4982" s="109"/>
      <c r="D4982" s="109"/>
      <c r="E4982" s="109"/>
      <c r="F4982" s="110"/>
      <c r="G4982" s="109"/>
    </row>
    <row r="4983" spans="3:7" x14ac:dyDescent="0.3">
      <c r="C4983" s="109"/>
      <c r="D4983" s="109"/>
      <c r="E4983" s="109"/>
      <c r="F4983" s="110"/>
      <c r="G4983" s="109"/>
    </row>
    <row r="4984" spans="3:7" x14ac:dyDescent="0.3">
      <c r="C4984" s="109"/>
      <c r="D4984" s="109"/>
      <c r="E4984" s="109"/>
      <c r="F4984" s="110"/>
      <c r="G4984" s="109"/>
    </row>
    <row r="4985" spans="3:7" x14ac:dyDescent="0.3">
      <c r="C4985" s="109"/>
      <c r="D4985" s="109"/>
      <c r="E4985" s="109"/>
      <c r="F4985" s="110"/>
      <c r="G4985" s="109"/>
    </row>
    <row r="4986" spans="3:7" x14ac:dyDescent="0.3">
      <c r="C4986" s="109"/>
      <c r="D4986" s="109"/>
      <c r="E4986" s="109"/>
      <c r="F4986" s="110"/>
      <c r="G4986" s="109"/>
    </row>
    <row r="4987" spans="3:7" x14ac:dyDescent="0.3">
      <c r="C4987" s="109"/>
      <c r="D4987" s="109"/>
      <c r="E4987" s="109"/>
      <c r="F4987" s="110"/>
      <c r="G4987" s="109"/>
    </row>
    <row r="4988" spans="3:7" x14ac:dyDescent="0.3">
      <c r="C4988" s="109"/>
      <c r="D4988" s="109"/>
      <c r="E4988" s="109"/>
      <c r="F4988" s="110"/>
      <c r="G4988" s="109"/>
    </row>
    <row r="4989" spans="3:7" x14ac:dyDescent="0.3">
      <c r="C4989" s="109"/>
      <c r="D4989" s="109"/>
      <c r="E4989" s="109"/>
      <c r="F4989" s="110"/>
      <c r="G4989" s="109"/>
    </row>
    <row r="4990" spans="3:7" x14ac:dyDescent="0.3">
      <c r="C4990" s="109"/>
      <c r="D4990" s="109"/>
      <c r="E4990" s="109"/>
      <c r="F4990" s="110"/>
      <c r="G4990" s="109"/>
    </row>
    <row r="4991" spans="3:7" x14ac:dyDescent="0.3">
      <c r="C4991" s="109"/>
      <c r="D4991" s="109"/>
      <c r="E4991" s="109"/>
      <c r="F4991" s="110"/>
      <c r="G4991" s="109"/>
    </row>
    <row r="4992" spans="3:7" x14ac:dyDescent="0.3">
      <c r="C4992" s="109"/>
      <c r="D4992" s="109"/>
      <c r="E4992" s="109"/>
      <c r="F4992" s="110"/>
      <c r="G4992" s="109"/>
    </row>
    <row r="4993" spans="3:7" x14ac:dyDescent="0.3">
      <c r="C4993" s="109"/>
      <c r="D4993" s="109"/>
      <c r="E4993" s="109"/>
      <c r="F4993" s="110"/>
      <c r="G4993" s="109"/>
    </row>
    <row r="4994" spans="3:7" x14ac:dyDescent="0.3">
      <c r="C4994" s="109"/>
      <c r="D4994" s="109"/>
      <c r="E4994" s="109"/>
      <c r="F4994" s="110"/>
      <c r="G4994" s="109"/>
    </row>
    <row r="4995" spans="3:7" x14ac:dyDescent="0.3">
      <c r="C4995" s="109"/>
      <c r="D4995" s="109"/>
      <c r="E4995" s="109"/>
      <c r="F4995" s="110"/>
      <c r="G4995" s="109"/>
    </row>
    <row r="4996" spans="3:7" x14ac:dyDescent="0.3">
      <c r="C4996" s="109"/>
      <c r="D4996" s="109"/>
      <c r="E4996" s="109"/>
      <c r="F4996" s="110"/>
      <c r="G4996" s="109"/>
    </row>
    <row r="4997" spans="3:7" x14ac:dyDescent="0.3">
      <c r="C4997" s="109"/>
      <c r="D4997" s="109"/>
      <c r="E4997" s="109"/>
      <c r="F4997" s="110"/>
      <c r="G4997" s="109"/>
    </row>
    <row r="4998" spans="3:7" x14ac:dyDescent="0.3">
      <c r="C4998" s="109"/>
      <c r="D4998" s="109"/>
      <c r="E4998" s="109"/>
      <c r="F4998" s="110"/>
      <c r="G4998" s="109"/>
    </row>
    <row r="4999" spans="3:7" x14ac:dyDescent="0.3">
      <c r="C4999" s="109"/>
      <c r="D4999" s="109"/>
      <c r="E4999" s="109"/>
      <c r="F4999" s="110"/>
      <c r="G4999" s="109"/>
    </row>
    <row r="5000" spans="3:7" x14ac:dyDescent="0.3">
      <c r="C5000" s="109"/>
      <c r="D5000" s="109"/>
      <c r="E5000" s="109"/>
      <c r="F5000" s="110"/>
      <c r="G5000" s="109"/>
    </row>
    <row r="5001" spans="3:7" x14ac:dyDescent="0.3">
      <c r="C5001" s="109"/>
      <c r="D5001" s="109"/>
      <c r="E5001" s="109"/>
      <c r="F5001" s="110"/>
      <c r="G5001" s="109"/>
    </row>
    <row r="5002" spans="3:7" x14ac:dyDescent="0.3">
      <c r="C5002" s="109"/>
      <c r="D5002" s="109"/>
      <c r="E5002" s="109"/>
      <c r="F5002" s="110"/>
      <c r="G5002" s="109"/>
    </row>
    <row r="5003" spans="3:7" x14ac:dyDescent="0.3">
      <c r="C5003" s="109"/>
      <c r="D5003" s="109"/>
      <c r="E5003" s="109"/>
      <c r="F5003" s="110"/>
      <c r="G5003" s="109"/>
    </row>
    <row r="5004" spans="3:7" x14ac:dyDescent="0.3">
      <c r="C5004" s="109"/>
      <c r="D5004" s="109"/>
      <c r="E5004" s="109"/>
      <c r="F5004" s="110"/>
      <c r="G5004" s="109"/>
    </row>
    <row r="5005" spans="3:7" x14ac:dyDescent="0.3">
      <c r="C5005" s="109"/>
      <c r="D5005" s="109"/>
      <c r="E5005" s="109"/>
      <c r="F5005" s="110"/>
      <c r="G5005" s="109"/>
    </row>
    <row r="5006" spans="3:7" x14ac:dyDescent="0.3">
      <c r="C5006" s="109"/>
      <c r="D5006" s="109"/>
      <c r="E5006" s="109"/>
      <c r="F5006" s="110"/>
      <c r="G5006" s="109"/>
    </row>
    <row r="5007" spans="3:7" x14ac:dyDescent="0.3">
      <c r="C5007" s="109"/>
      <c r="D5007" s="109"/>
      <c r="E5007" s="109"/>
      <c r="F5007" s="110"/>
      <c r="G5007" s="109"/>
    </row>
    <row r="5008" spans="3:7" x14ac:dyDescent="0.3">
      <c r="C5008" s="109"/>
      <c r="D5008" s="109"/>
      <c r="E5008" s="109"/>
      <c r="F5008" s="110"/>
      <c r="G5008" s="109"/>
    </row>
    <row r="5009" spans="3:7" x14ac:dyDescent="0.3">
      <c r="C5009" s="109"/>
      <c r="D5009" s="109"/>
      <c r="E5009" s="109"/>
      <c r="F5009" s="110"/>
      <c r="G5009" s="109"/>
    </row>
    <row r="5010" spans="3:7" x14ac:dyDescent="0.3">
      <c r="C5010" s="109"/>
      <c r="D5010" s="109"/>
      <c r="E5010" s="109"/>
      <c r="F5010" s="110"/>
      <c r="G5010" s="109"/>
    </row>
    <row r="5011" spans="3:7" x14ac:dyDescent="0.3">
      <c r="C5011" s="109"/>
      <c r="D5011" s="109"/>
      <c r="E5011" s="109"/>
      <c r="F5011" s="110"/>
      <c r="G5011" s="109"/>
    </row>
    <row r="5012" spans="3:7" x14ac:dyDescent="0.3">
      <c r="C5012" s="109"/>
      <c r="D5012" s="109"/>
      <c r="E5012" s="109"/>
      <c r="F5012" s="110"/>
      <c r="G5012" s="109"/>
    </row>
    <row r="5013" spans="3:7" x14ac:dyDescent="0.3">
      <c r="C5013" s="109"/>
      <c r="D5013" s="109"/>
      <c r="E5013" s="109"/>
      <c r="F5013" s="110"/>
      <c r="G5013" s="109"/>
    </row>
    <row r="5014" spans="3:7" x14ac:dyDescent="0.3">
      <c r="C5014" s="109"/>
      <c r="D5014" s="109"/>
      <c r="E5014" s="109"/>
      <c r="F5014" s="110"/>
      <c r="G5014" s="109"/>
    </row>
    <row r="5015" spans="3:7" x14ac:dyDescent="0.3">
      <c r="C5015" s="109"/>
      <c r="D5015" s="109"/>
      <c r="E5015" s="109"/>
      <c r="F5015" s="110"/>
      <c r="G5015" s="109"/>
    </row>
    <row r="5016" spans="3:7" x14ac:dyDescent="0.3">
      <c r="C5016" s="109"/>
      <c r="D5016" s="109"/>
      <c r="E5016" s="109"/>
      <c r="F5016" s="110"/>
      <c r="G5016" s="109"/>
    </row>
    <row r="5017" spans="3:7" x14ac:dyDescent="0.3">
      <c r="C5017" s="109"/>
      <c r="D5017" s="109"/>
      <c r="E5017" s="109"/>
      <c r="F5017" s="110"/>
      <c r="G5017" s="109"/>
    </row>
    <row r="5018" spans="3:7" x14ac:dyDescent="0.3">
      <c r="C5018" s="109"/>
      <c r="D5018" s="109"/>
      <c r="E5018" s="109"/>
      <c r="F5018" s="110"/>
      <c r="G5018" s="109"/>
    </row>
    <row r="5019" spans="3:7" x14ac:dyDescent="0.3">
      <c r="C5019" s="109"/>
      <c r="D5019" s="109"/>
      <c r="E5019" s="109"/>
      <c r="F5019" s="110"/>
      <c r="G5019" s="109"/>
    </row>
    <row r="5020" spans="3:7" x14ac:dyDescent="0.3">
      <c r="C5020" s="109"/>
      <c r="D5020" s="109"/>
      <c r="E5020" s="109"/>
      <c r="F5020" s="110"/>
      <c r="G5020" s="109"/>
    </row>
    <row r="5021" spans="3:7" x14ac:dyDescent="0.3">
      <c r="C5021" s="109"/>
      <c r="D5021" s="109"/>
      <c r="E5021" s="109"/>
      <c r="F5021" s="110"/>
      <c r="G5021" s="109"/>
    </row>
    <row r="5022" spans="3:7" x14ac:dyDescent="0.3">
      <c r="C5022" s="109"/>
      <c r="D5022" s="109"/>
      <c r="E5022" s="109"/>
      <c r="F5022" s="110"/>
      <c r="G5022" s="109"/>
    </row>
    <row r="5023" spans="3:7" x14ac:dyDescent="0.3">
      <c r="C5023" s="109"/>
      <c r="D5023" s="109"/>
      <c r="E5023" s="109"/>
      <c r="F5023" s="110"/>
      <c r="G5023" s="109"/>
    </row>
    <row r="5024" spans="3:7" x14ac:dyDescent="0.3">
      <c r="C5024" s="109"/>
      <c r="D5024" s="109"/>
      <c r="E5024" s="109"/>
      <c r="F5024" s="110"/>
      <c r="G5024" s="109"/>
    </row>
    <row r="5025" spans="3:7" x14ac:dyDescent="0.3">
      <c r="C5025" s="109"/>
      <c r="D5025" s="109"/>
      <c r="E5025" s="109"/>
      <c r="F5025" s="110"/>
      <c r="G5025" s="109"/>
    </row>
    <row r="5026" spans="3:7" x14ac:dyDescent="0.3">
      <c r="C5026" s="109"/>
      <c r="D5026" s="109"/>
      <c r="E5026" s="109"/>
      <c r="F5026" s="110"/>
      <c r="G5026" s="109"/>
    </row>
    <row r="5027" spans="3:7" x14ac:dyDescent="0.3">
      <c r="C5027" s="109"/>
      <c r="D5027" s="109"/>
      <c r="E5027" s="109"/>
      <c r="F5027" s="110"/>
      <c r="G5027" s="109"/>
    </row>
    <row r="5028" spans="3:7" x14ac:dyDescent="0.3">
      <c r="C5028" s="109"/>
      <c r="D5028" s="109"/>
      <c r="E5028" s="109"/>
      <c r="F5028" s="110"/>
      <c r="G5028" s="109"/>
    </row>
    <row r="5029" spans="3:7" x14ac:dyDescent="0.3">
      <c r="C5029" s="109"/>
      <c r="D5029" s="109"/>
      <c r="E5029" s="109"/>
      <c r="F5029" s="110"/>
      <c r="G5029" s="109"/>
    </row>
    <row r="5030" spans="3:7" x14ac:dyDescent="0.3">
      <c r="C5030" s="109"/>
      <c r="D5030" s="109"/>
      <c r="E5030" s="109"/>
      <c r="F5030" s="110"/>
      <c r="G5030" s="109"/>
    </row>
    <row r="5031" spans="3:7" x14ac:dyDescent="0.3">
      <c r="C5031" s="109"/>
      <c r="D5031" s="109"/>
      <c r="E5031" s="109"/>
      <c r="F5031" s="110"/>
      <c r="G5031" s="109"/>
    </row>
    <row r="5032" spans="3:7" x14ac:dyDescent="0.3">
      <c r="C5032" s="109"/>
      <c r="D5032" s="109"/>
      <c r="E5032" s="109"/>
      <c r="F5032" s="110"/>
      <c r="G5032" s="109"/>
    </row>
    <row r="5033" spans="3:7" x14ac:dyDescent="0.3">
      <c r="C5033" s="109"/>
      <c r="D5033" s="109"/>
      <c r="E5033" s="109"/>
      <c r="F5033" s="110"/>
      <c r="G5033" s="109"/>
    </row>
    <row r="5034" spans="3:7" x14ac:dyDescent="0.3">
      <c r="C5034" s="109"/>
      <c r="D5034" s="109"/>
      <c r="E5034" s="109"/>
      <c r="F5034" s="110"/>
      <c r="G5034" s="109"/>
    </row>
    <row r="5035" spans="3:7" x14ac:dyDescent="0.3">
      <c r="C5035" s="109"/>
      <c r="D5035" s="109"/>
      <c r="E5035" s="109"/>
      <c r="F5035" s="110"/>
      <c r="G5035" s="109"/>
    </row>
    <row r="5036" spans="3:7" x14ac:dyDescent="0.3">
      <c r="C5036" s="109"/>
      <c r="D5036" s="109"/>
      <c r="E5036" s="109"/>
      <c r="F5036" s="110"/>
      <c r="G5036" s="109"/>
    </row>
    <row r="5037" spans="3:7" x14ac:dyDescent="0.3">
      <c r="C5037" s="109"/>
      <c r="D5037" s="109"/>
      <c r="E5037" s="109"/>
      <c r="F5037" s="110"/>
      <c r="G5037" s="109"/>
    </row>
    <row r="5038" spans="3:7" x14ac:dyDescent="0.3">
      <c r="C5038" s="109"/>
      <c r="D5038" s="109"/>
      <c r="E5038" s="109"/>
      <c r="F5038" s="110"/>
      <c r="G5038" s="109"/>
    </row>
    <row r="5039" spans="3:7" x14ac:dyDescent="0.3">
      <c r="C5039" s="109"/>
      <c r="D5039" s="109"/>
      <c r="E5039" s="109"/>
      <c r="F5039" s="110"/>
      <c r="G5039" s="109"/>
    </row>
    <row r="5040" spans="3:7" x14ac:dyDescent="0.3">
      <c r="C5040" s="109"/>
      <c r="D5040" s="109"/>
      <c r="E5040" s="109"/>
      <c r="F5040" s="110"/>
      <c r="G5040" s="109"/>
    </row>
    <row r="5041" spans="3:7" x14ac:dyDescent="0.3">
      <c r="C5041" s="109"/>
      <c r="D5041" s="109"/>
      <c r="E5041" s="109"/>
      <c r="F5041" s="110"/>
      <c r="G5041" s="109"/>
    </row>
    <row r="5042" spans="3:7" x14ac:dyDescent="0.3">
      <c r="C5042" s="109"/>
      <c r="D5042" s="109"/>
      <c r="E5042" s="109"/>
      <c r="F5042" s="110"/>
      <c r="G5042" s="109"/>
    </row>
    <row r="5043" spans="3:7" x14ac:dyDescent="0.3">
      <c r="C5043" s="109"/>
      <c r="D5043" s="109"/>
      <c r="E5043" s="109"/>
      <c r="F5043" s="110"/>
      <c r="G5043" s="109"/>
    </row>
    <row r="5044" spans="3:7" x14ac:dyDescent="0.3">
      <c r="C5044" s="109"/>
      <c r="D5044" s="109"/>
      <c r="E5044" s="109"/>
      <c r="F5044" s="110"/>
      <c r="G5044" s="109"/>
    </row>
    <row r="5045" spans="3:7" x14ac:dyDescent="0.3">
      <c r="C5045" s="109"/>
      <c r="D5045" s="109"/>
      <c r="E5045" s="109"/>
      <c r="F5045" s="110"/>
      <c r="G5045" s="109"/>
    </row>
    <row r="5046" spans="3:7" x14ac:dyDescent="0.3">
      <c r="C5046" s="109"/>
      <c r="D5046" s="109"/>
      <c r="E5046" s="109"/>
      <c r="F5046" s="110"/>
      <c r="G5046" s="109"/>
    </row>
    <row r="5047" spans="3:7" x14ac:dyDescent="0.3">
      <c r="C5047" s="109"/>
      <c r="D5047" s="109"/>
      <c r="E5047" s="109"/>
      <c r="F5047" s="110"/>
      <c r="G5047" s="109"/>
    </row>
    <row r="5048" spans="3:7" x14ac:dyDescent="0.3">
      <c r="C5048" s="109"/>
      <c r="D5048" s="109"/>
      <c r="E5048" s="109"/>
      <c r="F5048" s="110"/>
      <c r="G5048" s="109"/>
    </row>
    <row r="5049" spans="3:7" x14ac:dyDescent="0.3">
      <c r="C5049" s="109"/>
      <c r="D5049" s="109"/>
      <c r="E5049" s="109"/>
      <c r="F5049" s="110"/>
      <c r="G5049" s="109"/>
    </row>
    <row r="5050" spans="3:7" x14ac:dyDescent="0.3">
      <c r="C5050" s="109"/>
      <c r="D5050" s="109"/>
      <c r="E5050" s="109"/>
      <c r="F5050" s="110"/>
      <c r="G5050" s="109"/>
    </row>
    <row r="5051" spans="3:7" x14ac:dyDescent="0.3">
      <c r="C5051" s="109"/>
      <c r="D5051" s="109"/>
      <c r="E5051" s="109"/>
      <c r="F5051" s="110"/>
      <c r="G5051" s="109"/>
    </row>
    <row r="5052" spans="3:7" x14ac:dyDescent="0.3">
      <c r="C5052" s="109"/>
      <c r="D5052" s="109"/>
      <c r="E5052" s="109"/>
      <c r="F5052" s="110"/>
      <c r="G5052" s="109"/>
    </row>
    <row r="5053" spans="3:7" x14ac:dyDescent="0.3">
      <c r="C5053" s="109"/>
      <c r="D5053" s="109"/>
      <c r="E5053" s="109"/>
      <c r="F5053" s="110"/>
      <c r="G5053" s="109"/>
    </row>
    <row r="5054" spans="3:7" x14ac:dyDescent="0.3">
      <c r="C5054" s="109"/>
      <c r="D5054" s="109"/>
      <c r="E5054" s="109"/>
      <c r="F5054" s="110"/>
      <c r="G5054" s="109"/>
    </row>
    <row r="5055" spans="3:7" x14ac:dyDescent="0.3">
      <c r="C5055" s="109"/>
      <c r="D5055" s="109"/>
      <c r="E5055" s="109"/>
      <c r="F5055" s="110"/>
      <c r="G5055" s="109"/>
    </row>
    <row r="5056" spans="3:7" x14ac:dyDescent="0.3">
      <c r="C5056" s="109"/>
      <c r="D5056" s="109"/>
      <c r="E5056" s="109"/>
      <c r="F5056" s="110"/>
      <c r="G5056" s="109"/>
    </row>
    <row r="5057" spans="3:7" x14ac:dyDescent="0.3">
      <c r="C5057" s="109"/>
      <c r="D5057" s="109"/>
      <c r="E5057" s="109"/>
      <c r="F5057" s="110"/>
      <c r="G5057" s="109"/>
    </row>
    <row r="5058" spans="3:7" x14ac:dyDescent="0.3">
      <c r="C5058" s="109"/>
      <c r="D5058" s="109"/>
      <c r="E5058" s="109"/>
      <c r="F5058" s="110"/>
      <c r="G5058" s="109"/>
    </row>
    <row r="5059" spans="3:7" x14ac:dyDescent="0.3">
      <c r="C5059" s="109"/>
      <c r="D5059" s="109"/>
      <c r="E5059" s="109"/>
      <c r="F5059" s="110"/>
      <c r="G5059" s="109"/>
    </row>
    <row r="5060" spans="3:7" x14ac:dyDescent="0.3">
      <c r="C5060" s="109"/>
      <c r="D5060" s="109"/>
      <c r="E5060" s="109"/>
      <c r="F5060" s="110"/>
      <c r="G5060" s="109"/>
    </row>
    <row r="5061" spans="3:7" x14ac:dyDescent="0.3">
      <c r="C5061" s="109"/>
      <c r="D5061" s="109"/>
      <c r="E5061" s="109"/>
      <c r="F5061" s="110"/>
      <c r="G5061" s="109"/>
    </row>
    <row r="5062" spans="3:7" x14ac:dyDescent="0.3">
      <c r="C5062" s="109"/>
      <c r="D5062" s="109"/>
      <c r="E5062" s="109"/>
      <c r="F5062" s="110"/>
      <c r="G5062" s="109"/>
    </row>
    <row r="5063" spans="3:7" x14ac:dyDescent="0.3">
      <c r="C5063" s="109"/>
      <c r="D5063" s="109"/>
      <c r="E5063" s="109"/>
      <c r="F5063" s="110"/>
      <c r="G5063" s="109"/>
    </row>
    <row r="5064" spans="3:7" x14ac:dyDescent="0.3">
      <c r="C5064" s="109"/>
      <c r="D5064" s="109"/>
      <c r="E5064" s="109"/>
      <c r="F5064" s="110"/>
      <c r="G5064" s="109"/>
    </row>
    <row r="5065" spans="3:7" x14ac:dyDescent="0.3">
      <c r="C5065" s="109"/>
      <c r="D5065" s="109"/>
      <c r="E5065" s="109"/>
      <c r="F5065" s="110"/>
      <c r="G5065" s="109"/>
    </row>
    <row r="5066" spans="3:7" x14ac:dyDescent="0.3">
      <c r="C5066" s="109"/>
      <c r="D5066" s="109"/>
      <c r="E5066" s="109"/>
      <c r="F5066" s="110"/>
      <c r="G5066" s="109"/>
    </row>
    <row r="5067" spans="3:7" x14ac:dyDescent="0.3">
      <c r="C5067" s="109"/>
      <c r="D5067" s="109"/>
      <c r="E5067" s="109"/>
      <c r="F5067" s="110"/>
      <c r="G5067" s="109"/>
    </row>
    <row r="5068" spans="3:7" x14ac:dyDescent="0.3">
      <c r="C5068" s="109"/>
      <c r="D5068" s="109"/>
      <c r="E5068" s="109"/>
      <c r="F5068" s="110"/>
      <c r="G5068" s="109"/>
    </row>
    <row r="5069" spans="3:7" x14ac:dyDescent="0.3">
      <c r="C5069" s="109"/>
      <c r="D5069" s="109"/>
      <c r="E5069" s="109"/>
      <c r="F5069" s="110"/>
      <c r="G5069" s="109"/>
    </row>
    <row r="5070" spans="3:7" x14ac:dyDescent="0.3">
      <c r="C5070" s="109"/>
      <c r="D5070" s="109"/>
      <c r="E5070" s="109"/>
      <c r="F5070" s="110"/>
      <c r="G5070" s="109"/>
    </row>
    <row r="5071" spans="3:7" x14ac:dyDescent="0.3">
      <c r="C5071" s="109"/>
      <c r="D5071" s="109"/>
      <c r="E5071" s="109"/>
      <c r="F5071" s="110"/>
      <c r="G5071" s="109"/>
    </row>
    <row r="5072" spans="3:7" x14ac:dyDescent="0.3">
      <c r="C5072" s="109"/>
      <c r="D5072" s="109"/>
      <c r="E5072" s="109"/>
      <c r="F5072" s="110"/>
      <c r="G5072" s="109"/>
    </row>
    <row r="5073" spans="3:7" x14ac:dyDescent="0.3">
      <c r="C5073" s="109"/>
      <c r="D5073" s="109"/>
      <c r="E5073" s="109"/>
      <c r="F5073" s="110"/>
      <c r="G5073" s="109"/>
    </row>
    <row r="5074" spans="3:7" x14ac:dyDescent="0.3">
      <c r="C5074" s="109"/>
      <c r="D5074" s="109"/>
      <c r="E5074" s="109"/>
      <c r="F5074" s="110"/>
      <c r="G5074" s="109"/>
    </row>
    <row r="5075" spans="3:7" x14ac:dyDescent="0.3">
      <c r="C5075" s="109"/>
      <c r="D5075" s="109"/>
      <c r="E5075" s="109"/>
      <c r="F5075" s="110"/>
      <c r="G5075" s="109"/>
    </row>
    <row r="5076" spans="3:7" x14ac:dyDescent="0.3">
      <c r="C5076" s="109"/>
      <c r="D5076" s="109"/>
      <c r="E5076" s="109"/>
      <c r="F5076" s="110"/>
      <c r="G5076" s="109"/>
    </row>
    <row r="5077" spans="3:7" x14ac:dyDescent="0.3">
      <c r="C5077" s="109"/>
      <c r="D5077" s="109"/>
      <c r="E5077" s="109"/>
      <c r="F5077" s="110"/>
      <c r="G5077" s="109"/>
    </row>
    <row r="5078" spans="3:7" x14ac:dyDescent="0.3">
      <c r="C5078" s="109"/>
      <c r="D5078" s="109"/>
      <c r="E5078" s="109"/>
      <c r="F5078" s="110"/>
      <c r="G5078" s="109"/>
    </row>
    <row r="5079" spans="3:7" x14ac:dyDescent="0.3">
      <c r="C5079" s="109"/>
      <c r="D5079" s="109"/>
      <c r="E5079" s="109"/>
      <c r="F5079" s="110"/>
      <c r="G5079" s="109"/>
    </row>
    <row r="5080" spans="3:7" x14ac:dyDescent="0.3">
      <c r="C5080" s="109"/>
      <c r="D5080" s="109"/>
      <c r="E5080" s="109"/>
      <c r="F5080" s="110"/>
      <c r="G5080" s="109"/>
    </row>
    <row r="5081" spans="3:7" x14ac:dyDescent="0.3">
      <c r="C5081" s="109"/>
      <c r="D5081" s="109"/>
      <c r="E5081" s="109"/>
      <c r="F5081" s="110"/>
      <c r="G5081" s="109"/>
    </row>
    <row r="5082" spans="3:7" x14ac:dyDescent="0.3">
      <c r="C5082" s="109"/>
      <c r="D5082" s="109"/>
      <c r="E5082" s="109"/>
      <c r="F5082" s="110"/>
      <c r="G5082" s="109"/>
    </row>
    <row r="5083" spans="3:7" x14ac:dyDescent="0.3">
      <c r="C5083" s="109"/>
      <c r="D5083" s="109"/>
      <c r="E5083" s="109"/>
      <c r="F5083" s="110"/>
      <c r="G5083" s="109"/>
    </row>
    <row r="5084" spans="3:7" x14ac:dyDescent="0.3">
      <c r="C5084" s="109"/>
      <c r="D5084" s="109"/>
      <c r="E5084" s="109"/>
      <c r="F5084" s="110"/>
      <c r="G5084" s="109"/>
    </row>
    <row r="5085" spans="3:7" x14ac:dyDescent="0.3">
      <c r="C5085" s="109"/>
      <c r="D5085" s="109"/>
      <c r="E5085" s="109"/>
      <c r="F5085" s="110"/>
      <c r="G5085" s="109"/>
    </row>
    <row r="5086" spans="3:7" x14ac:dyDescent="0.3">
      <c r="C5086" s="109"/>
      <c r="D5086" s="109"/>
      <c r="E5086" s="109"/>
      <c r="F5086" s="110"/>
      <c r="G5086" s="109"/>
    </row>
    <row r="5087" spans="3:7" x14ac:dyDescent="0.3">
      <c r="C5087" s="109"/>
      <c r="D5087" s="109"/>
      <c r="E5087" s="109"/>
      <c r="F5087" s="110"/>
      <c r="G5087" s="109"/>
    </row>
    <row r="5088" spans="3:7" x14ac:dyDescent="0.3">
      <c r="C5088" s="109"/>
      <c r="D5088" s="109"/>
      <c r="E5088" s="109"/>
      <c r="F5088" s="110"/>
      <c r="G5088" s="109"/>
    </row>
    <row r="5089" spans="3:7" x14ac:dyDescent="0.3">
      <c r="C5089" s="109"/>
      <c r="D5089" s="109"/>
      <c r="E5089" s="109"/>
      <c r="F5089" s="110"/>
      <c r="G5089" s="109"/>
    </row>
    <row r="5090" spans="3:7" x14ac:dyDescent="0.3">
      <c r="C5090" s="109"/>
      <c r="D5090" s="109"/>
      <c r="E5090" s="109"/>
      <c r="F5090" s="110"/>
      <c r="G5090" s="109"/>
    </row>
    <row r="5091" spans="3:7" x14ac:dyDescent="0.3">
      <c r="C5091" s="109"/>
      <c r="D5091" s="109"/>
      <c r="E5091" s="109"/>
      <c r="F5091" s="110"/>
      <c r="G5091" s="109"/>
    </row>
    <row r="5092" spans="3:7" x14ac:dyDescent="0.3">
      <c r="C5092" s="109"/>
      <c r="D5092" s="109"/>
      <c r="E5092" s="109"/>
      <c r="F5092" s="110"/>
      <c r="G5092" s="109"/>
    </row>
    <row r="5093" spans="3:7" x14ac:dyDescent="0.3">
      <c r="C5093" s="109"/>
      <c r="D5093" s="109"/>
      <c r="E5093" s="109"/>
      <c r="F5093" s="110"/>
      <c r="G5093" s="109"/>
    </row>
    <row r="5094" spans="3:7" x14ac:dyDescent="0.3">
      <c r="C5094" s="109"/>
      <c r="D5094" s="109"/>
      <c r="E5094" s="109"/>
      <c r="F5094" s="110"/>
      <c r="G5094" s="109"/>
    </row>
    <row r="5095" spans="3:7" x14ac:dyDescent="0.3">
      <c r="C5095" s="109"/>
      <c r="D5095" s="109"/>
      <c r="E5095" s="109"/>
      <c r="F5095" s="110"/>
      <c r="G5095" s="109"/>
    </row>
    <row r="5096" spans="3:7" x14ac:dyDescent="0.3">
      <c r="C5096" s="109"/>
      <c r="D5096" s="109"/>
      <c r="E5096" s="109"/>
      <c r="F5096" s="110"/>
      <c r="G5096" s="109"/>
    </row>
    <row r="5097" spans="3:7" x14ac:dyDescent="0.3">
      <c r="C5097" s="109"/>
      <c r="D5097" s="109"/>
      <c r="E5097" s="109"/>
      <c r="F5097" s="110"/>
      <c r="G5097" s="109"/>
    </row>
    <row r="5098" spans="3:7" x14ac:dyDescent="0.3">
      <c r="C5098" s="109"/>
      <c r="D5098" s="109"/>
      <c r="E5098" s="109"/>
      <c r="F5098" s="110"/>
      <c r="G5098" s="109"/>
    </row>
    <row r="5099" spans="3:7" x14ac:dyDescent="0.3">
      <c r="C5099" s="109"/>
      <c r="D5099" s="109"/>
      <c r="E5099" s="109"/>
      <c r="F5099" s="110"/>
      <c r="G5099" s="109"/>
    </row>
    <row r="5100" spans="3:7" x14ac:dyDescent="0.3">
      <c r="C5100" s="109"/>
      <c r="D5100" s="109"/>
      <c r="E5100" s="109"/>
      <c r="F5100" s="110"/>
      <c r="G5100" s="109"/>
    </row>
    <row r="5101" spans="3:7" x14ac:dyDescent="0.3">
      <c r="C5101" s="109"/>
      <c r="D5101" s="109"/>
      <c r="E5101" s="109"/>
      <c r="F5101" s="110"/>
      <c r="G5101" s="109"/>
    </row>
    <row r="5102" spans="3:7" x14ac:dyDescent="0.3">
      <c r="C5102" s="109"/>
      <c r="D5102" s="109"/>
      <c r="E5102" s="109"/>
      <c r="F5102" s="110"/>
      <c r="G5102" s="109"/>
    </row>
    <row r="5103" spans="3:7" x14ac:dyDescent="0.3">
      <c r="C5103" s="109"/>
      <c r="D5103" s="109"/>
      <c r="E5103" s="109"/>
      <c r="F5103" s="110"/>
      <c r="G5103" s="109"/>
    </row>
    <row r="5104" spans="3:7" x14ac:dyDescent="0.3">
      <c r="C5104" s="109"/>
      <c r="D5104" s="109"/>
      <c r="E5104" s="109"/>
      <c r="F5104" s="110"/>
      <c r="G5104" s="109"/>
    </row>
    <row r="5105" spans="3:7" x14ac:dyDescent="0.3">
      <c r="C5105" s="109"/>
      <c r="D5105" s="109"/>
      <c r="E5105" s="109"/>
      <c r="F5105" s="110"/>
      <c r="G5105" s="109"/>
    </row>
    <row r="5106" spans="3:7" x14ac:dyDescent="0.3">
      <c r="C5106" s="109"/>
      <c r="D5106" s="109"/>
      <c r="E5106" s="109"/>
      <c r="F5106" s="110"/>
      <c r="G5106" s="109"/>
    </row>
    <row r="5107" spans="3:7" x14ac:dyDescent="0.3">
      <c r="C5107" s="109"/>
      <c r="D5107" s="109"/>
      <c r="E5107" s="109"/>
      <c r="F5107" s="110"/>
      <c r="G5107" s="109"/>
    </row>
    <row r="5108" spans="3:7" x14ac:dyDescent="0.3">
      <c r="C5108" s="109"/>
      <c r="D5108" s="109"/>
      <c r="E5108" s="109"/>
      <c r="F5108" s="110"/>
      <c r="G5108" s="109"/>
    </row>
    <row r="5109" spans="3:7" x14ac:dyDescent="0.3">
      <c r="C5109" s="109"/>
      <c r="D5109" s="109"/>
      <c r="E5109" s="109"/>
      <c r="F5109" s="110"/>
      <c r="G5109" s="109"/>
    </row>
    <row r="5110" spans="3:7" x14ac:dyDescent="0.3">
      <c r="C5110" s="109"/>
      <c r="D5110" s="109"/>
      <c r="E5110" s="109"/>
      <c r="F5110" s="110"/>
      <c r="G5110" s="109"/>
    </row>
    <row r="5111" spans="3:7" x14ac:dyDescent="0.3">
      <c r="C5111" s="109"/>
      <c r="D5111" s="109"/>
      <c r="E5111" s="109"/>
      <c r="F5111" s="110"/>
      <c r="G5111" s="109"/>
    </row>
    <row r="5112" spans="3:7" x14ac:dyDescent="0.3">
      <c r="C5112" s="109"/>
      <c r="D5112" s="109"/>
      <c r="E5112" s="109"/>
      <c r="F5112" s="110"/>
      <c r="G5112" s="109"/>
    </row>
    <row r="5113" spans="3:7" x14ac:dyDescent="0.3">
      <c r="C5113" s="109"/>
      <c r="D5113" s="109"/>
      <c r="E5113" s="109"/>
      <c r="F5113" s="110"/>
      <c r="G5113" s="109"/>
    </row>
    <row r="5114" spans="3:7" x14ac:dyDescent="0.3">
      <c r="C5114" s="109"/>
      <c r="D5114" s="109"/>
      <c r="E5114" s="109"/>
      <c r="F5114" s="110"/>
      <c r="G5114" s="109"/>
    </row>
    <row r="5115" spans="3:7" x14ac:dyDescent="0.3">
      <c r="C5115" s="109"/>
      <c r="D5115" s="109"/>
      <c r="E5115" s="109"/>
      <c r="F5115" s="110"/>
      <c r="G5115" s="109"/>
    </row>
    <row r="5116" spans="3:7" x14ac:dyDescent="0.3">
      <c r="C5116" s="109"/>
      <c r="D5116" s="109"/>
      <c r="E5116" s="109"/>
      <c r="F5116" s="110"/>
      <c r="G5116" s="109"/>
    </row>
    <row r="5117" spans="3:7" x14ac:dyDescent="0.3">
      <c r="C5117" s="109"/>
      <c r="D5117" s="109"/>
      <c r="E5117" s="109"/>
      <c r="F5117" s="110"/>
      <c r="G5117" s="109"/>
    </row>
    <row r="5118" spans="3:7" x14ac:dyDescent="0.3">
      <c r="C5118" s="109"/>
      <c r="D5118" s="109"/>
      <c r="E5118" s="109"/>
      <c r="F5118" s="110"/>
      <c r="G5118" s="109"/>
    </row>
    <row r="5119" spans="3:7" x14ac:dyDescent="0.3">
      <c r="C5119" s="109"/>
      <c r="D5119" s="109"/>
      <c r="E5119" s="109"/>
      <c r="F5119" s="110"/>
      <c r="G5119" s="109"/>
    </row>
    <row r="5120" spans="3:7" x14ac:dyDescent="0.3">
      <c r="C5120" s="109"/>
      <c r="D5120" s="109"/>
      <c r="E5120" s="109"/>
      <c r="F5120" s="110"/>
      <c r="G5120" s="109"/>
    </row>
    <row r="5121" spans="3:7" x14ac:dyDescent="0.3">
      <c r="C5121" s="109"/>
      <c r="D5121" s="109"/>
      <c r="E5121" s="109"/>
      <c r="F5121" s="110"/>
      <c r="G5121" s="109"/>
    </row>
    <row r="5122" spans="3:7" x14ac:dyDescent="0.3">
      <c r="C5122" s="109"/>
      <c r="D5122" s="109"/>
      <c r="E5122" s="109"/>
      <c r="F5122" s="110"/>
      <c r="G5122" s="109"/>
    </row>
    <row r="5123" spans="3:7" x14ac:dyDescent="0.3">
      <c r="C5123" s="109"/>
      <c r="D5123" s="109"/>
      <c r="E5123" s="109"/>
      <c r="F5123" s="110"/>
      <c r="G5123" s="109"/>
    </row>
    <row r="5124" spans="3:7" x14ac:dyDescent="0.3">
      <c r="C5124" s="109"/>
      <c r="D5124" s="109"/>
      <c r="E5124" s="109"/>
      <c r="F5124" s="110"/>
      <c r="G5124" s="109"/>
    </row>
    <row r="5125" spans="3:7" x14ac:dyDescent="0.3">
      <c r="C5125" s="109"/>
      <c r="D5125" s="109"/>
      <c r="E5125" s="109"/>
      <c r="F5125" s="110"/>
      <c r="G5125" s="109"/>
    </row>
    <row r="5126" spans="3:7" x14ac:dyDescent="0.3">
      <c r="C5126" s="109"/>
      <c r="D5126" s="109"/>
      <c r="E5126" s="109"/>
      <c r="F5126" s="110"/>
      <c r="G5126" s="109"/>
    </row>
    <row r="5127" spans="3:7" x14ac:dyDescent="0.3">
      <c r="C5127" s="109"/>
      <c r="D5127" s="109"/>
      <c r="E5127" s="109"/>
      <c r="F5127" s="110"/>
      <c r="G5127" s="109"/>
    </row>
    <row r="5128" spans="3:7" x14ac:dyDescent="0.3">
      <c r="C5128" s="109"/>
      <c r="D5128" s="109"/>
      <c r="E5128" s="109"/>
      <c r="F5128" s="110"/>
      <c r="G5128" s="109"/>
    </row>
    <row r="5129" spans="3:7" x14ac:dyDescent="0.3">
      <c r="C5129" s="109"/>
      <c r="D5129" s="109"/>
      <c r="E5129" s="109"/>
      <c r="F5129" s="110"/>
      <c r="G5129" s="109"/>
    </row>
    <row r="5130" spans="3:7" x14ac:dyDescent="0.3">
      <c r="C5130" s="109"/>
      <c r="D5130" s="109"/>
      <c r="E5130" s="109"/>
      <c r="F5130" s="110"/>
      <c r="G5130" s="109"/>
    </row>
    <row r="5131" spans="3:7" x14ac:dyDescent="0.3">
      <c r="C5131" s="109"/>
      <c r="D5131" s="109"/>
      <c r="E5131" s="109"/>
      <c r="F5131" s="110"/>
      <c r="G5131" s="109"/>
    </row>
    <row r="5132" spans="3:7" x14ac:dyDescent="0.3">
      <c r="C5132" s="109"/>
      <c r="D5132" s="109"/>
      <c r="E5132" s="109"/>
      <c r="F5132" s="110"/>
      <c r="G5132" s="109"/>
    </row>
    <row r="5133" spans="3:7" x14ac:dyDescent="0.3">
      <c r="C5133" s="109"/>
      <c r="D5133" s="109"/>
      <c r="E5133" s="109"/>
      <c r="F5133" s="110"/>
      <c r="G5133" s="109"/>
    </row>
    <row r="5134" spans="3:7" x14ac:dyDescent="0.3">
      <c r="C5134" s="109"/>
      <c r="D5134" s="109"/>
      <c r="E5134" s="109"/>
      <c r="F5134" s="110"/>
      <c r="G5134" s="109"/>
    </row>
    <row r="5135" spans="3:7" x14ac:dyDescent="0.3">
      <c r="C5135" s="109"/>
      <c r="D5135" s="109"/>
      <c r="E5135" s="109"/>
      <c r="F5135" s="110"/>
      <c r="G5135" s="109"/>
    </row>
    <row r="5136" spans="3:7" x14ac:dyDescent="0.3">
      <c r="C5136" s="109"/>
      <c r="D5136" s="109"/>
      <c r="E5136" s="109"/>
      <c r="F5136" s="110"/>
      <c r="G5136" s="109"/>
    </row>
    <row r="5137" spans="3:7" x14ac:dyDescent="0.3">
      <c r="C5137" s="109"/>
      <c r="D5137" s="109"/>
      <c r="E5137" s="109"/>
      <c r="F5137" s="110"/>
      <c r="G5137" s="109"/>
    </row>
    <row r="5138" spans="3:7" x14ac:dyDescent="0.3">
      <c r="C5138" s="109"/>
      <c r="D5138" s="109"/>
      <c r="E5138" s="109"/>
      <c r="F5138" s="110"/>
      <c r="G5138" s="109"/>
    </row>
    <row r="5139" spans="3:7" x14ac:dyDescent="0.3">
      <c r="C5139" s="109"/>
      <c r="D5139" s="109"/>
      <c r="E5139" s="109"/>
      <c r="F5139" s="110"/>
      <c r="G5139" s="109"/>
    </row>
    <row r="5140" spans="3:7" x14ac:dyDescent="0.3">
      <c r="C5140" s="109"/>
      <c r="D5140" s="109"/>
      <c r="E5140" s="109"/>
      <c r="F5140" s="110"/>
      <c r="G5140" s="109"/>
    </row>
    <row r="5141" spans="3:7" x14ac:dyDescent="0.3">
      <c r="C5141" s="109"/>
      <c r="D5141" s="109"/>
      <c r="E5141" s="109"/>
      <c r="F5141" s="110"/>
      <c r="G5141" s="109"/>
    </row>
    <row r="5142" spans="3:7" x14ac:dyDescent="0.3">
      <c r="C5142" s="109"/>
      <c r="D5142" s="109"/>
      <c r="E5142" s="109"/>
      <c r="F5142" s="110"/>
      <c r="G5142" s="109"/>
    </row>
    <row r="5143" spans="3:7" x14ac:dyDescent="0.3">
      <c r="C5143" s="109"/>
      <c r="D5143" s="109"/>
      <c r="E5143" s="109"/>
      <c r="F5143" s="110"/>
      <c r="G5143" s="109"/>
    </row>
    <row r="5144" spans="3:7" x14ac:dyDescent="0.3">
      <c r="C5144" s="109"/>
      <c r="D5144" s="109"/>
      <c r="E5144" s="109"/>
      <c r="F5144" s="110"/>
      <c r="G5144" s="109"/>
    </row>
    <row r="5145" spans="3:7" x14ac:dyDescent="0.3">
      <c r="C5145" s="109"/>
      <c r="D5145" s="109"/>
      <c r="E5145" s="109"/>
      <c r="F5145" s="110"/>
      <c r="G5145" s="109"/>
    </row>
    <row r="5146" spans="3:7" x14ac:dyDescent="0.3">
      <c r="C5146" s="109"/>
      <c r="D5146" s="109"/>
      <c r="E5146" s="109"/>
      <c r="F5146" s="110"/>
      <c r="G5146" s="109"/>
    </row>
    <row r="5147" spans="3:7" x14ac:dyDescent="0.3">
      <c r="C5147" s="109"/>
      <c r="D5147" s="109"/>
      <c r="E5147" s="109"/>
      <c r="F5147" s="110"/>
      <c r="G5147" s="109"/>
    </row>
    <row r="5148" spans="3:7" x14ac:dyDescent="0.3">
      <c r="C5148" s="109"/>
      <c r="D5148" s="109"/>
      <c r="E5148" s="109"/>
      <c r="F5148" s="110"/>
      <c r="G5148" s="109"/>
    </row>
    <row r="5149" spans="3:7" x14ac:dyDescent="0.3">
      <c r="C5149" s="109"/>
      <c r="D5149" s="109"/>
      <c r="E5149" s="109"/>
      <c r="F5149" s="110"/>
      <c r="G5149" s="109"/>
    </row>
    <row r="5150" spans="3:7" x14ac:dyDescent="0.3">
      <c r="C5150" s="109"/>
      <c r="D5150" s="109"/>
      <c r="E5150" s="109"/>
      <c r="F5150" s="110"/>
      <c r="G5150" s="109"/>
    </row>
    <row r="5151" spans="3:7" x14ac:dyDescent="0.3">
      <c r="C5151" s="109"/>
      <c r="D5151" s="109"/>
      <c r="E5151" s="109"/>
      <c r="F5151" s="110"/>
      <c r="G5151" s="109"/>
    </row>
    <row r="5152" spans="3:7" x14ac:dyDescent="0.3">
      <c r="C5152" s="109"/>
      <c r="D5152" s="109"/>
      <c r="E5152" s="109"/>
      <c r="F5152" s="110"/>
      <c r="G5152" s="109"/>
    </row>
    <row r="5153" spans="3:7" x14ac:dyDescent="0.3">
      <c r="C5153" s="109"/>
      <c r="D5153" s="109"/>
      <c r="E5153" s="109"/>
      <c r="F5153" s="110"/>
      <c r="G5153" s="109"/>
    </row>
    <row r="5154" spans="3:7" x14ac:dyDescent="0.3">
      <c r="C5154" s="109"/>
      <c r="D5154" s="109"/>
      <c r="E5154" s="109"/>
      <c r="F5154" s="110"/>
      <c r="G5154" s="109"/>
    </row>
    <row r="5155" spans="3:7" x14ac:dyDescent="0.3">
      <c r="C5155" s="109"/>
      <c r="D5155" s="109"/>
      <c r="E5155" s="109"/>
      <c r="F5155" s="110"/>
      <c r="G5155" s="109"/>
    </row>
    <row r="5156" spans="3:7" x14ac:dyDescent="0.3">
      <c r="C5156" s="109"/>
      <c r="D5156" s="109"/>
      <c r="E5156" s="109"/>
      <c r="F5156" s="110"/>
      <c r="G5156" s="109"/>
    </row>
    <row r="5157" spans="3:7" x14ac:dyDescent="0.3">
      <c r="C5157" s="109"/>
      <c r="D5157" s="109"/>
      <c r="E5157" s="109"/>
      <c r="F5157" s="110"/>
      <c r="G5157" s="109"/>
    </row>
    <row r="5158" spans="3:7" x14ac:dyDescent="0.3">
      <c r="C5158" s="109"/>
      <c r="D5158" s="109"/>
      <c r="E5158" s="109"/>
      <c r="F5158" s="110"/>
      <c r="G5158" s="109"/>
    </row>
    <row r="5159" spans="3:7" x14ac:dyDescent="0.3">
      <c r="C5159" s="109"/>
      <c r="D5159" s="109"/>
      <c r="E5159" s="109"/>
      <c r="F5159" s="110"/>
      <c r="G5159" s="109"/>
    </row>
    <row r="5160" spans="3:7" x14ac:dyDescent="0.3">
      <c r="C5160" s="109"/>
      <c r="D5160" s="109"/>
      <c r="E5160" s="109"/>
      <c r="F5160" s="110"/>
      <c r="G5160" s="109"/>
    </row>
    <row r="5161" spans="3:7" x14ac:dyDescent="0.3">
      <c r="C5161" s="109"/>
      <c r="D5161" s="109"/>
      <c r="E5161" s="109"/>
      <c r="F5161" s="110"/>
      <c r="G5161" s="109"/>
    </row>
    <row r="5162" spans="3:7" x14ac:dyDescent="0.3">
      <c r="C5162" s="109"/>
      <c r="D5162" s="109"/>
      <c r="E5162" s="109"/>
      <c r="F5162" s="110"/>
      <c r="G5162" s="109"/>
    </row>
    <row r="5163" spans="3:7" x14ac:dyDescent="0.3">
      <c r="C5163" s="109"/>
      <c r="D5163" s="109"/>
      <c r="E5163" s="109"/>
      <c r="F5163" s="110"/>
      <c r="G5163" s="109"/>
    </row>
    <row r="5164" spans="3:7" x14ac:dyDescent="0.3">
      <c r="C5164" s="109"/>
      <c r="D5164" s="109"/>
      <c r="E5164" s="109"/>
      <c r="F5164" s="110"/>
      <c r="G5164" s="109"/>
    </row>
    <row r="5165" spans="3:7" x14ac:dyDescent="0.3">
      <c r="C5165" s="109"/>
      <c r="D5165" s="109"/>
      <c r="E5165" s="109"/>
      <c r="F5165" s="110"/>
      <c r="G5165" s="109"/>
    </row>
    <row r="5166" spans="3:7" x14ac:dyDescent="0.3">
      <c r="C5166" s="109"/>
      <c r="D5166" s="109"/>
      <c r="E5166" s="109"/>
      <c r="F5166" s="110"/>
      <c r="G5166" s="109"/>
    </row>
    <row r="5167" spans="3:7" x14ac:dyDescent="0.3">
      <c r="C5167" s="109"/>
      <c r="D5167" s="109"/>
      <c r="E5167" s="109"/>
      <c r="F5167" s="110"/>
      <c r="G5167" s="109"/>
    </row>
    <row r="5168" spans="3:7" x14ac:dyDescent="0.3">
      <c r="C5168" s="109"/>
      <c r="D5168" s="109"/>
      <c r="E5168" s="109"/>
      <c r="F5168" s="110"/>
      <c r="G5168" s="109"/>
    </row>
    <row r="5169" spans="3:7" x14ac:dyDescent="0.3">
      <c r="C5169" s="109"/>
      <c r="D5169" s="109"/>
      <c r="E5169" s="109"/>
      <c r="F5169" s="110"/>
      <c r="G5169" s="109"/>
    </row>
    <row r="5170" spans="3:7" x14ac:dyDescent="0.3">
      <c r="C5170" s="109"/>
      <c r="D5170" s="109"/>
      <c r="E5170" s="109"/>
      <c r="F5170" s="110"/>
      <c r="G5170" s="109"/>
    </row>
    <row r="5171" spans="3:7" x14ac:dyDescent="0.3">
      <c r="C5171" s="109"/>
      <c r="D5171" s="109"/>
      <c r="E5171" s="109"/>
      <c r="F5171" s="110"/>
      <c r="G5171" s="109"/>
    </row>
    <row r="5172" spans="3:7" x14ac:dyDescent="0.3">
      <c r="C5172" s="109"/>
      <c r="D5172" s="109"/>
      <c r="E5172" s="109"/>
      <c r="F5172" s="110"/>
      <c r="G5172" s="109"/>
    </row>
    <row r="5173" spans="3:7" x14ac:dyDescent="0.3">
      <c r="C5173" s="109"/>
      <c r="D5173" s="109"/>
      <c r="E5173" s="109"/>
      <c r="F5173" s="110"/>
      <c r="G5173" s="109"/>
    </row>
    <row r="5174" spans="3:7" x14ac:dyDescent="0.3">
      <c r="C5174" s="109"/>
      <c r="D5174" s="109"/>
      <c r="E5174" s="109"/>
      <c r="F5174" s="110"/>
      <c r="G5174" s="109"/>
    </row>
    <row r="5175" spans="3:7" x14ac:dyDescent="0.3">
      <c r="C5175" s="109"/>
      <c r="D5175" s="109"/>
      <c r="E5175" s="109"/>
      <c r="F5175" s="110"/>
      <c r="G5175" s="109"/>
    </row>
    <row r="5176" spans="3:7" x14ac:dyDescent="0.3">
      <c r="C5176" s="109"/>
      <c r="D5176" s="109"/>
      <c r="E5176" s="109"/>
      <c r="F5176" s="110"/>
      <c r="G5176" s="109"/>
    </row>
    <row r="5177" spans="3:7" x14ac:dyDescent="0.3">
      <c r="C5177" s="109"/>
      <c r="D5177" s="109"/>
      <c r="E5177" s="109"/>
      <c r="F5177" s="110"/>
      <c r="G5177" s="109"/>
    </row>
    <row r="5178" spans="3:7" x14ac:dyDescent="0.3">
      <c r="C5178" s="109"/>
      <c r="D5178" s="109"/>
      <c r="E5178" s="109"/>
      <c r="F5178" s="110"/>
      <c r="G5178" s="109"/>
    </row>
    <row r="5179" spans="3:7" x14ac:dyDescent="0.3">
      <c r="C5179" s="109"/>
      <c r="D5179" s="109"/>
      <c r="E5179" s="109"/>
      <c r="F5179" s="110"/>
      <c r="G5179" s="109"/>
    </row>
    <row r="5180" spans="3:7" x14ac:dyDescent="0.3">
      <c r="C5180" s="109"/>
      <c r="D5180" s="109"/>
      <c r="E5180" s="109"/>
      <c r="F5180" s="110"/>
      <c r="G5180" s="109"/>
    </row>
    <row r="5181" spans="3:7" x14ac:dyDescent="0.3">
      <c r="C5181" s="109"/>
      <c r="D5181" s="109"/>
      <c r="E5181" s="109"/>
      <c r="F5181" s="110"/>
      <c r="G5181" s="109"/>
    </row>
    <row r="5182" spans="3:7" x14ac:dyDescent="0.3">
      <c r="C5182" s="109"/>
      <c r="D5182" s="109"/>
      <c r="E5182" s="109"/>
      <c r="F5182" s="110"/>
      <c r="G5182" s="109"/>
    </row>
    <row r="5183" spans="3:7" x14ac:dyDescent="0.3">
      <c r="C5183" s="109"/>
      <c r="D5183" s="109"/>
      <c r="E5183" s="109"/>
      <c r="F5183" s="110"/>
      <c r="G5183" s="109"/>
    </row>
    <row r="5184" spans="3:7" x14ac:dyDescent="0.3">
      <c r="C5184" s="109"/>
      <c r="D5184" s="109"/>
      <c r="E5184" s="109"/>
      <c r="F5184" s="110"/>
      <c r="G5184" s="109"/>
    </row>
    <row r="5185" spans="3:7" x14ac:dyDescent="0.3">
      <c r="C5185" s="109"/>
      <c r="D5185" s="109"/>
      <c r="E5185" s="109"/>
      <c r="F5185" s="110"/>
      <c r="G5185" s="109"/>
    </row>
    <row r="5186" spans="3:7" x14ac:dyDescent="0.3">
      <c r="C5186" s="109"/>
      <c r="D5186" s="109"/>
      <c r="E5186" s="109"/>
      <c r="F5186" s="110"/>
      <c r="G5186" s="109"/>
    </row>
    <row r="5187" spans="3:7" x14ac:dyDescent="0.3">
      <c r="C5187" s="109"/>
      <c r="D5187" s="109"/>
      <c r="E5187" s="109"/>
      <c r="F5187" s="110"/>
      <c r="G5187" s="109"/>
    </row>
    <row r="5188" spans="3:7" x14ac:dyDescent="0.3">
      <c r="C5188" s="109"/>
      <c r="D5188" s="109"/>
      <c r="E5188" s="109"/>
      <c r="F5188" s="110"/>
      <c r="G5188" s="109"/>
    </row>
    <row r="5189" spans="3:7" x14ac:dyDescent="0.3">
      <c r="C5189" s="109"/>
      <c r="D5189" s="109"/>
      <c r="E5189" s="109"/>
      <c r="F5189" s="110"/>
      <c r="G5189" s="109"/>
    </row>
    <row r="5190" spans="3:7" x14ac:dyDescent="0.3">
      <c r="C5190" s="109"/>
      <c r="D5190" s="109"/>
      <c r="E5190" s="109"/>
      <c r="F5190" s="110"/>
      <c r="G5190" s="109"/>
    </row>
    <row r="5191" spans="3:7" x14ac:dyDescent="0.3">
      <c r="C5191" s="109"/>
      <c r="D5191" s="109"/>
      <c r="E5191" s="109"/>
      <c r="F5191" s="110"/>
      <c r="G5191" s="109"/>
    </row>
    <row r="5192" spans="3:7" x14ac:dyDescent="0.3">
      <c r="C5192" s="109"/>
      <c r="D5192" s="109"/>
      <c r="E5192" s="109"/>
      <c r="F5192" s="110"/>
      <c r="G5192" s="109"/>
    </row>
    <row r="5193" spans="3:7" x14ac:dyDescent="0.3">
      <c r="C5193" s="109"/>
      <c r="D5193" s="109"/>
      <c r="E5193" s="109"/>
      <c r="F5193" s="110"/>
      <c r="G5193" s="109"/>
    </row>
    <row r="5194" spans="3:7" x14ac:dyDescent="0.3">
      <c r="C5194" s="109"/>
      <c r="D5194" s="109"/>
      <c r="E5194" s="109"/>
      <c r="F5194" s="110"/>
      <c r="G5194" s="109"/>
    </row>
    <row r="5195" spans="3:7" x14ac:dyDescent="0.3">
      <c r="C5195" s="109"/>
      <c r="D5195" s="109"/>
      <c r="E5195" s="109"/>
      <c r="F5195" s="110"/>
      <c r="G5195" s="109"/>
    </row>
    <row r="5196" spans="3:7" x14ac:dyDescent="0.3">
      <c r="C5196" s="109"/>
      <c r="D5196" s="109"/>
      <c r="E5196" s="109"/>
      <c r="F5196" s="110"/>
      <c r="G5196" s="109"/>
    </row>
    <row r="5197" spans="3:7" x14ac:dyDescent="0.3">
      <c r="C5197" s="109"/>
      <c r="D5197" s="109"/>
      <c r="E5197" s="109"/>
      <c r="F5197" s="110"/>
      <c r="G5197" s="109"/>
    </row>
    <row r="5198" spans="3:7" x14ac:dyDescent="0.3">
      <c r="C5198" s="109"/>
      <c r="D5198" s="109"/>
      <c r="E5198" s="109"/>
      <c r="F5198" s="110"/>
      <c r="G5198" s="109"/>
    </row>
    <row r="5199" spans="3:7" x14ac:dyDescent="0.3">
      <c r="C5199" s="109"/>
      <c r="D5199" s="109"/>
      <c r="E5199" s="109"/>
      <c r="F5199" s="110"/>
      <c r="G5199" s="109"/>
    </row>
    <row r="5200" spans="3:7" x14ac:dyDescent="0.3">
      <c r="C5200" s="109"/>
      <c r="D5200" s="109"/>
      <c r="E5200" s="109"/>
      <c r="F5200" s="110"/>
      <c r="G5200" s="109"/>
    </row>
    <row r="5201" spans="3:7" x14ac:dyDescent="0.3">
      <c r="C5201" s="109"/>
      <c r="D5201" s="109"/>
      <c r="E5201" s="109"/>
      <c r="F5201" s="110"/>
      <c r="G5201" s="109"/>
    </row>
    <row r="5202" spans="3:7" x14ac:dyDescent="0.3">
      <c r="C5202" s="109"/>
      <c r="D5202" s="109"/>
      <c r="E5202" s="109"/>
      <c r="F5202" s="110"/>
      <c r="G5202" s="109"/>
    </row>
    <row r="5203" spans="3:7" x14ac:dyDescent="0.3">
      <c r="C5203" s="109"/>
      <c r="D5203" s="109"/>
      <c r="E5203" s="109"/>
      <c r="F5203" s="110"/>
      <c r="G5203" s="109"/>
    </row>
    <row r="5204" spans="3:7" x14ac:dyDescent="0.3">
      <c r="C5204" s="109"/>
      <c r="D5204" s="109"/>
      <c r="E5204" s="109"/>
      <c r="F5204" s="110"/>
      <c r="G5204" s="109"/>
    </row>
    <row r="5205" spans="3:7" x14ac:dyDescent="0.3">
      <c r="C5205" s="109"/>
      <c r="D5205" s="109"/>
      <c r="E5205" s="109"/>
      <c r="F5205" s="110"/>
      <c r="G5205" s="109"/>
    </row>
    <row r="5206" spans="3:7" x14ac:dyDescent="0.3">
      <c r="C5206" s="109"/>
      <c r="D5206" s="109"/>
      <c r="E5206" s="109"/>
      <c r="F5206" s="110"/>
      <c r="G5206" s="109"/>
    </row>
    <row r="5207" spans="3:7" x14ac:dyDescent="0.3">
      <c r="C5207" s="109"/>
      <c r="D5207" s="109"/>
      <c r="E5207" s="109"/>
      <c r="F5207" s="110"/>
      <c r="G5207" s="109"/>
    </row>
    <row r="5208" spans="3:7" x14ac:dyDescent="0.3">
      <c r="C5208" s="109"/>
      <c r="D5208" s="109"/>
      <c r="E5208" s="109"/>
      <c r="F5208" s="110"/>
      <c r="G5208" s="109"/>
    </row>
    <row r="5209" spans="3:7" x14ac:dyDescent="0.3">
      <c r="C5209" s="109"/>
      <c r="D5209" s="109"/>
      <c r="E5209" s="109"/>
      <c r="F5209" s="110"/>
      <c r="G5209" s="109"/>
    </row>
    <row r="5210" spans="3:7" x14ac:dyDescent="0.3">
      <c r="C5210" s="109"/>
      <c r="D5210" s="109"/>
      <c r="E5210" s="109"/>
      <c r="F5210" s="110"/>
      <c r="G5210" s="109"/>
    </row>
    <row r="5211" spans="3:7" x14ac:dyDescent="0.3">
      <c r="C5211" s="109"/>
      <c r="D5211" s="109"/>
      <c r="E5211" s="109"/>
      <c r="F5211" s="110"/>
      <c r="G5211" s="109"/>
    </row>
    <row r="5212" spans="3:7" x14ac:dyDescent="0.3">
      <c r="C5212" s="109"/>
      <c r="D5212" s="109"/>
      <c r="E5212" s="109"/>
      <c r="F5212" s="110"/>
      <c r="G5212" s="109"/>
    </row>
    <row r="5213" spans="3:7" x14ac:dyDescent="0.3">
      <c r="C5213" s="109"/>
      <c r="D5213" s="109"/>
      <c r="E5213" s="109"/>
      <c r="F5213" s="110"/>
      <c r="G5213" s="109"/>
    </row>
    <row r="5214" spans="3:7" x14ac:dyDescent="0.3">
      <c r="C5214" s="109"/>
      <c r="D5214" s="109"/>
      <c r="E5214" s="109"/>
      <c r="F5214" s="110"/>
      <c r="G5214" s="109"/>
    </row>
    <row r="5215" spans="3:7" x14ac:dyDescent="0.3">
      <c r="C5215" s="109"/>
      <c r="D5215" s="109"/>
      <c r="E5215" s="109"/>
      <c r="F5215" s="110"/>
      <c r="G5215" s="109"/>
    </row>
    <row r="5216" spans="3:7" x14ac:dyDescent="0.3">
      <c r="C5216" s="109"/>
      <c r="D5216" s="109"/>
      <c r="E5216" s="109"/>
      <c r="F5216" s="110"/>
      <c r="G5216" s="109"/>
    </row>
    <row r="5217" spans="3:7" x14ac:dyDescent="0.3">
      <c r="C5217" s="109"/>
      <c r="D5217" s="109"/>
      <c r="E5217" s="109"/>
      <c r="F5217" s="110"/>
      <c r="G5217" s="109"/>
    </row>
    <row r="5218" spans="3:7" x14ac:dyDescent="0.3">
      <c r="C5218" s="109"/>
      <c r="D5218" s="109"/>
      <c r="E5218" s="109"/>
      <c r="F5218" s="110"/>
      <c r="G5218" s="109"/>
    </row>
    <row r="5219" spans="3:7" x14ac:dyDescent="0.3">
      <c r="C5219" s="109"/>
      <c r="D5219" s="109"/>
      <c r="E5219" s="109"/>
      <c r="F5219" s="110"/>
      <c r="G5219" s="109"/>
    </row>
    <row r="5220" spans="3:7" x14ac:dyDescent="0.3">
      <c r="C5220" s="109"/>
      <c r="D5220" s="109"/>
      <c r="E5220" s="109"/>
      <c r="F5220" s="110"/>
      <c r="G5220" s="109"/>
    </row>
    <row r="5221" spans="3:7" x14ac:dyDescent="0.3">
      <c r="C5221" s="109"/>
      <c r="D5221" s="109"/>
      <c r="E5221" s="109"/>
      <c r="F5221" s="110"/>
      <c r="G5221" s="109"/>
    </row>
    <row r="5222" spans="3:7" x14ac:dyDescent="0.3">
      <c r="C5222" s="109"/>
      <c r="D5222" s="109"/>
      <c r="E5222" s="109"/>
      <c r="F5222" s="110"/>
      <c r="G5222" s="109"/>
    </row>
    <row r="5223" spans="3:7" x14ac:dyDescent="0.3">
      <c r="C5223" s="109"/>
      <c r="D5223" s="109"/>
      <c r="E5223" s="109"/>
      <c r="F5223" s="110"/>
      <c r="G5223" s="109"/>
    </row>
    <row r="5224" spans="3:7" x14ac:dyDescent="0.3">
      <c r="C5224" s="109"/>
      <c r="D5224" s="109"/>
      <c r="E5224" s="109"/>
      <c r="F5224" s="110"/>
      <c r="G5224" s="109"/>
    </row>
    <row r="5225" spans="3:7" x14ac:dyDescent="0.3">
      <c r="C5225" s="109"/>
      <c r="D5225" s="109"/>
      <c r="E5225" s="109"/>
      <c r="F5225" s="110"/>
      <c r="G5225" s="109"/>
    </row>
    <row r="5226" spans="3:7" x14ac:dyDescent="0.3">
      <c r="C5226" s="109"/>
      <c r="D5226" s="109"/>
      <c r="E5226" s="109"/>
      <c r="F5226" s="110"/>
      <c r="G5226" s="109"/>
    </row>
    <row r="5227" spans="3:7" x14ac:dyDescent="0.3">
      <c r="C5227" s="109"/>
      <c r="D5227" s="109"/>
      <c r="E5227" s="109"/>
      <c r="F5227" s="110"/>
      <c r="G5227" s="109"/>
    </row>
    <row r="5228" spans="3:7" x14ac:dyDescent="0.3">
      <c r="C5228" s="109"/>
      <c r="D5228" s="109"/>
      <c r="E5228" s="109"/>
      <c r="F5228" s="110"/>
      <c r="G5228" s="109"/>
    </row>
    <row r="5229" spans="3:7" x14ac:dyDescent="0.3">
      <c r="C5229" s="109"/>
      <c r="D5229" s="109"/>
      <c r="E5229" s="109"/>
      <c r="F5229" s="110"/>
      <c r="G5229" s="109"/>
    </row>
    <row r="5230" spans="3:7" x14ac:dyDescent="0.3">
      <c r="C5230" s="109"/>
      <c r="D5230" s="109"/>
      <c r="E5230" s="109"/>
      <c r="F5230" s="110"/>
      <c r="G5230" s="109"/>
    </row>
    <row r="5231" spans="3:7" x14ac:dyDescent="0.3">
      <c r="C5231" s="109"/>
      <c r="D5231" s="109"/>
      <c r="E5231" s="109"/>
      <c r="F5231" s="110"/>
      <c r="G5231" s="109"/>
    </row>
    <row r="5232" spans="3:7" x14ac:dyDescent="0.3">
      <c r="C5232" s="109"/>
      <c r="D5232" s="109"/>
      <c r="E5232" s="109"/>
      <c r="F5232" s="110"/>
      <c r="G5232" s="109"/>
    </row>
    <row r="5233" spans="3:7" x14ac:dyDescent="0.3">
      <c r="C5233" s="109"/>
      <c r="D5233" s="109"/>
      <c r="E5233" s="109"/>
      <c r="F5233" s="110"/>
      <c r="G5233" s="109"/>
    </row>
    <row r="5234" spans="3:7" x14ac:dyDescent="0.3">
      <c r="C5234" s="109"/>
      <c r="D5234" s="109"/>
      <c r="E5234" s="109"/>
      <c r="F5234" s="110"/>
      <c r="G5234" s="109"/>
    </row>
    <row r="5235" spans="3:7" x14ac:dyDescent="0.3">
      <c r="C5235" s="109"/>
      <c r="D5235" s="109"/>
      <c r="E5235" s="109"/>
      <c r="F5235" s="110"/>
      <c r="G5235" s="109"/>
    </row>
    <row r="5236" spans="3:7" x14ac:dyDescent="0.3">
      <c r="C5236" s="109"/>
      <c r="D5236" s="109"/>
      <c r="E5236" s="109"/>
      <c r="F5236" s="110"/>
      <c r="G5236" s="109"/>
    </row>
    <row r="5237" spans="3:7" x14ac:dyDescent="0.3">
      <c r="C5237" s="109"/>
      <c r="D5237" s="109"/>
      <c r="E5237" s="109"/>
      <c r="F5237" s="110"/>
      <c r="G5237" s="109"/>
    </row>
    <row r="5238" spans="3:7" x14ac:dyDescent="0.3">
      <c r="C5238" s="109"/>
      <c r="D5238" s="109"/>
      <c r="E5238" s="109"/>
      <c r="F5238" s="110"/>
      <c r="G5238" s="109"/>
    </row>
    <row r="5239" spans="3:7" x14ac:dyDescent="0.3">
      <c r="C5239" s="109"/>
      <c r="D5239" s="109"/>
      <c r="E5239" s="109"/>
      <c r="F5239" s="110"/>
      <c r="G5239" s="109"/>
    </row>
    <row r="5240" spans="3:7" x14ac:dyDescent="0.3">
      <c r="C5240" s="109"/>
      <c r="D5240" s="109"/>
      <c r="E5240" s="109"/>
      <c r="F5240" s="110"/>
      <c r="G5240" s="109"/>
    </row>
    <row r="5241" spans="3:7" x14ac:dyDescent="0.3">
      <c r="C5241" s="109"/>
      <c r="D5241" s="109"/>
      <c r="E5241" s="109"/>
      <c r="F5241" s="110"/>
      <c r="G5241" s="109"/>
    </row>
    <row r="5242" spans="3:7" x14ac:dyDescent="0.3">
      <c r="C5242" s="109"/>
      <c r="D5242" s="109"/>
      <c r="E5242" s="109"/>
      <c r="F5242" s="110"/>
      <c r="G5242" s="109"/>
    </row>
    <row r="5243" spans="3:7" x14ac:dyDescent="0.3">
      <c r="C5243" s="109"/>
      <c r="D5243" s="109"/>
      <c r="E5243" s="109"/>
      <c r="F5243" s="110"/>
      <c r="G5243" s="109"/>
    </row>
    <row r="5244" spans="3:7" x14ac:dyDescent="0.3">
      <c r="C5244" s="109"/>
      <c r="D5244" s="109"/>
      <c r="E5244" s="109"/>
      <c r="F5244" s="110"/>
      <c r="G5244" s="109"/>
    </row>
    <row r="5245" spans="3:7" x14ac:dyDescent="0.3">
      <c r="C5245" s="109"/>
      <c r="D5245" s="109"/>
      <c r="E5245" s="109"/>
      <c r="F5245" s="110"/>
      <c r="G5245" s="109"/>
    </row>
    <row r="5246" spans="3:7" x14ac:dyDescent="0.3">
      <c r="C5246" s="109"/>
      <c r="D5246" s="109"/>
      <c r="E5246" s="109"/>
      <c r="F5246" s="110"/>
      <c r="G5246" s="109"/>
    </row>
    <row r="5247" spans="3:7" x14ac:dyDescent="0.3">
      <c r="C5247" s="109"/>
      <c r="D5247" s="109"/>
      <c r="E5247" s="109"/>
      <c r="F5247" s="110"/>
      <c r="G5247" s="109"/>
    </row>
    <row r="5248" spans="3:7" x14ac:dyDescent="0.3">
      <c r="C5248" s="109"/>
      <c r="D5248" s="109"/>
      <c r="E5248" s="109"/>
      <c r="F5248" s="110"/>
      <c r="G5248" s="109"/>
    </row>
    <row r="5249" spans="3:7" x14ac:dyDescent="0.3">
      <c r="C5249" s="109"/>
      <c r="D5249" s="109"/>
      <c r="E5249" s="109"/>
      <c r="F5249" s="110"/>
      <c r="G5249" s="109"/>
    </row>
    <row r="5250" spans="3:7" x14ac:dyDescent="0.3">
      <c r="C5250" s="109"/>
      <c r="D5250" s="109"/>
      <c r="E5250" s="109"/>
      <c r="F5250" s="110"/>
      <c r="G5250" s="109"/>
    </row>
    <row r="5251" spans="3:7" x14ac:dyDescent="0.3">
      <c r="C5251" s="109"/>
      <c r="D5251" s="109"/>
      <c r="E5251" s="109"/>
      <c r="F5251" s="110"/>
      <c r="G5251" s="109"/>
    </row>
    <row r="5252" spans="3:7" x14ac:dyDescent="0.3">
      <c r="C5252" s="109"/>
      <c r="D5252" s="109"/>
      <c r="E5252" s="109"/>
      <c r="F5252" s="110"/>
      <c r="G5252" s="109"/>
    </row>
    <row r="5253" spans="3:7" x14ac:dyDescent="0.3">
      <c r="C5253" s="109"/>
      <c r="D5253" s="109"/>
      <c r="E5253" s="109"/>
      <c r="F5253" s="110"/>
      <c r="G5253" s="109"/>
    </row>
    <row r="5254" spans="3:7" x14ac:dyDescent="0.3">
      <c r="C5254" s="109"/>
      <c r="D5254" s="109"/>
      <c r="E5254" s="109"/>
      <c r="F5254" s="110"/>
      <c r="G5254" s="109"/>
    </row>
    <row r="5255" spans="3:7" x14ac:dyDescent="0.3">
      <c r="C5255" s="109"/>
      <c r="D5255" s="109"/>
      <c r="E5255" s="109"/>
      <c r="F5255" s="110"/>
      <c r="G5255" s="109"/>
    </row>
    <row r="5256" spans="3:7" x14ac:dyDescent="0.3">
      <c r="C5256" s="109"/>
      <c r="D5256" s="109"/>
      <c r="E5256" s="109"/>
      <c r="F5256" s="110"/>
      <c r="G5256" s="109"/>
    </row>
    <row r="5257" spans="3:7" x14ac:dyDescent="0.3">
      <c r="C5257" s="109"/>
      <c r="D5257" s="109"/>
      <c r="E5257" s="109"/>
      <c r="F5257" s="110"/>
      <c r="G5257" s="109"/>
    </row>
    <row r="5258" spans="3:7" x14ac:dyDescent="0.3">
      <c r="C5258" s="109"/>
      <c r="D5258" s="109"/>
      <c r="E5258" s="109"/>
      <c r="F5258" s="110"/>
      <c r="G5258" s="109"/>
    </row>
    <row r="5259" spans="3:7" x14ac:dyDescent="0.3">
      <c r="C5259" s="109"/>
      <c r="D5259" s="109"/>
      <c r="E5259" s="109"/>
      <c r="F5259" s="110"/>
      <c r="G5259" s="109"/>
    </row>
    <row r="5260" spans="3:7" x14ac:dyDescent="0.3">
      <c r="C5260" s="109"/>
      <c r="D5260" s="109"/>
      <c r="E5260" s="109"/>
      <c r="F5260" s="110"/>
      <c r="G5260" s="109"/>
    </row>
    <row r="5261" spans="3:7" x14ac:dyDescent="0.3">
      <c r="C5261" s="109"/>
      <c r="D5261" s="109"/>
      <c r="E5261" s="109"/>
      <c r="F5261" s="110"/>
      <c r="G5261" s="109"/>
    </row>
    <row r="5262" spans="3:7" x14ac:dyDescent="0.3">
      <c r="C5262" s="109"/>
      <c r="D5262" s="109"/>
      <c r="E5262" s="109"/>
      <c r="F5262" s="110"/>
      <c r="G5262" s="109"/>
    </row>
    <row r="5263" spans="3:7" x14ac:dyDescent="0.3">
      <c r="C5263" s="109"/>
      <c r="D5263" s="109"/>
      <c r="E5263" s="109"/>
      <c r="F5263" s="110"/>
      <c r="G5263" s="109"/>
    </row>
    <row r="5264" spans="3:7" x14ac:dyDescent="0.3">
      <c r="C5264" s="109"/>
      <c r="D5264" s="109"/>
      <c r="E5264" s="109"/>
      <c r="F5264" s="110"/>
      <c r="G5264" s="109"/>
    </row>
    <row r="5265" spans="3:7" x14ac:dyDescent="0.3">
      <c r="C5265" s="109"/>
      <c r="D5265" s="109"/>
      <c r="E5265" s="109"/>
      <c r="F5265" s="110"/>
      <c r="G5265" s="109"/>
    </row>
    <row r="5266" spans="3:7" x14ac:dyDescent="0.3">
      <c r="C5266" s="109"/>
      <c r="D5266" s="109"/>
      <c r="E5266" s="109"/>
      <c r="F5266" s="110"/>
      <c r="G5266" s="109"/>
    </row>
    <row r="5267" spans="3:7" x14ac:dyDescent="0.3">
      <c r="C5267" s="109"/>
      <c r="D5267" s="109"/>
      <c r="E5267" s="109"/>
      <c r="F5267" s="110"/>
      <c r="G5267" s="109"/>
    </row>
    <row r="5268" spans="3:7" x14ac:dyDescent="0.3">
      <c r="C5268" s="109"/>
      <c r="D5268" s="109"/>
      <c r="E5268" s="109"/>
      <c r="F5268" s="110"/>
      <c r="G5268" s="109"/>
    </row>
    <row r="5269" spans="3:7" x14ac:dyDescent="0.3">
      <c r="C5269" s="109"/>
      <c r="D5269" s="109"/>
      <c r="E5269" s="109"/>
      <c r="F5269" s="110"/>
      <c r="G5269" s="109"/>
    </row>
    <row r="5270" spans="3:7" x14ac:dyDescent="0.3">
      <c r="C5270" s="109"/>
      <c r="D5270" s="109"/>
      <c r="E5270" s="109"/>
      <c r="F5270" s="110"/>
      <c r="G5270" s="109"/>
    </row>
    <row r="5271" spans="3:7" x14ac:dyDescent="0.3">
      <c r="C5271" s="109"/>
      <c r="D5271" s="109"/>
      <c r="E5271" s="109"/>
      <c r="F5271" s="110"/>
      <c r="G5271" s="109"/>
    </row>
    <row r="5272" spans="3:7" x14ac:dyDescent="0.3">
      <c r="C5272" s="109"/>
      <c r="D5272" s="109"/>
      <c r="E5272" s="109"/>
      <c r="F5272" s="110"/>
      <c r="G5272" s="109"/>
    </row>
    <row r="5273" spans="3:7" x14ac:dyDescent="0.3">
      <c r="C5273" s="109"/>
      <c r="D5273" s="109"/>
      <c r="E5273" s="109"/>
      <c r="F5273" s="110"/>
      <c r="G5273" s="109"/>
    </row>
    <row r="5274" spans="3:7" x14ac:dyDescent="0.3">
      <c r="C5274" s="109"/>
      <c r="D5274" s="109"/>
      <c r="E5274" s="109"/>
      <c r="F5274" s="110"/>
      <c r="G5274" s="109"/>
    </row>
    <row r="5275" spans="3:7" x14ac:dyDescent="0.3">
      <c r="C5275" s="109"/>
      <c r="D5275" s="109"/>
      <c r="E5275" s="109"/>
      <c r="F5275" s="110"/>
      <c r="G5275" s="109"/>
    </row>
    <row r="5276" spans="3:7" x14ac:dyDescent="0.3">
      <c r="C5276" s="109"/>
      <c r="D5276" s="109"/>
      <c r="E5276" s="109"/>
      <c r="F5276" s="110"/>
      <c r="G5276" s="109"/>
    </row>
    <row r="5277" spans="3:7" x14ac:dyDescent="0.3">
      <c r="C5277" s="109"/>
      <c r="D5277" s="109"/>
      <c r="E5277" s="109"/>
      <c r="F5277" s="110"/>
      <c r="G5277" s="109"/>
    </row>
    <row r="5278" spans="3:7" x14ac:dyDescent="0.3">
      <c r="C5278" s="109"/>
      <c r="D5278" s="109"/>
      <c r="E5278" s="109"/>
      <c r="F5278" s="110"/>
      <c r="G5278" s="109"/>
    </row>
    <row r="5279" spans="3:7" x14ac:dyDescent="0.3">
      <c r="C5279" s="109"/>
      <c r="D5279" s="109"/>
      <c r="E5279" s="109"/>
      <c r="F5279" s="110"/>
      <c r="G5279" s="109"/>
    </row>
    <row r="5280" spans="3:7" x14ac:dyDescent="0.3">
      <c r="C5280" s="109"/>
      <c r="D5280" s="109"/>
      <c r="E5280" s="109"/>
      <c r="F5280" s="110"/>
      <c r="G5280" s="109"/>
    </row>
    <row r="5281" spans="3:7" x14ac:dyDescent="0.3">
      <c r="C5281" s="109"/>
      <c r="D5281" s="109"/>
      <c r="E5281" s="109"/>
      <c r="F5281" s="110"/>
      <c r="G5281" s="109"/>
    </row>
    <row r="5282" spans="3:7" x14ac:dyDescent="0.3">
      <c r="C5282" s="109"/>
      <c r="D5282" s="109"/>
      <c r="E5282" s="109"/>
      <c r="F5282" s="110"/>
      <c r="G5282" s="109"/>
    </row>
    <row r="5283" spans="3:7" x14ac:dyDescent="0.3">
      <c r="C5283" s="109"/>
      <c r="D5283" s="109"/>
      <c r="E5283" s="109"/>
      <c r="F5283" s="110"/>
      <c r="G5283" s="109"/>
    </row>
    <row r="5284" spans="3:7" x14ac:dyDescent="0.3">
      <c r="C5284" s="109"/>
      <c r="D5284" s="109"/>
      <c r="E5284" s="109"/>
      <c r="F5284" s="110"/>
      <c r="G5284" s="109"/>
    </row>
    <row r="5285" spans="3:7" x14ac:dyDescent="0.3">
      <c r="C5285" s="109"/>
      <c r="D5285" s="109"/>
      <c r="E5285" s="109"/>
      <c r="F5285" s="110"/>
      <c r="G5285" s="109"/>
    </row>
    <row r="5286" spans="3:7" x14ac:dyDescent="0.3">
      <c r="C5286" s="109"/>
      <c r="D5286" s="109"/>
      <c r="E5286" s="109"/>
      <c r="F5286" s="110"/>
      <c r="G5286" s="109"/>
    </row>
    <row r="5287" spans="3:7" x14ac:dyDescent="0.3">
      <c r="C5287" s="109"/>
      <c r="D5287" s="109"/>
      <c r="E5287" s="109"/>
      <c r="F5287" s="110"/>
      <c r="G5287" s="109"/>
    </row>
    <row r="5288" spans="3:7" x14ac:dyDescent="0.3">
      <c r="C5288" s="109"/>
      <c r="D5288" s="109"/>
      <c r="E5288" s="109"/>
      <c r="F5288" s="110"/>
      <c r="G5288" s="109"/>
    </row>
    <row r="5289" spans="3:7" x14ac:dyDescent="0.3">
      <c r="C5289" s="109"/>
      <c r="D5289" s="109"/>
      <c r="E5289" s="109"/>
      <c r="F5289" s="110"/>
      <c r="G5289" s="109"/>
    </row>
    <row r="5290" spans="3:7" x14ac:dyDescent="0.3">
      <c r="C5290" s="109"/>
      <c r="D5290" s="109"/>
      <c r="E5290" s="109"/>
      <c r="F5290" s="110"/>
      <c r="G5290" s="109"/>
    </row>
    <row r="5291" spans="3:7" x14ac:dyDescent="0.3">
      <c r="C5291" s="109"/>
      <c r="D5291" s="109"/>
      <c r="E5291" s="109"/>
      <c r="F5291" s="110"/>
      <c r="G5291" s="109"/>
    </row>
    <row r="5292" spans="3:7" x14ac:dyDescent="0.3">
      <c r="C5292" s="109"/>
      <c r="D5292" s="109"/>
      <c r="E5292" s="109"/>
      <c r="F5292" s="110"/>
      <c r="G5292" s="109"/>
    </row>
    <row r="5293" spans="3:7" x14ac:dyDescent="0.3">
      <c r="C5293" s="109"/>
      <c r="D5293" s="109"/>
      <c r="E5293" s="109"/>
      <c r="F5293" s="110"/>
      <c r="G5293" s="109"/>
    </row>
    <row r="5294" spans="3:7" x14ac:dyDescent="0.3">
      <c r="C5294" s="109"/>
      <c r="D5294" s="109"/>
      <c r="E5294" s="109"/>
      <c r="F5294" s="110"/>
      <c r="G5294" s="109"/>
    </row>
    <row r="5295" spans="3:7" x14ac:dyDescent="0.3">
      <c r="C5295" s="109"/>
      <c r="D5295" s="109"/>
      <c r="E5295" s="109"/>
      <c r="F5295" s="110"/>
      <c r="G5295" s="109"/>
    </row>
    <row r="5296" spans="3:7" x14ac:dyDescent="0.3">
      <c r="C5296" s="109"/>
      <c r="D5296" s="109"/>
      <c r="E5296" s="109"/>
      <c r="F5296" s="110"/>
      <c r="G5296" s="109"/>
    </row>
    <row r="5297" spans="3:7" x14ac:dyDescent="0.3">
      <c r="C5297" s="109"/>
      <c r="D5297" s="109"/>
      <c r="E5297" s="109"/>
      <c r="F5297" s="110"/>
      <c r="G5297" s="109"/>
    </row>
    <row r="5298" spans="3:7" x14ac:dyDescent="0.3">
      <c r="C5298" s="109"/>
      <c r="D5298" s="109"/>
      <c r="E5298" s="109"/>
      <c r="F5298" s="110"/>
      <c r="G5298" s="109"/>
    </row>
    <row r="5299" spans="3:7" x14ac:dyDescent="0.3">
      <c r="C5299" s="109"/>
      <c r="D5299" s="109"/>
      <c r="E5299" s="109"/>
      <c r="F5299" s="110"/>
      <c r="G5299" s="109"/>
    </row>
    <row r="5300" spans="3:7" x14ac:dyDescent="0.3">
      <c r="C5300" s="109"/>
      <c r="D5300" s="109"/>
      <c r="E5300" s="109"/>
      <c r="F5300" s="110"/>
      <c r="G5300" s="109"/>
    </row>
    <row r="5301" spans="3:7" x14ac:dyDescent="0.3">
      <c r="C5301" s="109"/>
      <c r="D5301" s="109"/>
      <c r="E5301" s="109"/>
      <c r="F5301" s="110"/>
      <c r="G5301" s="109"/>
    </row>
    <row r="5302" spans="3:7" x14ac:dyDescent="0.3">
      <c r="C5302" s="109"/>
      <c r="D5302" s="109"/>
      <c r="E5302" s="109"/>
      <c r="F5302" s="110"/>
      <c r="G5302" s="109"/>
    </row>
    <row r="5303" spans="3:7" x14ac:dyDescent="0.3">
      <c r="C5303" s="109"/>
      <c r="D5303" s="109"/>
      <c r="E5303" s="109"/>
      <c r="F5303" s="110"/>
      <c r="G5303" s="109"/>
    </row>
    <row r="5304" spans="3:7" x14ac:dyDescent="0.3">
      <c r="C5304" s="109"/>
      <c r="D5304" s="109"/>
      <c r="E5304" s="109"/>
      <c r="F5304" s="110"/>
      <c r="G5304" s="109"/>
    </row>
    <row r="5305" spans="3:7" x14ac:dyDescent="0.3">
      <c r="C5305" s="109"/>
      <c r="D5305" s="109"/>
      <c r="E5305" s="109"/>
      <c r="F5305" s="110"/>
      <c r="G5305" s="109"/>
    </row>
    <row r="5306" spans="3:7" x14ac:dyDescent="0.3">
      <c r="C5306" s="109"/>
      <c r="D5306" s="109"/>
      <c r="E5306" s="109"/>
      <c r="F5306" s="110"/>
      <c r="G5306" s="109"/>
    </row>
    <row r="5307" spans="3:7" x14ac:dyDescent="0.3">
      <c r="C5307" s="109"/>
      <c r="D5307" s="109"/>
      <c r="E5307" s="109"/>
      <c r="F5307" s="110"/>
      <c r="G5307" s="109"/>
    </row>
    <row r="5308" spans="3:7" x14ac:dyDescent="0.3">
      <c r="C5308" s="109"/>
      <c r="D5308" s="109"/>
      <c r="E5308" s="109"/>
      <c r="F5308" s="110"/>
      <c r="G5308" s="109"/>
    </row>
    <row r="5309" spans="3:7" x14ac:dyDescent="0.3">
      <c r="C5309" s="109"/>
      <c r="D5309" s="109"/>
      <c r="E5309" s="109"/>
      <c r="F5309" s="110"/>
      <c r="G5309" s="109"/>
    </row>
    <row r="5310" spans="3:7" x14ac:dyDescent="0.3">
      <c r="C5310" s="109"/>
      <c r="D5310" s="109"/>
      <c r="E5310" s="109"/>
      <c r="F5310" s="110"/>
      <c r="G5310" s="109"/>
    </row>
    <row r="5311" spans="3:7" x14ac:dyDescent="0.3">
      <c r="C5311" s="109"/>
      <c r="D5311" s="109"/>
      <c r="E5311" s="109"/>
      <c r="F5311" s="110"/>
      <c r="G5311" s="109"/>
    </row>
    <row r="5312" spans="3:7" x14ac:dyDescent="0.3">
      <c r="C5312" s="109"/>
      <c r="D5312" s="109"/>
      <c r="E5312" s="109"/>
      <c r="F5312" s="110"/>
      <c r="G5312" s="109"/>
    </row>
    <row r="5313" spans="3:7" x14ac:dyDescent="0.3">
      <c r="C5313" s="109"/>
      <c r="D5313" s="109"/>
      <c r="E5313" s="109"/>
      <c r="F5313" s="110"/>
      <c r="G5313" s="109"/>
    </row>
    <row r="5314" spans="3:7" x14ac:dyDescent="0.3">
      <c r="C5314" s="109"/>
      <c r="D5314" s="109"/>
      <c r="E5314" s="109"/>
      <c r="F5314" s="110"/>
      <c r="G5314" s="109"/>
    </row>
    <row r="5315" spans="3:7" x14ac:dyDescent="0.3">
      <c r="C5315" s="109"/>
      <c r="D5315" s="109"/>
      <c r="E5315" s="109"/>
      <c r="F5315" s="110"/>
      <c r="G5315" s="109"/>
    </row>
    <row r="5316" spans="3:7" x14ac:dyDescent="0.3">
      <c r="C5316" s="109"/>
      <c r="D5316" s="109"/>
      <c r="E5316" s="109"/>
      <c r="F5316" s="110"/>
      <c r="G5316" s="109"/>
    </row>
    <row r="5317" spans="3:7" x14ac:dyDescent="0.3">
      <c r="C5317" s="109"/>
      <c r="D5317" s="109"/>
      <c r="E5317" s="109"/>
      <c r="F5317" s="110"/>
      <c r="G5317" s="109"/>
    </row>
    <row r="5318" spans="3:7" x14ac:dyDescent="0.3">
      <c r="C5318" s="109"/>
      <c r="D5318" s="109"/>
      <c r="E5318" s="109"/>
      <c r="F5318" s="110"/>
      <c r="G5318" s="109"/>
    </row>
    <row r="5319" spans="3:7" x14ac:dyDescent="0.3">
      <c r="C5319" s="109"/>
      <c r="D5319" s="109"/>
      <c r="E5319" s="109"/>
      <c r="F5319" s="110"/>
      <c r="G5319" s="109"/>
    </row>
    <row r="5320" spans="3:7" x14ac:dyDescent="0.3">
      <c r="C5320" s="109"/>
      <c r="D5320" s="109"/>
      <c r="E5320" s="109"/>
      <c r="F5320" s="110"/>
      <c r="G5320" s="109"/>
    </row>
    <row r="5321" spans="3:7" x14ac:dyDescent="0.3">
      <c r="C5321" s="109"/>
      <c r="D5321" s="109"/>
      <c r="E5321" s="109"/>
      <c r="F5321" s="110"/>
      <c r="G5321" s="109"/>
    </row>
    <row r="5322" spans="3:7" x14ac:dyDescent="0.3">
      <c r="C5322" s="109"/>
      <c r="D5322" s="109"/>
      <c r="E5322" s="109"/>
      <c r="F5322" s="110"/>
      <c r="G5322" s="109"/>
    </row>
    <row r="5323" spans="3:7" x14ac:dyDescent="0.3">
      <c r="C5323" s="109"/>
      <c r="D5323" s="109"/>
      <c r="E5323" s="109"/>
      <c r="F5323" s="110"/>
      <c r="G5323" s="109"/>
    </row>
    <row r="5324" spans="3:7" x14ac:dyDescent="0.3">
      <c r="C5324" s="109"/>
      <c r="D5324" s="109"/>
      <c r="E5324" s="109"/>
      <c r="F5324" s="110"/>
      <c r="G5324" s="109"/>
    </row>
    <row r="5325" spans="3:7" x14ac:dyDescent="0.3">
      <c r="C5325" s="109"/>
      <c r="D5325" s="109"/>
      <c r="E5325" s="109"/>
      <c r="F5325" s="110"/>
      <c r="G5325" s="109"/>
    </row>
    <row r="5326" spans="3:7" x14ac:dyDescent="0.3">
      <c r="C5326" s="109"/>
      <c r="D5326" s="109"/>
      <c r="E5326" s="109"/>
      <c r="F5326" s="110"/>
      <c r="G5326" s="109"/>
    </row>
    <row r="5327" spans="3:7" x14ac:dyDescent="0.3">
      <c r="C5327" s="109"/>
      <c r="D5327" s="109"/>
      <c r="E5327" s="109"/>
      <c r="F5327" s="110"/>
      <c r="G5327" s="109"/>
    </row>
    <row r="5328" spans="3:7" x14ac:dyDescent="0.3">
      <c r="C5328" s="109"/>
      <c r="D5328" s="109"/>
      <c r="E5328" s="109"/>
      <c r="F5328" s="110"/>
      <c r="G5328" s="109"/>
    </row>
    <row r="5329" spans="3:7" x14ac:dyDescent="0.3">
      <c r="C5329" s="109"/>
      <c r="D5329" s="109"/>
      <c r="E5329" s="109"/>
      <c r="F5329" s="110"/>
      <c r="G5329" s="109"/>
    </row>
    <row r="5330" spans="3:7" x14ac:dyDescent="0.3">
      <c r="C5330" s="109"/>
      <c r="D5330" s="109"/>
      <c r="E5330" s="109"/>
      <c r="F5330" s="110"/>
      <c r="G5330" s="109"/>
    </row>
    <row r="5331" spans="3:7" x14ac:dyDescent="0.3">
      <c r="C5331" s="109"/>
      <c r="D5331" s="109"/>
      <c r="E5331" s="109"/>
      <c r="F5331" s="110"/>
      <c r="G5331" s="109"/>
    </row>
    <row r="5332" spans="3:7" x14ac:dyDescent="0.3">
      <c r="C5332" s="109"/>
      <c r="D5332" s="109"/>
      <c r="E5332" s="109"/>
      <c r="F5332" s="110"/>
      <c r="G5332" s="109"/>
    </row>
    <row r="5333" spans="3:7" x14ac:dyDescent="0.3">
      <c r="C5333" s="109"/>
      <c r="D5333" s="109"/>
      <c r="E5333" s="109"/>
      <c r="F5333" s="110"/>
      <c r="G5333" s="109"/>
    </row>
    <row r="5334" spans="3:7" x14ac:dyDescent="0.3">
      <c r="C5334" s="109"/>
      <c r="D5334" s="109"/>
      <c r="E5334" s="109"/>
      <c r="F5334" s="110"/>
      <c r="G5334" s="109"/>
    </row>
    <row r="5335" spans="3:7" x14ac:dyDescent="0.3">
      <c r="C5335" s="109"/>
      <c r="D5335" s="109"/>
      <c r="E5335" s="109"/>
      <c r="F5335" s="110"/>
      <c r="G5335" s="109"/>
    </row>
    <row r="5336" spans="3:7" x14ac:dyDescent="0.3">
      <c r="C5336" s="109"/>
      <c r="D5336" s="109"/>
      <c r="E5336" s="109"/>
      <c r="F5336" s="110"/>
      <c r="G5336" s="109"/>
    </row>
    <row r="5337" spans="3:7" x14ac:dyDescent="0.3">
      <c r="C5337" s="109"/>
      <c r="D5337" s="109"/>
      <c r="E5337" s="109"/>
      <c r="F5337" s="110"/>
      <c r="G5337" s="109"/>
    </row>
    <row r="5338" spans="3:7" x14ac:dyDescent="0.3">
      <c r="C5338" s="109"/>
      <c r="D5338" s="109"/>
      <c r="E5338" s="109"/>
      <c r="F5338" s="110"/>
      <c r="G5338" s="109"/>
    </row>
    <row r="5339" spans="3:7" x14ac:dyDescent="0.3">
      <c r="C5339" s="109"/>
      <c r="D5339" s="109"/>
      <c r="E5339" s="109"/>
      <c r="F5339" s="110"/>
      <c r="G5339" s="109"/>
    </row>
    <row r="5340" spans="3:7" x14ac:dyDescent="0.3">
      <c r="C5340" s="109"/>
      <c r="D5340" s="109"/>
      <c r="E5340" s="109"/>
      <c r="F5340" s="110"/>
      <c r="G5340" s="109"/>
    </row>
    <row r="5341" spans="3:7" x14ac:dyDescent="0.3">
      <c r="C5341" s="109"/>
      <c r="D5341" s="109"/>
      <c r="E5341" s="109"/>
      <c r="F5341" s="110"/>
      <c r="G5341" s="109"/>
    </row>
    <row r="5342" spans="3:7" x14ac:dyDescent="0.3">
      <c r="C5342" s="109"/>
      <c r="D5342" s="109"/>
      <c r="E5342" s="109"/>
      <c r="F5342" s="110"/>
      <c r="G5342" s="109"/>
    </row>
    <row r="5343" spans="3:7" x14ac:dyDescent="0.3">
      <c r="C5343" s="109"/>
      <c r="D5343" s="109"/>
      <c r="E5343" s="109"/>
      <c r="F5343" s="110"/>
      <c r="G5343" s="109"/>
    </row>
    <row r="5344" spans="3:7" x14ac:dyDescent="0.3">
      <c r="C5344" s="109"/>
      <c r="D5344" s="109"/>
      <c r="E5344" s="109"/>
      <c r="F5344" s="110"/>
      <c r="G5344" s="109"/>
    </row>
    <row r="5345" spans="3:7" x14ac:dyDescent="0.3">
      <c r="C5345" s="109"/>
      <c r="D5345" s="109"/>
      <c r="E5345" s="109"/>
      <c r="F5345" s="110"/>
      <c r="G5345" s="109"/>
    </row>
    <row r="5346" spans="3:7" x14ac:dyDescent="0.3">
      <c r="C5346" s="109"/>
      <c r="D5346" s="109"/>
      <c r="E5346" s="109"/>
      <c r="F5346" s="110"/>
      <c r="G5346" s="109"/>
    </row>
    <row r="5347" spans="3:7" x14ac:dyDescent="0.3">
      <c r="C5347" s="109"/>
      <c r="D5347" s="109"/>
      <c r="E5347" s="109"/>
      <c r="F5347" s="110"/>
      <c r="G5347" s="109"/>
    </row>
    <row r="5348" spans="3:7" x14ac:dyDescent="0.3">
      <c r="C5348" s="109"/>
      <c r="D5348" s="109"/>
      <c r="E5348" s="109"/>
      <c r="F5348" s="110"/>
      <c r="G5348" s="109"/>
    </row>
    <row r="5349" spans="3:7" x14ac:dyDescent="0.3">
      <c r="C5349" s="109"/>
      <c r="D5349" s="109"/>
      <c r="E5349" s="109"/>
      <c r="F5349" s="110"/>
      <c r="G5349" s="109"/>
    </row>
    <row r="5350" spans="3:7" x14ac:dyDescent="0.3">
      <c r="C5350" s="109"/>
      <c r="D5350" s="109"/>
      <c r="E5350" s="109"/>
      <c r="F5350" s="110"/>
      <c r="G5350" s="109"/>
    </row>
    <row r="5351" spans="3:7" x14ac:dyDescent="0.3">
      <c r="C5351" s="109"/>
      <c r="D5351" s="109"/>
      <c r="E5351" s="109"/>
      <c r="F5351" s="110"/>
      <c r="G5351" s="109"/>
    </row>
    <row r="5352" spans="3:7" x14ac:dyDescent="0.3">
      <c r="C5352" s="109"/>
      <c r="D5352" s="109"/>
      <c r="E5352" s="109"/>
      <c r="F5352" s="110"/>
      <c r="G5352" s="109"/>
    </row>
    <row r="5353" spans="3:7" x14ac:dyDescent="0.3">
      <c r="C5353" s="109"/>
      <c r="D5353" s="109"/>
      <c r="E5353" s="109"/>
      <c r="F5353" s="110"/>
      <c r="G5353" s="109"/>
    </row>
    <row r="5354" spans="3:7" x14ac:dyDescent="0.3">
      <c r="C5354" s="109"/>
      <c r="D5354" s="109"/>
      <c r="E5354" s="109"/>
      <c r="F5354" s="110"/>
      <c r="G5354" s="109"/>
    </row>
    <row r="5355" spans="3:7" x14ac:dyDescent="0.3">
      <c r="C5355" s="109"/>
      <c r="D5355" s="109"/>
      <c r="E5355" s="109"/>
      <c r="F5355" s="110"/>
      <c r="G5355" s="109"/>
    </row>
    <row r="5356" spans="3:7" x14ac:dyDescent="0.3">
      <c r="C5356" s="109"/>
      <c r="D5356" s="109"/>
      <c r="E5356" s="109"/>
      <c r="F5356" s="110"/>
      <c r="G5356" s="109"/>
    </row>
    <row r="5357" spans="3:7" x14ac:dyDescent="0.3">
      <c r="C5357" s="109"/>
      <c r="D5357" s="109"/>
      <c r="E5357" s="109"/>
      <c r="F5357" s="110"/>
      <c r="G5357" s="109"/>
    </row>
    <row r="5358" spans="3:7" x14ac:dyDescent="0.3">
      <c r="C5358" s="109"/>
      <c r="D5358" s="109"/>
      <c r="E5358" s="109"/>
      <c r="F5358" s="110"/>
      <c r="G5358" s="109"/>
    </row>
    <row r="5359" spans="3:7" x14ac:dyDescent="0.3">
      <c r="C5359" s="109"/>
      <c r="D5359" s="109"/>
      <c r="E5359" s="109"/>
      <c r="F5359" s="110"/>
      <c r="G5359" s="109"/>
    </row>
    <row r="5360" spans="3:7" x14ac:dyDescent="0.3">
      <c r="C5360" s="109"/>
      <c r="D5360" s="109"/>
      <c r="E5360" s="109"/>
      <c r="F5360" s="110"/>
      <c r="G5360" s="109"/>
    </row>
    <row r="5361" spans="3:7" x14ac:dyDescent="0.3">
      <c r="C5361" s="109"/>
      <c r="D5361" s="109"/>
      <c r="E5361" s="109"/>
      <c r="F5361" s="110"/>
      <c r="G5361" s="109"/>
    </row>
    <row r="5362" spans="3:7" x14ac:dyDescent="0.3">
      <c r="C5362" s="109"/>
      <c r="D5362" s="109"/>
      <c r="E5362" s="109"/>
      <c r="F5362" s="110"/>
      <c r="G5362" s="109"/>
    </row>
    <row r="5363" spans="3:7" x14ac:dyDescent="0.3">
      <c r="C5363" s="109"/>
      <c r="D5363" s="109"/>
      <c r="E5363" s="109"/>
      <c r="F5363" s="110"/>
      <c r="G5363" s="109"/>
    </row>
    <row r="5364" spans="3:7" x14ac:dyDescent="0.3">
      <c r="C5364" s="109"/>
      <c r="D5364" s="109"/>
      <c r="E5364" s="109"/>
      <c r="F5364" s="110"/>
      <c r="G5364" s="109"/>
    </row>
    <row r="5365" spans="3:7" x14ac:dyDescent="0.3">
      <c r="C5365" s="109"/>
      <c r="D5365" s="109"/>
      <c r="E5365" s="109"/>
      <c r="F5365" s="110"/>
      <c r="G5365" s="109"/>
    </row>
    <row r="5366" spans="3:7" x14ac:dyDescent="0.3">
      <c r="C5366" s="109"/>
      <c r="D5366" s="109"/>
      <c r="E5366" s="109"/>
      <c r="F5366" s="110"/>
      <c r="G5366" s="109"/>
    </row>
    <row r="5367" spans="3:7" x14ac:dyDescent="0.3">
      <c r="C5367" s="109"/>
      <c r="D5367" s="109"/>
      <c r="E5367" s="109"/>
      <c r="F5367" s="110"/>
      <c r="G5367" s="109"/>
    </row>
    <row r="5368" spans="3:7" x14ac:dyDescent="0.3">
      <c r="C5368" s="109"/>
      <c r="D5368" s="109"/>
      <c r="E5368" s="109"/>
      <c r="F5368" s="110"/>
      <c r="G5368" s="109"/>
    </row>
    <row r="5369" spans="3:7" x14ac:dyDescent="0.3">
      <c r="C5369" s="109"/>
      <c r="D5369" s="109"/>
      <c r="E5369" s="109"/>
      <c r="F5369" s="110"/>
      <c r="G5369" s="109"/>
    </row>
    <row r="5370" spans="3:7" x14ac:dyDescent="0.3">
      <c r="C5370" s="109"/>
      <c r="D5370" s="109"/>
      <c r="E5370" s="109"/>
      <c r="F5370" s="110"/>
      <c r="G5370" s="109"/>
    </row>
    <row r="5371" spans="3:7" x14ac:dyDescent="0.3">
      <c r="C5371" s="109"/>
      <c r="D5371" s="109"/>
      <c r="E5371" s="109"/>
      <c r="F5371" s="110"/>
      <c r="G5371" s="109"/>
    </row>
    <row r="5372" spans="3:7" x14ac:dyDescent="0.3">
      <c r="C5372" s="109"/>
      <c r="D5372" s="109"/>
      <c r="E5372" s="109"/>
      <c r="F5372" s="110"/>
      <c r="G5372" s="109"/>
    </row>
    <row r="5373" spans="3:7" x14ac:dyDescent="0.3">
      <c r="C5373" s="109"/>
      <c r="D5373" s="109"/>
      <c r="E5373" s="109"/>
      <c r="F5373" s="110"/>
      <c r="G5373" s="109"/>
    </row>
    <row r="5374" spans="3:7" x14ac:dyDescent="0.3">
      <c r="C5374" s="109"/>
      <c r="D5374" s="109"/>
      <c r="E5374" s="109"/>
      <c r="F5374" s="110"/>
      <c r="G5374" s="109"/>
    </row>
    <row r="5375" spans="3:7" x14ac:dyDescent="0.3">
      <c r="C5375" s="109"/>
      <c r="D5375" s="109"/>
      <c r="E5375" s="109"/>
      <c r="F5375" s="110"/>
      <c r="G5375" s="109"/>
    </row>
    <row r="5376" spans="3:7" x14ac:dyDescent="0.3">
      <c r="C5376" s="109"/>
      <c r="D5376" s="109"/>
      <c r="E5376" s="109"/>
      <c r="F5376" s="110"/>
      <c r="G5376" s="109"/>
    </row>
    <row r="5377" spans="3:7" x14ac:dyDescent="0.3">
      <c r="C5377" s="109"/>
      <c r="D5377" s="109"/>
      <c r="E5377" s="109"/>
      <c r="F5377" s="110"/>
      <c r="G5377" s="109"/>
    </row>
    <row r="5378" spans="3:7" x14ac:dyDescent="0.3">
      <c r="C5378" s="109"/>
      <c r="D5378" s="109"/>
      <c r="E5378" s="109"/>
      <c r="F5378" s="110"/>
      <c r="G5378" s="109"/>
    </row>
    <row r="5379" spans="3:7" x14ac:dyDescent="0.3">
      <c r="C5379" s="109"/>
      <c r="D5379" s="109"/>
      <c r="E5379" s="109"/>
      <c r="F5379" s="110"/>
      <c r="G5379" s="109"/>
    </row>
    <row r="5380" spans="3:7" x14ac:dyDescent="0.3">
      <c r="C5380" s="109"/>
      <c r="D5380" s="109"/>
      <c r="E5380" s="109"/>
      <c r="F5380" s="110"/>
      <c r="G5380" s="109"/>
    </row>
    <row r="5381" spans="3:7" x14ac:dyDescent="0.3">
      <c r="C5381" s="109"/>
      <c r="D5381" s="109"/>
      <c r="E5381" s="109"/>
      <c r="F5381" s="110"/>
      <c r="G5381" s="109"/>
    </row>
    <row r="5382" spans="3:7" x14ac:dyDescent="0.3">
      <c r="C5382" s="109"/>
      <c r="D5382" s="109"/>
      <c r="E5382" s="109"/>
      <c r="F5382" s="110"/>
      <c r="G5382" s="109"/>
    </row>
    <row r="5383" spans="3:7" x14ac:dyDescent="0.3">
      <c r="C5383" s="109"/>
      <c r="D5383" s="109"/>
      <c r="E5383" s="109"/>
      <c r="F5383" s="110"/>
      <c r="G5383" s="109"/>
    </row>
    <row r="5384" spans="3:7" x14ac:dyDescent="0.3">
      <c r="C5384" s="109"/>
      <c r="D5384" s="109"/>
      <c r="E5384" s="109"/>
      <c r="F5384" s="110"/>
      <c r="G5384" s="109"/>
    </row>
    <row r="5385" spans="3:7" x14ac:dyDescent="0.3">
      <c r="C5385" s="109"/>
      <c r="D5385" s="109"/>
      <c r="E5385" s="109"/>
      <c r="F5385" s="110"/>
      <c r="G5385" s="109"/>
    </row>
    <row r="5386" spans="3:7" x14ac:dyDescent="0.3">
      <c r="C5386" s="109"/>
      <c r="D5386" s="109"/>
      <c r="E5386" s="109"/>
      <c r="F5386" s="110"/>
      <c r="G5386" s="109"/>
    </row>
    <row r="5387" spans="3:7" x14ac:dyDescent="0.3">
      <c r="C5387" s="109"/>
      <c r="D5387" s="109"/>
      <c r="E5387" s="109"/>
      <c r="F5387" s="110"/>
      <c r="G5387" s="109"/>
    </row>
    <row r="5388" spans="3:7" x14ac:dyDescent="0.3">
      <c r="C5388" s="109"/>
      <c r="D5388" s="109"/>
      <c r="E5388" s="109"/>
      <c r="F5388" s="110"/>
      <c r="G5388" s="109"/>
    </row>
    <row r="5389" spans="3:7" x14ac:dyDescent="0.3">
      <c r="C5389" s="109"/>
      <c r="D5389" s="109"/>
      <c r="E5389" s="109"/>
      <c r="F5389" s="110"/>
      <c r="G5389" s="109"/>
    </row>
    <row r="5390" spans="3:7" x14ac:dyDescent="0.3">
      <c r="C5390" s="109"/>
      <c r="D5390" s="109"/>
      <c r="E5390" s="109"/>
      <c r="F5390" s="110"/>
      <c r="G5390" s="109"/>
    </row>
    <row r="5391" spans="3:7" x14ac:dyDescent="0.3">
      <c r="C5391" s="109"/>
      <c r="D5391" s="109"/>
      <c r="E5391" s="109"/>
      <c r="F5391" s="110"/>
      <c r="G5391" s="109"/>
    </row>
    <row r="5392" spans="3:7" x14ac:dyDescent="0.3">
      <c r="C5392" s="109"/>
      <c r="D5392" s="109"/>
      <c r="E5392" s="109"/>
      <c r="F5392" s="110"/>
      <c r="G5392" s="109"/>
    </row>
    <row r="5393" spans="3:7" x14ac:dyDescent="0.3">
      <c r="C5393" s="109"/>
      <c r="D5393" s="109"/>
      <c r="E5393" s="109"/>
      <c r="F5393" s="110"/>
      <c r="G5393" s="109"/>
    </row>
    <row r="5394" spans="3:7" x14ac:dyDescent="0.3">
      <c r="C5394" s="109"/>
      <c r="D5394" s="109"/>
      <c r="E5394" s="109"/>
      <c r="F5394" s="110"/>
      <c r="G5394" s="109"/>
    </row>
    <row r="5395" spans="3:7" x14ac:dyDescent="0.3">
      <c r="C5395" s="109"/>
      <c r="D5395" s="109"/>
      <c r="E5395" s="109"/>
      <c r="F5395" s="110"/>
      <c r="G5395" s="109"/>
    </row>
    <row r="5396" spans="3:7" x14ac:dyDescent="0.3">
      <c r="C5396" s="109"/>
      <c r="D5396" s="109"/>
      <c r="E5396" s="109"/>
      <c r="F5396" s="110"/>
      <c r="G5396" s="109"/>
    </row>
    <row r="5397" spans="3:7" x14ac:dyDescent="0.3">
      <c r="C5397" s="109"/>
      <c r="D5397" s="109"/>
      <c r="E5397" s="109"/>
      <c r="F5397" s="110"/>
      <c r="G5397" s="109"/>
    </row>
    <row r="5398" spans="3:7" x14ac:dyDescent="0.3">
      <c r="C5398" s="109"/>
      <c r="D5398" s="109"/>
      <c r="E5398" s="109"/>
      <c r="F5398" s="110"/>
      <c r="G5398" s="109"/>
    </row>
    <row r="5399" spans="3:7" x14ac:dyDescent="0.3">
      <c r="C5399" s="109"/>
      <c r="D5399" s="109"/>
      <c r="E5399" s="109"/>
      <c r="F5399" s="110"/>
      <c r="G5399" s="109"/>
    </row>
    <row r="5400" spans="3:7" x14ac:dyDescent="0.3">
      <c r="C5400" s="109"/>
      <c r="D5400" s="109"/>
      <c r="E5400" s="109"/>
      <c r="F5400" s="110"/>
      <c r="G5400" s="109"/>
    </row>
    <row r="5401" spans="3:7" x14ac:dyDescent="0.3">
      <c r="C5401" s="109"/>
      <c r="D5401" s="109"/>
      <c r="E5401" s="109"/>
      <c r="F5401" s="110"/>
      <c r="G5401" s="109"/>
    </row>
    <row r="5402" spans="3:7" x14ac:dyDescent="0.3">
      <c r="C5402" s="109"/>
      <c r="D5402" s="109"/>
      <c r="E5402" s="109"/>
      <c r="F5402" s="110"/>
      <c r="G5402" s="109"/>
    </row>
    <row r="5403" spans="3:7" x14ac:dyDescent="0.3">
      <c r="C5403" s="109"/>
      <c r="D5403" s="109"/>
      <c r="E5403" s="109"/>
      <c r="F5403" s="110"/>
      <c r="G5403" s="109"/>
    </row>
    <row r="5404" spans="3:7" x14ac:dyDescent="0.3">
      <c r="C5404" s="109"/>
      <c r="D5404" s="109"/>
      <c r="E5404" s="109"/>
      <c r="F5404" s="110"/>
      <c r="G5404" s="109"/>
    </row>
    <row r="5405" spans="3:7" x14ac:dyDescent="0.3">
      <c r="C5405" s="109"/>
      <c r="D5405" s="109"/>
      <c r="E5405" s="109"/>
      <c r="F5405" s="110"/>
      <c r="G5405" s="109"/>
    </row>
    <row r="5406" spans="3:7" x14ac:dyDescent="0.3">
      <c r="C5406" s="109"/>
      <c r="D5406" s="109"/>
      <c r="E5406" s="109"/>
      <c r="F5406" s="110"/>
      <c r="G5406" s="109"/>
    </row>
    <row r="5407" spans="3:7" x14ac:dyDescent="0.3">
      <c r="C5407" s="109"/>
      <c r="D5407" s="109"/>
      <c r="E5407" s="109"/>
      <c r="F5407" s="110"/>
      <c r="G5407" s="109"/>
    </row>
    <row r="5408" spans="3:7" x14ac:dyDescent="0.3">
      <c r="C5408" s="109"/>
      <c r="D5408" s="109"/>
      <c r="E5408" s="109"/>
      <c r="F5408" s="110"/>
      <c r="G5408" s="109"/>
    </row>
    <row r="5409" spans="3:7" x14ac:dyDescent="0.3">
      <c r="C5409" s="109"/>
      <c r="D5409" s="109"/>
      <c r="E5409" s="109"/>
      <c r="F5409" s="110"/>
      <c r="G5409" s="109"/>
    </row>
    <row r="5410" spans="3:7" x14ac:dyDescent="0.3">
      <c r="C5410" s="109"/>
      <c r="D5410" s="109"/>
      <c r="E5410" s="109"/>
      <c r="F5410" s="110"/>
      <c r="G5410" s="109"/>
    </row>
    <row r="5411" spans="3:7" x14ac:dyDescent="0.3">
      <c r="C5411" s="109"/>
      <c r="D5411" s="109"/>
      <c r="E5411" s="109"/>
      <c r="F5411" s="110"/>
      <c r="G5411" s="109"/>
    </row>
    <row r="5412" spans="3:7" x14ac:dyDescent="0.3">
      <c r="C5412" s="109"/>
      <c r="D5412" s="109"/>
      <c r="E5412" s="109"/>
      <c r="F5412" s="110"/>
      <c r="G5412" s="109"/>
    </row>
    <row r="5413" spans="3:7" x14ac:dyDescent="0.3">
      <c r="C5413" s="109"/>
      <c r="D5413" s="109"/>
      <c r="E5413" s="109"/>
      <c r="F5413" s="110"/>
      <c r="G5413" s="109"/>
    </row>
    <row r="5414" spans="3:7" x14ac:dyDescent="0.3">
      <c r="C5414" s="109"/>
      <c r="D5414" s="109"/>
      <c r="E5414" s="109"/>
      <c r="F5414" s="110"/>
      <c r="G5414" s="109"/>
    </row>
    <row r="5415" spans="3:7" x14ac:dyDescent="0.3">
      <c r="C5415" s="109"/>
      <c r="D5415" s="109"/>
      <c r="E5415" s="109"/>
      <c r="F5415" s="110"/>
      <c r="G5415" s="109"/>
    </row>
    <row r="5416" spans="3:7" x14ac:dyDescent="0.3">
      <c r="C5416" s="109"/>
      <c r="D5416" s="109"/>
      <c r="E5416" s="109"/>
      <c r="F5416" s="110"/>
      <c r="G5416" s="109"/>
    </row>
    <row r="5417" spans="3:7" x14ac:dyDescent="0.3">
      <c r="C5417" s="109"/>
      <c r="D5417" s="109"/>
      <c r="E5417" s="109"/>
      <c r="F5417" s="110"/>
      <c r="G5417" s="109"/>
    </row>
    <row r="5418" spans="3:7" x14ac:dyDescent="0.3">
      <c r="C5418" s="109"/>
      <c r="D5418" s="109"/>
      <c r="E5418" s="109"/>
      <c r="F5418" s="110"/>
      <c r="G5418" s="109"/>
    </row>
    <row r="5419" spans="3:7" x14ac:dyDescent="0.3">
      <c r="C5419" s="109"/>
      <c r="D5419" s="109"/>
      <c r="E5419" s="109"/>
      <c r="F5419" s="110"/>
      <c r="G5419" s="109"/>
    </row>
    <row r="5420" spans="3:7" x14ac:dyDescent="0.3">
      <c r="C5420" s="109"/>
      <c r="D5420" s="109"/>
      <c r="E5420" s="109"/>
      <c r="F5420" s="110"/>
      <c r="G5420" s="109"/>
    </row>
    <row r="5421" spans="3:7" x14ac:dyDescent="0.3">
      <c r="C5421" s="109"/>
      <c r="D5421" s="109"/>
      <c r="E5421" s="109"/>
      <c r="F5421" s="110"/>
      <c r="G5421" s="109"/>
    </row>
    <row r="5422" spans="3:7" x14ac:dyDescent="0.3">
      <c r="C5422" s="109"/>
      <c r="D5422" s="109"/>
      <c r="E5422" s="109"/>
      <c r="F5422" s="110"/>
      <c r="G5422" s="109"/>
    </row>
    <row r="5423" spans="3:7" x14ac:dyDescent="0.3">
      <c r="C5423" s="109"/>
      <c r="D5423" s="109"/>
      <c r="E5423" s="109"/>
      <c r="F5423" s="110"/>
      <c r="G5423" s="109"/>
    </row>
    <row r="5424" spans="3:7" x14ac:dyDescent="0.3">
      <c r="C5424" s="109"/>
      <c r="D5424" s="109"/>
      <c r="E5424" s="109"/>
      <c r="F5424" s="110"/>
      <c r="G5424" s="109"/>
    </row>
    <row r="5425" spans="3:7" x14ac:dyDescent="0.3">
      <c r="C5425" s="109"/>
      <c r="D5425" s="109"/>
      <c r="E5425" s="109"/>
      <c r="F5425" s="110"/>
      <c r="G5425" s="109"/>
    </row>
    <row r="5426" spans="3:7" x14ac:dyDescent="0.3">
      <c r="C5426" s="109"/>
      <c r="D5426" s="109"/>
      <c r="E5426" s="109"/>
      <c r="F5426" s="110"/>
      <c r="G5426" s="109"/>
    </row>
    <row r="5427" spans="3:7" x14ac:dyDescent="0.3">
      <c r="C5427" s="109"/>
      <c r="D5427" s="109"/>
      <c r="E5427" s="109"/>
      <c r="F5427" s="110"/>
      <c r="G5427" s="109"/>
    </row>
    <row r="5428" spans="3:7" x14ac:dyDescent="0.3">
      <c r="C5428" s="109"/>
      <c r="D5428" s="109"/>
      <c r="E5428" s="109"/>
      <c r="F5428" s="110"/>
      <c r="G5428" s="109"/>
    </row>
    <row r="5429" spans="3:7" x14ac:dyDescent="0.3">
      <c r="C5429" s="109"/>
      <c r="D5429" s="109"/>
      <c r="E5429" s="109"/>
      <c r="F5429" s="110"/>
      <c r="G5429" s="109"/>
    </row>
    <row r="5430" spans="3:7" x14ac:dyDescent="0.3">
      <c r="C5430" s="109"/>
      <c r="D5430" s="109"/>
      <c r="E5430" s="109"/>
      <c r="F5430" s="110"/>
      <c r="G5430" s="109"/>
    </row>
    <row r="5431" spans="3:7" x14ac:dyDescent="0.3">
      <c r="C5431" s="109"/>
      <c r="D5431" s="109"/>
      <c r="E5431" s="109"/>
      <c r="F5431" s="110"/>
      <c r="G5431" s="109"/>
    </row>
    <row r="5432" spans="3:7" x14ac:dyDescent="0.3">
      <c r="C5432" s="109"/>
      <c r="D5432" s="109"/>
      <c r="E5432" s="109"/>
      <c r="F5432" s="110"/>
      <c r="G5432" s="109"/>
    </row>
    <row r="5433" spans="3:7" x14ac:dyDescent="0.3">
      <c r="C5433" s="109"/>
      <c r="D5433" s="109"/>
      <c r="E5433" s="109"/>
      <c r="F5433" s="110"/>
      <c r="G5433" s="109"/>
    </row>
    <row r="5434" spans="3:7" x14ac:dyDescent="0.3">
      <c r="C5434" s="109"/>
      <c r="D5434" s="109"/>
      <c r="E5434" s="109"/>
      <c r="F5434" s="110"/>
      <c r="G5434" s="109"/>
    </row>
    <row r="5435" spans="3:7" x14ac:dyDescent="0.3">
      <c r="C5435" s="109"/>
      <c r="D5435" s="109"/>
      <c r="E5435" s="109"/>
      <c r="F5435" s="110"/>
      <c r="G5435" s="109"/>
    </row>
    <row r="5436" spans="3:7" x14ac:dyDescent="0.3">
      <c r="C5436" s="109"/>
      <c r="D5436" s="109"/>
      <c r="E5436" s="109"/>
      <c r="F5436" s="110"/>
      <c r="G5436" s="109"/>
    </row>
    <row r="5437" spans="3:7" x14ac:dyDescent="0.3">
      <c r="C5437" s="109"/>
      <c r="D5437" s="109"/>
      <c r="E5437" s="109"/>
      <c r="F5437" s="110"/>
      <c r="G5437" s="109"/>
    </row>
    <row r="5438" spans="3:7" x14ac:dyDescent="0.3">
      <c r="C5438" s="109"/>
      <c r="D5438" s="109"/>
      <c r="E5438" s="109"/>
      <c r="F5438" s="110"/>
      <c r="G5438" s="109"/>
    </row>
    <row r="5439" spans="3:7" x14ac:dyDescent="0.3">
      <c r="C5439" s="109"/>
      <c r="D5439" s="109"/>
      <c r="E5439" s="109"/>
      <c r="F5439" s="110"/>
      <c r="G5439" s="109"/>
    </row>
    <row r="5440" spans="3:7" x14ac:dyDescent="0.3">
      <c r="C5440" s="109"/>
      <c r="D5440" s="109"/>
      <c r="E5440" s="109"/>
      <c r="F5440" s="110"/>
      <c r="G5440" s="109"/>
    </row>
    <row r="5441" spans="3:7" x14ac:dyDescent="0.3">
      <c r="C5441" s="109"/>
      <c r="D5441" s="109"/>
      <c r="E5441" s="109"/>
      <c r="F5441" s="110"/>
      <c r="G5441" s="109"/>
    </row>
    <row r="5442" spans="3:7" x14ac:dyDescent="0.3">
      <c r="C5442" s="109"/>
      <c r="D5442" s="109"/>
      <c r="E5442" s="109"/>
      <c r="F5442" s="110"/>
      <c r="G5442" s="109"/>
    </row>
    <row r="5443" spans="3:7" x14ac:dyDescent="0.3">
      <c r="C5443" s="109"/>
      <c r="D5443" s="109"/>
      <c r="E5443" s="109"/>
      <c r="F5443" s="110"/>
      <c r="G5443" s="109"/>
    </row>
    <row r="5444" spans="3:7" x14ac:dyDescent="0.3">
      <c r="C5444" s="109"/>
      <c r="D5444" s="109"/>
      <c r="E5444" s="109"/>
      <c r="F5444" s="110"/>
      <c r="G5444" s="109"/>
    </row>
    <row r="5445" spans="3:7" x14ac:dyDescent="0.3">
      <c r="C5445" s="109"/>
      <c r="D5445" s="109"/>
      <c r="E5445" s="109"/>
      <c r="F5445" s="110"/>
      <c r="G5445" s="109"/>
    </row>
    <row r="5446" spans="3:7" x14ac:dyDescent="0.3">
      <c r="C5446" s="109"/>
      <c r="D5446" s="109"/>
      <c r="E5446" s="109"/>
      <c r="F5446" s="110"/>
      <c r="G5446" s="109"/>
    </row>
    <row r="5447" spans="3:7" x14ac:dyDescent="0.3">
      <c r="C5447" s="109"/>
      <c r="D5447" s="109"/>
      <c r="E5447" s="109"/>
      <c r="F5447" s="110"/>
      <c r="G5447" s="109"/>
    </row>
    <row r="5448" spans="3:7" x14ac:dyDescent="0.3">
      <c r="C5448" s="109"/>
      <c r="D5448" s="109"/>
      <c r="E5448" s="109"/>
      <c r="F5448" s="110"/>
      <c r="G5448" s="109"/>
    </row>
    <row r="5449" spans="3:7" x14ac:dyDescent="0.3">
      <c r="C5449" s="109"/>
      <c r="D5449" s="109"/>
      <c r="E5449" s="109"/>
      <c r="F5449" s="110"/>
      <c r="G5449" s="109"/>
    </row>
    <row r="5450" spans="3:7" x14ac:dyDescent="0.3">
      <c r="C5450" s="109"/>
      <c r="D5450" s="109"/>
      <c r="E5450" s="109"/>
      <c r="F5450" s="110"/>
      <c r="G5450" s="109"/>
    </row>
    <row r="5451" spans="3:7" x14ac:dyDescent="0.3">
      <c r="C5451" s="109"/>
      <c r="D5451" s="109"/>
      <c r="E5451" s="109"/>
      <c r="F5451" s="110"/>
      <c r="G5451" s="109"/>
    </row>
    <row r="5452" spans="3:7" x14ac:dyDescent="0.3">
      <c r="C5452" s="109"/>
      <c r="D5452" s="109"/>
      <c r="E5452" s="109"/>
      <c r="F5452" s="110"/>
      <c r="G5452" s="109"/>
    </row>
    <row r="5453" spans="3:7" x14ac:dyDescent="0.3">
      <c r="C5453" s="109"/>
      <c r="D5453" s="109"/>
      <c r="E5453" s="109"/>
      <c r="F5453" s="110"/>
      <c r="G5453" s="109"/>
    </row>
    <row r="5454" spans="3:7" x14ac:dyDescent="0.3">
      <c r="C5454" s="109"/>
      <c r="D5454" s="109"/>
      <c r="E5454" s="109"/>
      <c r="F5454" s="110"/>
      <c r="G5454" s="109"/>
    </row>
    <row r="5455" spans="3:7" x14ac:dyDescent="0.3">
      <c r="C5455" s="109"/>
      <c r="D5455" s="109"/>
      <c r="E5455" s="109"/>
      <c r="F5455" s="110"/>
      <c r="G5455" s="109"/>
    </row>
    <row r="5456" spans="3:7" x14ac:dyDescent="0.3">
      <c r="C5456" s="109"/>
      <c r="D5456" s="109"/>
      <c r="E5456" s="109"/>
      <c r="F5456" s="110"/>
      <c r="G5456" s="109"/>
    </row>
    <row r="5457" spans="3:7" x14ac:dyDescent="0.3">
      <c r="C5457" s="109"/>
      <c r="D5457" s="109"/>
      <c r="E5457" s="109"/>
      <c r="F5457" s="110"/>
      <c r="G5457" s="109"/>
    </row>
    <row r="5458" spans="3:7" x14ac:dyDescent="0.3">
      <c r="C5458" s="109"/>
      <c r="D5458" s="109"/>
      <c r="E5458" s="109"/>
      <c r="F5458" s="110"/>
      <c r="G5458" s="109"/>
    </row>
    <row r="5459" spans="3:7" x14ac:dyDescent="0.3">
      <c r="C5459" s="109"/>
      <c r="D5459" s="109"/>
      <c r="E5459" s="109"/>
      <c r="F5459" s="110"/>
      <c r="G5459" s="109"/>
    </row>
    <row r="5460" spans="3:7" x14ac:dyDescent="0.3">
      <c r="C5460" s="109"/>
      <c r="D5460" s="109"/>
      <c r="E5460" s="109"/>
      <c r="F5460" s="110"/>
      <c r="G5460" s="109"/>
    </row>
    <row r="5461" spans="3:7" x14ac:dyDescent="0.3">
      <c r="C5461" s="109"/>
      <c r="D5461" s="109"/>
      <c r="E5461" s="109"/>
      <c r="F5461" s="110"/>
      <c r="G5461" s="109"/>
    </row>
    <row r="5462" spans="3:7" x14ac:dyDescent="0.3">
      <c r="C5462" s="109"/>
      <c r="D5462" s="109"/>
      <c r="E5462" s="109"/>
      <c r="F5462" s="110"/>
      <c r="G5462" s="109"/>
    </row>
    <row r="5463" spans="3:7" x14ac:dyDescent="0.3">
      <c r="C5463" s="109"/>
      <c r="D5463" s="109"/>
      <c r="E5463" s="109"/>
      <c r="F5463" s="110"/>
      <c r="G5463" s="109"/>
    </row>
    <row r="5464" spans="3:7" x14ac:dyDescent="0.3">
      <c r="C5464" s="109"/>
      <c r="D5464" s="109"/>
      <c r="E5464" s="109"/>
      <c r="F5464" s="110"/>
      <c r="G5464" s="109"/>
    </row>
    <row r="5465" spans="3:7" x14ac:dyDescent="0.3">
      <c r="C5465" s="109"/>
      <c r="D5465" s="109"/>
      <c r="E5465" s="109"/>
      <c r="F5465" s="110"/>
      <c r="G5465" s="109"/>
    </row>
    <row r="5466" spans="3:7" x14ac:dyDescent="0.3">
      <c r="C5466" s="109"/>
      <c r="D5466" s="109"/>
      <c r="E5466" s="109"/>
      <c r="F5466" s="110"/>
      <c r="G5466" s="109"/>
    </row>
    <row r="5467" spans="3:7" x14ac:dyDescent="0.3">
      <c r="C5467" s="109"/>
      <c r="D5467" s="109"/>
      <c r="E5467" s="109"/>
      <c r="F5467" s="110"/>
      <c r="G5467" s="109"/>
    </row>
    <row r="5468" spans="3:7" x14ac:dyDescent="0.3">
      <c r="C5468" s="109"/>
      <c r="D5468" s="109"/>
      <c r="E5468" s="109"/>
      <c r="F5468" s="110"/>
      <c r="G5468" s="109"/>
    </row>
    <row r="5469" spans="3:7" x14ac:dyDescent="0.3">
      <c r="C5469" s="109"/>
      <c r="D5469" s="109"/>
      <c r="E5469" s="109"/>
      <c r="F5469" s="110"/>
      <c r="G5469" s="109"/>
    </row>
    <row r="5470" spans="3:7" x14ac:dyDescent="0.3">
      <c r="C5470" s="109"/>
      <c r="D5470" s="109"/>
      <c r="E5470" s="109"/>
      <c r="F5470" s="110"/>
      <c r="G5470" s="109"/>
    </row>
    <row r="5471" spans="3:7" x14ac:dyDescent="0.3">
      <c r="C5471" s="109"/>
      <c r="D5471" s="109"/>
      <c r="E5471" s="109"/>
      <c r="F5471" s="110"/>
      <c r="G5471" s="109"/>
    </row>
    <row r="5472" spans="3:7" x14ac:dyDescent="0.3">
      <c r="C5472" s="109"/>
      <c r="D5472" s="109"/>
      <c r="E5472" s="109"/>
      <c r="F5472" s="110"/>
      <c r="G5472" s="109"/>
    </row>
    <row r="5473" spans="3:7" x14ac:dyDescent="0.3">
      <c r="C5473" s="109"/>
      <c r="D5473" s="109"/>
      <c r="E5473" s="109"/>
      <c r="F5473" s="110"/>
      <c r="G5473" s="109"/>
    </row>
    <row r="5474" spans="3:7" x14ac:dyDescent="0.3">
      <c r="C5474" s="109"/>
      <c r="D5474" s="109"/>
      <c r="E5474" s="109"/>
      <c r="F5474" s="110"/>
      <c r="G5474" s="109"/>
    </row>
    <row r="5475" spans="3:7" x14ac:dyDescent="0.3">
      <c r="C5475" s="109"/>
      <c r="D5475" s="109"/>
      <c r="E5475" s="109"/>
      <c r="F5475" s="110"/>
      <c r="G5475" s="109"/>
    </row>
    <row r="5476" spans="3:7" x14ac:dyDescent="0.3">
      <c r="C5476" s="109"/>
      <c r="D5476" s="109"/>
      <c r="E5476" s="109"/>
      <c r="F5476" s="110"/>
      <c r="G5476" s="109"/>
    </row>
    <row r="5477" spans="3:7" x14ac:dyDescent="0.3">
      <c r="C5477" s="109"/>
      <c r="D5477" s="109"/>
      <c r="E5477" s="109"/>
      <c r="F5477" s="110"/>
      <c r="G5477" s="109"/>
    </row>
    <row r="5478" spans="3:7" x14ac:dyDescent="0.3">
      <c r="C5478" s="109"/>
      <c r="D5478" s="109"/>
      <c r="E5478" s="109"/>
      <c r="F5478" s="110"/>
      <c r="G5478" s="109"/>
    </row>
    <row r="5479" spans="3:7" x14ac:dyDescent="0.3">
      <c r="C5479" s="109"/>
      <c r="D5479" s="109"/>
      <c r="E5479" s="109"/>
      <c r="F5479" s="110"/>
      <c r="G5479" s="109"/>
    </row>
    <row r="5480" spans="3:7" x14ac:dyDescent="0.3">
      <c r="C5480" s="109"/>
      <c r="D5480" s="109"/>
      <c r="E5480" s="109"/>
      <c r="F5480" s="110"/>
      <c r="G5480" s="109"/>
    </row>
    <row r="5481" spans="3:7" x14ac:dyDescent="0.3">
      <c r="C5481" s="109"/>
      <c r="D5481" s="109"/>
      <c r="E5481" s="109"/>
      <c r="F5481" s="110"/>
      <c r="G5481" s="109"/>
    </row>
    <row r="5482" spans="3:7" x14ac:dyDescent="0.3">
      <c r="C5482" s="109"/>
      <c r="D5482" s="109"/>
      <c r="E5482" s="109"/>
      <c r="F5482" s="110"/>
      <c r="G5482" s="109"/>
    </row>
    <row r="5483" spans="3:7" x14ac:dyDescent="0.3">
      <c r="C5483" s="109"/>
      <c r="D5483" s="109"/>
      <c r="E5483" s="109"/>
      <c r="F5483" s="110"/>
      <c r="G5483" s="109"/>
    </row>
    <row r="5484" spans="3:7" x14ac:dyDescent="0.3">
      <c r="C5484" s="109"/>
      <c r="D5484" s="109"/>
      <c r="E5484" s="109"/>
      <c r="F5484" s="110"/>
      <c r="G5484" s="109"/>
    </row>
    <row r="5485" spans="3:7" x14ac:dyDescent="0.3">
      <c r="C5485" s="109"/>
      <c r="D5485" s="109"/>
      <c r="E5485" s="109"/>
      <c r="F5485" s="110"/>
      <c r="G5485" s="109"/>
    </row>
    <row r="5486" spans="3:7" x14ac:dyDescent="0.3">
      <c r="C5486" s="109"/>
      <c r="D5486" s="109"/>
      <c r="E5486" s="109"/>
      <c r="F5486" s="110"/>
      <c r="G5486" s="109"/>
    </row>
    <row r="5487" spans="3:7" x14ac:dyDescent="0.3">
      <c r="C5487" s="109"/>
      <c r="D5487" s="109"/>
      <c r="E5487" s="109"/>
      <c r="F5487" s="110"/>
      <c r="G5487" s="109"/>
    </row>
    <row r="5488" spans="3:7" x14ac:dyDescent="0.3">
      <c r="C5488" s="109"/>
      <c r="D5488" s="109"/>
      <c r="E5488" s="109"/>
      <c r="F5488" s="110"/>
      <c r="G5488" s="109"/>
    </row>
    <row r="5489" spans="3:7" x14ac:dyDescent="0.3">
      <c r="C5489" s="109"/>
      <c r="D5489" s="109"/>
      <c r="E5489" s="109"/>
      <c r="F5489" s="110"/>
      <c r="G5489" s="109"/>
    </row>
    <row r="5490" spans="3:7" x14ac:dyDescent="0.3">
      <c r="C5490" s="109"/>
      <c r="D5490" s="109"/>
      <c r="E5490" s="109"/>
      <c r="F5490" s="110"/>
      <c r="G5490" s="109"/>
    </row>
    <row r="5491" spans="3:7" x14ac:dyDescent="0.3">
      <c r="C5491" s="109"/>
      <c r="D5491" s="109"/>
      <c r="E5491" s="109"/>
      <c r="F5491" s="110"/>
      <c r="G5491" s="109"/>
    </row>
    <row r="5492" spans="3:7" x14ac:dyDescent="0.3">
      <c r="C5492" s="109"/>
      <c r="D5492" s="109"/>
      <c r="E5492" s="109"/>
      <c r="F5492" s="110"/>
      <c r="G5492" s="109"/>
    </row>
    <row r="5493" spans="3:7" x14ac:dyDescent="0.3">
      <c r="C5493" s="109"/>
      <c r="D5493" s="109"/>
      <c r="E5493" s="109"/>
      <c r="F5493" s="110"/>
      <c r="G5493" s="109"/>
    </row>
    <row r="5494" spans="3:7" x14ac:dyDescent="0.3">
      <c r="C5494" s="109"/>
      <c r="D5494" s="109"/>
      <c r="E5494" s="109"/>
      <c r="F5494" s="110"/>
      <c r="G5494" s="109"/>
    </row>
    <row r="5495" spans="3:7" x14ac:dyDescent="0.3">
      <c r="C5495" s="109"/>
      <c r="D5495" s="109"/>
      <c r="E5495" s="109"/>
      <c r="F5495" s="110"/>
      <c r="G5495" s="109"/>
    </row>
    <row r="5496" spans="3:7" x14ac:dyDescent="0.3">
      <c r="C5496" s="109"/>
      <c r="D5496" s="109"/>
      <c r="E5496" s="109"/>
      <c r="F5496" s="110"/>
      <c r="G5496" s="109"/>
    </row>
    <row r="5497" spans="3:7" x14ac:dyDescent="0.3">
      <c r="C5497" s="109"/>
      <c r="D5497" s="109"/>
      <c r="E5497" s="109"/>
      <c r="F5497" s="110"/>
      <c r="G5497" s="109"/>
    </row>
    <row r="5498" spans="3:7" x14ac:dyDescent="0.3">
      <c r="C5498" s="109"/>
      <c r="D5498" s="109"/>
      <c r="E5498" s="109"/>
      <c r="F5498" s="110"/>
      <c r="G5498" s="109"/>
    </row>
    <row r="5499" spans="3:7" x14ac:dyDescent="0.3">
      <c r="C5499" s="109"/>
      <c r="D5499" s="109"/>
      <c r="E5499" s="109"/>
      <c r="F5499" s="110"/>
      <c r="G5499" s="109"/>
    </row>
    <row r="5500" spans="3:7" x14ac:dyDescent="0.3">
      <c r="C5500" s="109"/>
      <c r="D5500" s="109"/>
      <c r="E5500" s="109"/>
      <c r="F5500" s="110"/>
      <c r="G5500" s="109"/>
    </row>
    <row r="5501" spans="3:7" x14ac:dyDescent="0.3">
      <c r="C5501" s="109"/>
      <c r="D5501" s="109"/>
      <c r="E5501" s="109"/>
      <c r="F5501" s="110"/>
      <c r="G5501" s="109"/>
    </row>
    <row r="5502" spans="3:7" x14ac:dyDescent="0.3">
      <c r="C5502" s="109"/>
      <c r="D5502" s="109"/>
      <c r="E5502" s="109"/>
      <c r="F5502" s="110"/>
      <c r="G5502" s="109"/>
    </row>
    <row r="5503" spans="3:7" x14ac:dyDescent="0.3">
      <c r="C5503" s="109"/>
      <c r="D5503" s="109"/>
      <c r="E5503" s="109"/>
      <c r="F5503" s="110"/>
      <c r="G5503" s="109"/>
    </row>
    <row r="5504" spans="3:7" x14ac:dyDescent="0.3">
      <c r="C5504" s="109"/>
      <c r="D5504" s="109"/>
      <c r="E5504" s="109"/>
      <c r="F5504" s="110"/>
      <c r="G5504" s="109"/>
    </row>
    <row r="5505" spans="3:7" x14ac:dyDescent="0.3">
      <c r="C5505" s="109"/>
      <c r="D5505" s="109"/>
      <c r="E5505" s="109"/>
      <c r="F5505" s="110"/>
      <c r="G5505" s="109"/>
    </row>
    <row r="5506" spans="3:7" x14ac:dyDescent="0.3">
      <c r="C5506" s="109"/>
      <c r="D5506" s="109"/>
      <c r="E5506" s="109"/>
      <c r="F5506" s="110"/>
      <c r="G5506" s="109"/>
    </row>
    <row r="5507" spans="3:7" x14ac:dyDescent="0.3">
      <c r="C5507" s="109"/>
      <c r="D5507" s="109"/>
      <c r="E5507" s="109"/>
      <c r="F5507" s="110"/>
      <c r="G5507" s="109"/>
    </row>
    <row r="5508" spans="3:7" x14ac:dyDescent="0.3">
      <c r="C5508" s="109"/>
      <c r="D5508" s="109"/>
      <c r="E5508" s="109"/>
      <c r="F5508" s="110"/>
      <c r="G5508" s="109"/>
    </row>
    <row r="5509" spans="3:7" x14ac:dyDescent="0.3">
      <c r="C5509" s="109"/>
      <c r="D5509" s="109"/>
      <c r="E5509" s="109"/>
      <c r="F5509" s="110"/>
      <c r="G5509" s="109"/>
    </row>
    <row r="5510" spans="3:7" x14ac:dyDescent="0.3">
      <c r="C5510" s="109"/>
      <c r="D5510" s="109"/>
      <c r="E5510" s="109"/>
      <c r="F5510" s="110"/>
      <c r="G5510" s="109"/>
    </row>
    <row r="5511" spans="3:7" x14ac:dyDescent="0.3">
      <c r="C5511" s="109"/>
      <c r="D5511" s="109"/>
      <c r="E5511" s="109"/>
      <c r="F5511" s="110"/>
      <c r="G5511" s="109"/>
    </row>
    <row r="5512" spans="3:7" x14ac:dyDescent="0.3">
      <c r="C5512" s="109"/>
      <c r="D5512" s="109"/>
      <c r="E5512" s="109"/>
      <c r="F5512" s="110"/>
      <c r="G5512" s="109"/>
    </row>
    <row r="5513" spans="3:7" x14ac:dyDescent="0.3">
      <c r="C5513" s="109"/>
      <c r="D5513" s="109"/>
      <c r="E5513" s="109"/>
      <c r="F5513" s="110"/>
      <c r="G5513" s="109"/>
    </row>
    <row r="5514" spans="3:7" x14ac:dyDescent="0.3">
      <c r="C5514" s="109"/>
      <c r="D5514" s="109"/>
      <c r="E5514" s="109"/>
      <c r="F5514" s="110"/>
      <c r="G5514" s="109"/>
    </row>
    <row r="5515" spans="3:7" x14ac:dyDescent="0.3">
      <c r="C5515" s="109"/>
      <c r="D5515" s="109"/>
      <c r="E5515" s="109"/>
      <c r="F5515" s="110"/>
      <c r="G5515" s="109"/>
    </row>
    <row r="5516" spans="3:7" x14ac:dyDescent="0.3">
      <c r="C5516" s="109"/>
      <c r="D5516" s="109"/>
      <c r="E5516" s="109"/>
      <c r="F5516" s="110"/>
      <c r="G5516" s="109"/>
    </row>
    <row r="5517" spans="3:7" x14ac:dyDescent="0.3">
      <c r="C5517" s="109"/>
      <c r="D5517" s="109"/>
      <c r="E5517" s="109"/>
      <c r="F5517" s="110"/>
      <c r="G5517" s="109"/>
    </row>
    <row r="5518" spans="3:7" x14ac:dyDescent="0.3">
      <c r="C5518" s="109"/>
      <c r="D5518" s="109"/>
      <c r="E5518" s="109"/>
      <c r="F5518" s="110"/>
      <c r="G5518" s="109"/>
    </row>
    <row r="5519" spans="3:7" x14ac:dyDescent="0.3">
      <c r="C5519" s="109"/>
      <c r="D5519" s="109"/>
      <c r="E5519" s="109"/>
      <c r="F5519" s="110"/>
      <c r="G5519" s="109"/>
    </row>
    <row r="5520" spans="3:7" x14ac:dyDescent="0.3">
      <c r="C5520" s="109"/>
      <c r="D5520" s="109"/>
      <c r="E5520" s="109"/>
      <c r="F5520" s="110"/>
      <c r="G5520" s="109"/>
    </row>
    <row r="5521" spans="3:7" x14ac:dyDescent="0.3">
      <c r="C5521" s="109"/>
      <c r="D5521" s="109"/>
      <c r="E5521" s="109"/>
      <c r="F5521" s="110"/>
      <c r="G5521" s="109"/>
    </row>
    <row r="5522" spans="3:7" x14ac:dyDescent="0.3">
      <c r="C5522" s="109"/>
      <c r="D5522" s="109"/>
      <c r="E5522" s="109"/>
      <c r="F5522" s="110"/>
      <c r="G5522" s="109"/>
    </row>
    <row r="5523" spans="3:7" x14ac:dyDescent="0.3">
      <c r="C5523" s="109"/>
      <c r="D5523" s="109"/>
      <c r="E5523" s="109"/>
      <c r="F5523" s="110"/>
      <c r="G5523" s="109"/>
    </row>
    <row r="5524" spans="3:7" x14ac:dyDescent="0.3">
      <c r="C5524" s="109"/>
      <c r="D5524" s="109"/>
      <c r="E5524" s="109"/>
      <c r="F5524" s="110"/>
      <c r="G5524" s="109"/>
    </row>
    <row r="5525" spans="3:7" x14ac:dyDescent="0.3">
      <c r="C5525" s="109"/>
      <c r="D5525" s="109"/>
      <c r="E5525" s="109"/>
      <c r="F5525" s="110"/>
      <c r="G5525" s="109"/>
    </row>
    <row r="5526" spans="3:7" x14ac:dyDescent="0.3">
      <c r="C5526" s="109"/>
      <c r="D5526" s="109"/>
      <c r="E5526" s="109"/>
      <c r="F5526" s="110"/>
      <c r="G5526" s="109"/>
    </row>
    <row r="5527" spans="3:7" x14ac:dyDescent="0.3">
      <c r="C5527" s="109"/>
      <c r="D5527" s="109"/>
      <c r="E5527" s="109"/>
      <c r="F5527" s="110"/>
      <c r="G5527" s="109"/>
    </row>
    <row r="5528" spans="3:7" x14ac:dyDescent="0.3">
      <c r="C5528" s="109"/>
      <c r="D5528" s="109"/>
      <c r="E5528" s="109"/>
      <c r="F5528" s="110"/>
      <c r="G5528" s="109"/>
    </row>
    <row r="5529" spans="3:7" x14ac:dyDescent="0.3">
      <c r="C5529" s="109"/>
      <c r="D5529" s="109"/>
      <c r="E5529" s="109"/>
      <c r="F5529" s="110"/>
      <c r="G5529" s="109"/>
    </row>
    <row r="5530" spans="3:7" x14ac:dyDescent="0.3">
      <c r="C5530" s="109"/>
      <c r="D5530" s="109"/>
      <c r="E5530" s="109"/>
      <c r="F5530" s="110"/>
      <c r="G5530" s="109"/>
    </row>
    <row r="5531" spans="3:7" x14ac:dyDescent="0.3">
      <c r="C5531" s="109"/>
      <c r="D5531" s="109"/>
      <c r="E5531" s="109"/>
      <c r="F5531" s="110"/>
      <c r="G5531" s="109"/>
    </row>
    <row r="5532" spans="3:7" x14ac:dyDescent="0.3">
      <c r="C5532" s="109"/>
      <c r="D5532" s="109"/>
      <c r="E5532" s="109"/>
      <c r="F5532" s="110"/>
      <c r="G5532" s="109"/>
    </row>
    <row r="5533" spans="3:7" x14ac:dyDescent="0.3">
      <c r="C5533" s="109"/>
      <c r="D5533" s="109"/>
      <c r="E5533" s="109"/>
      <c r="F5533" s="110"/>
      <c r="G5533" s="109"/>
    </row>
    <row r="5534" spans="3:7" x14ac:dyDescent="0.3">
      <c r="C5534" s="109"/>
      <c r="D5534" s="109"/>
      <c r="E5534" s="109"/>
      <c r="F5534" s="110"/>
      <c r="G5534" s="109"/>
    </row>
    <row r="5535" spans="3:7" x14ac:dyDescent="0.3">
      <c r="C5535" s="109"/>
      <c r="D5535" s="109"/>
      <c r="E5535" s="109"/>
      <c r="F5535" s="110"/>
      <c r="G5535" s="109"/>
    </row>
    <row r="5536" spans="3:7" x14ac:dyDescent="0.3">
      <c r="C5536" s="109"/>
      <c r="D5536" s="109"/>
      <c r="E5536" s="109"/>
      <c r="F5536" s="110"/>
      <c r="G5536" s="109"/>
    </row>
    <row r="5537" spans="3:7" x14ac:dyDescent="0.3">
      <c r="C5537" s="109"/>
      <c r="D5537" s="109"/>
      <c r="E5537" s="109"/>
      <c r="F5537" s="110"/>
      <c r="G5537" s="109"/>
    </row>
    <row r="5538" spans="3:7" x14ac:dyDescent="0.3">
      <c r="C5538" s="109"/>
      <c r="D5538" s="109"/>
      <c r="E5538" s="109"/>
      <c r="F5538" s="110"/>
      <c r="G5538" s="109"/>
    </row>
    <row r="5539" spans="3:7" x14ac:dyDescent="0.3">
      <c r="C5539" s="109"/>
      <c r="D5539" s="109"/>
      <c r="E5539" s="109"/>
      <c r="F5539" s="110"/>
      <c r="G5539" s="109"/>
    </row>
    <row r="5540" spans="3:7" x14ac:dyDescent="0.3">
      <c r="C5540" s="109"/>
      <c r="D5540" s="109"/>
      <c r="E5540" s="109"/>
      <c r="F5540" s="110"/>
      <c r="G5540" s="109"/>
    </row>
    <row r="5541" spans="3:7" x14ac:dyDescent="0.3">
      <c r="C5541" s="109"/>
      <c r="D5541" s="109"/>
      <c r="E5541" s="109"/>
      <c r="F5541" s="110"/>
      <c r="G5541" s="109"/>
    </row>
    <row r="5542" spans="3:7" x14ac:dyDescent="0.3">
      <c r="C5542" s="109"/>
      <c r="D5542" s="109"/>
      <c r="E5542" s="109"/>
      <c r="F5542" s="110"/>
      <c r="G5542" s="109"/>
    </row>
    <row r="5543" spans="3:7" x14ac:dyDescent="0.3">
      <c r="C5543" s="109"/>
      <c r="D5543" s="109"/>
      <c r="E5543" s="109"/>
      <c r="F5543" s="110"/>
      <c r="G5543" s="109"/>
    </row>
    <row r="5544" spans="3:7" x14ac:dyDescent="0.3">
      <c r="C5544" s="109"/>
      <c r="D5544" s="109"/>
      <c r="E5544" s="109"/>
      <c r="F5544" s="110"/>
      <c r="G5544" s="109"/>
    </row>
    <row r="5545" spans="3:7" x14ac:dyDescent="0.3">
      <c r="C5545" s="109"/>
      <c r="D5545" s="109"/>
      <c r="E5545" s="109"/>
      <c r="F5545" s="110"/>
      <c r="G5545" s="109"/>
    </row>
    <row r="5546" spans="3:7" x14ac:dyDescent="0.3">
      <c r="C5546" s="109"/>
      <c r="D5546" s="109"/>
      <c r="E5546" s="109"/>
      <c r="F5546" s="110"/>
      <c r="G5546" s="109"/>
    </row>
    <row r="5547" spans="3:7" x14ac:dyDescent="0.3">
      <c r="C5547" s="109"/>
      <c r="D5547" s="109"/>
      <c r="E5547" s="109"/>
      <c r="F5547" s="110"/>
      <c r="G5547" s="109"/>
    </row>
    <row r="5548" spans="3:7" x14ac:dyDescent="0.3">
      <c r="C5548" s="109"/>
      <c r="D5548" s="109"/>
      <c r="E5548" s="109"/>
      <c r="F5548" s="110"/>
      <c r="G5548" s="109"/>
    </row>
    <row r="5549" spans="3:7" x14ac:dyDescent="0.3">
      <c r="C5549" s="109"/>
      <c r="D5549" s="109"/>
      <c r="E5549" s="109"/>
      <c r="F5549" s="110"/>
      <c r="G5549" s="109"/>
    </row>
    <row r="5550" spans="3:7" x14ac:dyDescent="0.3">
      <c r="C5550" s="109"/>
      <c r="D5550" s="109"/>
      <c r="E5550" s="109"/>
      <c r="F5550" s="110"/>
      <c r="G5550" s="109"/>
    </row>
    <row r="5551" spans="3:7" x14ac:dyDescent="0.3">
      <c r="C5551" s="109"/>
      <c r="D5551" s="109"/>
      <c r="E5551" s="109"/>
      <c r="F5551" s="110"/>
      <c r="G5551" s="109"/>
    </row>
    <row r="5552" spans="3:7" x14ac:dyDescent="0.3">
      <c r="C5552" s="109"/>
      <c r="D5552" s="109"/>
      <c r="E5552" s="109"/>
      <c r="F5552" s="110"/>
      <c r="G5552" s="109"/>
    </row>
    <row r="5553" spans="3:7" x14ac:dyDescent="0.3">
      <c r="C5553" s="109"/>
      <c r="D5553" s="109"/>
      <c r="E5553" s="109"/>
      <c r="F5553" s="110"/>
      <c r="G5553" s="109"/>
    </row>
    <row r="5554" spans="3:7" x14ac:dyDescent="0.3">
      <c r="C5554" s="109"/>
      <c r="D5554" s="109"/>
      <c r="E5554" s="109"/>
      <c r="F5554" s="110"/>
      <c r="G5554" s="109"/>
    </row>
    <row r="5555" spans="3:7" x14ac:dyDescent="0.3">
      <c r="C5555" s="109"/>
      <c r="D5555" s="109"/>
      <c r="E5555" s="109"/>
      <c r="F5555" s="110"/>
      <c r="G5555" s="109"/>
    </row>
    <row r="5556" spans="3:7" x14ac:dyDescent="0.3">
      <c r="C5556" s="109"/>
      <c r="D5556" s="109"/>
      <c r="E5556" s="109"/>
      <c r="F5556" s="110"/>
      <c r="G5556" s="109"/>
    </row>
    <row r="5557" spans="3:7" x14ac:dyDescent="0.3">
      <c r="C5557" s="109"/>
      <c r="D5557" s="109"/>
      <c r="E5557" s="109"/>
      <c r="F5557" s="110"/>
      <c r="G5557" s="109"/>
    </row>
    <row r="5558" spans="3:7" x14ac:dyDescent="0.3">
      <c r="C5558" s="109"/>
      <c r="D5558" s="109"/>
      <c r="E5558" s="109"/>
      <c r="F5558" s="110"/>
      <c r="G5558" s="109"/>
    </row>
    <row r="5559" spans="3:7" x14ac:dyDescent="0.3">
      <c r="C5559" s="109"/>
      <c r="D5559" s="109"/>
      <c r="E5559" s="109"/>
      <c r="F5559" s="110"/>
      <c r="G5559" s="109"/>
    </row>
    <row r="5560" spans="3:7" x14ac:dyDescent="0.3">
      <c r="C5560" s="109"/>
      <c r="D5560" s="109"/>
      <c r="E5560" s="109"/>
      <c r="F5560" s="110"/>
      <c r="G5560" s="109"/>
    </row>
    <row r="5561" spans="3:7" x14ac:dyDescent="0.3">
      <c r="C5561" s="109"/>
      <c r="D5561" s="109"/>
      <c r="E5561" s="109"/>
      <c r="F5561" s="110"/>
      <c r="G5561" s="109"/>
    </row>
    <row r="5562" spans="3:7" x14ac:dyDescent="0.3">
      <c r="C5562" s="109"/>
      <c r="D5562" s="109"/>
      <c r="E5562" s="109"/>
      <c r="F5562" s="110"/>
      <c r="G5562" s="109"/>
    </row>
    <row r="5563" spans="3:7" x14ac:dyDescent="0.3">
      <c r="C5563" s="109"/>
      <c r="D5563" s="109"/>
      <c r="E5563" s="109"/>
      <c r="F5563" s="110"/>
      <c r="G5563" s="109"/>
    </row>
    <row r="5564" spans="3:7" x14ac:dyDescent="0.3">
      <c r="C5564" s="109"/>
      <c r="D5564" s="109"/>
      <c r="E5564" s="109"/>
      <c r="F5564" s="110"/>
      <c r="G5564" s="109"/>
    </row>
    <row r="5565" spans="3:7" x14ac:dyDescent="0.3">
      <c r="C5565" s="109"/>
      <c r="D5565" s="109"/>
      <c r="E5565" s="109"/>
      <c r="F5565" s="110"/>
      <c r="G5565" s="109"/>
    </row>
    <row r="5566" spans="3:7" x14ac:dyDescent="0.3">
      <c r="C5566" s="109"/>
      <c r="D5566" s="109"/>
      <c r="E5566" s="109"/>
      <c r="F5566" s="110"/>
      <c r="G5566" s="109"/>
    </row>
    <row r="5567" spans="3:7" x14ac:dyDescent="0.3">
      <c r="C5567" s="109"/>
      <c r="D5567" s="109"/>
      <c r="E5567" s="109"/>
      <c r="F5567" s="110"/>
      <c r="G5567" s="109"/>
    </row>
    <row r="5568" spans="3:7" x14ac:dyDescent="0.3">
      <c r="C5568" s="109"/>
      <c r="D5568" s="109"/>
      <c r="E5568" s="109"/>
      <c r="F5568" s="110"/>
      <c r="G5568" s="109"/>
    </row>
    <row r="5569" spans="3:7" x14ac:dyDescent="0.3">
      <c r="C5569" s="109"/>
      <c r="D5569" s="109"/>
      <c r="E5569" s="109"/>
      <c r="F5569" s="110"/>
      <c r="G5569" s="109"/>
    </row>
    <row r="5570" spans="3:7" x14ac:dyDescent="0.3">
      <c r="C5570" s="109"/>
      <c r="D5570" s="109"/>
      <c r="E5570" s="109"/>
      <c r="F5570" s="110"/>
      <c r="G5570" s="109"/>
    </row>
    <row r="5571" spans="3:7" x14ac:dyDescent="0.3">
      <c r="C5571" s="109"/>
      <c r="D5571" s="109"/>
      <c r="E5571" s="109"/>
      <c r="F5571" s="110"/>
      <c r="G5571" s="109"/>
    </row>
    <row r="5572" spans="3:7" x14ac:dyDescent="0.3">
      <c r="C5572" s="109"/>
      <c r="D5572" s="109"/>
      <c r="E5572" s="109"/>
      <c r="F5572" s="110"/>
      <c r="G5572" s="109"/>
    </row>
    <row r="5573" spans="3:7" x14ac:dyDescent="0.3">
      <c r="C5573" s="109"/>
      <c r="D5573" s="109"/>
      <c r="E5573" s="109"/>
      <c r="F5573" s="110"/>
      <c r="G5573" s="109"/>
    </row>
    <row r="5574" spans="3:7" x14ac:dyDescent="0.3">
      <c r="C5574" s="109"/>
      <c r="D5574" s="109"/>
      <c r="E5574" s="109"/>
      <c r="F5574" s="110"/>
      <c r="G5574" s="109"/>
    </row>
    <row r="5575" spans="3:7" x14ac:dyDescent="0.3">
      <c r="C5575" s="109"/>
      <c r="D5575" s="109"/>
      <c r="E5575" s="109"/>
      <c r="F5575" s="110"/>
      <c r="G5575" s="109"/>
    </row>
    <row r="5576" spans="3:7" x14ac:dyDescent="0.3">
      <c r="C5576" s="109"/>
      <c r="D5576" s="109"/>
      <c r="E5576" s="109"/>
      <c r="F5576" s="110"/>
      <c r="G5576" s="109"/>
    </row>
    <row r="5577" spans="3:7" x14ac:dyDescent="0.3">
      <c r="C5577" s="109"/>
      <c r="D5577" s="109"/>
      <c r="E5577" s="109"/>
      <c r="F5577" s="110"/>
      <c r="G5577" s="109"/>
    </row>
    <row r="5578" spans="3:7" x14ac:dyDescent="0.3">
      <c r="C5578" s="109"/>
      <c r="D5578" s="109"/>
      <c r="E5578" s="109"/>
      <c r="F5578" s="110"/>
      <c r="G5578" s="109"/>
    </row>
    <row r="5579" spans="3:7" x14ac:dyDescent="0.3">
      <c r="C5579" s="109"/>
      <c r="D5579" s="109"/>
      <c r="E5579" s="109"/>
      <c r="F5579" s="110"/>
      <c r="G5579" s="109"/>
    </row>
    <row r="5580" spans="3:7" x14ac:dyDescent="0.3">
      <c r="C5580" s="109"/>
      <c r="D5580" s="109"/>
      <c r="E5580" s="109"/>
      <c r="F5580" s="110"/>
      <c r="G5580" s="109"/>
    </row>
    <row r="5581" spans="3:7" x14ac:dyDescent="0.3">
      <c r="C5581" s="109"/>
      <c r="D5581" s="109"/>
      <c r="E5581" s="109"/>
      <c r="F5581" s="110"/>
      <c r="G5581" s="109"/>
    </row>
    <row r="5582" spans="3:7" x14ac:dyDescent="0.3">
      <c r="C5582" s="109"/>
      <c r="D5582" s="109"/>
      <c r="E5582" s="109"/>
      <c r="F5582" s="110"/>
      <c r="G5582" s="109"/>
    </row>
    <row r="5583" spans="3:7" x14ac:dyDescent="0.3">
      <c r="C5583" s="109"/>
      <c r="D5583" s="109"/>
      <c r="E5583" s="109"/>
      <c r="F5583" s="110"/>
      <c r="G5583" s="109"/>
    </row>
    <row r="5584" spans="3:7" x14ac:dyDescent="0.3">
      <c r="C5584" s="109"/>
      <c r="D5584" s="109"/>
      <c r="E5584" s="109"/>
      <c r="F5584" s="110"/>
      <c r="G5584" s="109"/>
    </row>
    <row r="5585" spans="3:7" x14ac:dyDescent="0.3">
      <c r="C5585" s="109"/>
      <c r="D5585" s="109"/>
      <c r="E5585" s="109"/>
      <c r="F5585" s="110"/>
      <c r="G5585" s="109"/>
    </row>
    <row r="5586" spans="3:7" x14ac:dyDescent="0.3">
      <c r="C5586" s="109"/>
      <c r="D5586" s="109"/>
      <c r="E5586" s="109"/>
      <c r="F5586" s="110"/>
      <c r="G5586" s="109"/>
    </row>
    <row r="5587" spans="3:7" x14ac:dyDescent="0.3">
      <c r="C5587" s="109"/>
      <c r="D5587" s="109"/>
      <c r="E5587" s="109"/>
      <c r="F5587" s="110"/>
      <c r="G5587" s="109"/>
    </row>
    <row r="5588" spans="3:7" x14ac:dyDescent="0.3">
      <c r="C5588" s="109"/>
      <c r="D5588" s="109"/>
      <c r="E5588" s="109"/>
      <c r="F5588" s="110"/>
      <c r="G5588" s="109"/>
    </row>
    <row r="5589" spans="3:7" x14ac:dyDescent="0.3">
      <c r="C5589" s="109"/>
      <c r="D5589" s="109"/>
      <c r="E5589" s="109"/>
      <c r="F5589" s="110"/>
      <c r="G5589" s="109"/>
    </row>
    <row r="5590" spans="3:7" x14ac:dyDescent="0.3">
      <c r="C5590" s="109"/>
      <c r="D5590" s="109"/>
      <c r="E5590" s="109"/>
      <c r="F5590" s="110"/>
      <c r="G5590" s="109"/>
    </row>
    <row r="5591" spans="3:7" x14ac:dyDescent="0.3">
      <c r="C5591" s="109"/>
      <c r="D5591" s="109"/>
      <c r="E5591" s="109"/>
      <c r="F5591" s="110"/>
      <c r="G5591" s="109"/>
    </row>
    <row r="5592" spans="3:7" x14ac:dyDescent="0.3">
      <c r="C5592" s="109"/>
      <c r="D5592" s="109"/>
      <c r="E5592" s="109"/>
      <c r="F5592" s="110"/>
      <c r="G5592" s="109"/>
    </row>
    <row r="5593" spans="3:7" x14ac:dyDescent="0.3">
      <c r="C5593" s="109"/>
      <c r="D5593" s="109"/>
      <c r="E5593" s="109"/>
      <c r="F5593" s="110"/>
      <c r="G5593" s="109"/>
    </row>
    <row r="5594" spans="3:7" x14ac:dyDescent="0.3">
      <c r="C5594" s="109"/>
      <c r="D5594" s="109"/>
      <c r="E5594" s="109"/>
      <c r="F5594" s="110"/>
      <c r="G5594" s="109"/>
    </row>
    <row r="5595" spans="3:7" x14ac:dyDescent="0.3">
      <c r="C5595" s="109"/>
      <c r="D5595" s="109"/>
      <c r="E5595" s="109"/>
      <c r="F5595" s="110"/>
      <c r="G5595" s="109"/>
    </row>
    <row r="5596" spans="3:7" x14ac:dyDescent="0.3">
      <c r="C5596" s="109"/>
      <c r="D5596" s="109"/>
      <c r="E5596" s="109"/>
      <c r="F5596" s="110"/>
      <c r="G5596" s="109"/>
    </row>
    <row r="5597" spans="3:7" x14ac:dyDescent="0.3">
      <c r="C5597" s="109"/>
      <c r="D5597" s="109"/>
      <c r="E5597" s="109"/>
      <c r="F5597" s="110"/>
      <c r="G5597" s="109"/>
    </row>
    <row r="5598" spans="3:7" x14ac:dyDescent="0.3">
      <c r="C5598" s="109"/>
      <c r="D5598" s="109"/>
      <c r="E5598" s="109"/>
      <c r="F5598" s="110"/>
      <c r="G5598" s="109"/>
    </row>
    <row r="5599" spans="3:7" x14ac:dyDescent="0.3">
      <c r="C5599" s="109"/>
      <c r="D5599" s="109"/>
      <c r="E5599" s="109"/>
      <c r="F5599" s="110"/>
      <c r="G5599" s="109"/>
    </row>
    <row r="5600" spans="3:7" x14ac:dyDescent="0.3">
      <c r="C5600" s="109"/>
      <c r="D5600" s="109"/>
      <c r="E5600" s="109"/>
      <c r="F5600" s="110"/>
      <c r="G5600" s="109"/>
    </row>
    <row r="5601" spans="3:7" x14ac:dyDescent="0.3">
      <c r="C5601" s="109"/>
      <c r="D5601" s="109"/>
      <c r="E5601" s="109"/>
      <c r="F5601" s="110"/>
      <c r="G5601" s="109"/>
    </row>
    <row r="5602" spans="3:7" x14ac:dyDescent="0.3">
      <c r="C5602" s="109"/>
      <c r="D5602" s="109"/>
      <c r="E5602" s="109"/>
      <c r="F5602" s="110"/>
      <c r="G5602" s="109"/>
    </row>
    <row r="5603" spans="3:7" x14ac:dyDescent="0.3">
      <c r="C5603" s="109"/>
      <c r="D5603" s="109"/>
      <c r="E5603" s="109"/>
      <c r="F5603" s="110"/>
      <c r="G5603" s="109"/>
    </row>
    <row r="5604" spans="3:7" x14ac:dyDescent="0.3">
      <c r="C5604" s="109"/>
      <c r="D5604" s="109"/>
      <c r="E5604" s="109"/>
      <c r="F5604" s="110"/>
      <c r="G5604" s="109"/>
    </row>
    <row r="5605" spans="3:7" x14ac:dyDescent="0.3">
      <c r="C5605" s="109"/>
      <c r="D5605" s="109"/>
      <c r="E5605" s="109"/>
      <c r="F5605" s="110"/>
      <c r="G5605" s="109"/>
    </row>
    <row r="5606" spans="3:7" x14ac:dyDescent="0.3">
      <c r="C5606" s="109"/>
      <c r="D5606" s="109"/>
      <c r="E5606" s="109"/>
      <c r="F5606" s="110"/>
      <c r="G5606" s="109"/>
    </row>
    <row r="5607" spans="3:7" x14ac:dyDescent="0.3">
      <c r="C5607" s="109"/>
      <c r="D5607" s="109"/>
      <c r="E5607" s="109"/>
      <c r="F5607" s="110"/>
      <c r="G5607" s="109"/>
    </row>
    <row r="5608" spans="3:7" x14ac:dyDescent="0.3">
      <c r="C5608" s="109"/>
      <c r="D5608" s="109"/>
      <c r="E5608" s="109"/>
      <c r="F5608" s="110"/>
      <c r="G5608" s="109"/>
    </row>
    <row r="5609" spans="3:7" x14ac:dyDescent="0.3">
      <c r="C5609" s="109"/>
      <c r="D5609" s="109"/>
      <c r="E5609" s="109"/>
      <c r="F5609" s="110"/>
      <c r="G5609" s="109"/>
    </row>
    <row r="5610" spans="3:7" x14ac:dyDescent="0.3">
      <c r="C5610" s="109"/>
      <c r="D5610" s="109"/>
      <c r="E5610" s="109"/>
      <c r="F5610" s="110"/>
      <c r="G5610" s="109"/>
    </row>
    <row r="5611" spans="3:7" x14ac:dyDescent="0.3">
      <c r="C5611" s="109"/>
      <c r="D5611" s="109"/>
      <c r="E5611" s="109"/>
      <c r="F5611" s="110"/>
      <c r="G5611" s="109"/>
    </row>
    <row r="5612" spans="3:7" x14ac:dyDescent="0.3">
      <c r="C5612" s="109"/>
      <c r="D5612" s="109"/>
      <c r="E5612" s="109"/>
      <c r="F5612" s="110"/>
      <c r="G5612" s="109"/>
    </row>
    <row r="5613" spans="3:7" x14ac:dyDescent="0.3">
      <c r="C5613" s="109"/>
      <c r="D5613" s="109"/>
      <c r="E5613" s="109"/>
      <c r="F5613" s="110"/>
      <c r="G5613" s="109"/>
    </row>
    <row r="5614" spans="3:7" x14ac:dyDescent="0.3">
      <c r="C5614" s="109"/>
      <c r="D5614" s="109"/>
      <c r="E5614" s="109"/>
      <c r="F5614" s="110"/>
      <c r="G5614" s="109"/>
    </row>
    <row r="5615" spans="3:7" x14ac:dyDescent="0.3">
      <c r="C5615" s="109"/>
      <c r="D5615" s="109"/>
      <c r="E5615" s="109"/>
      <c r="F5615" s="110"/>
      <c r="G5615" s="109"/>
    </row>
    <row r="5616" spans="3:7" x14ac:dyDescent="0.3">
      <c r="C5616" s="109"/>
      <c r="D5616" s="109"/>
      <c r="E5616" s="109"/>
      <c r="F5616" s="110"/>
      <c r="G5616" s="109"/>
    </row>
    <row r="5617" spans="3:7" x14ac:dyDescent="0.3">
      <c r="C5617" s="109"/>
      <c r="D5617" s="109"/>
      <c r="E5617" s="109"/>
      <c r="F5617" s="110"/>
      <c r="G5617" s="109"/>
    </row>
    <row r="5618" spans="3:7" x14ac:dyDescent="0.3">
      <c r="C5618" s="109"/>
      <c r="D5618" s="109"/>
      <c r="E5618" s="109"/>
      <c r="F5618" s="110"/>
      <c r="G5618" s="109"/>
    </row>
    <row r="5619" spans="3:7" x14ac:dyDescent="0.3">
      <c r="C5619" s="109"/>
      <c r="D5619" s="109"/>
      <c r="E5619" s="109"/>
      <c r="F5619" s="110"/>
      <c r="G5619" s="109"/>
    </row>
    <row r="5620" spans="3:7" x14ac:dyDescent="0.3">
      <c r="C5620" s="109"/>
      <c r="D5620" s="109"/>
      <c r="E5620" s="109"/>
      <c r="F5620" s="110"/>
      <c r="G5620" s="109"/>
    </row>
    <row r="5621" spans="3:7" x14ac:dyDescent="0.3">
      <c r="C5621" s="109"/>
      <c r="D5621" s="109"/>
      <c r="E5621" s="109"/>
      <c r="F5621" s="110"/>
      <c r="G5621" s="109"/>
    </row>
    <row r="5622" spans="3:7" x14ac:dyDescent="0.3">
      <c r="C5622" s="109"/>
      <c r="D5622" s="109"/>
      <c r="E5622" s="109"/>
      <c r="F5622" s="110"/>
      <c r="G5622" s="109"/>
    </row>
    <row r="5623" spans="3:7" x14ac:dyDescent="0.3">
      <c r="C5623" s="109"/>
      <c r="D5623" s="109"/>
      <c r="E5623" s="109"/>
      <c r="F5623" s="110"/>
      <c r="G5623" s="109"/>
    </row>
    <row r="5624" spans="3:7" x14ac:dyDescent="0.3">
      <c r="C5624" s="109"/>
      <c r="D5624" s="109"/>
      <c r="E5624" s="109"/>
      <c r="F5624" s="110"/>
      <c r="G5624" s="109"/>
    </row>
    <row r="5625" spans="3:7" x14ac:dyDescent="0.3">
      <c r="C5625" s="109"/>
      <c r="D5625" s="109"/>
      <c r="E5625" s="109"/>
      <c r="F5625" s="110"/>
      <c r="G5625" s="109"/>
    </row>
    <row r="5626" spans="3:7" x14ac:dyDescent="0.3">
      <c r="C5626" s="109"/>
      <c r="D5626" s="109"/>
      <c r="E5626" s="109"/>
      <c r="F5626" s="110"/>
      <c r="G5626" s="109"/>
    </row>
    <row r="5627" spans="3:7" x14ac:dyDescent="0.3">
      <c r="C5627" s="109"/>
      <c r="D5627" s="109"/>
      <c r="E5627" s="109"/>
      <c r="F5627" s="110"/>
      <c r="G5627" s="109"/>
    </row>
    <row r="5628" spans="3:7" x14ac:dyDescent="0.3">
      <c r="C5628" s="109"/>
      <c r="D5628" s="109"/>
      <c r="E5628" s="109"/>
      <c r="F5628" s="110"/>
      <c r="G5628" s="109"/>
    </row>
    <row r="5629" spans="3:7" x14ac:dyDescent="0.3">
      <c r="C5629" s="109"/>
      <c r="D5629" s="109"/>
      <c r="E5629" s="109"/>
      <c r="F5629" s="110"/>
      <c r="G5629" s="109"/>
    </row>
    <row r="5630" spans="3:7" x14ac:dyDescent="0.3">
      <c r="C5630" s="109"/>
      <c r="D5630" s="109"/>
      <c r="E5630" s="109"/>
      <c r="F5630" s="110"/>
      <c r="G5630" s="109"/>
    </row>
    <row r="5631" spans="3:7" x14ac:dyDescent="0.3">
      <c r="C5631" s="109"/>
      <c r="D5631" s="109"/>
      <c r="E5631" s="109"/>
      <c r="F5631" s="110"/>
      <c r="G5631" s="109"/>
    </row>
    <row r="5632" spans="3:7" x14ac:dyDescent="0.3">
      <c r="C5632" s="109"/>
      <c r="D5632" s="109"/>
      <c r="E5632" s="109"/>
      <c r="F5632" s="110"/>
      <c r="G5632" s="109"/>
    </row>
    <row r="5633" spans="3:7" x14ac:dyDescent="0.3">
      <c r="C5633" s="109"/>
      <c r="D5633" s="109"/>
      <c r="E5633" s="109"/>
      <c r="F5633" s="110"/>
      <c r="G5633" s="109"/>
    </row>
    <row r="5634" spans="3:7" x14ac:dyDescent="0.3">
      <c r="C5634" s="109"/>
      <c r="D5634" s="109"/>
      <c r="E5634" s="109"/>
      <c r="F5634" s="110"/>
      <c r="G5634" s="109"/>
    </row>
    <row r="5635" spans="3:7" x14ac:dyDescent="0.3">
      <c r="C5635" s="109"/>
      <c r="D5635" s="109"/>
      <c r="E5635" s="109"/>
      <c r="F5635" s="110"/>
      <c r="G5635" s="109"/>
    </row>
    <row r="5636" spans="3:7" x14ac:dyDescent="0.3">
      <c r="C5636" s="109"/>
      <c r="D5636" s="109"/>
      <c r="E5636" s="109"/>
      <c r="F5636" s="110"/>
      <c r="G5636" s="109"/>
    </row>
    <row r="5637" spans="3:7" x14ac:dyDescent="0.3">
      <c r="C5637" s="109"/>
      <c r="D5637" s="109"/>
      <c r="E5637" s="109"/>
      <c r="F5637" s="110"/>
      <c r="G5637" s="109"/>
    </row>
    <row r="5638" spans="3:7" x14ac:dyDescent="0.3">
      <c r="C5638" s="109"/>
      <c r="D5638" s="109"/>
      <c r="E5638" s="109"/>
      <c r="F5638" s="110"/>
      <c r="G5638" s="109"/>
    </row>
    <row r="5639" spans="3:7" x14ac:dyDescent="0.3">
      <c r="C5639" s="109"/>
      <c r="D5639" s="109"/>
      <c r="E5639" s="109"/>
      <c r="F5639" s="110"/>
      <c r="G5639" s="109"/>
    </row>
    <row r="5640" spans="3:7" x14ac:dyDescent="0.3">
      <c r="C5640" s="109"/>
      <c r="D5640" s="109"/>
      <c r="E5640" s="109"/>
      <c r="F5640" s="110"/>
      <c r="G5640" s="109"/>
    </row>
    <row r="5641" spans="3:7" x14ac:dyDescent="0.3">
      <c r="C5641" s="109"/>
      <c r="D5641" s="109"/>
      <c r="E5641" s="109"/>
      <c r="F5641" s="110"/>
      <c r="G5641" s="109"/>
    </row>
    <row r="5642" spans="3:7" x14ac:dyDescent="0.3">
      <c r="C5642" s="109"/>
      <c r="D5642" s="109"/>
      <c r="E5642" s="109"/>
      <c r="F5642" s="110"/>
      <c r="G5642" s="109"/>
    </row>
    <row r="5643" spans="3:7" x14ac:dyDescent="0.3">
      <c r="C5643" s="109"/>
      <c r="D5643" s="109"/>
      <c r="E5643" s="109"/>
      <c r="F5643" s="110"/>
      <c r="G5643" s="109"/>
    </row>
    <row r="5644" spans="3:7" x14ac:dyDescent="0.3">
      <c r="C5644" s="109"/>
      <c r="D5644" s="109"/>
      <c r="E5644" s="109"/>
      <c r="F5644" s="110"/>
      <c r="G5644" s="109"/>
    </row>
    <row r="5645" spans="3:7" x14ac:dyDescent="0.3">
      <c r="C5645" s="109"/>
      <c r="D5645" s="109"/>
      <c r="E5645" s="109"/>
      <c r="F5645" s="110"/>
      <c r="G5645" s="109"/>
    </row>
    <row r="5646" spans="3:7" x14ac:dyDescent="0.3">
      <c r="C5646" s="109"/>
      <c r="D5646" s="109"/>
      <c r="E5646" s="109"/>
      <c r="F5646" s="110"/>
      <c r="G5646" s="109"/>
    </row>
    <row r="5647" spans="3:7" x14ac:dyDescent="0.3">
      <c r="C5647" s="109"/>
      <c r="D5647" s="109"/>
      <c r="E5647" s="109"/>
      <c r="F5647" s="110"/>
      <c r="G5647" s="109"/>
    </row>
    <row r="5648" spans="3:7" x14ac:dyDescent="0.3">
      <c r="C5648" s="109"/>
      <c r="D5648" s="109"/>
      <c r="E5648" s="109"/>
      <c r="F5648" s="110"/>
      <c r="G5648" s="109"/>
    </row>
    <row r="5649" spans="3:7" x14ac:dyDescent="0.3">
      <c r="C5649" s="109"/>
      <c r="D5649" s="109"/>
      <c r="E5649" s="109"/>
      <c r="F5649" s="110"/>
      <c r="G5649" s="109"/>
    </row>
    <row r="5650" spans="3:7" x14ac:dyDescent="0.3">
      <c r="C5650" s="109"/>
      <c r="D5650" s="109"/>
      <c r="E5650" s="109"/>
      <c r="F5650" s="110"/>
      <c r="G5650" s="109"/>
    </row>
    <row r="5651" spans="3:7" x14ac:dyDescent="0.3">
      <c r="C5651" s="109"/>
      <c r="D5651" s="109"/>
      <c r="E5651" s="109"/>
      <c r="F5651" s="110"/>
      <c r="G5651" s="109"/>
    </row>
    <row r="5652" spans="3:7" x14ac:dyDescent="0.3">
      <c r="C5652" s="109"/>
      <c r="D5652" s="109"/>
      <c r="E5652" s="109"/>
      <c r="F5652" s="110"/>
      <c r="G5652" s="109"/>
    </row>
    <row r="5653" spans="3:7" x14ac:dyDescent="0.3">
      <c r="C5653" s="109"/>
      <c r="D5653" s="109"/>
      <c r="E5653" s="109"/>
      <c r="F5653" s="110"/>
      <c r="G5653" s="109"/>
    </row>
    <row r="5654" spans="3:7" x14ac:dyDescent="0.3">
      <c r="C5654" s="109"/>
      <c r="D5654" s="109"/>
      <c r="E5654" s="109"/>
      <c r="F5654" s="110"/>
      <c r="G5654" s="109"/>
    </row>
    <row r="5655" spans="3:7" x14ac:dyDescent="0.3">
      <c r="C5655" s="109"/>
      <c r="D5655" s="109"/>
      <c r="E5655" s="109"/>
      <c r="F5655" s="110"/>
      <c r="G5655" s="109"/>
    </row>
    <row r="5656" spans="3:7" x14ac:dyDescent="0.3">
      <c r="C5656" s="109"/>
      <c r="D5656" s="109"/>
      <c r="E5656" s="109"/>
      <c r="F5656" s="110"/>
      <c r="G5656" s="109"/>
    </row>
    <row r="5657" spans="3:7" x14ac:dyDescent="0.3">
      <c r="C5657" s="109"/>
      <c r="D5657" s="109"/>
      <c r="E5657" s="109"/>
      <c r="F5657" s="110"/>
      <c r="G5657" s="109"/>
    </row>
    <row r="5658" spans="3:7" x14ac:dyDescent="0.3">
      <c r="C5658" s="109"/>
      <c r="D5658" s="109"/>
      <c r="E5658" s="109"/>
      <c r="F5658" s="110"/>
      <c r="G5658" s="109"/>
    </row>
    <row r="5659" spans="3:7" x14ac:dyDescent="0.3">
      <c r="C5659" s="109"/>
      <c r="D5659" s="109"/>
      <c r="E5659" s="109"/>
      <c r="F5659" s="110"/>
      <c r="G5659" s="109"/>
    </row>
    <row r="5660" spans="3:7" x14ac:dyDescent="0.3">
      <c r="C5660" s="109"/>
      <c r="D5660" s="109"/>
      <c r="E5660" s="109"/>
      <c r="F5660" s="110"/>
      <c r="G5660" s="109"/>
    </row>
    <row r="5661" spans="3:7" x14ac:dyDescent="0.3">
      <c r="C5661" s="109"/>
      <c r="D5661" s="109"/>
      <c r="E5661" s="109"/>
      <c r="F5661" s="110"/>
      <c r="G5661" s="109"/>
    </row>
    <row r="5662" spans="3:7" x14ac:dyDescent="0.3">
      <c r="C5662" s="109"/>
      <c r="D5662" s="109"/>
      <c r="E5662" s="109"/>
      <c r="F5662" s="110"/>
      <c r="G5662" s="109"/>
    </row>
    <row r="5663" spans="3:7" x14ac:dyDescent="0.3">
      <c r="C5663" s="109"/>
      <c r="D5663" s="109"/>
      <c r="E5663" s="109"/>
      <c r="F5663" s="110"/>
      <c r="G5663" s="109"/>
    </row>
    <row r="5664" spans="3:7" x14ac:dyDescent="0.3">
      <c r="C5664" s="109"/>
      <c r="D5664" s="109"/>
      <c r="E5664" s="109"/>
      <c r="F5664" s="110"/>
      <c r="G5664" s="109"/>
    </row>
    <row r="5665" spans="3:7" x14ac:dyDescent="0.3">
      <c r="C5665" s="109"/>
      <c r="D5665" s="109"/>
      <c r="E5665" s="109"/>
      <c r="F5665" s="110"/>
      <c r="G5665" s="109"/>
    </row>
    <row r="5666" spans="3:7" x14ac:dyDescent="0.3">
      <c r="C5666" s="109"/>
      <c r="D5666" s="109"/>
      <c r="E5666" s="109"/>
      <c r="F5666" s="110"/>
      <c r="G5666" s="109"/>
    </row>
    <row r="5667" spans="3:7" x14ac:dyDescent="0.3">
      <c r="C5667" s="109"/>
      <c r="D5667" s="109"/>
      <c r="E5667" s="109"/>
      <c r="F5667" s="110"/>
      <c r="G5667" s="109"/>
    </row>
    <row r="5668" spans="3:7" x14ac:dyDescent="0.3">
      <c r="C5668" s="109"/>
      <c r="D5668" s="109"/>
      <c r="E5668" s="109"/>
      <c r="F5668" s="110"/>
      <c r="G5668" s="109"/>
    </row>
    <row r="5669" spans="3:7" x14ac:dyDescent="0.3">
      <c r="C5669" s="109"/>
      <c r="D5669" s="109"/>
      <c r="E5669" s="109"/>
      <c r="F5669" s="110"/>
      <c r="G5669" s="109"/>
    </row>
    <row r="5670" spans="3:7" x14ac:dyDescent="0.3">
      <c r="C5670" s="109"/>
      <c r="D5670" s="109"/>
      <c r="E5670" s="109"/>
      <c r="F5670" s="110"/>
      <c r="G5670" s="109"/>
    </row>
    <row r="5671" spans="3:7" x14ac:dyDescent="0.3">
      <c r="C5671" s="109"/>
      <c r="D5671" s="109"/>
      <c r="E5671" s="109"/>
      <c r="F5671" s="110"/>
      <c r="G5671" s="109"/>
    </row>
    <row r="5672" spans="3:7" x14ac:dyDescent="0.3">
      <c r="C5672" s="109"/>
      <c r="D5672" s="109"/>
      <c r="E5672" s="109"/>
      <c r="F5672" s="110"/>
      <c r="G5672" s="109"/>
    </row>
    <row r="5673" spans="3:7" x14ac:dyDescent="0.3">
      <c r="C5673" s="109"/>
      <c r="D5673" s="109"/>
      <c r="E5673" s="109"/>
      <c r="F5673" s="110"/>
      <c r="G5673" s="109"/>
    </row>
    <row r="5674" spans="3:7" x14ac:dyDescent="0.3">
      <c r="C5674" s="109"/>
      <c r="D5674" s="109"/>
      <c r="E5674" s="109"/>
      <c r="F5674" s="110"/>
      <c r="G5674" s="109"/>
    </row>
    <row r="5675" spans="3:7" x14ac:dyDescent="0.3">
      <c r="C5675" s="109"/>
      <c r="D5675" s="109"/>
      <c r="E5675" s="109"/>
      <c r="F5675" s="110"/>
      <c r="G5675" s="109"/>
    </row>
    <row r="5676" spans="3:7" x14ac:dyDescent="0.3">
      <c r="C5676" s="109"/>
      <c r="D5676" s="109"/>
      <c r="E5676" s="109"/>
      <c r="F5676" s="110"/>
      <c r="G5676" s="109"/>
    </row>
    <row r="5677" spans="3:7" x14ac:dyDescent="0.3">
      <c r="C5677" s="109"/>
      <c r="D5677" s="109"/>
      <c r="E5677" s="109"/>
      <c r="F5677" s="110"/>
      <c r="G5677" s="109"/>
    </row>
    <row r="5678" spans="3:7" x14ac:dyDescent="0.3">
      <c r="C5678" s="109"/>
      <c r="D5678" s="109"/>
      <c r="E5678" s="109"/>
      <c r="F5678" s="110"/>
      <c r="G5678" s="109"/>
    </row>
    <row r="5679" spans="3:7" x14ac:dyDescent="0.3">
      <c r="C5679" s="109"/>
      <c r="D5679" s="109"/>
      <c r="E5679" s="109"/>
      <c r="F5679" s="110"/>
      <c r="G5679" s="109"/>
    </row>
    <row r="5680" spans="3:7" x14ac:dyDescent="0.3">
      <c r="C5680" s="109"/>
      <c r="D5680" s="109"/>
      <c r="E5680" s="109"/>
      <c r="F5680" s="110"/>
      <c r="G5680" s="109"/>
    </row>
    <row r="5681" spans="3:7" x14ac:dyDescent="0.3">
      <c r="C5681" s="109"/>
      <c r="D5681" s="109"/>
      <c r="E5681" s="109"/>
      <c r="F5681" s="110"/>
      <c r="G5681" s="109"/>
    </row>
    <row r="5682" spans="3:7" x14ac:dyDescent="0.3">
      <c r="C5682" s="109"/>
      <c r="D5682" s="109"/>
      <c r="E5682" s="109"/>
      <c r="F5682" s="110"/>
      <c r="G5682" s="109"/>
    </row>
    <row r="5683" spans="3:7" x14ac:dyDescent="0.3">
      <c r="C5683" s="109"/>
      <c r="D5683" s="109"/>
      <c r="E5683" s="109"/>
      <c r="F5683" s="110"/>
      <c r="G5683" s="109"/>
    </row>
    <row r="5684" spans="3:7" x14ac:dyDescent="0.3">
      <c r="C5684" s="109"/>
      <c r="D5684" s="109"/>
      <c r="E5684" s="109"/>
      <c r="F5684" s="110"/>
      <c r="G5684" s="109"/>
    </row>
    <row r="5685" spans="3:7" x14ac:dyDescent="0.3">
      <c r="C5685" s="109"/>
      <c r="D5685" s="109"/>
      <c r="E5685" s="109"/>
      <c r="F5685" s="110"/>
      <c r="G5685" s="109"/>
    </row>
    <row r="5686" spans="3:7" x14ac:dyDescent="0.3">
      <c r="C5686" s="109"/>
      <c r="D5686" s="109"/>
      <c r="E5686" s="109"/>
      <c r="F5686" s="110"/>
      <c r="G5686" s="109"/>
    </row>
    <row r="5687" spans="3:7" x14ac:dyDescent="0.3">
      <c r="C5687" s="109"/>
      <c r="D5687" s="109"/>
      <c r="E5687" s="109"/>
      <c r="F5687" s="110"/>
      <c r="G5687" s="109"/>
    </row>
    <row r="5688" spans="3:7" x14ac:dyDescent="0.3">
      <c r="C5688" s="109"/>
      <c r="D5688" s="109"/>
      <c r="E5688" s="109"/>
      <c r="F5688" s="110"/>
      <c r="G5688" s="109"/>
    </row>
    <row r="5689" spans="3:7" x14ac:dyDescent="0.3">
      <c r="C5689" s="109"/>
      <c r="D5689" s="109"/>
      <c r="E5689" s="109"/>
      <c r="F5689" s="110"/>
      <c r="G5689" s="109"/>
    </row>
    <row r="5690" spans="3:7" x14ac:dyDescent="0.3">
      <c r="C5690" s="109"/>
      <c r="D5690" s="109"/>
      <c r="E5690" s="109"/>
      <c r="F5690" s="110"/>
      <c r="G5690" s="109"/>
    </row>
    <row r="5691" spans="3:7" x14ac:dyDescent="0.3">
      <c r="C5691" s="109"/>
      <c r="D5691" s="109"/>
      <c r="E5691" s="109"/>
      <c r="F5691" s="110"/>
      <c r="G5691" s="109"/>
    </row>
    <row r="5692" spans="3:7" x14ac:dyDescent="0.3">
      <c r="C5692" s="109"/>
      <c r="D5692" s="109"/>
      <c r="E5692" s="109"/>
      <c r="F5692" s="110"/>
      <c r="G5692" s="109"/>
    </row>
    <row r="5693" spans="3:7" x14ac:dyDescent="0.3">
      <c r="C5693" s="109"/>
      <c r="D5693" s="109"/>
      <c r="E5693" s="109"/>
      <c r="F5693" s="110"/>
      <c r="G5693" s="109"/>
    </row>
    <row r="5694" spans="3:7" x14ac:dyDescent="0.3">
      <c r="C5694" s="109"/>
      <c r="D5694" s="109"/>
      <c r="E5694" s="109"/>
      <c r="F5694" s="110"/>
      <c r="G5694" s="109"/>
    </row>
    <row r="5695" spans="3:7" x14ac:dyDescent="0.3">
      <c r="C5695" s="109"/>
      <c r="D5695" s="109"/>
      <c r="E5695" s="109"/>
      <c r="F5695" s="110"/>
      <c r="G5695" s="109"/>
    </row>
    <row r="5696" spans="3:7" x14ac:dyDescent="0.3">
      <c r="C5696" s="109"/>
      <c r="D5696" s="109"/>
      <c r="E5696" s="109"/>
      <c r="F5696" s="110"/>
      <c r="G5696" s="109"/>
    </row>
    <row r="5697" spans="3:7" x14ac:dyDescent="0.3">
      <c r="C5697" s="109"/>
      <c r="D5697" s="109"/>
      <c r="E5697" s="109"/>
      <c r="F5697" s="110"/>
      <c r="G5697" s="109"/>
    </row>
    <row r="5698" spans="3:7" x14ac:dyDescent="0.3">
      <c r="C5698" s="109"/>
      <c r="D5698" s="109"/>
      <c r="E5698" s="109"/>
      <c r="F5698" s="110"/>
      <c r="G5698" s="109"/>
    </row>
    <row r="5699" spans="3:7" x14ac:dyDescent="0.3">
      <c r="C5699" s="109"/>
      <c r="D5699" s="109"/>
      <c r="E5699" s="109"/>
      <c r="F5699" s="110"/>
      <c r="G5699" s="109"/>
    </row>
    <row r="5700" spans="3:7" x14ac:dyDescent="0.3">
      <c r="C5700" s="109"/>
      <c r="D5700" s="109"/>
      <c r="E5700" s="109"/>
      <c r="F5700" s="110"/>
      <c r="G5700" s="109"/>
    </row>
    <row r="5701" spans="3:7" x14ac:dyDescent="0.3">
      <c r="C5701" s="109"/>
      <c r="D5701" s="109"/>
      <c r="E5701" s="109"/>
      <c r="F5701" s="110"/>
      <c r="G5701" s="109"/>
    </row>
    <row r="5702" spans="3:7" x14ac:dyDescent="0.3">
      <c r="C5702" s="109"/>
      <c r="D5702" s="109"/>
      <c r="E5702" s="109"/>
      <c r="F5702" s="110"/>
      <c r="G5702" s="109"/>
    </row>
    <row r="5703" spans="3:7" x14ac:dyDescent="0.3">
      <c r="C5703" s="109"/>
      <c r="D5703" s="109"/>
      <c r="E5703" s="109"/>
      <c r="F5703" s="110"/>
      <c r="G5703" s="109"/>
    </row>
    <row r="5704" spans="3:7" x14ac:dyDescent="0.3">
      <c r="C5704" s="109"/>
      <c r="D5704" s="109"/>
      <c r="E5704" s="109"/>
      <c r="F5704" s="110"/>
      <c r="G5704" s="109"/>
    </row>
    <row r="5705" spans="3:7" x14ac:dyDescent="0.3">
      <c r="C5705" s="109"/>
      <c r="D5705" s="109"/>
      <c r="E5705" s="109"/>
      <c r="F5705" s="110"/>
      <c r="G5705" s="109"/>
    </row>
    <row r="5706" spans="3:7" x14ac:dyDescent="0.3">
      <c r="C5706" s="109"/>
      <c r="D5706" s="109"/>
      <c r="E5706" s="109"/>
      <c r="F5706" s="110"/>
      <c r="G5706" s="109"/>
    </row>
    <row r="5707" spans="3:7" x14ac:dyDescent="0.3">
      <c r="C5707" s="109"/>
      <c r="D5707" s="109"/>
      <c r="E5707" s="109"/>
      <c r="F5707" s="110"/>
      <c r="G5707" s="109"/>
    </row>
    <row r="5708" spans="3:7" x14ac:dyDescent="0.3">
      <c r="C5708" s="109"/>
      <c r="D5708" s="109"/>
      <c r="E5708" s="109"/>
      <c r="F5708" s="110"/>
      <c r="G5708" s="109"/>
    </row>
    <row r="5709" spans="3:7" x14ac:dyDescent="0.3">
      <c r="C5709" s="109"/>
      <c r="D5709" s="109"/>
      <c r="E5709" s="109"/>
      <c r="F5709" s="110"/>
      <c r="G5709" s="109"/>
    </row>
    <row r="5710" spans="3:7" x14ac:dyDescent="0.3">
      <c r="C5710" s="109"/>
      <c r="D5710" s="109"/>
      <c r="E5710" s="109"/>
      <c r="F5710" s="110"/>
      <c r="G5710" s="109"/>
    </row>
    <row r="5711" spans="3:7" x14ac:dyDescent="0.3">
      <c r="C5711" s="109"/>
      <c r="D5711" s="109"/>
      <c r="E5711" s="109"/>
      <c r="F5711" s="110"/>
      <c r="G5711" s="109"/>
    </row>
    <row r="5712" spans="3:7" x14ac:dyDescent="0.3">
      <c r="C5712" s="109"/>
      <c r="D5712" s="109"/>
      <c r="E5712" s="109"/>
      <c r="F5712" s="110"/>
      <c r="G5712" s="109"/>
    </row>
    <row r="5713" spans="3:7" x14ac:dyDescent="0.3">
      <c r="C5713" s="109"/>
      <c r="D5713" s="109"/>
      <c r="E5713" s="109"/>
      <c r="F5713" s="110"/>
      <c r="G5713" s="109"/>
    </row>
    <row r="5714" spans="3:7" x14ac:dyDescent="0.3">
      <c r="C5714" s="109"/>
      <c r="D5714" s="109"/>
      <c r="E5714" s="109"/>
      <c r="F5714" s="110"/>
      <c r="G5714" s="109"/>
    </row>
    <row r="5715" spans="3:7" x14ac:dyDescent="0.3">
      <c r="C5715" s="109"/>
      <c r="D5715" s="109"/>
      <c r="E5715" s="109"/>
      <c r="F5715" s="110"/>
      <c r="G5715" s="109"/>
    </row>
    <row r="5716" spans="3:7" x14ac:dyDescent="0.3">
      <c r="C5716" s="109"/>
      <c r="D5716" s="109"/>
      <c r="E5716" s="109"/>
      <c r="F5716" s="110"/>
      <c r="G5716" s="109"/>
    </row>
    <row r="5717" spans="3:7" x14ac:dyDescent="0.3">
      <c r="C5717" s="109"/>
      <c r="D5717" s="109"/>
      <c r="E5717" s="109"/>
      <c r="F5717" s="110"/>
      <c r="G5717" s="109"/>
    </row>
    <row r="5718" spans="3:7" x14ac:dyDescent="0.3">
      <c r="C5718" s="109"/>
      <c r="D5718" s="109"/>
      <c r="E5718" s="109"/>
      <c r="F5718" s="110"/>
      <c r="G5718" s="109"/>
    </row>
    <row r="5719" spans="3:7" x14ac:dyDescent="0.3">
      <c r="C5719" s="109"/>
      <c r="D5719" s="109"/>
      <c r="E5719" s="109"/>
      <c r="F5719" s="110"/>
      <c r="G5719" s="109"/>
    </row>
    <row r="5720" spans="3:7" x14ac:dyDescent="0.3">
      <c r="C5720" s="109"/>
      <c r="D5720" s="109"/>
      <c r="E5720" s="109"/>
      <c r="F5720" s="110"/>
      <c r="G5720" s="109"/>
    </row>
    <row r="5721" spans="3:7" x14ac:dyDescent="0.3">
      <c r="C5721" s="109"/>
      <c r="D5721" s="109"/>
      <c r="E5721" s="109"/>
      <c r="F5721" s="110"/>
      <c r="G5721" s="109"/>
    </row>
    <row r="5722" spans="3:7" x14ac:dyDescent="0.3">
      <c r="C5722" s="109"/>
      <c r="D5722" s="109"/>
      <c r="E5722" s="109"/>
      <c r="F5722" s="110"/>
      <c r="G5722" s="109"/>
    </row>
    <row r="5723" spans="3:7" x14ac:dyDescent="0.3">
      <c r="C5723" s="109"/>
      <c r="D5723" s="109"/>
      <c r="E5723" s="109"/>
      <c r="F5723" s="110"/>
      <c r="G5723" s="109"/>
    </row>
    <row r="5724" spans="3:7" x14ac:dyDescent="0.3">
      <c r="C5724" s="109"/>
      <c r="D5724" s="109"/>
      <c r="E5724" s="109"/>
      <c r="F5724" s="110"/>
      <c r="G5724" s="109"/>
    </row>
    <row r="5725" spans="3:7" x14ac:dyDescent="0.3">
      <c r="C5725" s="109"/>
      <c r="D5725" s="109"/>
      <c r="E5725" s="109"/>
      <c r="F5725" s="110"/>
      <c r="G5725" s="109"/>
    </row>
    <row r="5726" spans="3:7" x14ac:dyDescent="0.3">
      <c r="C5726" s="109"/>
      <c r="D5726" s="109"/>
      <c r="E5726" s="109"/>
      <c r="F5726" s="110"/>
      <c r="G5726" s="109"/>
    </row>
    <row r="5727" spans="3:7" x14ac:dyDescent="0.3">
      <c r="C5727" s="109"/>
      <c r="D5727" s="109"/>
      <c r="E5727" s="109"/>
      <c r="F5727" s="110"/>
      <c r="G5727" s="109"/>
    </row>
    <row r="5728" spans="3:7" x14ac:dyDescent="0.3">
      <c r="C5728" s="109"/>
      <c r="D5728" s="109"/>
      <c r="E5728" s="109"/>
      <c r="F5728" s="110"/>
      <c r="G5728" s="109"/>
    </row>
    <row r="5729" spans="3:7" x14ac:dyDescent="0.3">
      <c r="C5729" s="109"/>
      <c r="D5729" s="109"/>
      <c r="E5729" s="109"/>
      <c r="F5729" s="110"/>
      <c r="G5729" s="109"/>
    </row>
    <row r="5730" spans="3:7" x14ac:dyDescent="0.3">
      <c r="C5730" s="109"/>
      <c r="D5730" s="109"/>
      <c r="E5730" s="109"/>
      <c r="F5730" s="110"/>
      <c r="G5730" s="109"/>
    </row>
    <row r="5731" spans="3:7" x14ac:dyDescent="0.3">
      <c r="C5731" s="109"/>
      <c r="D5731" s="109"/>
      <c r="E5731" s="109"/>
      <c r="F5731" s="110"/>
      <c r="G5731" s="109"/>
    </row>
    <row r="5732" spans="3:7" x14ac:dyDescent="0.3">
      <c r="C5732" s="109"/>
      <c r="D5732" s="109"/>
      <c r="E5732" s="109"/>
      <c r="F5732" s="110"/>
      <c r="G5732" s="109"/>
    </row>
    <row r="5733" spans="3:7" x14ac:dyDescent="0.3">
      <c r="C5733" s="109"/>
      <c r="D5733" s="109"/>
      <c r="E5733" s="109"/>
      <c r="F5733" s="110"/>
      <c r="G5733" s="109"/>
    </row>
    <row r="5734" spans="3:7" x14ac:dyDescent="0.3">
      <c r="C5734" s="109"/>
      <c r="D5734" s="109"/>
      <c r="E5734" s="109"/>
      <c r="F5734" s="110"/>
      <c r="G5734" s="109"/>
    </row>
    <row r="5735" spans="3:7" x14ac:dyDescent="0.3">
      <c r="C5735" s="109"/>
      <c r="D5735" s="109"/>
      <c r="E5735" s="109"/>
      <c r="F5735" s="110"/>
      <c r="G5735" s="109"/>
    </row>
    <row r="5736" spans="3:7" x14ac:dyDescent="0.3">
      <c r="C5736" s="109"/>
      <c r="D5736" s="109"/>
      <c r="E5736" s="109"/>
      <c r="F5736" s="110"/>
      <c r="G5736" s="109"/>
    </row>
    <row r="5737" spans="3:7" x14ac:dyDescent="0.3">
      <c r="C5737" s="109"/>
      <c r="D5737" s="109"/>
      <c r="E5737" s="109"/>
      <c r="F5737" s="110"/>
      <c r="G5737" s="109"/>
    </row>
    <row r="5738" spans="3:7" x14ac:dyDescent="0.3">
      <c r="C5738" s="109"/>
      <c r="D5738" s="109"/>
      <c r="E5738" s="109"/>
      <c r="F5738" s="110"/>
      <c r="G5738" s="109"/>
    </row>
    <row r="5739" spans="3:7" x14ac:dyDescent="0.3">
      <c r="C5739" s="109"/>
      <c r="D5739" s="109"/>
      <c r="E5739" s="109"/>
      <c r="F5739" s="110"/>
      <c r="G5739" s="109"/>
    </row>
    <row r="5740" spans="3:7" x14ac:dyDescent="0.3">
      <c r="C5740" s="109"/>
      <c r="D5740" s="109"/>
      <c r="E5740" s="109"/>
      <c r="F5740" s="110"/>
      <c r="G5740" s="109"/>
    </row>
    <row r="5741" spans="3:7" x14ac:dyDescent="0.3">
      <c r="C5741" s="109"/>
      <c r="D5741" s="109"/>
      <c r="E5741" s="109"/>
      <c r="F5741" s="110"/>
      <c r="G5741" s="109"/>
    </row>
    <row r="5742" spans="3:7" x14ac:dyDescent="0.3">
      <c r="C5742" s="109"/>
      <c r="D5742" s="109"/>
      <c r="E5742" s="109"/>
      <c r="F5742" s="110"/>
      <c r="G5742" s="109"/>
    </row>
    <row r="5743" spans="3:7" x14ac:dyDescent="0.3">
      <c r="C5743" s="109"/>
      <c r="D5743" s="109"/>
      <c r="E5743" s="109"/>
      <c r="F5743" s="110"/>
      <c r="G5743" s="109"/>
    </row>
    <row r="5744" spans="3:7" x14ac:dyDescent="0.3">
      <c r="C5744" s="109"/>
      <c r="D5744" s="109"/>
      <c r="E5744" s="109"/>
      <c r="F5744" s="110"/>
      <c r="G5744" s="109"/>
    </row>
    <row r="5745" spans="3:7" x14ac:dyDescent="0.3">
      <c r="C5745" s="109"/>
      <c r="D5745" s="109"/>
      <c r="E5745" s="109"/>
      <c r="F5745" s="110"/>
      <c r="G5745" s="109"/>
    </row>
    <row r="5746" spans="3:7" x14ac:dyDescent="0.3">
      <c r="C5746" s="109"/>
      <c r="D5746" s="109"/>
      <c r="E5746" s="109"/>
      <c r="F5746" s="110"/>
      <c r="G5746" s="109"/>
    </row>
    <row r="5747" spans="3:7" x14ac:dyDescent="0.3">
      <c r="C5747" s="109"/>
      <c r="D5747" s="109"/>
      <c r="E5747" s="109"/>
      <c r="F5747" s="110"/>
      <c r="G5747" s="109"/>
    </row>
    <row r="5748" spans="3:7" x14ac:dyDescent="0.3">
      <c r="C5748" s="109"/>
      <c r="D5748" s="109"/>
      <c r="E5748" s="109"/>
      <c r="F5748" s="110"/>
      <c r="G5748" s="109"/>
    </row>
    <row r="5749" spans="3:7" x14ac:dyDescent="0.3">
      <c r="C5749" s="109"/>
      <c r="D5749" s="109"/>
      <c r="E5749" s="109"/>
      <c r="F5749" s="110"/>
      <c r="G5749" s="109"/>
    </row>
    <row r="5750" spans="3:7" x14ac:dyDescent="0.3">
      <c r="C5750" s="109"/>
      <c r="D5750" s="109"/>
      <c r="E5750" s="109"/>
      <c r="F5750" s="110"/>
      <c r="G5750" s="109"/>
    </row>
    <row r="5751" spans="3:7" x14ac:dyDescent="0.3">
      <c r="C5751" s="109"/>
      <c r="D5751" s="109"/>
      <c r="E5751" s="109"/>
      <c r="F5751" s="110"/>
      <c r="G5751" s="109"/>
    </row>
    <row r="5752" spans="3:7" x14ac:dyDescent="0.3">
      <c r="C5752" s="109"/>
      <c r="D5752" s="109"/>
      <c r="E5752" s="109"/>
      <c r="F5752" s="110"/>
      <c r="G5752" s="109"/>
    </row>
    <row r="5753" spans="3:7" x14ac:dyDescent="0.3">
      <c r="C5753" s="109"/>
      <c r="D5753" s="109"/>
      <c r="E5753" s="109"/>
      <c r="F5753" s="110"/>
      <c r="G5753" s="109"/>
    </row>
    <row r="5754" spans="3:7" x14ac:dyDescent="0.3">
      <c r="C5754" s="109"/>
      <c r="D5754" s="109"/>
      <c r="E5754" s="109"/>
      <c r="F5754" s="110"/>
      <c r="G5754" s="109"/>
    </row>
    <row r="5755" spans="3:7" x14ac:dyDescent="0.3">
      <c r="C5755" s="109"/>
      <c r="D5755" s="109"/>
      <c r="E5755" s="109"/>
      <c r="F5755" s="110"/>
      <c r="G5755" s="109"/>
    </row>
    <row r="5756" spans="3:7" x14ac:dyDescent="0.3">
      <c r="C5756" s="109"/>
      <c r="D5756" s="109"/>
      <c r="E5756" s="109"/>
      <c r="F5756" s="110"/>
      <c r="G5756" s="109"/>
    </row>
    <row r="5757" spans="3:7" x14ac:dyDescent="0.3">
      <c r="C5757" s="109"/>
      <c r="D5757" s="109"/>
      <c r="E5757" s="109"/>
      <c r="F5757" s="110"/>
      <c r="G5757" s="109"/>
    </row>
    <row r="5758" spans="3:7" x14ac:dyDescent="0.3">
      <c r="C5758" s="109"/>
      <c r="D5758" s="109"/>
      <c r="E5758" s="109"/>
      <c r="F5758" s="110"/>
      <c r="G5758" s="109"/>
    </row>
    <row r="5759" spans="3:7" x14ac:dyDescent="0.3">
      <c r="C5759" s="109"/>
      <c r="D5759" s="109"/>
      <c r="E5759" s="109"/>
      <c r="F5759" s="110"/>
      <c r="G5759" s="109"/>
    </row>
    <row r="5760" spans="3:7" x14ac:dyDescent="0.3">
      <c r="C5760" s="109"/>
      <c r="D5760" s="109"/>
      <c r="E5760" s="109"/>
      <c r="F5760" s="110"/>
      <c r="G5760" s="109"/>
    </row>
    <row r="5761" spans="3:7" x14ac:dyDescent="0.3">
      <c r="C5761" s="109"/>
      <c r="D5761" s="109"/>
      <c r="E5761" s="109"/>
      <c r="F5761" s="110"/>
      <c r="G5761" s="109"/>
    </row>
    <row r="5762" spans="3:7" x14ac:dyDescent="0.3">
      <c r="C5762" s="109"/>
      <c r="D5762" s="109"/>
      <c r="E5762" s="109"/>
      <c r="F5762" s="110"/>
      <c r="G5762" s="109"/>
    </row>
    <row r="5763" spans="3:7" x14ac:dyDescent="0.3">
      <c r="C5763" s="109"/>
      <c r="D5763" s="109"/>
      <c r="E5763" s="109"/>
      <c r="F5763" s="110"/>
      <c r="G5763" s="109"/>
    </row>
    <row r="5764" spans="3:7" x14ac:dyDescent="0.3">
      <c r="C5764" s="109"/>
      <c r="D5764" s="109"/>
      <c r="E5764" s="109"/>
      <c r="F5764" s="110"/>
      <c r="G5764" s="109"/>
    </row>
    <row r="5765" spans="3:7" x14ac:dyDescent="0.3">
      <c r="C5765" s="109"/>
      <c r="D5765" s="109"/>
      <c r="E5765" s="109"/>
      <c r="F5765" s="110"/>
      <c r="G5765" s="109"/>
    </row>
    <row r="5766" spans="3:7" x14ac:dyDescent="0.3">
      <c r="C5766" s="109"/>
      <c r="D5766" s="109"/>
      <c r="E5766" s="109"/>
      <c r="F5766" s="110"/>
      <c r="G5766" s="109"/>
    </row>
    <row r="5767" spans="3:7" x14ac:dyDescent="0.3">
      <c r="C5767" s="109"/>
      <c r="D5767" s="109"/>
      <c r="E5767" s="109"/>
      <c r="F5767" s="110"/>
      <c r="G5767" s="109"/>
    </row>
    <row r="5768" spans="3:7" x14ac:dyDescent="0.3">
      <c r="C5768" s="109"/>
      <c r="D5768" s="109"/>
      <c r="E5768" s="109"/>
      <c r="F5768" s="110"/>
      <c r="G5768" s="109"/>
    </row>
    <row r="5769" spans="3:7" x14ac:dyDescent="0.3">
      <c r="C5769" s="109"/>
      <c r="D5769" s="109"/>
      <c r="E5769" s="109"/>
      <c r="F5769" s="110"/>
      <c r="G5769" s="109"/>
    </row>
    <row r="5770" spans="3:7" x14ac:dyDescent="0.3">
      <c r="C5770" s="109"/>
      <c r="D5770" s="109"/>
      <c r="E5770" s="109"/>
      <c r="F5770" s="110"/>
      <c r="G5770" s="109"/>
    </row>
    <row r="5771" spans="3:7" x14ac:dyDescent="0.3">
      <c r="C5771" s="109"/>
      <c r="D5771" s="109"/>
      <c r="E5771" s="109"/>
      <c r="F5771" s="110"/>
      <c r="G5771" s="109"/>
    </row>
    <row r="5772" spans="3:7" x14ac:dyDescent="0.3">
      <c r="C5772" s="109"/>
      <c r="D5772" s="109"/>
      <c r="E5772" s="109"/>
      <c r="F5772" s="110"/>
      <c r="G5772" s="109"/>
    </row>
    <row r="5773" spans="3:7" x14ac:dyDescent="0.3">
      <c r="C5773" s="109"/>
      <c r="D5773" s="109"/>
      <c r="E5773" s="109"/>
      <c r="F5773" s="110"/>
      <c r="G5773" s="109"/>
    </row>
    <row r="5774" spans="3:7" x14ac:dyDescent="0.3">
      <c r="C5774" s="109"/>
      <c r="D5774" s="109"/>
      <c r="E5774" s="109"/>
      <c r="F5774" s="110"/>
      <c r="G5774" s="109"/>
    </row>
    <row r="5775" spans="3:7" x14ac:dyDescent="0.3">
      <c r="C5775" s="109"/>
      <c r="D5775" s="109"/>
      <c r="E5775" s="109"/>
      <c r="F5775" s="110"/>
      <c r="G5775" s="109"/>
    </row>
    <row r="5776" spans="3:7" x14ac:dyDescent="0.3">
      <c r="C5776" s="109"/>
      <c r="D5776" s="109"/>
      <c r="E5776" s="109"/>
      <c r="F5776" s="110"/>
      <c r="G5776" s="109"/>
    </row>
    <row r="5777" spans="3:7" x14ac:dyDescent="0.3">
      <c r="C5777" s="109"/>
      <c r="D5777" s="109"/>
      <c r="E5777" s="109"/>
      <c r="F5777" s="110"/>
      <c r="G5777" s="109"/>
    </row>
    <row r="5778" spans="3:7" x14ac:dyDescent="0.3">
      <c r="C5778" s="109"/>
      <c r="D5778" s="109"/>
      <c r="E5778" s="109"/>
      <c r="F5778" s="110"/>
      <c r="G5778" s="109"/>
    </row>
    <row r="5779" spans="3:7" x14ac:dyDescent="0.3">
      <c r="C5779" s="109"/>
      <c r="D5779" s="109"/>
      <c r="E5779" s="109"/>
      <c r="F5779" s="110"/>
      <c r="G5779" s="109"/>
    </row>
    <row r="5780" spans="3:7" x14ac:dyDescent="0.3">
      <c r="C5780" s="109"/>
      <c r="D5780" s="109"/>
      <c r="E5780" s="109"/>
      <c r="F5780" s="110"/>
      <c r="G5780" s="109"/>
    </row>
    <row r="5781" spans="3:7" x14ac:dyDescent="0.3">
      <c r="C5781" s="109"/>
      <c r="D5781" s="109"/>
      <c r="E5781" s="109"/>
      <c r="F5781" s="110"/>
      <c r="G5781" s="109"/>
    </row>
    <row r="5782" spans="3:7" x14ac:dyDescent="0.3">
      <c r="C5782" s="109"/>
      <c r="D5782" s="109"/>
      <c r="E5782" s="109"/>
      <c r="F5782" s="110"/>
      <c r="G5782" s="109"/>
    </row>
    <row r="5783" spans="3:7" x14ac:dyDescent="0.3">
      <c r="C5783" s="109"/>
      <c r="D5783" s="109"/>
      <c r="E5783" s="109"/>
      <c r="F5783" s="110"/>
      <c r="G5783" s="109"/>
    </row>
    <row r="5784" spans="3:7" x14ac:dyDescent="0.3">
      <c r="C5784" s="109"/>
      <c r="D5784" s="109"/>
      <c r="E5784" s="109"/>
      <c r="F5784" s="110"/>
      <c r="G5784" s="109"/>
    </row>
    <row r="5785" spans="3:7" x14ac:dyDescent="0.3">
      <c r="C5785" s="109"/>
      <c r="D5785" s="109"/>
      <c r="E5785" s="109"/>
      <c r="F5785" s="110"/>
      <c r="G5785" s="109"/>
    </row>
    <row r="5786" spans="3:7" x14ac:dyDescent="0.3">
      <c r="C5786" s="109"/>
      <c r="D5786" s="109"/>
      <c r="E5786" s="109"/>
      <c r="F5786" s="110"/>
      <c r="G5786" s="109"/>
    </row>
    <row r="5787" spans="3:7" x14ac:dyDescent="0.3">
      <c r="C5787" s="109"/>
      <c r="D5787" s="109"/>
      <c r="E5787" s="109"/>
      <c r="F5787" s="110"/>
      <c r="G5787" s="109"/>
    </row>
    <row r="5788" spans="3:7" x14ac:dyDescent="0.3">
      <c r="C5788" s="109"/>
      <c r="D5788" s="109"/>
      <c r="E5788" s="109"/>
      <c r="F5788" s="110"/>
      <c r="G5788" s="109"/>
    </row>
    <row r="5789" spans="3:7" x14ac:dyDescent="0.3">
      <c r="C5789" s="109"/>
      <c r="D5789" s="109"/>
      <c r="E5789" s="109"/>
      <c r="F5789" s="110"/>
      <c r="G5789" s="109"/>
    </row>
    <row r="5790" spans="3:7" x14ac:dyDescent="0.3">
      <c r="C5790" s="109"/>
      <c r="D5790" s="109"/>
      <c r="E5790" s="109"/>
      <c r="F5790" s="110"/>
      <c r="G5790" s="109"/>
    </row>
    <row r="5791" spans="3:7" x14ac:dyDescent="0.3">
      <c r="C5791" s="109"/>
      <c r="D5791" s="109"/>
      <c r="E5791" s="109"/>
      <c r="F5791" s="110"/>
      <c r="G5791" s="109"/>
    </row>
    <row r="5792" spans="3:7" x14ac:dyDescent="0.3">
      <c r="C5792" s="109"/>
      <c r="D5792" s="109"/>
      <c r="E5792" s="109"/>
      <c r="F5792" s="110"/>
      <c r="G5792" s="109"/>
    </row>
    <row r="5793" spans="3:7" x14ac:dyDescent="0.3">
      <c r="C5793" s="109"/>
      <c r="D5793" s="109"/>
      <c r="E5793" s="109"/>
      <c r="F5793" s="110"/>
      <c r="G5793" s="109"/>
    </row>
    <row r="5794" spans="3:7" x14ac:dyDescent="0.3">
      <c r="C5794" s="109"/>
      <c r="D5794" s="109"/>
      <c r="E5794" s="109"/>
      <c r="F5794" s="110"/>
      <c r="G5794" s="109"/>
    </row>
    <row r="5795" spans="3:7" x14ac:dyDescent="0.3">
      <c r="C5795" s="109"/>
      <c r="D5795" s="109"/>
      <c r="E5795" s="109"/>
      <c r="F5795" s="110"/>
      <c r="G5795" s="109"/>
    </row>
    <row r="5796" spans="3:7" x14ac:dyDescent="0.3">
      <c r="C5796" s="109"/>
      <c r="D5796" s="109"/>
      <c r="E5796" s="109"/>
      <c r="F5796" s="110"/>
      <c r="G5796" s="109"/>
    </row>
    <row r="5797" spans="3:7" x14ac:dyDescent="0.3">
      <c r="C5797" s="109"/>
      <c r="D5797" s="109"/>
      <c r="E5797" s="109"/>
      <c r="F5797" s="110"/>
      <c r="G5797" s="109"/>
    </row>
    <row r="5798" spans="3:7" x14ac:dyDescent="0.3">
      <c r="C5798" s="109"/>
      <c r="D5798" s="109"/>
      <c r="E5798" s="109"/>
      <c r="F5798" s="110"/>
      <c r="G5798" s="109"/>
    </row>
    <row r="5799" spans="3:7" x14ac:dyDescent="0.3">
      <c r="C5799" s="109"/>
      <c r="D5799" s="109"/>
      <c r="E5799" s="109"/>
      <c r="F5799" s="110"/>
      <c r="G5799" s="109"/>
    </row>
    <row r="5800" spans="3:7" x14ac:dyDescent="0.3">
      <c r="C5800" s="109"/>
      <c r="D5800" s="109"/>
      <c r="E5800" s="109"/>
      <c r="F5800" s="110"/>
      <c r="G5800" s="109"/>
    </row>
    <row r="5801" spans="3:7" x14ac:dyDescent="0.3">
      <c r="C5801" s="109"/>
      <c r="D5801" s="109"/>
      <c r="E5801" s="109"/>
      <c r="F5801" s="110"/>
      <c r="G5801" s="109"/>
    </row>
    <row r="5802" spans="3:7" x14ac:dyDescent="0.3">
      <c r="C5802" s="109"/>
      <c r="D5802" s="109"/>
      <c r="E5802" s="109"/>
      <c r="F5802" s="110"/>
      <c r="G5802" s="109"/>
    </row>
    <row r="5803" spans="3:7" x14ac:dyDescent="0.3">
      <c r="C5803" s="109"/>
      <c r="D5803" s="109"/>
      <c r="E5803" s="109"/>
      <c r="F5803" s="110"/>
      <c r="G5803" s="109"/>
    </row>
    <row r="5804" spans="3:7" x14ac:dyDescent="0.3">
      <c r="C5804" s="109"/>
      <c r="D5804" s="109"/>
      <c r="E5804" s="109"/>
      <c r="F5804" s="110"/>
      <c r="G5804" s="109"/>
    </row>
    <row r="5805" spans="3:7" x14ac:dyDescent="0.3">
      <c r="C5805" s="109"/>
      <c r="D5805" s="109"/>
      <c r="E5805" s="109"/>
      <c r="F5805" s="110"/>
      <c r="G5805" s="109"/>
    </row>
    <row r="5806" spans="3:7" x14ac:dyDescent="0.3">
      <c r="C5806" s="109"/>
      <c r="D5806" s="109"/>
      <c r="E5806" s="109"/>
      <c r="F5806" s="110"/>
      <c r="G5806" s="109"/>
    </row>
    <row r="5807" spans="3:7" x14ac:dyDescent="0.3">
      <c r="C5807" s="109"/>
      <c r="D5807" s="109"/>
      <c r="E5807" s="109"/>
      <c r="F5807" s="110"/>
      <c r="G5807" s="109"/>
    </row>
    <row r="5808" spans="3:7" x14ac:dyDescent="0.3">
      <c r="C5808" s="109"/>
      <c r="D5808" s="109"/>
      <c r="E5808" s="109"/>
      <c r="F5808" s="110"/>
      <c r="G5808" s="109"/>
    </row>
    <row r="5809" spans="3:7" x14ac:dyDescent="0.3">
      <c r="C5809" s="109"/>
      <c r="D5809" s="109"/>
      <c r="E5809" s="109"/>
      <c r="F5809" s="110"/>
      <c r="G5809" s="109"/>
    </row>
    <row r="5810" spans="3:7" x14ac:dyDescent="0.3">
      <c r="C5810" s="109"/>
      <c r="D5810" s="109"/>
      <c r="E5810" s="109"/>
      <c r="F5810" s="110"/>
      <c r="G5810" s="109"/>
    </row>
    <row r="5811" spans="3:7" x14ac:dyDescent="0.3">
      <c r="C5811" s="109"/>
      <c r="D5811" s="109"/>
      <c r="E5811" s="109"/>
      <c r="F5811" s="110"/>
      <c r="G5811" s="109"/>
    </row>
    <row r="5812" spans="3:7" x14ac:dyDescent="0.3">
      <c r="C5812" s="109"/>
      <c r="D5812" s="109"/>
      <c r="E5812" s="109"/>
      <c r="F5812" s="110"/>
      <c r="G5812" s="109"/>
    </row>
    <row r="5813" spans="3:7" x14ac:dyDescent="0.3">
      <c r="C5813" s="109"/>
      <c r="D5813" s="109"/>
      <c r="E5813" s="109"/>
      <c r="F5813" s="110"/>
      <c r="G5813" s="109"/>
    </row>
    <row r="5814" spans="3:7" x14ac:dyDescent="0.3">
      <c r="C5814" s="109"/>
      <c r="D5814" s="109"/>
      <c r="E5814" s="109"/>
      <c r="F5814" s="110"/>
      <c r="G5814" s="109"/>
    </row>
    <row r="5815" spans="3:7" x14ac:dyDescent="0.3">
      <c r="C5815" s="109"/>
      <c r="D5815" s="109"/>
      <c r="E5815" s="109"/>
      <c r="F5815" s="110"/>
      <c r="G5815" s="109"/>
    </row>
    <row r="5816" spans="3:7" x14ac:dyDescent="0.3">
      <c r="C5816" s="109"/>
      <c r="D5816" s="109"/>
      <c r="E5816" s="109"/>
      <c r="F5816" s="110"/>
      <c r="G5816" s="109"/>
    </row>
    <row r="5817" spans="3:7" x14ac:dyDescent="0.3">
      <c r="C5817" s="109"/>
      <c r="D5817" s="109"/>
      <c r="E5817" s="109"/>
      <c r="F5817" s="110"/>
      <c r="G5817" s="109"/>
    </row>
    <row r="5818" spans="3:7" x14ac:dyDescent="0.3">
      <c r="C5818" s="109"/>
      <c r="D5818" s="109"/>
      <c r="E5818" s="109"/>
      <c r="F5818" s="110"/>
      <c r="G5818" s="109"/>
    </row>
    <row r="5819" spans="3:7" x14ac:dyDescent="0.3">
      <c r="C5819" s="109"/>
      <c r="D5819" s="109"/>
      <c r="E5819" s="109"/>
      <c r="F5819" s="110"/>
      <c r="G5819" s="109"/>
    </row>
    <row r="5820" spans="3:7" x14ac:dyDescent="0.3">
      <c r="C5820" s="109"/>
      <c r="D5820" s="109"/>
      <c r="E5820" s="109"/>
      <c r="F5820" s="110"/>
      <c r="G5820" s="109"/>
    </row>
    <row r="5821" spans="3:7" x14ac:dyDescent="0.3">
      <c r="C5821" s="109"/>
      <c r="D5821" s="109"/>
      <c r="E5821" s="109"/>
      <c r="F5821" s="110"/>
      <c r="G5821" s="109"/>
    </row>
    <row r="5822" spans="3:7" x14ac:dyDescent="0.3">
      <c r="C5822" s="109"/>
      <c r="D5822" s="109"/>
      <c r="E5822" s="109"/>
      <c r="F5822" s="110"/>
      <c r="G5822" s="109"/>
    </row>
    <row r="5823" spans="3:7" x14ac:dyDescent="0.3">
      <c r="C5823" s="109"/>
      <c r="D5823" s="109"/>
      <c r="E5823" s="109"/>
      <c r="F5823" s="110"/>
      <c r="G5823" s="109"/>
    </row>
    <row r="5824" spans="3:7" x14ac:dyDescent="0.3">
      <c r="C5824" s="109"/>
      <c r="D5824" s="109"/>
      <c r="E5824" s="109"/>
      <c r="F5824" s="110"/>
      <c r="G5824" s="109"/>
    </row>
    <row r="5825" spans="3:7" x14ac:dyDescent="0.3">
      <c r="C5825" s="109"/>
      <c r="D5825" s="109"/>
      <c r="E5825" s="109"/>
      <c r="F5825" s="110"/>
      <c r="G5825" s="109"/>
    </row>
    <row r="5826" spans="3:7" x14ac:dyDescent="0.3">
      <c r="C5826" s="109"/>
      <c r="D5826" s="109"/>
      <c r="E5826" s="109"/>
      <c r="F5826" s="110"/>
      <c r="G5826" s="109"/>
    </row>
    <row r="5827" spans="3:7" x14ac:dyDescent="0.3">
      <c r="C5827" s="109"/>
      <c r="D5827" s="109"/>
      <c r="E5827" s="109"/>
      <c r="F5827" s="110"/>
      <c r="G5827" s="109"/>
    </row>
    <row r="5828" spans="3:7" x14ac:dyDescent="0.3">
      <c r="C5828" s="109"/>
      <c r="D5828" s="109"/>
      <c r="E5828" s="109"/>
      <c r="F5828" s="110"/>
      <c r="G5828" s="109"/>
    </row>
    <row r="5829" spans="3:7" x14ac:dyDescent="0.3">
      <c r="C5829" s="109"/>
      <c r="D5829" s="109"/>
      <c r="E5829" s="109"/>
      <c r="F5829" s="110"/>
      <c r="G5829" s="109"/>
    </row>
    <row r="5830" spans="3:7" x14ac:dyDescent="0.3">
      <c r="C5830" s="109"/>
      <c r="D5830" s="109"/>
      <c r="E5830" s="109"/>
      <c r="F5830" s="110"/>
      <c r="G5830" s="109"/>
    </row>
    <row r="5831" spans="3:7" x14ac:dyDescent="0.3">
      <c r="C5831" s="109"/>
      <c r="D5831" s="109"/>
      <c r="E5831" s="109"/>
      <c r="F5831" s="110"/>
      <c r="G5831" s="109"/>
    </row>
    <row r="5832" spans="3:7" x14ac:dyDescent="0.3">
      <c r="C5832" s="109"/>
      <c r="D5832" s="109"/>
      <c r="E5832" s="109"/>
      <c r="F5832" s="110"/>
      <c r="G5832" s="109"/>
    </row>
    <row r="5833" spans="3:7" x14ac:dyDescent="0.3">
      <c r="C5833" s="109"/>
      <c r="D5833" s="109"/>
      <c r="E5833" s="109"/>
      <c r="F5833" s="110"/>
      <c r="G5833" s="109"/>
    </row>
    <row r="5834" spans="3:7" x14ac:dyDescent="0.3">
      <c r="C5834" s="109"/>
      <c r="D5834" s="109"/>
      <c r="E5834" s="109"/>
      <c r="F5834" s="110"/>
      <c r="G5834" s="109"/>
    </row>
    <row r="5835" spans="3:7" x14ac:dyDescent="0.3">
      <c r="C5835" s="109"/>
      <c r="D5835" s="109"/>
      <c r="E5835" s="109"/>
      <c r="F5835" s="110"/>
      <c r="G5835" s="109"/>
    </row>
    <row r="5836" spans="3:7" x14ac:dyDescent="0.3">
      <c r="C5836" s="109"/>
      <c r="D5836" s="109"/>
      <c r="E5836" s="109"/>
      <c r="F5836" s="110"/>
      <c r="G5836" s="109"/>
    </row>
    <row r="5837" spans="3:7" x14ac:dyDescent="0.3">
      <c r="C5837" s="109"/>
      <c r="D5837" s="109"/>
      <c r="E5837" s="109"/>
      <c r="F5837" s="110"/>
      <c r="G5837" s="109"/>
    </row>
    <row r="5838" spans="3:7" x14ac:dyDescent="0.3">
      <c r="C5838" s="109"/>
      <c r="D5838" s="109"/>
      <c r="E5838" s="109"/>
      <c r="F5838" s="110"/>
      <c r="G5838" s="109"/>
    </row>
    <row r="5839" spans="3:7" x14ac:dyDescent="0.3">
      <c r="C5839" s="109"/>
      <c r="D5839" s="109"/>
      <c r="E5839" s="109"/>
      <c r="F5839" s="110"/>
      <c r="G5839" s="109"/>
    </row>
    <row r="5840" spans="3:7" x14ac:dyDescent="0.3">
      <c r="C5840" s="109"/>
      <c r="D5840" s="109"/>
      <c r="E5840" s="109"/>
      <c r="F5840" s="110"/>
      <c r="G5840" s="109"/>
    </row>
    <row r="5841" spans="3:7" x14ac:dyDescent="0.3">
      <c r="C5841" s="109"/>
      <c r="D5841" s="109"/>
      <c r="E5841" s="109"/>
      <c r="F5841" s="110"/>
      <c r="G5841" s="109"/>
    </row>
    <row r="5842" spans="3:7" x14ac:dyDescent="0.3">
      <c r="C5842" s="109"/>
      <c r="D5842" s="109"/>
      <c r="E5842" s="109"/>
      <c r="F5842" s="110"/>
      <c r="G5842" s="109"/>
    </row>
    <row r="5843" spans="3:7" x14ac:dyDescent="0.3">
      <c r="C5843" s="109"/>
      <c r="D5843" s="109"/>
      <c r="E5843" s="109"/>
      <c r="F5843" s="110"/>
      <c r="G5843" s="109"/>
    </row>
    <row r="5844" spans="3:7" x14ac:dyDescent="0.3">
      <c r="C5844" s="109"/>
      <c r="D5844" s="109"/>
      <c r="E5844" s="109"/>
      <c r="F5844" s="110"/>
      <c r="G5844" s="109"/>
    </row>
    <row r="5845" spans="3:7" x14ac:dyDescent="0.3">
      <c r="C5845" s="109"/>
      <c r="D5845" s="109"/>
      <c r="E5845" s="109"/>
      <c r="F5845" s="110"/>
      <c r="G5845" s="109"/>
    </row>
    <row r="5846" spans="3:7" x14ac:dyDescent="0.3">
      <c r="C5846" s="109"/>
      <c r="D5846" s="109"/>
      <c r="E5846" s="109"/>
      <c r="F5846" s="110"/>
      <c r="G5846" s="109"/>
    </row>
    <row r="5847" spans="3:7" x14ac:dyDescent="0.3">
      <c r="C5847" s="109"/>
      <c r="D5847" s="109"/>
      <c r="E5847" s="109"/>
      <c r="F5847" s="110"/>
      <c r="G5847" s="109"/>
    </row>
    <row r="5848" spans="3:7" x14ac:dyDescent="0.3">
      <c r="C5848" s="109"/>
      <c r="D5848" s="109"/>
      <c r="E5848" s="109"/>
      <c r="F5848" s="110"/>
      <c r="G5848" s="109"/>
    </row>
    <row r="5849" spans="3:7" x14ac:dyDescent="0.3">
      <c r="C5849" s="109"/>
      <c r="D5849" s="109"/>
      <c r="E5849" s="109"/>
      <c r="F5849" s="110"/>
      <c r="G5849" s="109"/>
    </row>
    <row r="5850" spans="3:7" x14ac:dyDescent="0.3">
      <c r="C5850" s="109"/>
      <c r="D5850" s="109"/>
      <c r="E5850" s="109"/>
      <c r="F5850" s="110"/>
      <c r="G5850" s="109"/>
    </row>
    <row r="5851" spans="3:7" x14ac:dyDescent="0.3">
      <c r="C5851" s="109"/>
      <c r="D5851" s="109"/>
      <c r="E5851" s="109"/>
      <c r="F5851" s="110"/>
      <c r="G5851" s="109"/>
    </row>
    <row r="5852" spans="3:7" x14ac:dyDescent="0.3">
      <c r="C5852" s="109"/>
      <c r="D5852" s="109"/>
      <c r="E5852" s="109"/>
      <c r="F5852" s="110"/>
      <c r="G5852" s="109"/>
    </row>
    <row r="5853" spans="3:7" x14ac:dyDescent="0.3">
      <c r="C5853" s="109"/>
      <c r="D5853" s="109"/>
      <c r="E5853" s="109"/>
      <c r="F5853" s="110"/>
      <c r="G5853" s="109"/>
    </row>
    <row r="5854" spans="3:7" x14ac:dyDescent="0.3">
      <c r="C5854" s="109"/>
      <c r="D5854" s="109"/>
      <c r="E5854" s="109"/>
      <c r="F5854" s="110"/>
      <c r="G5854" s="109"/>
    </row>
    <row r="5855" spans="3:7" x14ac:dyDescent="0.3">
      <c r="C5855" s="109"/>
      <c r="D5855" s="109"/>
      <c r="E5855" s="109"/>
      <c r="F5855" s="110"/>
      <c r="G5855" s="109"/>
    </row>
    <row r="5856" spans="3:7" x14ac:dyDescent="0.3">
      <c r="C5856" s="109"/>
      <c r="D5856" s="109"/>
      <c r="E5856" s="109"/>
      <c r="F5856" s="110"/>
      <c r="G5856" s="109"/>
    </row>
    <row r="5857" spans="3:7" x14ac:dyDescent="0.3">
      <c r="C5857" s="109"/>
      <c r="D5857" s="109"/>
      <c r="E5857" s="109"/>
      <c r="F5857" s="110"/>
      <c r="G5857" s="109"/>
    </row>
    <row r="5858" spans="3:7" x14ac:dyDescent="0.3">
      <c r="C5858" s="109"/>
      <c r="D5858" s="109"/>
      <c r="E5858" s="109"/>
      <c r="F5858" s="110"/>
      <c r="G5858" s="109"/>
    </row>
    <row r="5859" spans="3:7" x14ac:dyDescent="0.3">
      <c r="C5859" s="109"/>
      <c r="D5859" s="109"/>
      <c r="E5859" s="109"/>
      <c r="F5859" s="110"/>
      <c r="G5859" s="109"/>
    </row>
    <row r="5860" spans="3:7" x14ac:dyDescent="0.3">
      <c r="C5860" s="109"/>
      <c r="D5860" s="109"/>
      <c r="E5860" s="109"/>
      <c r="F5860" s="110"/>
      <c r="G5860" s="109"/>
    </row>
    <row r="5861" spans="3:7" x14ac:dyDescent="0.3">
      <c r="C5861" s="109"/>
      <c r="D5861" s="109"/>
      <c r="E5861" s="109"/>
      <c r="F5861" s="110"/>
      <c r="G5861" s="109"/>
    </row>
    <row r="5862" spans="3:7" x14ac:dyDescent="0.3">
      <c r="C5862" s="109"/>
      <c r="D5862" s="109"/>
      <c r="E5862" s="109"/>
      <c r="F5862" s="110"/>
      <c r="G5862" s="109"/>
    </row>
    <row r="5863" spans="3:7" x14ac:dyDescent="0.3">
      <c r="C5863" s="109"/>
      <c r="D5863" s="109"/>
      <c r="E5863" s="109"/>
      <c r="F5863" s="110"/>
      <c r="G5863" s="109"/>
    </row>
    <row r="5864" spans="3:7" x14ac:dyDescent="0.3">
      <c r="C5864" s="109"/>
      <c r="D5864" s="109"/>
      <c r="E5864" s="109"/>
      <c r="F5864" s="110"/>
      <c r="G5864" s="109"/>
    </row>
    <row r="5865" spans="3:7" x14ac:dyDescent="0.3">
      <c r="C5865" s="109"/>
      <c r="D5865" s="109"/>
      <c r="E5865" s="109"/>
      <c r="F5865" s="110"/>
      <c r="G5865" s="109"/>
    </row>
    <row r="5866" spans="3:7" x14ac:dyDescent="0.3">
      <c r="C5866" s="109"/>
      <c r="D5866" s="109"/>
      <c r="E5866" s="109"/>
      <c r="F5866" s="110"/>
      <c r="G5866" s="109"/>
    </row>
    <row r="5867" spans="3:7" x14ac:dyDescent="0.3">
      <c r="C5867" s="109"/>
      <c r="D5867" s="109"/>
      <c r="E5867" s="109"/>
      <c r="F5867" s="110"/>
      <c r="G5867" s="109"/>
    </row>
    <row r="5868" spans="3:7" x14ac:dyDescent="0.3">
      <c r="C5868" s="109"/>
      <c r="D5868" s="109"/>
      <c r="E5868" s="109"/>
      <c r="F5868" s="110"/>
      <c r="G5868" s="109"/>
    </row>
    <row r="5869" spans="3:7" x14ac:dyDescent="0.3">
      <c r="C5869" s="109"/>
      <c r="D5869" s="109"/>
      <c r="E5869" s="109"/>
      <c r="F5869" s="110"/>
      <c r="G5869" s="109"/>
    </row>
    <row r="5870" spans="3:7" x14ac:dyDescent="0.3">
      <c r="C5870" s="109"/>
      <c r="D5870" s="109"/>
      <c r="E5870" s="109"/>
      <c r="F5870" s="110"/>
      <c r="G5870" s="109"/>
    </row>
    <row r="5871" spans="3:7" x14ac:dyDescent="0.3">
      <c r="C5871" s="109"/>
      <c r="D5871" s="109"/>
      <c r="E5871" s="109"/>
      <c r="F5871" s="110"/>
      <c r="G5871" s="109"/>
    </row>
    <row r="5872" spans="3:7" x14ac:dyDescent="0.3">
      <c r="C5872" s="109"/>
      <c r="D5872" s="109"/>
      <c r="E5872" s="109"/>
      <c r="F5872" s="110"/>
      <c r="G5872" s="109"/>
    </row>
    <row r="5873" spans="3:7" x14ac:dyDescent="0.3">
      <c r="C5873" s="109"/>
      <c r="D5873" s="109"/>
      <c r="E5873" s="109"/>
      <c r="F5873" s="110"/>
      <c r="G5873" s="109"/>
    </row>
    <row r="5874" spans="3:7" x14ac:dyDescent="0.3">
      <c r="C5874" s="109"/>
      <c r="D5874" s="109"/>
      <c r="E5874" s="109"/>
      <c r="F5874" s="110"/>
      <c r="G5874" s="109"/>
    </row>
    <row r="5875" spans="3:7" x14ac:dyDescent="0.3">
      <c r="C5875" s="109"/>
      <c r="D5875" s="109"/>
      <c r="E5875" s="109"/>
      <c r="F5875" s="110"/>
      <c r="G5875" s="109"/>
    </row>
    <row r="5876" spans="3:7" x14ac:dyDescent="0.3">
      <c r="C5876" s="109"/>
      <c r="D5876" s="109"/>
      <c r="E5876" s="109"/>
      <c r="F5876" s="110"/>
      <c r="G5876" s="109"/>
    </row>
    <row r="5877" spans="3:7" x14ac:dyDescent="0.3">
      <c r="C5877" s="109"/>
      <c r="D5877" s="109"/>
      <c r="E5877" s="109"/>
      <c r="F5877" s="110"/>
      <c r="G5877" s="109"/>
    </row>
    <row r="5878" spans="3:7" x14ac:dyDescent="0.3">
      <c r="C5878" s="109"/>
      <c r="D5878" s="109"/>
      <c r="E5878" s="109"/>
      <c r="F5878" s="110"/>
      <c r="G5878" s="109"/>
    </row>
    <row r="5879" spans="3:7" x14ac:dyDescent="0.3">
      <c r="C5879" s="109"/>
      <c r="D5879" s="109"/>
      <c r="E5879" s="109"/>
      <c r="F5879" s="110"/>
      <c r="G5879" s="109"/>
    </row>
    <row r="5880" spans="3:7" x14ac:dyDescent="0.3">
      <c r="C5880" s="109"/>
      <c r="D5880" s="109"/>
      <c r="E5880" s="109"/>
      <c r="F5880" s="110"/>
      <c r="G5880" s="109"/>
    </row>
    <row r="5881" spans="3:7" x14ac:dyDescent="0.3">
      <c r="C5881" s="109"/>
      <c r="D5881" s="109"/>
      <c r="E5881" s="109"/>
      <c r="F5881" s="110"/>
      <c r="G5881" s="109"/>
    </row>
    <row r="5882" spans="3:7" x14ac:dyDescent="0.3">
      <c r="C5882" s="109"/>
      <c r="D5882" s="109"/>
      <c r="E5882" s="109"/>
      <c r="F5882" s="110"/>
      <c r="G5882" s="109"/>
    </row>
    <row r="5883" spans="3:7" x14ac:dyDescent="0.3">
      <c r="C5883" s="109"/>
      <c r="D5883" s="109"/>
      <c r="E5883" s="109"/>
      <c r="F5883" s="110"/>
      <c r="G5883" s="109"/>
    </row>
    <row r="5884" spans="3:7" x14ac:dyDescent="0.3">
      <c r="C5884" s="109"/>
      <c r="D5884" s="109"/>
      <c r="E5884" s="109"/>
      <c r="F5884" s="110"/>
      <c r="G5884" s="109"/>
    </row>
    <row r="5885" spans="3:7" x14ac:dyDescent="0.3">
      <c r="C5885" s="109"/>
      <c r="D5885" s="109"/>
      <c r="E5885" s="109"/>
      <c r="F5885" s="110"/>
      <c r="G5885" s="109"/>
    </row>
    <row r="5886" spans="3:7" x14ac:dyDescent="0.3">
      <c r="C5886" s="109"/>
      <c r="D5886" s="109"/>
      <c r="E5886" s="109"/>
      <c r="F5886" s="110"/>
      <c r="G5886" s="109"/>
    </row>
    <row r="5887" spans="3:7" x14ac:dyDescent="0.3">
      <c r="C5887" s="109"/>
      <c r="D5887" s="109"/>
      <c r="E5887" s="109"/>
      <c r="F5887" s="110"/>
      <c r="G5887" s="109"/>
    </row>
    <row r="5888" spans="3:7" x14ac:dyDescent="0.3">
      <c r="C5888" s="109"/>
      <c r="D5888" s="109"/>
      <c r="E5888" s="109"/>
      <c r="F5888" s="110"/>
      <c r="G5888" s="109"/>
    </row>
    <row r="5889" spans="3:7" x14ac:dyDescent="0.3">
      <c r="C5889" s="109"/>
      <c r="D5889" s="109"/>
      <c r="E5889" s="109"/>
      <c r="F5889" s="110"/>
      <c r="G5889" s="109"/>
    </row>
    <row r="5890" spans="3:7" x14ac:dyDescent="0.3">
      <c r="C5890" s="109"/>
      <c r="D5890" s="109"/>
      <c r="E5890" s="109"/>
      <c r="F5890" s="110"/>
      <c r="G5890" s="109"/>
    </row>
    <row r="5891" spans="3:7" x14ac:dyDescent="0.3">
      <c r="C5891" s="109"/>
      <c r="D5891" s="109"/>
      <c r="E5891" s="109"/>
      <c r="F5891" s="110"/>
      <c r="G5891" s="109"/>
    </row>
    <row r="5892" spans="3:7" x14ac:dyDescent="0.3">
      <c r="C5892" s="109"/>
      <c r="D5892" s="109"/>
      <c r="E5892" s="109"/>
      <c r="F5892" s="110"/>
      <c r="G5892" s="109"/>
    </row>
    <row r="5893" spans="3:7" x14ac:dyDescent="0.3">
      <c r="C5893" s="109"/>
      <c r="D5893" s="109"/>
      <c r="E5893" s="109"/>
      <c r="F5893" s="110"/>
      <c r="G5893" s="109"/>
    </row>
    <row r="5894" spans="3:7" x14ac:dyDescent="0.3">
      <c r="C5894" s="109"/>
      <c r="D5894" s="109"/>
      <c r="E5894" s="109"/>
      <c r="F5894" s="110"/>
      <c r="G5894" s="109"/>
    </row>
    <row r="5895" spans="3:7" x14ac:dyDescent="0.3">
      <c r="C5895" s="109"/>
      <c r="D5895" s="109"/>
      <c r="E5895" s="109"/>
      <c r="F5895" s="110"/>
      <c r="G5895" s="109"/>
    </row>
    <row r="5896" spans="3:7" x14ac:dyDescent="0.3">
      <c r="C5896" s="109"/>
      <c r="D5896" s="109"/>
      <c r="E5896" s="109"/>
      <c r="F5896" s="110"/>
      <c r="G5896" s="109"/>
    </row>
    <row r="5897" spans="3:7" x14ac:dyDescent="0.3">
      <c r="C5897" s="109"/>
      <c r="D5897" s="109"/>
      <c r="E5897" s="109"/>
      <c r="F5897" s="110"/>
      <c r="G5897" s="109"/>
    </row>
    <row r="5898" spans="3:7" x14ac:dyDescent="0.3">
      <c r="C5898" s="109"/>
      <c r="D5898" s="109"/>
      <c r="E5898" s="109"/>
      <c r="F5898" s="110"/>
      <c r="G5898" s="109"/>
    </row>
    <row r="5899" spans="3:7" x14ac:dyDescent="0.3">
      <c r="C5899" s="109"/>
      <c r="D5899" s="109"/>
      <c r="E5899" s="109"/>
      <c r="F5899" s="110"/>
      <c r="G5899" s="109"/>
    </row>
    <row r="5900" spans="3:7" x14ac:dyDescent="0.3">
      <c r="C5900" s="109"/>
      <c r="D5900" s="109"/>
      <c r="E5900" s="109"/>
      <c r="F5900" s="110"/>
      <c r="G5900" s="109"/>
    </row>
    <row r="5901" spans="3:7" x14ac:dyDescent="0.3">
      <c r="C5901" s="109"/>
      <c r="D5901" s="109"/>
      <c r="E5901" s="109"/>
      <c r="F5901" s="110"/>
      <c r="G5901" s="109"/>
    </row>
    <row r="5902" spans="3:7" x14ac:dyDescent="0.3">
      <c r="C5902" s="109"/>
      <c r="D5902" s="109"/>
      <c r="E5902" s="109"/>
      <c r="F5902" s="110"/>
      <c r="G5902" s="109"/>
    </row>
    <row r="5903" spans="3:7" x14ac:dyDescent="0.3">
      <c r="C5903" s="109"/>
      <c r="D5903" s="109"/>
      <c r="E5903" s="109"/>
      <c r="F5903" s="110"/>
      <c r="G5903" s="109"/>
    </row>
    <row r="5904" spans="3:7" x14ac:dyDescent="0.3">
      <c r="C5904" s="109"/>
      <c r="D5904" s="109"/>
      <c r="E5904" s="109"/>
      <c r="F5904" s="110"/>
      <c r="G5904" s="109"/>
    </row>
    <row r="5905" spans="3:7" x14ac:dyDescent="0.3">
      <c r="C5905" s="109"/>
      <c r="D5905" s="109"/>
      <c r="E5905" s="109"/>
      <c r="F5905" s="110"/>
      <c r="G5905" s="109"/>
    </row>
    <row r="5906" spans="3:7" x14ac:dyDescent="0.3">
      <c r="C5906" s="109"/>
      <c r="D5906" s="109"/>
      <c r="E5906" s="109"/>
      <c r="F5906" s="110"/>
      <c r="G5906" s="109"/>
    </row>
    <row r="5907" spans="3:7" x14ac:dyDescent="0.3">
      <c r="C5907" s="109"/>
      <c r="D5907" s="109"/>
      <c r="E5907" s="109"/>
      <c r="F5907" s="110"/>
      <c r="G5907" s="109"/>
    </row>
    <row r="5908" spans="3:7" x14ac:dyDescent="0.3">
      <c r="C5908" s="109"/>
      <c r="D5908" s="109"/>
      <c r="E5908" s="109"/>
      <c r="F5908" s="110"/>
      <c r="G5908" s="109"/>
    </row>
    <row r="5909" spans="3:7" x14ac:dyDescent="0.3">
      <c r="C5909" s="109"/>
      <c r="D5909" s="109"/>
      <c r="E5909" s="109"/>
      <c r="F5909" s="110"/>
      <c r="G5909" s="109"/>
    </row>
    <row r="5910" spans="3:7" x14ac:dyDescent="0.3">
      <c r="C5910" s="109"/>
      <c r="D5910" s="109"/>
      <c r="E5910" s="109"/>
      <c r="F5910" s="110"/>
      <c r="G5910" s="109"/>
    </row>
    <row r="5911" spans="3:7" x14ac:dyDescent="0.3">
      <c r="C5911" s="109"/>
      <c r="D5911" s="109"/>
      <c r="E5911" s="109"/>
      <c r="F5911" s="110"/>
      <c r="G5911" s="109"/>
    </row>
    <row r="5912" spans="3:7" x14ac:dyDescent="0.3">
      <c r="C5912" s="109"/>
      <c r="D5912" s="109"/>
      <c r="E5912" s="109"/>
      <c r="F5912" s="110"/>
      <c r="G5912" s="109"/>
    </row>
    <row r="5913" spans="3:7" x14ac:dyDescent="0.3">
      <c r="C5913" s="109"/>
      <c r="D5913" s="109"/>
      <c r="E5913" s="109"/>
      <c r="F5913" s="110"/>
      <c r="G5913" s="109"/>
    </row>
    <row r="5914" spans="3:7" x14ac:dyDescent="0.3">
      <c r="C5914" s="109"/>
      <c r="D5914" s="109"/>
      <c r="E5914" s="109"/>
      <c r="F5914" s="110"/>
      <c r="G5914" s="109"/>
    </row>
    <row r="5915" spans="3:7" x14ac:dyDescent="0.3">
      <c r="C5915" s="109"/>
      <c r="D5915" s="109"/>
      <c r="E5915" s="109"/>
      <c r="F5915" s="110"/>
      <c r="G5915" s="109"/>
    </row>
    <row r="5916" spans="3:7" x14ac:dyDescent="0.3">
      <c r="C5916" s="109"/>
      <c r="D5916" s="109"/>
      <c r="E5916" s="109"/>
      <c r="F5916" s="110"/>
      <c r="G5916" s="109"/>
    </row>
    <row r="5917" spans="3:7" x14ac:dyDescent="0.3">
      <c r="C5917" s="109"/>
      <c r="D5917" s="109"/>
      <c r="E5917" s="109"/>
      <c r="F5917" s="110"/>
      <c r="G5917" s="109"/>
    </row>
    <row r="5918" spans="3:7" x14ac:dyDescent="0.3">
      <c r="C5918" s="109"/>
      <c r="D5918" s="109"/>
      <c r="E5918" s="109"/>
      <c r="F5918" s="110"/>
      <c r="G5918" s="109"/>
    </row>
    <row r="5919" spans="3:7" x14ac:dyDescent="0.3">
      <c r="C5919" s="109"/>
      <c r="D5919" s="109"/>
      <c r="E5919" s="109"/>
      <c r="F5919" s="110"/>
      <c r="G5919" s="109"/>
    </row>
    <row r="5920" spans="3:7" x14ac:dyDescent="0.3">
      <c r="C5920" s="109"/>
      <c r="D5920" s="109"/>
      <c r="E5920" s="109"/>
      <c r="F5920" s="110"/>
      <c r="G5920" s="109"/>
    </row>
    <row r="5921" spans="3:7" x14ac:dyDescent="0.3">
      <c r="C5921" s="109"/>
      <c r="D5921" s="109"/>
      <c r="E5921" s="109"/>
      <c r="F5921" s="110"/>
      <c r="G5921" s="109"/>
    </row>
    <row r="5922" spans="3:7" x14ac:dyDescent="0.3">
      <c r="C5922" s="109"/>
      <c r="D5922" s="109"/>
      <c r="E5922" s="109"/>
      <c r="F5922" s="110"/>
      <c r="G5922" s="109"/>
    </row>
    <row r="5923" spans="3:7" x14ac:dyDescent="0.3">
      <c r="C5923" s="109"/>
      <c r="D5923" s="109"/>
      <c r="E5923" s="109"/>
      <c r="F5923" s="110"/>
      <c r="G5923" s="109"/>
    </row>
    <row r="5924" spans="3:7" x14ac:dyDescent="0.3">
      <c r="C5924" s="109"/>
      <c r="D5924" s="109"/>
      <c r="E5924" s="109"/>
      <c r="F5924" s="110"/>
      <c r="G5924" s="109"/>
    </row>
    <row r="5925" spans="3:7" x14ac:dyDescent="0.3">
      <c r="C5925" s="109"/>
      <c r="D5925" s="109"/>
      <c r="E5925" s="109"/>
      <c r="F5925" s="110"/>
      <c r="G5925" s="109"/>
    </row>
    <row r="5926" spans="3:7" x14ac:dyDescent="0.3">
      <c r="C5926" s="109"/>
      <c r="D5926" s="109"/>
      <c r="E5926" s="109"/>
      <c r="F5926" s="110"/>
      <c r="G5926" s="109"/>
    </row>
    <row r="5927" spans="3:7" x14ac:dyDescent="0.3">
      <c r="C5927" s="109"/>
      <c r="D5927" s="109"/>
      <c r="E5927" s="109"/>
      <c r="F5927" s="110"/>
      <c r="G5927" s="109"/>
    </row>
    <row r="5928" spans="3:7" x14ac:dyDescent="0.3">
      <c r="C5928" s="109"/>
      <c r="D5928" s="109"/>
      <c r="E5928" s="109"/>
      <c r="F5928" s="110"/>
      <c r="G5928" s="109"/>
    </row>
    <row r="5929" spans="3:7" x14ac:dyDescent="0.3">
      <c r="C5929" s="109"/>
      <c r="D5929" s="109"/>
      <c r="E5929" s="109"/>
      <c r="F5929" s="110"/>
      <c r="G5929" s="109"/>
    </row>
    <row r="5930" spans="3:7" x14ac:dyDescent="0.3">
      <c r="C5930" s="109"/>
      <c r="D5930" s="109"/>
      <c r="E5930" s="109"/>
      <c r="F5930" s="110"/>
      <c r="G5930" s="109"/>
    </row>
    <row r="5931" spans="3:7" x14ac:dyDescent="0.3">
      <c r="C5931" s="109"/>
      <c r="D5931" s="109"/>
      <c r="E5931" s="109"/>
      <c r="F5931" s="110"/>
      <c r="G5931" s="109"/>
    </row>
    <row r="5932" spans="3:7" x14ac:dyDescent="0.3">
      <c r="C5932" s="109"/>
      <c r="D5932" s="109"/>
      <c r="E5932" s="109"/>
      <c r="F5932" s="110"/>
      <c r="G5932" s="109"/>
    </row>
    <row r="5933" spans="3:7" x14ac:dyDescent="0.3">
      <c r="C5933" s="109"/>
      <c r="D5933" s="109"/>
      <c r="E5933" s="109"/>
      <c r="F5933" s="110"/>
      <c r="G5933" s="109"/>
    </row>
    <row r="5934" spans="3:7" x14ac:dyDescent="0.3">
      <c r="C5934" s="109"/>
      <c r="D5934" s="109"/>
      <c r="E5934" s="109"/>
      <c r="F5934" s="110"/>
      <c r="G5934" s="109"/>
    </row>
    <row r="5935" spans="3:7" x14ac:dyDescent="0.3">
      <c r="C5935" s="109"/>
      <c r="D5935" s="109"/>
      <c r="E5935" s="109"/>
      <c r="F5935" s="110"/>
      <c r="G5935" s="109"/>
    </row>
    <row r="5936" spans="3:7" x14ac:dyDescent="0.3">
      <c r="C5936" s="109"/>
      <c r="D5936" s="109"/>
      <c r="E5936" s="109"/>
      <c r="F5936" s="110"/>
      <c r="G5936" s="109"/>
    </row>
    <row r="5937" spans="3:7" x14ac:dyDescent="0.3">
      <c r="C5937" s="109"/>
      <c r="D5937" s="109"/>
      <c r="E5937" s="109"/>
      <c r="F5937" s="110"/>
      <c r="G5937" s="109"/>
    </row>
    <row r="5938" spans="3:7" x14ac:dyDescent="0.3">
      <c r="C5938" s="109"/>
      <c r="D5938" s="109"/>
      <c r="E5938" s="109"/>
      <c r="F5938" s="110"/>
      <c r="G5938" s="109"/>
    </row>
    <row r="5939" spans="3:7" x14ac:dyDescent="0.3">
      <c r="C5939" s="109"/>
      <c r="D5939" s="109"/>
      <c r="E5939" s="109"/>
      <c r="F5939" s="110"/>
      <c r="G5939" s="109"/>
    </row>
    <row r="5940" spans="3:7" x14ac:dyDescent="0.3">
      <c r="C5940" s="109"/>
      <c r="D5940" s="109"/>
      <c r="E5940" s="109"/>
      <c r="F5940" s="110"/>
      <c r="G5940" s="109"/>
    </row>
    <row r="5941" spans="3:7" x14ac:dyDescent="0.3">
      <c r="C5941" s="109"/>
      <c r="D5941" s="109"/>
      <c r="E5941" s="109"/>
      <c r="F5941" s="110"/>
      <c r="G5941" s="109"/>
    </row>
    <row r="5942" spans="3:7" x14ac:dyDescent="0.3">
      <c r="C5942" s="109"/>
      <c r="D5942" s="109"/>
      <c r="E5942" s="109"/>
      <c r="F5942" s="110"/>
      <c r="G5942" s="109"/>
    </row>
    <row r="5943" spans="3:7" x14ac:dyDescent="0.3">
      <c r="C5943" s="109"/>
      <c r="D5943" s="109"/>
      <c r="E5943" s="109"/>
      <c r="F5943" s="110"/>
      <c r="G5943" s="109"/>
    </row>
    <row r="5944" spans="3:7" x14ac:dyDescent="0.3">
      <c r="C5944" s="109"/>
      <c r="D5944" s="109"/>
      <c r="E5944" s="109"/>
      <c r="F5944" s="110"/>
      <c r="G5944" s="109"/>
    </row>
    <row r="5945" spans="3:7" x14ac:dyDescent="0.3">
      <c r="C5945" s="109"/>
      <c r="D5945" s="109"/>
      <c r="E5945" s="109"/>
      <c r="F5945" s="110"/>
      <c r="G5945" s="109"/>
    </row>
    <row r="5946" spans="3:7" x14ac:dyDescent="0.3">
      <c r="C5946" s="109"/>
      <c r="D5946" s="109"/>
      <c r="E5946" s="109"/>
      <c r="F5946" s="110"/>
      <c r="G5946" s="109"/>
    </row>
    <row r="5947" spans="3:7" x14ac:dyDescent="0.3">
      <c r="C5947" s="109"/>
      <c r="D5947" s="109"/>
      <c r="E5947" s="109"/>
      <c r="F5947" s="110"/>
      <c r="G5947" s="109"/>
    </row>
    <row r="5948" spans="3:7" x14ac:dyDescent="0.3">
      <c r="C5948" s="109"/>
      <c r="D5948" s="109"/>
      <c r="E5948" s="109"/>
      <c r="F5948" s="110"/>
      <c r="G5948" s="109"/>
    </row>
    <row r="5949" spans="3:7" x14ac:dyDescent="0.3">
      <c r="C5949" s="109"/>
      <c r="D5949" s="109"/>
      <c r="E5949" s="109"/>
      <c r="F5949" s="110"/>
      <c r="G5949" s="109"/>
    </row>
    <row r="5950" spans="3:7" x14ac:dyDescent="0.3">
      <c r="C5950" s="109"/>
      <c r="D5950" s="109"/>
      <c r="E5950" s="109"/>
      <c r="F5950" s="110"/>
      <c r="G5950" s="109"/>
    </row>
    <row r="5951" spans="3:7" x14ac:dyDescent="0.3">
      <c r="C5951" s="109"/>
      <c r="D5951" s="109"/>
      <c r="E5951" s="109"/>
      <c r="F5951" s="110"/>
      <c r="G5951" s="109"/>
    </row>
    <row r="5952" spans="3:7" x14ac:dyDescent="0.3">
      <c r="C5952" s="109"/>
      <c r="D5952" s="109"/>
      <c r="E5952" s="109"/>
      <c r="F5952" s="110"/>
      <c r="G5952" s="109"/>
    </row>
    <row r="5953" spans="3:7" x14ac:dyDescent="0.3">
      <c r="C5953" s="109"/>
      <c r="D5953" s="109"/>
      <c r="E5953" s="109"/>
      <c r="F5953" s="110"/>
      <c r="G5953" s="109"/>
    </row>
    <row r="5954" spans="3:7" x14ac:dyDescent="0.3">
      <c r="C5954" s="109"/>
      <c r="D5954" s="109"/>
      <c r="E5954" s="109"/>
      <c r="F5954" s="110"/>
      <c r="G5954" s="109"/>
    </row>
    <row r="5955" spans="3:7" x14ac:dyDescent="0.3">
      <c r="C5955" s="109"/>
      <c r="D5955" s="109"/>
      <c r="E5955" s="109"/>
      <c r="F5955" s="110"/>
      <c r="G5955" s="109"/>
    </row>
    <row r="5956" spans="3:7" x14ac:dyDescent="0.3">
      <c r="C5956" s="109"/>
      <c r="D5956" s="109"/>
      <c r="E5956" s="109"/>
      <c r="F5956" s="110"/>
      <c r="G5956" s="109"/>
    </row>
    <row r="5957" spans="3:7" x14ac:dyDescent="0.3">
      <c r="C5957" s="109"/>
      <c r="D5957" s="109"/>
      <c r="E5957" s="109"/>
      <c r="F5957" s="110"/>
      <c r="G5957" s="109"/>
    </row>
    <row r="5958" spans="3:7" x14ac:dyDescent="0.3">
      <c r="C5958" s="109"/>
      <c r="D5958" s="109"/>
      <c r="E5958" s="109"/>
      <c r="F5958" s="110"/>
      <c r="G5958" s="109"/>
    </row>
    <row r="5959" spans="3:7" x14ac:dyDescent="0.3">
      <c r="C5959" s="109"/>
      <c r="D5959" s="109"/>
      <c r="E5959" s="109"/>
      <c r="F5959" s="110"/>
      <c r="G5959" s="109"/>
    </row>
    <row r="5960" spans="3:7" x14ac:dyDescent="0.3">
      <c r="C5960" s="109"/>
      <c r="D5960" s="109"/>
      <c r="E5960" s="109"/>
      <c r="F5960" s="110"/>
      <c r="G5960" s="109"/>
    </row>
    <row r="5961" spans="3:7" x14ac:dyDescent="0.3">
      <c r="C5961" s="109"/>
      <c r="D5961" s="109"/>
      <c r="E5961" s="109"/>
      <c r="F5961" s="110"/>
      <c r="G5961" s="109"/>
    </row>
    <row r="5962" spans="3:7" x14ac:dyDescent="0.3">
      <c r="C5962" s="109"/>
      <c r="D5962" s="109"/>
      <c r="E5962" s="109"/>
      <c r="F5962" s="110"/>
      <c r="G5962" s="109"/>
    </row>
    <row r="5963" spans="3:7" x14ac:dyDescent="0.3">
      <c r="C5963" s="109"/>
      <c r="D5963" s="109"/>
      <c r="E5963" s="109"/>
      <c r="F5963" s="110"/>
      <c r="G5963" s="109"/>
    </row>
    <row r="5964" spans="3:7" x14ac:dyDescent="0.3">
      <c r="C5964" s="109"/>
      <c r="D5964" s="109"/>
      <c r="E5964" s="109"/>
      <c r="F5964" s="110"/>
      <c r="G5964" s="109"/>
    </row>
    <row r="5965" spans="3:7" x14ac:dyDescent="0.3">
      <c r="C5965" s="109"/>
      <c r="D5965" s="109"/>
      <c r="E5965" s="109"/>
      <c r="F5965" s="110"/>
      <c r="G5965" s="109"/>
    </row>
    <row r="5966" spans="3:7" x14ac:dyDescent="0.3">
      <c r="C5966" s="109"/>
      <c r="D5966" s="109"/>
      <c r="E5966" s="109"/>
      <c r="F5966" s="110"/>
      <c r="G5966" s="109"/>
    </row>
    <row r="5967" spans="3:7" x14ac:dyDescent="0.3">
      <c r="C5967" s="109"/>
      <c r="D5967" s="109"/>
      <c r="E5967" s="109"/>
      <c r="F5967" s="110"/>
      <c r="G5967" s="109"/>
    </row>
    <row r="5968" spans="3:7" x14ac:dyDescent="0.3">
      <c r="C5968" s="109"/>
      <c r="D5968" s="109"/>
      <c r="E5968" s="109"/>
      <c r="F5968" s="110"/>
      <c r="G5968" s="109"/>
    </row>
    <row r="5969" spans="3:7" x14ac:dyDescent="0.3">
      <c r="C5969" s="109"/>
      <c r="D5969" s="109"/>
      <c r="E5969" s="109"/>
      <c r="F5969" s="110"/>
      <c r="G5969" s="109"/>
    </row>
    <row r="5970" spans="3:7" x14ac:dyDescent="0.3">
      <c r="C5970" s="109"/>
      <c r="D5970" s="109"/>
      <c r="E5970" s="109"/>
      <c r="F5970" s="110"/>
      <c r="G5970" s="109"/>
    </row>
    <row r="5971" spans="3:7" x14ac:dyDescent="0.3">
      <c r="C5971" s="109"/>
      <c r="D5971" s="109"/>
      <c r="E5971" s="109"/>
      <c r="F5971" s="110"/>
      <c r="G5971" s="109"/>
    </row>
    <row r="5972" spans="3:7" x14ac:dyDescent="0.3">
      <c r="C5972" s="109"/>
      <c r="D5972" s="109"/>
      <c r="E5972" s="109"/>
      <c r="F5972" s="110"/>
      <c r="G5972" s="109"/>
    </row>
    <row r="5973" spans="3:7" x14ac:dyDescent="0.3">
      <c r="C5973" s="109"/>
      <c r="D5973" s="109"/>
      <c r="E5973" s="109"/>
      <c r="F5973" s="110"/>
      <c r="G5973" s="109"/>
    </row>
    <row r="5974" spans="3:7" x14ac:dyDescent="0.3">
      <c r="C5974" s="109"/>
      <c r="D5974" s="109"/>
      <c r="E5974" s="109"/>
      <c r="F5974" s="110"/>
      <c r="G5974" s="109"/>
    </row>
    <row r="5975" spans="3:7" x14ac:dyDescent="0.3">
      <c r="C5975" s="109"/>
      <c r="D5975" s="109"/>
      <c r="E5975" s="109"/>
      <c r="F5975" s="110"/>
      <c r="G5975" s="109"/>
    </row>
    <row r="5976" spans="3:7" x14ac:dyDescent="0.3">
      <c r="C5976" s="109"/>
      <c r="D5976" s="109"/>
      <c r="E5976" s="109"/>
      <c r="F5976" s="110"/>
      <c r="G5976" s="109"/>
    </row>
    <row r="5977" spans="3:7" x14ac:dyDescent="0.3">
      <c r="C5977" s="109"/>
      <c r="D5977" s="109"/>
      <c r="E5977" s="109"/>
      <c r="F5977" s="110"/>
      <c r="G5977" s="109"/>
    </row>
    <row r="5978" spans="3:7" x14ac:dyDescent="0.3">
      <c r="C5978" s="109"/>
      <c r="D5978" s="109"/>
      <c r="E5978" s="109"/>
      <c r="F5978" s="110"/>
      <c r="G5978" s="109"/>
    </row>
    <row r="5979" spans="3:7" x14ac:dyDescent="0.3">
      <c r="C5979" s="109"/>
      <c r="D5979" s="109"/>
      <c r="E5979" s="109"/>
      <c r="F5979" s="110"/>
      <c r="G5979" s="109"/>
    </row>
    <row r="5980" spans="3:7" x14ac:dyDescent="0.3">
      <c r="C5980" s="109"/>
      <c r="D5980" s="109"/>
      <c r="E5980" s="109"/>
      <c r="F5980" s="110"/>
      <c r="G5980" s="109"/>
    </row>
    <row r="5981" spans="3:7" x14ac:dyDescent="0.3">
      <c r="C5981" s="109"/>
      <c r="D5981" s="109"/>
      <c r="E5981" s="109"/>
      <c r="F5981" s="110"/>
      <c r="G5981" s="109"/>
    </row>
    <row r="5982" spans="3:7" x14ac:dyDescent="0.3">
      <c r="C5982" s="109"/>
      <c r="D5982" s="109"/>
      <c r="E5982" s="109"/>
      <c r="F5982" s="110"/>
      <c r="G5982" s="109"/>
    </row>
    <row r="5983" spans="3:7" x14ac:dyDescent="0.3">
      <c r="C5983" s="109"/>
      <c r="D5983" s="109"/>
      <c r="E5983" s="109"/>
      <c r="F5983" s="110"/>
      <c r="G5983" s="109"/>
    </row>
    <row r="5984" spans="3:7" x14ac:dyDescent="0.3">
      <c r="C5984" s="109"/>
      <c r="D5984" s="109"/>
      <c r="E5984" s="109"/>
      <c r="F5984" s="110"/>
      <c r="G5984" s="109"/>
    </row>
    <row r="5985" spans="3:7" x14ac:dyDescent="0.3">
      <c r="C5985" s="109"/>
      <c r="D5985" s="109"/>
      <c r="E5985" s="109"/>
      <c r="F5985" s="110"/>
      <c r="G5985" s="109"/>
    </row>
    <row r="5986" spans="3:7" x14ac:dyDescent="0.3">
      <c r="C5986" s="109"/>
      <c r="D5986" s="109"/>
      <c r="E5986" s="109"/>
      <c r="F5986" s="110"/>
      <c r="G5986" s="109"/>
    </row>
    <row r="5987" spans="3:7" x14ac:dyDescent="0.3">
      <c r="C5987" s="109"/>
      <c r="D5987" s="109"/>
      <c r="E5987" s="109"/>
      <c r="F5987" s="110"/>
      <c r="G5987" s="109"/>
    </row>
    <row r="5988" spans="3:7" x14ac:dyDescent="0.3">
      <c r="C5988" s="109"/>
      <c r="D5988" s="109"/>
      <c r="E5988" s="109"/>
      <c r="F5988" s="110"/>
      <c r="G5988" s="109"/>
    </row>
    <row r="5989" spans="3:7" x14ac:dyDescent="0.3">
      <c r="C5989" s="109"/>
      <c r="D5989" s="109"/>
      <c r="E5989" s="109"/>
      <c r="F5989" s="110"/>
      <c r="G5989" s="109"/>
    </row>
    <row r="5990" spans="3:7" x14ac:dyDescent="0.3">
      <c r="C5990" s="109"/>
      <c r="D5990" s="109"/>
      <c r="E5990" s="109"/>
      <c r="F5990" s="110"/>
      <c r="G5990" s="109"/>
    </row>
    <row r="5991" spans="3:7" x14ac:dyDescent="0.3">
      <c r="C5991" s="109"/>
      <c r="D5991" s="109"/>
      <c r="E5991" s="109"/>
      <c r="F5991" s="110"/>
      <c r="G5991" s="109"/>
    </row>
    <row r="5992" spans="3:7" x14ac:dyDescent="0.3">
      <c r="C5992" s="109"/>
      <c r="D5992" s="109"/>
      <c r="E5992" s="109"/>
      <c r="F5992" s="110"/>
      <c r="G5992" s="109"/>
    </row>
    <row r="5993" spans="3:7" x14ac:dyDescent="0.3">
      <c r="C5993" s="109"/>
      <c r="D5993" s="109"/>
      <c r="E5993" s="109"/>
      <c r="F5993" s="110"/>
      <c r="G5993" s="109"/>
    </row>
    <row r="5994" spans="3:7" x14ac:dyDescent="0.3">
      <c r="C5994" s="109"/>
      <c r="D5994" s="109"/>
      <c r="E5994" s="109"/>
      <c r="F5994" s="110"/>
      <c r="G5994" s="109"/>
    </row>
    <row r="5995" spans="3:7" x14ac:dyDescent="0.3">
      <c r="C5995" s="109"/>
      <c r="D5995" s="109"/>
      <c r="E5995" s="109"/>
      <c r="F5995" s="110"/>
      <c r="G5995" s="109"/>
    </row>
    <row r="5996" spans="3:7" x14ac:dyDescent="0.3">
      <c r="C5996" s="109"/>
      <c r="D5996" s="109"/>
      <c r="E5996" s="109"/>
      <c r="F5996" s="110"/>
      <c r="G5996" s="109"/>
    </row>
    <row r="5997" spans="3:7" x14ac:dyDescent="0.3">
      <c r="C5997" s="109"/>
      <c r="D5997" s="109"/>
      <c r="E5997" s="109"/>
      <c r="F5997" s="110"/>
      <c r="G5997" s="109"/>
    </row>
    <row r="5998" spans="3:7" x14ac:dyDescent="0.3">
      <c r="C5998" s="109"/>
      <c r="D5998" s="109"/>
      <c r="E5998" s="109"/>
      <c r="F5998" s="110"/>
      <c r="G5998" s="109"/>
    </row>
    <row r="5999" spans="3:7" x14ac:dyDescent="0.3">
      <c r="C5999" s="109"/>
      <c r="D5999" s="109"/>
      <c r="E5999" s="109"/>
      <c r="F5999" s="110"/>
      <c r="G5999" s="109"/>
    </row>
    <row r="6000" spans="3:7" x14ac:dyDescent="0.3">
      <c r="C6000" s="109"/>
      <c r="D6000" s="109"/>
      <c r="E6000" s="109"/>
      <c r="F6000" s="110"/>
      <c r="G6000" s="109"/>
    </row>
    <row r="6001" spans="3:7" x14ac:dyDescent="0.3">
      <c r="C6001" s="109"/>
      <c r="D6001" s="109"/>
      <c r="E6001" s="109"/>
      <c r="F6001" s="110"/>
      <c r="G6001" s="109"/>
    </row>
    <row r="6002" spans="3:7" x14ac:dyDescent="0.3">
      <c r="C6002" s="109"/>
      <c r="D6002" s="109"/>
      <c r="E6002" s="109"/>
      <c r="F6002" s="110"/>
      <c r="G6002" s="109"/>
    </row>
    <row r="6003" spans="3:7" x14ac:dyDescent="0.3">
      <c r="C6003" s="109"/>
      <c r="D6003" s="109"/>
      <c r="E6003" s="109"/>
      <c r="F6003" s="110"/>
      <c r="G6003" s="109"/>
    </row>
    <row r="6004" spans="3:7" x14ac:dyDescent="0.3">
      <c r="C6004" s="109"/>
      <c r="D6004" s="109"/>
      <c r="E6004" s="109"/>
      <c r="F6004" s="110"/>
      <c r="G6004" s="109"/>
    </row>
    <row r="6005" spans="3:7" x14ac:dyDescent="0.3">
      <c r="C6005" s="109"/>
      <c r="D6005" s="109"/>
      <c r="E6005" s="109"/>
      <c r="F6005" s="110"/>
      <c r="G6005" s="109"/>
    </row>
    <row r="6006" spans="3:7" x14ac:dyDescent="0.3">
      <c r="C6006" s="109"/>
      <c r="D6006" s="109"/>
      <c r="E6006" s="109"/>
      <c r="F6006" s="110"/>
      <c r="G6006" s="109"/>
    </row>
    <row r="6007" spans="3:7" x14ac:dyDescent="0.3">
      <c r="C6007" s="109"/>
      <c r="D6007" s="109"/>
      <c r="E6007" s="109"/>
      <c r="F6007" s="110"/>
      <c r="G6007" s="109"/>
    </row>
    <row r="6008" spans="3:7" x14ac:dyDescent="0.3">
      <c r="C6008" s="109"/>
      <c r="D6008" s="109"/>
      <c r="E6008" s="109"/>
      <c r="F6008" s="110"/>
      <c r="G6008" s="109"/>
    </row>
    <row r="6009" spans="3:7" x14ac:dyDescent="0.3">
      <c r="C6009" s="109"/>
      <c r="D6009" s="109"/>
      <c r="E6009" s="109"/>
      <c r="F6009" s="110"/>
      <c r="G6009" s="109"/>
    </row>
    <row r="6010" spans="3:7" x14ac:dyDescent="0.3">
      <c r="C6010" s="109"/>
      <c r="D6010" s="109"/>
      <c r="E6010" s="109"/>
      <c r="F6010" s="110"/>
      <c r="G6010" s="109"/>
    </row>
    <row r="6011" spans="3:7" x14ac:dyDescent="0.3">
      <c r="C6011" s="109"/>
      <c r="D6011" s="109"/>
      <c r="E6011" s="109"/>
      <c r="F6011" s="110"/>
      <c r="G6011" s="109"/>
    </row>
    <row r="6012" spans="3:7" x14ac:dyDescent="0.3">
      <c r="C6012" s="109"/>
      <c r="D6012" s="109"/>
      <c r="E6012" s="109"/>
      <c r="F6012" s="110"/>
      <c r="G6012" s="109"/>
    </row>
    <row r="6013" spans="3:7" x14ac:dyDescent="0.3">
      <c r="C6013" s="109"/>
      <c r="D6013" s="109"/>
      <c r="E6013" s="109"/>
      <c r="F6013" s="110"/>
      <c r="G6013" s="109"/>
    </row>
    <row r="6014" spans="3:7" x14ac:dyDescent="0.3">
      <c r="C6014" s="109"/>
      <c r="D6014" s="109"/>
      <c r="E6014" s="109"/>
      <c r="F6014" s="110"/>
      <c r="G6014" s="109"/>
    </row>
    <row r="6015" spans="3:7" x14ac:dyDescent="0.3">
      <c r="C6015" s="109"/>
      <c r="D6015" s="109"/>
      <c r="E6015" s="109"/>
      <c r="F6015" s="110"/>
      <c r="G6015" s="109"/>
    </row>
    <row r="6016" spans="3:7" x14ac:dyDescent="0.3">
      <c r="C6016" s="109"/>
      <c r="D6016" s="109"/>
      <c r="E6016" s="109"/>
      <c r="F6016" s="110"/>
      <c r="G6016" s="109"/>
    </row>
    <row r="6017" spans="3:7" x14ac:dyDescent="0.3">
      <c r="C6017" s="109"/>
      <c r="D6017" s="109"/>
      <c r="E6017" s="109"/>
      <c r="F6017" s="110"/>
      <c r="G6017" s="109"/>
    </row>
    <row r="6018" spans="3:7" x14ac:dyDescent="0.3">
      <c r="C6018" s="109"/>
      <c r="D6018" s="109"/>
      <c r="E6018" s="109"/>
      <c r="F6018" s="110"/>
      <c r="G6018" s="109"/>
    </row>
    <row r="6019" spans="3:7" x14ac:dyDescent="0.3">
      <c r="C6019" s="109"/>
      <c r="D6019" s="109"/>
      <c r="E6019" s="109"/>
      <c r="F6019" s="110"/>
      <c r="G6019" s="109"/>
    </row>
    <row r="6020" spans="3:7" x14ac:dyDescent="0.3">
      <c r="C6020" s="109"/>
      <c r="D6020" s="109"/>
      <c r="E6020" s="109"/>
      <c r="F6020" s="110"/>
      <c r="G6020" s="109"/>
    </row>
    <row r="6021" spans="3:7" x14ac:dyDescent="0.3">
      <c r="C6021" s="109"/>
      <c r="D6021" s="109"/>
      <c r="E6021" s="109"/>
      <c r="F6021" s="110"/>
      <c r="G6021" s="109"/>
    </row>
    <row r="6022" spans="3:7" x14ac:dyDescent="0.3">
      <c r="C6022" s="109"/>
      <c r="D6022" s="109"/>
      <c r="E6022" s="109"/>
      <c r="F6022" s="110"/>
      <c r="G6022" s="109"/>
    </row>
    <row r="6023" spans="3:7" x14ac:dyDescent="0.3">
      <c r="C6023" s="109"/>
      <c r="D6023" s="109"/>
      <c r="E6023" s="109"/>
      <c r="F6023" s="110"/>
      <c r="G6023" s="109"/>
    </row>
    <row r="6024" spans="3:7" x14ac:dyDescent="0.3">
      <c r="C6024" s="109"/>
      <c r="D6024" s="109"/>
      <c r="E6024" s="109"/>
      <c r="F6024" s="110"/>
      <c r="G6024" s="109"/>
    </row>
    <row r="6025" spans="3:7" x14ac:dyDescent="0.3">
      <c r="C6025" s="109"/>
      <c r="D6025" s="109"/>
      <c r="E6025" s="109"/>
      <c r="F6025" s="110"/>
      <c r="G6025" s="109"/>
    </row>
    <row r="6026" spans="3:7" x14ac:dyDescent="0.3">
      <c r="C6026" s="109"/>
      <c r="D6026" s="109"/>
      <c r="E6026" s="109"/>
      <c r="F6026" s="110"/>
      <c r="G6026" s="109"/>
    </row>
    <row r="6027" spans="3:7" x14ac:dyDescent="0.3">
      <c r="C6027" s="109"/>
      <c r="D6027" s="109"/>
      <c r="E6027" s="109"/>
      <c r="F6027" s="110"/>
      <c r="G6027" s="109"/>
    </row>
    <row r="6028" spans="3:7" x14ac:dyDescent="0.3">
      <c r="C6028" s="109"/>
      <c r="D6028" s="109"/>
      <c r="E6028" s="109"/>
      <c r="F6028" s="110"/>
      <c r="G6028" s="109"/>
    </row>
    <row r="6029" spans="3:7" x14ac:dyDescent="0.3">
      <c r="C6029" s="109"/>
      <c r="D6029" s="109"/>
      <c r="E6029" s="109"/>
      <c r="F6029" s="110"/>
      <c r="G6029" s="109"/>
    </row>
    <row r="6030" spans="3:7" x14ac:dyDescent="0.3">
      <c r="C6030" s="109"/>
      <c r="D6030" s="109"/>
      <c r="E6030" s="109"/>
      <c r="F6030" s="110"/>
      <c r="G6030" s="109"/>
    </row>
    <row r="6031" spans="3:7" x14ac:dyDescent="0.3">
      <c r="C6031" s="109"/>
      <c r="D6031" s="109"/>
      <c r="E6031" s="109"/>
      <c r="F6031" s="110"/>
      <c r="G6031" s="109"/>
    </row>
    <row r="6032" spans="3:7" x14ac:dyDescent="0.3">
      <c r="C6032" s="109"/>
      <c r="D6032" s="109"/>
      <c r="E6032" s="109"/>
      <c r="F6032" s="110"/>
      <c r="G6032" s="109"/>
    </row>
    <row r="6033" spans="3:7" x14ac:dyDescent="0.3">
      <c r="C6033" s="109"/>
      <c r="D6033" s="109"/>
      <c r="E6033" s="109"/>
      <c r="F6033" s="110"/>
      <c r="G6033" s="109"/>
    </row>
    <row r="6034" spans="3:7" x14ac:dyDescent="0.3">
      <c r="C6034" s="109"/>
      <c r="D6034" s="109"/>
      <c r="E6034" s="109"/>
      <c r="F6034" s="110"/>
      <c r="G6034" s="109"/>
    </row>
    <row r="6035" spans="3:7" x14ac:dyDescent="0.3">
      <c r="C6035" s="109"/>
      <c r="D6035" s="109"/>
      <c r="E6035" s="109"/>
      <c r="F6035" s="110"/>
      <c r="G6035" s="109"/>
    </row>
    <row r="6036" spans="3:7" x14ac:dyDescent="0.3">
      <c r="C6036" s="109"/>
      <c r="D6036" s="109"/>
      <c r="E6036" s="109"/>
      <c r="F6036" s="110"/>
      <c r="G6036" s="109"/>
    </row>
    <row r="6037" spans="3:7" x14ac:dyDescent="0.3">
      <c r="C6037" s="109"/>
      <c r="D6037" s="109"/>
      <c r="E6037" s="109"/>
      <c r="F6037" s="110"/>
      <c r="G6037" s="109"/>
    </row>
    <row r="6038" spans="3:7" x14ac:dyDescent="0.3">
      <c r="C6038" s="109"/>
      <c r="D6038" s="109"/>
      <c r="E6038" s="109"/>
      <c r="F6038" s="110"/>
      <c r="G6038" s="109"/>
    </row>
    <row r="6039" spans="3:7" x14ac:dyDescent="0.3">
      <c r="C6039" s="109"/>
      <c r="D6039" s="109"/>
      <c r="E6039" s="109"/>
      <c r="F6039" s="110"/>
      <c r="G6039" s="109"/>
    </row>
    <row r="6040" spans="3:7" x14ac:dyDescent="0.3">
      <c r="C6040" s="109"/>
      <c r="D6040" s="109"/>
      <c r="E6040" s="109"/>
      <c r="F6040" s="110"/>
      <c r="G6040" s="109"/>
    </row>
    <row r="6041" spans="3:7" x14ac:dyDescent="0.3">
      <c r="C6041" s="109"/>
      <c r="D6041" s="109"/>
      <c r="E6041" s="109"/>
      <c r="F6041" s="110"/>
      <c r="G6041" s="109"/>
    </row>
    <row r="6042" spans="3:7" x14ac:dyDescent="0.3">
      <c r="C6042" s="109"/>
      <c r="D6042" s="109"/>
      <c r="E6042" s="109"/>
      <c r="F6042" s="110"/>
      <c r="G6042" s="109"/>
    </row>
    <row r="6043" spans="3:7" x14ac:dyDescent="0.3">
      <c r="C6043" s="109"/>
      <c r="D6043" s="109"/>
      <c r="E6043" s="109"/>
      <c r="F6043" s="110"/>
      <c r="G6043" s="109"/>
    </row>
    <row r="6044" spans="3:7" x14ac:dyDescent="0.3">
      <c r="C6044" s="109"/>
      <c r="D6044" s="109"/>
      <c r="E6044" s="109"/>
      <c r="F6044" s="110"/>
      <c r="G6044" s="109"/>
    </row>
    <row r="6045" spans="3:7" x14ac:dyDescent="0.3">
      <c r="C6045" s="109"/>
      <c r="D6045" s="109"/>
      <c r="E6045" s="109"/>
      <c r="F6045" s="110"/>
      <c r="G6045" s="109"/>
    </row>
    <row r="6046" spans="3:7" x14ac:dyDescent="0.3">
      <c r="C6046" s="109"/>
      <c r="D6046" s="109"/>
      <c r="E6046" s="109"/>
      <c r="F6046" s="110"/>
      <c r="G6046" s="109"/>
    </row>
    <row r="6047" spans="3:7" x14ac:dyDescent="0.3">
      <c r="C6047" s="109"/>
      <c r="D6047" s="109"/>
      <c r="E6047" s="109"/>
      <c r="F6047" s="110"/>
      <c r="G6047" s="109"/>
    </row>
    <row r="6048" spans="3:7" x14ac:dyDescent="0.3">
      <c r="C6048" s="109"/>
      <c r="D6048" s="109"/>
      <c r="E6048" s="109"/>
      <c r="F6048" s="110"/>
      <c r="G6048" s="109"/>
    </row>
    <row r="6049" spans="3:7" x14ac:dyDescent="0.3">
      <c r="C6049" s="109"/>
      <c r="D6049" s="109"/>
      <c r="E6049" s="109"/>
      <c r="F6049" s="110"/>
      <c r="G6049" s="109"/>
    </row>
    <row r="6050" spans="3:7" x14ac:dyDescent="0.3">
      <c r="C6050" s="109"/>
      <c r="D6050" s="109"/>
      <c r="E6050" s="109"/>
      <c r="F6050" s="110"/>
      <c r="G6050" s="109"/>
    </row>
    <row r="6051" spans="3:7" x14ac:dyDescent="0.3">
      <c r="C6051" s="109"/>
      <c r="D6051" s="109"/>
      <c r="E6051" s="109"/>
      <c r="F6051" s="110"/>
      <c r="G6051" s="109"/>
    </row>
    <row r="6052" spans="3:7" x14ac:dyDescent="0.3">
      <c r="C6052" s="109"/>
      <c r="D6052" s="109"/>
      <c r="E6052" s="109"/>
      <c r="F6052" s="110"/>
      <c r="G6052" s="109"/>
    </row>
    <row r="6053" spans="3:7" x14ac:dyDescent="0.3">
      <c r="C6053" s="109"/>
      <c r="D6053" s="109"/>
      <c r="E6053" s="109"/>
      <c r="F6053" s="110"/>
      <c r="G6053" s="109"/>
    </row>
    <row r="6054" spans="3:7" x14ac:dyDescent="0.3">
      <c r="C6054" s="109"/>
      <c r="D6054" s="109"/>
      <c r="E6054" s="109"/>
      <c r="F6054" s="110"/>
      <c r="G6054" s="109"/>
    </row>
    <row r="6055" spans="3:7" x14ac:dyDescent="0.3">
      <c r="C6055" s="109"/>
      <c r="D6055" s="109"/>
      <c r="E6055" s="109"/>
      <c r="F6055" s="110"/>
      <c r="G6055" s="109"/>
    </row>
    <row r="6056" spans="3:7" x14ac:dyDescent="0.3">
      <c r="C6056" s="109"/>
      <c r="D6056" s="109"/>
      <c r="E6056" s="109"/>
      <c r="F6056" s="110"/>
      <c r="G6056" s="109"/>
    </row>
    <row r="6057" spans="3:7" x14ac:dyDescent="0.3">
      <c r="C6057" s="109"/>
      <c r="D6057" s="109"/>
      <c r="E6057" s="109"/>
      <c r="F6057" s="110"/>
      <c r="G6057" s="109"/>
    </row>
    <row r="6058" spans="3:7" x14ac:dyDescent="0.3">
      <c r="C6058" s="109"/>
      <c r="D6058" s="109"/>
      <c r="E6058" s="109"/>
      <c r="F6058" s="110"/>
      <c r="G6058" s="109"/>
    </row>
    <row r="6059" spans="3:7" x14ac:dyDescent="0.3">
      <c r="C6059" s="109"/>
      <c r="D6059" s="109"/>
      <c r="E6059" s="109"/>
      <c r="F6059" s="110"/>
      <c r="G6059" s="109"/>
    </row>
    <row r="6060" spans="3:7" x14ac:dyDescent="0.3">
      <c r="C6060" s="109"/>
      <c r="D6060" s="109"/>
      <c r="E6060" s="109"/>
      <c r="F6060" s="110"/>
      <c r="G6060" s="109"/>
    </row>
    <row r="6061" spans="3:7" x14ac:dyDescent="0.3">
      <c r="C6061" s="109"/>
      <c r="D6061" s="109"/>
      <c r="E6061" s="109"/>
      <c r="F6061" s="110"/>
      <c r="G6061" s="109"/>
    </row>
    <row r="6062" spans="3:7" x14ac:dyDescent="0.3">
      <c r="C6062" s="109"/>
      <c r="D6062" s="109"/>
      <c r="E6062" s="109"/>
      <c r="F6062" s="110"/>
      <c r="G6062" s="109"/>
    </row>
    <row r="6063" spans="3:7" x14ac:dyDescent="0.3">
      <c r="C6063" s="109"/>
      <c r="D6063" s="109"/>
      <c r="E6063" s="109"/>
      <c r="F6063" s="110"/>
      <c r="G6063" s="109"/>
    </row>
    <row r="6064" spans="3:7" x14ac:dyDescent="0.3">
      <c r="C6064" s="109"/>
      <c r="D6064" s="109"/>
      <c r="E6064" s="109"/>
      <c r="F6064" s="110"/>
      <c r="G6064" s="109"/>
    </row>
    <row r="6065" spans="3:7" x14ac:dyDescent="0.3">
      <c r="C6065" s="109"/>
      <c r="D6065" s="109"/>
      <c r="E6065" s="109"/>
      <c r="F6065" s="110"/>
      <c r="G6065" s="109"/>
    </row>
    <row r="6066" spans="3:7" x14ac:dyDescent="0.3">
      <c r="C6066" s="109"/>
      <c r="D6066" s="109"/>
      <c r="E6066" s="109"/>
      <c r="F6066" s="110"/>
      <c r="G6066" s="109"/>
    </row>
    <row r="6067" spans="3:7" x14ac:dyDescent="0.3">
      <c r="C6067" s="109"/>
      <c r="D6067" s="109"/>
      <c r="E6067" s="109"/>
      <c r="F6067" s="110"/>
      <c r="G6067" s="109"/>
    </row>
    <row r="6068" spans="3:7" x14ac:dyDescent="0.3">
      <c r="C6068" s="109"/>
      <c r="D6068" s="109"/>
      <c r="E6068" s="109"/>
      <c r="F6068" s="110"/>
      <c r="G6068" s="109"/>
    </row>
    <row r="6069" spans="3:7" x14ac:dyDescent="0.3">
      <c r="C6069" s="109"/>
      <c r="D6069" s="109"/>
      <c r="E6069" s="109"/>
      <c r="F6069" s="110"/>
      <c r="G6069" s="109"/>
    </row>
    <row r="6070" spans="3:7" x14ac:dyDescent="0.3">
      <c r="C6070" s="109"/>
      <c r="D6070" s="109"/>
      <c r="E6070" s="109"/>
      <c r="F6070" s="110"/>
      <c r="G6070" s="109"/>
    </row>
    <row r="6071" spans="3:7" x14ac:dyDescent="0.3">
      <c r="C6071" s="109"/>
      <c r="D6071" s="109"/>
      <c r="E6071" s="109"/>
      <c r="F6071" s="110"/>
      <c r="G6071" s="109"/>
    </row>
    <row r="6072" spans="3:7" x14ac:dyDescent="0.3">
      <c r="C6072" s="109"/>
      <c r="D6072" s="109"/>
      <c r="E6072" s="109"/>
      <c r="F6072" s="110"/>
      <c r="G6072" s="109"/>
    </row>
    <row r="6073" spans="3:7" x14ac:dyDescent="0.3">
      <c r="C6073" s="109"/>
      <c r="D6073" s="109"/>
      <c r="E6073" s="109"/>
      <c r="F6073" s="110"/>
      <c r="G6073" s="109"/>
    </row>
    <row r="6074" spans="3:7" x14ac:dyDescent="0.3">
      <c r="C6074" s="109"/>
      <c r="D6074" s="109"/>
      <c r="E6074" s="109"/>
      <c r="F6074" s="110"/>
      <c r="G6074" s="109"/>
    </row>
    <row r="6075" spans="3:7" x14ac:dyDescent="0.3">
      <c r="C6075" s="109"/>
      <c r="D6075" s="109"/>
      <c r="E6075" s="109"/>
      <c r="F6075" s="110"/>
      <c r="G6075" s="109"/>
    </row>
    <row r="6076" spans="3:7" x14ac:dyDescent="0.3">
      <c r="C6076" s="109"/>
      <c r="D6076" s="109"/>
      <c r="E6076" s="109"/>
      <c r="F6076" s="110"/>
      <c r="G6076" s="109"/>
    </row>
    <row r="6077" spans="3:7" x14ac:dyDescent="0.3">
      <c r="C6077" s="109"/>
      <c r="D6077" s="109"/>
      <c r="E6077" s="109"/>
      <c r="F6077" s="110"/>
      <c r="G6077" s="109"/>
    </row>
    <row r="6078" spans="3:7" x14ac:dyDescent="0.3">
      <c r="C6078" s="109"/>
      <c r="D6078" s="109"/>
      <c r="E6078" s="109"/>
      <c r="F6078" s="110"/>
      <c r="G6078" s="109"/>
    </row>
    <row r="6079" spans="3:7" x14ac:dyDescent="0.3">
      <c r="C6079" s="109"/>
      <c r="D6079" s="109"/>
      <c r="E6079" s="109"/>
      <c r="F6079" s="110"/>
      <c r="G6079" s="109"/>
    </row>
    <row r="6080" spans="3:7" x14ac:dyDescent="0.3">
      <c r="C6080" s="109"/>
      <c r="D6080" s="109"/>
      <c r="E6080" s="109"/>
      <c r="F6080" s="110"/>
      <c r="G6080" s="109"/>
    </row>
    <row r="6081" spans="3:7" x14ac:dyDescent="0.3">
      <c r="C6081" s="109"/>
      <c r="D6081" s="109"/>
      <c r="E6081" s="109"/>
      <c r="F6081" s="110"/>
      <c r="G6081" s="109"/>
    </row>
    <row r="6082" spans="3:7" x14ac:dyDescent="0.3">
      <c r="C6082" s="109"/>
      <c r="D6082" s="109"/>
      <c r="E6082" s="109"/>
      <c r="F6082" s="110"/>
      <c r="G6082" s="109"/>
    </row>
    <row r="6083" spans="3:7" x14ac:dyDescent="0.3">
      <c r="C6083" s="109"/>
      <c r="D6083" s="109"/>
      <c r="E6083" s="109"/>
      <c r="F6083" s="110"/>
      <c r="G6083" s="109"/>
    </row>
    <row r="6084" spans="3:7" x14ac:dyDescent="0.3">
      <c r="C6084" s="109"/>
      <c r="D6084" s="109"/>
      <c r="E6084" s="109"/>
      <c r="F6084" s="110"/>
      <c r="G6084" s="109"/>
    </row>
    <row r="6085" spans="3:7" x14ac:dyDescent="0.3">
      <c r="C6085" s="109"/>
      <c r="D6085" s="109"/>
      <c r="E6085" s="109"/>
      <c r="F6085" s="110"/>
      <c r="G6085" s="109"/>
    </row>
    <row r="6086" spans="3:7" x14ac:dyDescent="0.3">
      <c r="C6086" s="109"/>
      <c r="D6086" s="109"/>
      <c r="E6086" s="109"/>
      <c r="F6086" s="110"/>
      <c r="G6086" s="109"/>
    </row>
    <row r="6087" spans="3:7" x14ac:dyDescent="0.3">
      <c r="C6087" s="109"/>
      <c r="D6087" s="109"/>
      <c r="E6087" s="109"/>
      <c r="F6087" s="110"/>
      <c r="G6087" s="109"/>
    </row>
    <row r="6088" spans="3:7" x14ac:dyDescent="0.3">
      <c r="C6088" s="109"/>
      <c r="D6088" s="109"/>
      <c r="E6088" s="109"/>
      <c r="F6088" s="110"/>
      <c r="G6088" s="109"/>
    </row>
    <row r="6089" spans="3:7" x14ac:dyDescent="0.3">
      <c r="C6089" s="109"/>
      <c r="D6089" s="109"/>
      <c r="E6089" s="109"/>
      <c r="F6089" s="110"/>
      <c r="G6089" s="109"/>
    </row>
    <row r="6090" spans="3:7" x14ac:dyDescent="0.3">
      <c r="C6090" s="109"/>
      <c r="D6090" s="109"/>
      <c r="E6090" s="109"/>
      <c r="F6090" s="110"/>
      <c r="G6090" s="109"/>
    </row>
    <row r="6091" spans="3:7" x14ac:dyDescent="0.3">
      <c r="C6091" s="109"/>
      <c r="D6091" s="109"/>
      <c r="E6091" s="109"/>
      <c r="F6091" s="110"/>
      <c r="G6091" s="109"/>
    </row>
    <row r="6092" spans="3:7" x14ac:dyDescent="0.3">
      <c r="C6092" s="109"/>
      <c r="D6092" s="109"/>
      <c r="E6092" s="109"/>
      <c r="F6092" s="110"/>
      <c r="G6092" s="109"/>
    </row>
    <row r="6093" spans="3:7" x14ac:dyDescent="0.3">
      <c r="C6093" s="109"/>
      <c r="D6093" s="109"/>
      <c r="E6093" s="109"/>
      <c r="F6093" s="110"/>
      <c r="G6093" s="109"/>
    </row>
    <row r="6094" spans="3:7" x14ac:dyDescent="0.3">
      <c r="C6094" s="109"/>
      <c r="D6094" s="109"/>
      <c r="E6094" s="109"/>
      <c r="F6094" s="110"/>
      <c r="G6094" s="109"/>
    </row>
    <row r="6095" spans="3:7" x14ac:dyDescent="0.3">
      <c r="C6095" s="109"/>
      <c r="D6095" s="109"/>
      <c r="E6095" s="109"/>
      <c r="F6095" s="110"/>
      <c r="G6095" s="109"/>
    </row>
    <row r="6096" spans="3:7" x14ac:dyDescent="0.3">
      <c r="C6096" s="109"/>
      <c r="D6096" s="109"/>
      <c r="E6096" s="109"/>
      <c r="F6096" s="110"/>
      <c r="G6096" s="109"/>
    </row>
    <row r="6097" spans="3:7" x14ac:dyDescent="0.3">
      <c r="C6097" s="109"/>
      <c r="D6097" s="109"/>
      <c r="E6097" s="109"/>
      <c r="F6097" s="110"/>
      <c r="G6097" s="109"/>
    </row>
    <row r="6098" spans="3:7" x14ac:dyDescent="0.3">
      <c r="C6098" s="109"/>
      <c r="D6098" s="109"/>
      <c r="E6098" s="109"/>
      <c r="F6098" s="110"/>
      <c r="G6098" s="109"/>
    </row>
    <row r="6099" spans="3:7" x14ac:dyDescent="0.3">
      <c r="C6099" s="109"/>
      <c r="D6099" s="109"/>
      <c r="E6099" s="109"/>
      <c r="F6099" s="110"/>
      <c r="G6099" s="109"/>
    </row>
    <row r="6100" spans="3:7" x14ac:dyDescent="0.3">
      <c r="C6100" s="109"/>
      <c r="D6100" s="109"/>
      <c r="E6100" s="109"/>
      <c r="F6100" s="110"/>
      <c r="G6100" s="109"/>
    </row>
    <row r="6101" spans="3:7" x14ac:dyDescent="0.3">
      <c r="C6101" s="109"/>
      <c r="D6101" s="109"/>
      <c r="E6101" s="109"/>
      <c r="F6101" s="110"/>
      <c r="G6101" s="109"/>
    </row>
    <row r="6102" spans="3:7" x14ac:dyDescent="0.3">
      <c r="C6102" s="109"/>
      <c r="D6102" s="109"/>
      <c r="E6102" s="109"/>
      <c r="F6102" s="110"/>
      <c r="G6102" s="109"/>
    </row>
    <row r="6103" spans="3:7" x14ac:dyDescent="0.3">
      <c r="C6103" s="109"/>
      <c r="D6103" s="109"/>
      <c r="E6103" s="109"/>
      <c r="F6103" s="110"/>
      <c r="G6103" s="109"/>
    </row>
    <row r="6104" spans="3:7" x14ac:dyDescent="0.3">
      <c r="C6104" s="109"/>
      <c r="D6104" s="109"/>
      <c r="E6104" s="109"/>
      <c r="F6104" s="110"/>
      <c r="G6104" s="109"/>
    </row>
    <row r="6105" spans="3:7" x14ac:dyDescent="0.3">
      <c r="C6105" s="109"/>
      <c r="D6105" s="109"/>
      <c r="E6105" s="109"/>
      <c r="F6105" s="110"/>
      <c r="G6105" s="109"/>
    </row>
    <row r="6106" spans="3:7" x14ac:dyDescent="0.3">
      <c r="C6106" s="109"/>
      <c r="D6106" s="109"/>
      <c r="E6106" s="109"/>
      <c r="F6106" s="110"/>
      <c r="G6106" s="109"/>
    </row>
    <row r="6107" spans="3:7" x14ac:dyDescent="0.3">
      <c r="C6107" s="109"/>
      <c r="D6107" s="109"/>
      <c r="E6107" s="109"/>
      <c r="F6107" s="110"/>
      <c r="G6107" s="109"/>
    </row>
    <row r="6108" spans="3:7" x14ac:dyDescent="0.3">
      <c r="C6108" s="109"/>
      <c r="D6108" s="109"/>
      <c r="E6108" s="109"/>
      <c r="F6108" s="110"/>
      <c r="G6108" s="109"/>
    </row>
    <row r="6109" spans="3:7" x14ac:dyDescent="0.3">
      <c r="C6109" s="109"/>
      <c r="D6109" s="109"/>
      <c r="E6109" s="109"/>
      <c r="F6109" s="110"/>
      <c r="G6109" s="109"/>
    </row>
    <row r="6110" spans="3:7" x14ac:dyDescent="0.3">
      <c r="C6110" s="109"/>
      <c r="D6110" s="109"/>
      <c r="E6110" s="109"/>
      <c r="F6110" s="110"/>
      <c r="G6110" s="109"/>
    </row>
    <row r="6111" spans="3:7" x14ac:dyDescent="0.3">
      <c r="C6111" s="109"/>
      <c r="D6111" s="109"/>
      <c r="E6111" s="109"/>
      <c r="F6111" s="110"/>
      <c r="G6111" s="109"/>
    </row>
    <row r="6112" spans="3:7" x14ac:dyDescent="0.3">
      <c r="C6112" s="109"/>
      <c r="D6112" s="109"/>
      <c r="E6112" s="109"/>
      <c r="F6112" s="110"/>
      <c r="G6112" s="109"/>
    </row>
    <row r="6113" spans="3:7" x14ac:dyDescent="0.3">
      <c r="C6113" s="109"/>
      <c r="D6113" s="109"/>
      <c r="E6113" s="109"/>
      <c r="F6113" s="110"/>
      <c r="G6113" s="109"/>
    </row>
    <row r="6114" spans="3:7" x14ac:dyDescent="0.3">
      <c r="C6114" s="109"/>
      <c r="D6114" s="109"/>
      <c r="E6114" s="109"/>
      <c r="F6114" s="110"/>
      <c r="G6114" s="109"/>
    </row>
    <row r="6115" spans="3:7" x14ac:dyDescent="0.3">
      <c r="C6115" s="109"/>
      <c r="D6115" s="109"/>
      <c r="E6115" s="109"/>
      <c r="F6115" s="110"/>
      <c r="G6115" s="109"/>
    </row>
    <row r="6116" spans="3:7" x14ac:dyDescent="0.3">
      <c r="C6116" s="109"/>
      <c r="D6116" s="109"/>
      <c r="E6116" s="109"/>
      <c r="F6116" s="110"/>
      <c r="G6116" s="109"/>
    </row>
    <row r="6117" spans="3:7" x14ac:dyDescent="0.3">
      <c r="C6117" s="109"/>
      <c r="D6117" s="109"/>
      <c r="E6117" s="109"/>
      <c r="F6117" s="110"/>
      <c r="G6117" s="109"/>
    </row>
    <row r="6118" spans="3:7" x14ac:dyDescent="0.3">
      <c r="C6118" s="109"/>
      <c r="D6118" s="109"/>
      <c r="E6118" s="109"/>
      <c r="F6118" s="110"/>
      <c r="G6118" s="109"/>
    </row>
    <row r="6119" spans="3:7" x14ac:dyDescent="0.3">
      <c r="C6119" s="109"/>
      <c r="D6119" s="109"/>
      <c r="E6119" s="109"/>
      <c r="F6119" s="110"/>
      <c r="G6119" s="109"/>
    </row>
    <row r="6120" spans="3:7" x14ac:dyDescent="0.3">
      <c r="C6120" s="109"/>
      <c r="D6120" s="109"/>
      <c r="E6120" s="109"/>
      <c r="F6120" s="110"/>
      <c r="G6120" s="109"/>
    </row>
    <row r="6121" spans="3:7" x14ac:dyDescent="0.3">
      <c r="C6121" s="109"/>
      <c r="D6121" s="109"/>
      <c r="E6121" s="109"/>
      <c r="F6121" s="110"/>
      <c r="G6121" s="109"/>
    </row>
    <row r="6122" spans="3:7" x14ac:dyDescent="0.3">
      <c r="C6122" s="109"/>
      <c r="D6122" s="109"/>
      <c r="E6122" s="109"/>
      <c r="F6122" s="110"/>
      <c r="G6122" s="109"/>
    </row>
    <row r="6123" spans="3:7" x14ac:dyDescent="0.3">
      <c r="C6123" s="109"/>
      <c r="D6123" s="109"/>
      <c r="E6123" s="109"/>
      <c r="F6123" s="110"/>
      <c r="G6123" s="109"/>
    </row>
    <row r="6124" spans="3:7" x14ac:dyDescent="0.3">
      <c r="C6124" s="109"/>
      <c r="D6124" s="109"/>
      <c r="E6124" s="109"/>
      <c r="F6124" s="110"/>
      <c r="G6124" s="109"/>
    </row>
    <row r="6125" spans="3:7" x14ac:dyDescent="0.3">
      <c r="C6125" s="109"/>
      <c r="D6125" s="109"/>
      <c r="E6125" s="109"/>
      <c r="F6125" s="110"/>
      <c r="G6125" s="109"/>
    </row>
    <row r="6126" spans="3:7" x14ac:dyDescent="0.3">
      <c r="C6126" s="109"/>
      <c r="D6126" s="109"/>
      <c r="E6126" s="109"/>
      <c r="F6126" s="110"/>
      <c r="G6126" s="109"/>
    </row>
    <row r="6127" spans="3:7" x14ac:dyDescent="0.3">
      <c r="C6127" s="109"/>
      <c r="D6127" s="109"/>
      <c r="E6127" s="109"/>
      <c r="F6127" s="110"/>
      <c r="G6127" s="109"/>
    </row>
    <row r="6128" spans="3:7" x14ac:dyDescent="0.3">
      <c r="C6128" s="109"/>
      <c r="D6128" s="109"/>
      <c r="E6128" s="109"/>
      <c r="F6128" s="110"/>
      <c r="G6128" s="109"/>
    </row>
    <row r="6129" spans="3:7" x14ac:dyDescent="0.3">
      <c r="C6129" s="109"/>
      <c r="D6129" s="109"/>
      <c r="E6129" s="109"/>
      <c r="F6129" s="110"/>
      <c r="G6129" s="109"/>
    </row>
    <row r="6130" spans="3:7" x14ac:dyDescent="0.3">
      <c r="C6130" s="109"/>
      <c r="D6130" s="109"/>
      <c r="E6130" s="109"/>
      <c r="F6130" s="110"/>
      <c r="G6130" s="109"/>
    </row>
    <row r="6131" spans="3:7" x14ac:dyDescent="0.3">
      <c r="C6131" s="109"/>
      <c r="D6131" s="109"/>
      <c r="E6131" s="109"/>
      <c r="F6131" s="110"/>
      <c r="G6131" s="109"/>
    </row>
    <row r="6132" spans="3:7" x14ac:dyDescent="0.3">
      <c r="C6132" s="109"/>
      <c r="D6132" s="109"/>
      <c r="E6132" s="109"/>
      <c r="F6132" s="110"/>
      <c r="G6132" s="109"/>
    </row>
    <row r="6133" spans="3:7" x14ac:dyDescent="0.3">
      <c r="C6133" s="109"/>
      <c r="D6133" s="109"/>
      <c r="E6133" s="109"/>
      <c r="F6133" s="110"/>
      <c r="G6133" s="109"/>
    </row>
    <row r="6134" spans="3:7" x14ac:dyDescent="0.3">
      <c r="C6134" s="109"/>
      <c r="D6134" s="109"/>
      <c r="E6134" s="109"/>
      <c r="F6134" s="110"/>
      <c r="G6134" s="109"/>
    </row>
    <row r="6135" spans="3:7" x14ac:dyDescent="0.3">
      <c r="C6135" s="109"/>
      <c r="D6135" s="109"/>
      <c r="E6135" s="109"/>
      <c r="F6135" s="110"/>
      <c r="G6135" s="109"/>
    </row>
    <row r="6136" spans="3:7" x14ac:dyDescent="0.3">
      <c r="C6136" s="109"/>
      <c r="D6136" s="109"/>
      <c r="E6136" s="109"/>
      <c r="F6136" s="110"/>
      <c r="G6136" s="109"/>
    </row>
    <row r="6137" spans="3:7" x14ac:dyDescent="0.3">
      <c r="C6137" s="109"/>
      <c r="D6137" s="109"/>
      <c r="E6137" s="109"/>
      <c r="F6137" s="110"/>
      <c r="G6137" s="109"/>
    </row>
    <row r="6138" spans="3:7" x14ac:dyDescent="0.3">
      <c r="C6138" s="109"/>
      <c r="D6138" s="109"/>
      <c r="E6138" s="109"/>
      <c r="F6138" s="110"/>
      <c r="G6138" s="109"/>
    </row>
    <row r="6139" spans="3:7" x14ac:dyDescent="0.3">
      <c r="C6139" s="109"/>
      <c r="D6139" s="109"/>
      <c r="E6139" s="109"/>
      <c r="F6139" s="110"/>
      <c r="G6139" s="109"/>
    </row>
    <row r="6140" spans="3:7" x14ac:dyDescent="0.3">
      <c r="C6140" s="109"/>
      <c r="D6140" s="109"/>
      <c r="E6140" s="109"/>
      <c r="F6140" s="110"/>
      <c r="G6140" s="109"/>
    </row>
    <row r="6141" spans="3:7" x14ac:dyDescent="0.3">
      <c r="C6141" s="109"/>
      <c r="D6141" s="109"/>
      <c r="E6141" s="109"/>
      <c r="F6141" s="110"/>
      <c r="G6141" s="109"/>
    </row>
    <row r="6142" spans="3:7" x14ac:dyDescent="0.3">
      <c r="C6142" s="109"/>
      <c r="D6142" s="109"/>
      <c r="E6142" s="109"/>
      <c r="F6142" s="110"/>
      <c r="G6142" s="109"/>
    </row>
    <row r="6143" spans="3:7" x14ac:dyDescent="0.3">
      <c r="C6143" s="109"/>
      <c r="D6143" s="109"/>
      <c r="E6143" s="109"/>
      <c r="F6143" s="110"/>
      <c r="G6143" s="109"/>
    </row>
    <row r="6144" spans="3:7" x14ac:dyDescent="0.3">
      <c r="C6144" s="109"/>
      <c r="D6144" s="109"/>
      <c r="E6144" s="109"/>
      <c r="F6144" s="110"/>
      <c r="G6144" s="109"/>
    </row>
    <row r="6145" spans="3:7" x14ac:dyDescent="0.3">
      <c r="C6145" s="109"/>
      <c r="D6145" s="109"/>
      <c r="E6145" s="109"/>
      <c r="F6145" s="110"/>
      <c r="G6145" s="109"/>
    </row>
    <row r="6146" spans="3:7" x14ac:dyDescent="0.3">
      <c r="C6146" s="109"/>
      <c r="D6146" s="109"/>
      <c r="E6146" s="109"/>
      <c r="F6146" s="110"/>
      <c r="G6146" s="109"/>
    </row>
    <row r="6147" spans="3:7" x14ac:dyDescent="0.3">
      <c r="C6147" s="109"/>
      <c r="D6147" s="109"/>
      <c r="E6147" s="109"/>
      <c r="F6147" s="110"/>
      <c r="G6147" s="109"/>
    </row>
    <row r="6148" spans="3:7" x14ac:dyDescent="0.3">
      <c r="C6148" s="109"/>
      <c r="D6148" s="109"/>
      <c r="E6148" s="109"/>
      <c r="F6148" s="110"/>
      <c r="G6148" s="109"/>
    </row>
    <row r="6149" spans="3:7" x14ac:dyDescent="0.3">
      <c r="C6149" s="109"/>
      <c r="D6149" s="109"/>
      <c r="E6149" s="109"/>
      <c r="F6149" s="110"/>
      <c r="G6149" s="109"/>
    </row>
    <row r="6150" spans="3:7" x14ac:dyDescent="0.3">
      <c r="C6150" s="109"/>
      <c r="D6150" s="109"/>
      <c r="E6150" s="109"/>
      <c r="F6150" s="110"/>
      <c r="G6150" s="109"/>
    </row>
    <row r="6151" spans="3:7" x14ac:dyDescent="0.3">
      <c r="C6151" s="109"/>
      <c r="D6151" s="109"/>
      <c r="E6151" s="109"/>
      <c r="F6151" s="110"/>
      <c r="G6151" s="109"/>
    </row>
    <row r="6152" spans="3:7" x14ac:dyDescent="0.3">
      <c r="C6152" s="109"/>
      <c r="D6152" s="109"/>
      <c r="E6152" s="109"/>
      <c r="F6152" s="110"/>
      <c r="G6152" s="109"/>
    </row>
    <row r="6153" spans="3:7" x14ac:dyDescent="0.3">
      <c r="C6153" s="109"/>
      <c r="D6153" s="109"/>
      <c r="E6153" s="109"/>
      <c r="F6153" s="110"/>
      <c r="G6153" s="109"/>
    </row>
    <row r="6154" spans="3:7" x14ac:dyDescent="0.3">
      <c r="C6154" s="109"/>
      <c r="D6154" s="109"/>
      <c r="E6154" s="109"/>
      <c r="F6154" s="110"/>
      <c r="G6154" s="109"/>
    </row>
    <row r="6155" spans="3:7" x14ac:dyDescent="0.3">
      <c r="C6155" s="109"/>
      <c r="D6155" s="109"/>
      <c r="E6155" s="109"/>
      <c r="F6155" s="110"/>
      <c r="G6155" s="109"/>
    </row>
    <row r="6156" spans="3:7" x14ac:dyDescent="0.3">
      <c r="C6156" s="109"/>
      <c r="D6156" s="109"/>
      <c r="E6156" s="109"/>
      <c r="F6156" s="110"/>
      <c r="G6156" s="109"/>
    </row>
    <row r="6157" spans="3:7" x14ac:dyDescent="0.3">
      <c r="C6157" s="109"/>
      <c r="D6157" s="109"/>
      <c r="E6157" s="109"/>
      <c r="F6157" s="110"/>
      <c r="G6157" s="109"/>
    </row>
    <row r="6158" spans="3:7" x14ac:dyDescent="0.3">
      <c r="C6158" s="109"/>
      <c r="D6158" s="109"/>
      <c r="E6158" s="109"/>
      <c r="F6158" s="110"/>
      <c r="G6158" s="109"/>
    </row>
    <row r="6159" spans="3:7" x14ac:dyDescent="0.3">
      <c r="C6159" s="109"/>
      <c r="D6159" s="109"/>
      <c r="E6159" s="109"/>
      <c r="F6159" s="110"/>
      <c r="G6159" s="109"/>
    </row>
    <row r="6160" spans="3:7" x14ac:dyDescent="0.3">
      <c r="C6160" s="109"/>
      <c r="D6160" s="109"/>
      <c r="E6160" s="109"/>
      <c r="F6160" s="110"/>
      <c r="G6160" s="109"/>
    </row>
    <row r="6161" spans="3:7" x14ac:dyDescent="0.3">
      <c r="C6161" s="109"/>
      <c r="D6161" s="109"/>
      <c r="E6161" s="109"/>
      <c r="F6161" s="110"/>
      <c r="G6161" s="109"/>
    </row>
    <row r="6162" spans="3:7" x14ac:dyDescent="0.3">
      <c r="C6162" s="109"/>
      <c r="D6162" s="109"/>
      <c r="E6162" s="109"/>
      <c r="F6162" s="110"/>
      <c r="G6162" s="109"/>
    </row>
    <row r="6163" spans="3:7" x14ac:dyDescent="0.3">
      <c r="C6163" s="109"/>
      <c r="D6163" s="109"/>
      <c r="E6163" s="109"/>
      <c r="F6163" s="110"/>
      <c r="G6163" s="109"/>
    </row>
    <row r="6164" spans="3:7" x14ac:dyDescent="0.3">
      <c r="C6164" s="109"/>
      <c r="D6164" s="109"/>
      <c r="E6164" s="109"/>
      <c r="F6164" s="110"/>
      <c r="G6164" s="109"/>
    </row>
    <row r="6165" spans="3:7" x14ac:dyDescent="0.3">
      <c r="C6165" s="109"/>
      <c r="D6165" s="109"/>
      <c r="E6165" s="109"/>
      <c r="F6165" s="110"/>
      <c r="G6165" s="109"/>
    </row>
    <row r="6166" spans="3:7" x14ac:dyDescent="0.3">
      <c r="C6166" s="109"/>
      <c r="D6166" s="109"/>
      <c r="E6166" s="109"/>
      <c r="F6166" s="110"/>
      <c r="G6166" s="109"/>
    </row>
    <row r="6167" spans="3:7" x14ac:dyDescent="0.3">
      <c r="C6167" s="109"/>
      <c r="D6167" s="109"/>
      <c r="E6167" s="109"/>
      <c r="F6167" s="110"/>
      <c r="G6167" s="109"/>
    </row>
    <row r="6168" spans="3:7" x14ac:dyDescent="0.3">
      <c r="C6168" s="109"/>
      <c r="D6168" s="109"/>
      <c r="E6168" s="109"/>
      <c r="F6168" s="110"/>
      <c r="G6168" s="109"/>
    </row>
    <row r="6169" spans="3:7" x14ac:dyDescent="0.3">
      <c r="C6169" s="109"/>
      <c r="D6169" s="109"/>
      <c r="E6169" s="109"/>
      <c r="F6169" s="110"/>
      <c r="G6169" s="109"/>
    </row>
    <row r="6170" spans="3:7" x14ac:dyDescent="0.3">
      <c r="C6170" s="109"/>
      <c r="D6170" s="109"/>
      <c r="E6170" s="109"/>
      <c r="F6170" s="110"/>
      <c r="G6170" s="109"/>
    </row>
    <row r="6171" spans="3:7" x14ac:dyDescent="0.3">
      <c r="C6171" s="109"/>
      <c r="D6171" s="109"/>
      <c r="E6171" s="109"/>
      <c r="F6171" s="110"/>
      <c r="G6171" s="109"/>
    </row>
    <row r="6172" spans="3:7" x14ac:dyDescent="0.3">
      <c r="C6172" s="109"/>
      <c r="D6172" s="109"/>
      <c r="E6172" s="109"/>
      <c r="F6172" s="110"/>
      <c r="G6172" s="109"/>
    </row>
    <row r="6173" spans="3:7" x14ac:dyDescent="0.3">
      <c r="C6173" s="109"/>
      <c r="D6173" s="109"/>
      <c r="E6173" s="109"/>
      <c r="F6173" s="110"/>
      <c r="G6173" s="109"/>
    </row>
    <row r="6174" spans="3:7" x14ac:dyDescent="0.3">
      <c r="C6174" s="109"/>
      <c r="D6174" s="109"/>
      <c r="E6174" s="109"/>
      <c r="F6174" s="110"/>
      <c r="G6174" s="109"/>
    </row>
    <row r="6175" spans="3:7" x14ac:dyDescent="0.3">
      <c r="C6175" s="109"/>
      <c r="D6175" s="109"/>
      <c r="E6175" s="109"/>
      <c r="F6175" s="110"/>
      <c r="G6175" s="109"/>
    </row>
    <row r="6176" spans="3:7" x14ac:dyDescent="0.3">
      <c r="C6176" s="109"/>
      <c r="D6176" s="109"/>
      <c r="E6176" s="109"/>
      <c r="F6176" s="110"/>
      <c r="G6176" s="109"/>
    </row>
    <row r="6177" spans="3:7" x14ac:dyDescent="0.3">
      <c r="C6177" s="109"/>
      <c r="D6177" s="109"/>
      <c r="E6177" s="109"/>
      <c r="F6177" s="110"/>
      <c r="G6177" s="109"/>
    </row>
    <row r="6178" spans="3:7" x14ac:dyDescent="0.3">
      <c r="C6178" s="109"/>
      <c r="D6178" s="109"/>
      <c r="E6178" s="109"/>
      <c r="F6178" s="110"/>
      <c r="G6178" s="109"/>
    </row>
    <row r="6179" spans="3:7" x14ac:dyDescent="0.3">
      <c r="C6179" s="109"/>
      <c r="D6179" s="109"/>
      <c r="E6179" s="109"/>
      <c r="F6179" s="110"/>
      <c r="G6179" s="109"/>
    </row>
    <row r="6180" spans="3:7" x14ac:dyDescent="0.3">
      <c r="C6180" s="109"/>
      <c r="D6180" s="109"/>
      <c r="E6180" s="109"/>
      <c r="F6180" s="110"/>
      <c r="G6180" s="109"/>
    </row>
    <row r="6181" spans="3:7" x14ac:dyDescent="0.3">
      <c r="C6181" s="109"/>
      <c r="D6181" s="109"/>
      <c r="E6181" s="109"/>
      <c r="F6181" s="110"/>
      <c r="G6181" s="109"/>
    </row>
    <row r="6182" spans="3:7" x14ac:dyDescent="0.3">
      <c r="C6182" s="109"/>
      <c r="D6182" s="109"/>
      <c r="E6182" s="109"/>
      <c r="F6182" s="110"/>
      <c r="G6182" s="109"/>
    </row>
    <row r="6183" spans="3:7" x14ac:dyDescent="0.3">
      <c r="C6183" s="109"/>
      <c r="D6183" s="109"/>
      <c r="E6183" s="109"/>
      <c r="F6183" s="110"/>
      <c r="G6183" s="109"/>
    </row>
    <row r="6184" spans="3:7" x14ac:dyDescent="0.3">
      <c r="C6184" s="109"/>
      <c r="D6184" s="109"/>
      <c r="E6184" s="109"/>
      <c r="F6184" s="110"/>
      <c r="G6184" s="109"/>
    </row>
    <row r="6185" spans="3:7" x14ac:dyDescent="0.3">
      <c r="C6185" s="109"/>
      <c r="D6185" s="109"/>
      <c r="E6185" s="109"/>
      <c r="F6185" s="110"/>
      <c r="G6185" s="109"/>
    </row>
    <row r="6186" spans="3:7" x14ac:dyDescent="0.3">
      <c r="C6186" s="109"/>
      <c r="D6186" s="109"/>
      <c r="E6186" s="109"/>
      <c r="F6186" s="110"/>
      <c r="G6186" s="109"/>
    </row>
    <row r="6187" spans="3:7" x14ac:dyDescent="0.3">
      <c r="C6187" s="109"/>
      <c r="D6187" s="109"/>
      <c r="E6187" s="109"/>
      <c r="F6187" s="110"/>
      <c r="G6187" s="109"/>
    </row>
    <row r="6188" spans="3:7" x14ac:dyDescent="0.3">
      <c r="C6188" s="109"/>
      <c r="D6188" s="109"/>
      <c r="E6188" s="109"/>
      <c r="F6188" s="110"/>
      <c r="G6188" s="109"/>
    </row>
    <row r="6189" spans="3:7" x14ac:dyDescent="0.3">
      <c r="C6189" s="109"/>
      <c r="D6189" s="109"/>
      <c r="E6189" s="109"/>
      <c r="F6189" s="110"/>
      <c r="G6189" s="109"/>
    </row>
    <row r="6190" spans="3:7" x14ac:dyDescent="0.3">
      <c r="C6190" s="109"/>
      <c r="D6190" s="109"/>
      <c r="E6190" s="109"/>
      <c r="F6190" s="110"/>
      <c r="G6190" s="109"/>
    </row>
    <row r="6191" spans="3:7" x14ac:dyDescent="0.3">
      <c r="C6191" s="109"/>
      <c r="D6191" s="109"/>
      <c r="E6191" s="109"/>
      <c r="F6191" s="110"/>
      <c r="G6191" s="109"/>
    </row>
    <row r="6192" spans="3:7" x14ac:dyDescent="0.3">
      <c r="C6192" s="109"/>
      <c r="D6192" s="109"/>
      <c r="E6192" s="109"/>
      <c r="F6192" s="110"/>
      <c r="G6192" s="109"/>
    </row>
    <row r="6193" spans="3:7" x14ac:dyDescent="0.3">
      <c r="C6193" s="109"/>
      <c r="D6193" s="109"/>
      <c r="E6193" s="109"/>
      <c r="F6193" s="110"/>
      <c r="G6193" s="109"/>
    </row>
    <row r="6194" spans="3:7" x14ac:dyDescent="0.3">
      <c r="C6194" s="109"/>
      <c r="D6194" s="109"/>
      <c r="E6194" s="109"/>
      <c r="F6194" s="110"/>
      <c r="G6194" s="109"/>
    </row>
    <row r="6195" spans="3:7" x14ac:dyDescent="0.3">
      <c r="C6195" s="109"/>
      <c r="D6195" s="109"/>
      <c r="E6195" s="109"/>
      <c r="F6195" s="110"/>
      <c r="G6195" s="109"/>
    </row>
    <row r="6196" spans="3:7" x14ac:dyDescent="0.3">
      <c r="C6196" s="109"/>
      <c r="D6196" s="109"/>
      <c r="E6196" s="109"/>
      <c r="F6196" s="110"/>
      <c r="G6196" s="109"/>
    </row>
    <row r="6197" spans="3:7" x14ac:dyDescent="0.3">
      <c r="C6197" s="109"/>
      <c r="D6197" s="109"/>
      <c r="E6197" s="109"/>
      <c r="F6197" s="110"/>
      <c r="G6197" s="109"/>
    </row>
    <row r="6198" spans="3:7" x14ac:dyDescent="0.3">
      <c r="C6198" s="109"/>
      <c r="D6198" s="109"/>
      <c r="E6198" s="109"/>
      <c r="F6198" s="110"/>
      <c r="G6198" s="109"/>
    </row>
    <row r="6199" spans="3:7" x14ac:dyDescent="0.3">
      <c r="C6199" s="109"/>
      <c r="D6199" s="109"/>
      <c r="E6199" s="109"/>
      <c r="F6199" s="110"/>
      <c r="G6199" s="109"/>
    </row>
    <row r="6200" spans="3:7" x14ac:dyDescent="0.3">
      <c r="C6200" s="109"/>
      <c r="D6200" s="109"/>
      <c r="E6200" s="109"/>
      <c r="F6200" s="110"/>
      <c r="G6200" s="109"/>
    </row>
    <row r="6201" spans="3:7" x14ac:dyDescent="0.3">
      <c r="C6201" s="109"/>
      <c r="D6201" s="109"/>
      <c r="E6201" s="109"/>
      <c r="F6201" s="110"/>
      <c r="G6201" s="109"/>
    </row>
    <row r="6202" spans="3:7" x14ac:dyDescent="0.3">
      <c r="C6202" s="109"/>
      <c r="D6202" s="109"/>
      <c r="E6202" s="109"/>
      <c r="F6202" s="110"/>
      <c r="G6202" s="109"/>
    </row>
    <row r="6203" spans="3:7" x14ac:dyDescent="0.3">
      <c r="C6203" s="109"/>
      <c r="D6203" s="109"/>
      <c r="E6203" s="109"/>
      <c r="F6203" s="110"/>
      <c r="G6203" s="109"/>
    </row>
    <row r="6204" spans="3:7" x14ac:dyDescent="0.3">
      <c r="C6204" s="109"/>
      <c r="D6204" s="109"/>
      <c r="E6204" s="109"/>
      <c r="F6204" s="110"/>
      <c r="G6204" s="109"/>
    </row>
    <row r="6205" spans="3:7" x14ac:dyDescent="0.3">
      <c r="C6205" s="109"/>
      <c r="D6205" s="109"/>
      <c r="E6205" s="109"/>
      <c r="F6205" s="110"/>
      <c r="G6205" s="109"/>
    </row>
    <row r="6206" spans="3:7" x14ac:dyDescent="0.3">
      <c r="C6206" s="109"/>
      <c r="D6206" s="109"/>
      <c r="E6206" s="109"/>
      <c r="F6206" s="110"/>
      <c r="G6206" s="109"/>
    </row>
    <row r="6207" spans="3:7" x14ac:dyDescent="0.3">
      <c r="C6207" s="109"/>
      <c r="D6207" s="109"/>
      <c r="E6207" s="109"/>
      <c r="F6207" s="110"/>
      <c r="G6207" s="109"/>
    </row>
    <row r="6208" spans="3:7" x14ac:dyDescent="0.3">
      <c r="C6208" s="109"/>
      <c r="D6208" s="109"/>
      <c r="E6208" s="109"/>
      <c r="F6208" s="110"/>
      <c r="G6208" s="109"/>
    </row>
    <row r="6209" spans="3:7" x14ac:dyDescent="0.3">
      <c r="C6209" s="109"/>
      <c r="D6209" s="109"/>
      <c r="E6209" s="109"/>
      <c r="F6209" s="110"/>
      <c r="G6209" s="109"/>
    </row>
    <row r="6210" spans="3:7" x14ac:dyDescent="0.3">
      <c r="C6210" s="109"/>
      <c r="D6210" s="109"/>
      <c r="E6210" s="109"/>
      <c r="F6210" s="110"/>
      <c r="G6210" s="109"/>
    </row>
    <row r="6211" spans="3:7" x14ac:dyDescent="0.3">
      <c r="C6211" s="109"/>
      <c r="D6211" s="109"/>
      <c r="E6211" s="109"/>
      <c r="F6211" s="110"/>
      <c r="G6211" s="109"/>
    </row>
    <row r="6212" spans="3:7" x14ac:dyDescent="0.3">
      <c r="C6212" s="109"/>
      <c r="D6212" s="109"/>
      <c r="E6212" s="109"/>
      <c r="F6212" s="110"/>
      <c r="G6212" s="109"/>
    </row>
    <row r="6213" spans="3:7" x14ac:dyDescent="0.3">
      <c r="C6213" s="109"/>
      <c r="D6213" s="109"/>
      <c r="E6213" s="109"/>
      <c r="F6213" s="110"/>
      <c r="G6213" s="109"/>
    </row>
    <row r="6214" spans="3:7" x14ac:dyDescent="0.3">
      <c r="C6214" s="109"/>
      <c r="D6214" s="109"/>
      <c r="E6214" s="109"/>
      <c r="F6214" s="110"/>
      <c r="G6214" s="109"/>
    </row>
    <row r="6215" spans="3:7" x14ac:dyDescent="0.3">
      <c r="C6215" s="109"/>
      <c r="D6215" s="109"/>
      <c r="E6215" s="109"/>
      <c r="F6215" s="110"/>
      <c r="G6215" s="109"/>
    </row>
    <row r="6216" spans="3:7" x14ac:dyDescent="0.3">
      <c r="C6216" s="109"/>
      <c r="D6216" s="109"/>
      <c r="E6216" s="109"/>
      <c r="F6216" s="110"/>
      <c r="G6216" s="109"/>
    </row>
    <row r="6217" spans="3:7" x14ac:dyDescent="0.3">
      <c r="C6217" s="109"/>
      <c r="D6217" s="109"/>
      <c r="E6217" s="109"/>
      <c r="F6217" s="110"/>
      <c r="G6217" s="109"/>
    </row>
    <row r="6218" spans="3:7" x14ac:dyDescent="0.3">
      <c r="C6218" s="109"/>
      <c r="D6218" s="109"/>
      <c r="E6218" s="109"/>
      <c r="F6218" s="110"/>
      <c r="G6218" s="109"/>
    </row>
    <row r="6219" spans="3:7" x14ac:dyDescent="0.3">
      <c r="C6219" s="109"/>
      <c r="D6219" s="109"/>
      <c r="E6219" s="109"/>
      <c r="F6219" s="110"/>
      <c r="G6219" s="109"/>
    </row>
    <row r="6220" spans="3:7" x14ac:dyDescent="0.3">
      <c r="C6220" s="109"/>
      <c r="D6220" s="109"/>
      <c r="E6220" s="109"/>
      <c r="F6220" s="110"/>
      <c r="G6220" s="109"/>
    </row>
    <row r="6221" spans="3:7" x14ac:dyDescent="0.3">
      <c r="C6221" s="109"/>
      <c r="D6221" s="109"/>
      <c r="E6221" s="109"/>
      <c r="F6221" s="110"/>
      <c r="G6221" s="109"/>
    </row>
    <row r="6222" spans="3:7" x14ac:dyDescent="0.3">
      <c r="C6222" s="109"/>
      <c r="D6222" s="109"/>
      <c r="E6222" s="109"/>
      <c r="F6222" s="110"/>
      <c r="G6222" s="109"/>
    </row>
    <row r="6223" spans="3:7" x14ac:dyDescent="0.3">
      <c r="C6223" s="109"/>
      <c r="D6223" s="109"/>
      <c r="E6223" s="109"/>
      <c r="F6223" s="110"/>
      <c r="G6223" s="109"/>
    </row>
    <row r="6224" spans="3:7" x14ac:dyDescent="0.3">
      <c r="C6224" s="109"/>
      <c r="D6224" s="109"/>
      <c r="E6224" s="109"/>
      <c r="F6224" s="110"/>
      <c r="G6224" s="109"/>
    </row>
    <row r="6225" spans="3:7" x14ac:dyDescent="0.3">
      <c r="C6225" s="109"/>
      <c r="D6225" s="109"/>
      <c r="E6225" s="109"/>
      <c r="F6225" s="110"/>
      <c r="G6225" s="109"/>
    </row>
    <row r="6226" spans="3:7" x14ac:dyDescent="0.3">
      <c r="C6226" s="109"/>
      <c r="D6226" s="109"/>
      <c r="E6226" s="109"/>
      <c r="F6226" s="110"/>
      <c r="G6226" s="109"/>
    </row>
    <row r="6227" spans="3:7" x14ac:dyDescent="0.3">
      <c r="C6227" s="109"/>
      <c r="D6227" s="109"/>
      <c r="E6227" s="109"/>
      <c r="F6227" s="110"/>
      <c r="G6227" s="109"/>
    </row>
    <row r="6228" spans="3:7" x14ac:dyDescent="0.3">
      <c r="C6228" s="109"/>
      <c r="D6228" s="109"/>
      <c r="E6228" s="109"/>
      <c r="F6228" s="110"/>
      <c r="G6228" s="109"/>
    </row>
    <row r="6229" spans="3:7" x14ac:dyDescent="0.3">
      <c r="C6229" s="109"/>
      <c r="D6229" s="109"/>
      <c r="E6229" s="109"/>
      <c r="F6229" s="110"/>
      <c r="G6229" s="109"/>
    </row>
    <row r="6230" spans="3:7" x14ac:dyDescent="0.3">
      <c r="C6230" s="109"/>
      <c r="D6230" s="109"/>
      <c r="E6230" s="109"/>
      <c r="F6230" s="110"/>
      <c r="G6230" s="109"/>
    </row>
    <row r="6231" spans="3:7" x14ac:dyDescent="0.3">
      <c r="C6231" s="109"/>
      <c r="D6231" s="109"/>
      <c r="E6231" s="109"/>
      <c r="F6231" s="110"/>
      <c r="G6231" s="109"/>
    </row>
    <row r="6232" spans="3:7" x14ac:dyDescent="0.3">
      <c r="C6232" s="109"/>
      <c r="D6232" s="109"/>
      <c r="E6232" s="109"/>
      <c r="F6232" s="110"/>
      <c r="G6232" s="109"/>
    </row>
    <row r="6233" spans="3:7" x14ac:dyDescent="0.3">
      <c r="C6233" s="109"/>
      <c r="D6233" s="109"/>
      <c r="E6233" s="109"/>
      <c r="F6233" s="110"/>
      <c r="G6233" s="109"/>
    </row>
    <row r="6234" spans="3:7" x14ac:dyDescent="0.3">
      <c r="C6234" s="109"/>
      <c r="D6234" s="109"/>
      <c r="E6234" s="109"/>
      <c r="F6234" s="110"/>
      <c r="G6234" s="109"/>
    </row>
    <row r="6235" spans="3:7" x14ac:dyDescent="0.3">
      <c r="C6235" s="109"/>
      <c r="D6235" s="109"/>
      <c r="E6235" s="109"/>
      <c r="F6235" s="110"/>
      <c r="G6235" s="109"/>
    </row>
    <row r="6236" spans="3:7" x14ac:dyDescent="0.3">
      <c r="C6236" s="109"/>
      <c r="D6236" s="109"/>
      <c r="E6236" s="109"/>
      <c r="F6236" s="110"/>
      <c r="G6236" s="109"/>
    </row>
    <row r="6237" spans="3:7" x14ac:dyDescent="0.3">
      <c r="C6237" s="109"/>
      <c r="D6237" s="109"/>
      <c r="E6237" s="109"/>
      <c r="F6237" s="110"/>
      <c r="G6237" s="109"/>
    </row>
    <row r="6238" spans="3:7" x14ac:dyDescent="0.3">
      <c r="C6238" s="109"/>
      <c r="D6238" s="109"/>
      <c r="E6238" s="109"/>
      <c r="F6238" s="110"/>
      <c r="G6238" s="109"/>
    </row>
    <row r="6239" spans="3:7" x14ac:dyDescent="0.3">
      <c r="C6239" s="109"/>
      <c r="D6239" s="109"/>
      <c r="E6239" s="109"/>
      <c r="F6239" s="110"/>
      <c r="G6239" s="109"/>
    </row>
    <row r="6240" spans="3:7" x14ac:dyDescent="0.3">
      <c r="C6240" s="109"/>
      <c r="D6240" s="109"/>
      <c r="E6240" s="109"/>
      <c r="F6240" s="110"/>
      <c r="G6240" s="109"/>
    </row>
    <row r="6241" spans="3:7" x14ac:dyDescent="0.3">
      <c r="C6241" s="109"/>
      <c r="D6241" s="109"/>
      <c r="E6241" s="109"/>
      <c r="F6241" s="110"/>
      <c r="G6241" s="109"/>
    </row>
    <row r="6242" spans="3:7" x14ac:dyDescent="0.3">
      <c r="C6242" s="109"/>
      <c r="D6242" s="109"/>
      <c r="E6242" s="109"/>
      <c r="F6242" s="110"/>
      <c r="G6242" s="109"/>
    </row>
    <row r="6243" spans="3:7" x14ac:dyDescent="0.3">
      <c r="C6243" s="109"/>
      <c r="D6243" s="109"/>
      <c r="E6243" s="109"/>
      <c r="F6243" s="110"/>
      <c r="G6243" s="109"/>
    </row>
    <row r="6244" spans="3:7" x14ac:dyDescent="0.3">
      <c r="C6244" s="109"/>
      <c r="D6244" s="109"/>
      <c r="E6244" s="109"/>
      <c r="F6244" s="110"/>
      <c r="G6244" s="109"/>
    </row>
    <row r="6245" spans="3:7" x14ac:dyDescent="0.3">
      <c r="C6245" s="109"/>
      <c r="D6245" s="109"/>
      <c r="E6245" s="109"/>
      <c r="F6245" s="110"/>
      <c r="G6245" s="109"/>
    </row>
    <row r="6246" spans="3:7" x14ac:dyDescent="0.3">
      <c r="C6246" s="109"/>
      <c r="D6246" s="109"/>
      <c r="E6246" s="109"/>
      <c r="F6246" s="110"/>
      <c r="G6246" s="109"/>
    </row>
    <row r="6247" spans="3:7" x14ac:dyDescent="0.3">
      <c r="C6247" s="109"/>
      <c r="D6247" s="109"/>
      <c r="E6247" s="109"/>
      <c r="F6247" s="110"/>
      <c r="G6247" s="109"/>
    </row>
    <row r="6248" spans="3:7" x14ac:dyDescent="0.3">
      <c r="C6248" s="109"/>
      <c r="D6248" s="109"/>
      <c r="E6248" s="109"/>
      <c r="F6248" s="110"/>
      <c r="G6248" s="109"/>
    </row>
    <row r="6249" spans="3:7" x14ac:dyDescent="0.3">
      <c r="C6249" s="109"/>
      <c r="D6249" s="109"/>
      <c r="E6249" s="109"/>
      <c r="F6249" s="110"/>
      <c r="G6249" s="109"/>
    </row>
    <row r="6250" spans="3:7" x14ac:dyDescent="0.3">
      <c r="C6250" s="109"/>
      <c r="D6250" s="109"/>
      <c r="E6250" s="109"/>
      <c r="F6250" s="110"/>
      <c r="G6250" s="109"/>
    </row>
    <row r="6251" spans="3:7" x14ac:dyDescent="0.3">
      <c r="C6251" s="109"/>
      <c r="D6251" s="109"/>
      <c r="E6251" s="109"/>
      <c r="F6251" s="110"/>
      <c r="G6251" s="109"/>
    </row>
    <row r="6252" spans="3:7" x14ac:dyDescent="0.3">
      <c r="C6252" s="109"/>
      <c r="D6252" s="109"/>
      <c r="E6252" s="109"/>
      <c r="F6252" s="110"/>
      <c r="G6252" s="109"/>
    </row>
    <row r="6253" spans="3:7" x14ac:dyDescent="0.3">
      <c r="C6253" s="109"/>
      <c r="D6253" s="109"/>
      <c r="E6253" s="109"/>
      <c r="F6253" s="110"/>
      <c r="G6253" s="109"/>
    </row>
    <row r="6254" spans="3:7" x14ac:dyDescent="0.3">
      <c r="C6254" s="109"/>
      <c r="D6254" s="109"/>
      <c r="E6254" s="109"/>
      <c r="F6254" s="110"/>
      <c r="G6254" s="109"/>
    </row>
    <row r="6255" spans="3:7" x14ac:dyDescent="0.3">
      <c r="C6255" s="109"/>
      <c r="D6255" s="109"/>
      <c r="E6255" s="109"/>
      <c r="F6255" s="110"/>
      <c r="G6255" s="109"/>
    </row>
    <row r="6256" spans="3:7" x14ac:dyDescent="0.3">
      <c r="C6256" s="109"/>
      <c r="D6256" s="109"/>
      <c r="E6256" s="109"/>
      <c r="F6256" s="110"/>
      <c r="G6256" s="109"/>
    </row>
    <row r="6257" spans="3:7" x14ac:dyDescent="0.3">
      <c r="C6257" s="109"/>
      <c r="D6257" s="109"/>
      <c r="E6257" s="109"/>
      <c r="F6257" s="110"/>
      <c r="G6257" s="109"/>
    </row>
    <row r="6258" spans="3:7" x14ac:dyDescent="0.3">
      <c r="C6258" s="109"/>
      <c r="D6258" s="109"/>
      <c r="E6258" s="109"/>
      <c r="F6258" s="110"/>
      <c r="G6258" s="109"/>
    </row>
    <row r="6259" spans="3:7" x14ac:dyDescent="0.3">
      <c r="C6259" s="109"/>
      <c r="D6259" s="109"/>
      <c r="E6259" s="109"/>
      <c r="F6259" s="110"/>
      <c r="G6259" s="109"/>
    </row>
    <row r="6260" spans="3:7" x14ac:dyDescent="0.3">
      <c r="C6260" s="109"/>
      <c r="D6260" s="109"/>
      <c r="E6260" s="109"/>
      <c r="F6260" s="110"/>
      <c r="G6260" s="109"/>
    </row>
    <row r="6261" spans="3:7" x14ac:dyDescent="0.3">
      <c r="C6261" s="109"/>
      <c r="D6261" s="109"/>
      <c r="E6261" s="109"/>
      <c r="F6261" s="110"/>
      <c r="G6261" s="109"/>
    </row>
    <row r="6262" spans="3:7" x14ac:dyDescent="0.3">
      <c r="C6262" s="109"/>
      <c r="D6262" s="109"/>
      <c r="E6262" s="109"/>
      <c r="F6262" s="110"/>
      <c r="G6262" s="109"/>
    </row>
    <row r="6263" spans="3:7" x14ac:dyDescent="0.3">
      <c r="C6263" s="109"/>
      <c r="D6263" s="109"/>
      <c r="E6263" s="109"/>
      <c r="F6263" s="110"/>
      <c r="G6263" s="109"/>
    </row>
    <row r="6264" spans="3:7" x14ac:dyDescent="0.3">
      <c r="C6264" s="109"/>
      <c r="D6264" s="109"/>
      <c r="E6264" s="109"/>
      <c r="F6264" s="110"/>
      <c r="G6264" s="109"/>
    </row>
    <row r="6265" spans="3:7" x14ac:dyDescent="0.3">
      <c r="C6265" s="109"/>
      <c r="D6265" s="109"/>
      <c r="E6265" s="109"/>
      <c r="F6265" s="110"/>
      <c r="G6265" s="109"/>
    </row>
    <row r="6266" spans="3:7" x14ac:dyDescent="0.3">
      <c r="C6266" s="109"/>
      <c r="D6266" s="109"/>
      <c r="E6266" s="109"/>
      <c r="F6266" s="110"/>
      <c r="G6266" s="109"/>
    </row>
    <row r="6267" spans="3:7" x14ac:dyDescent="0.3">
      <c r="C6267" s="109"/>
      <c r="D6267" s="109"/>
      <c r="E6267" s="109"/>
      <c r="F6267" s="110"/>
      <c r="G6267" s="109"/>
    </row>
    <row r="6268" spans="3:7" x14ac:dyDescent="0.3">
      <c r="C6268" s="109"/>
      <c r="D6268" s="109"/>
      <c r="E6268" s="109"/>
      <c r="F6268" s="110"/>
      <c r="G6268" s="109"/>
    </row>
    <row r="6269" spans="3:7" x14ac:dyDescent="0.3">
      <c r="C6269" s="109"/>
      <c r="D6269" s="109"/>
      <c r="E6269" s="109"/>
      <c r="F6269" s="110"/>
      <c r="G6269" s="109"/>
    </row>
    <row r="6270" spans="3:7" x14ac:dyDescent="0.3">
      <c r="C6270" s="109"/>
      <c r="D6270" s="109"/>
      <c r="E6270" s="109"/>
      <c r="F6270" s="110"/>
      <c r="G6270" s="109"/>
    </row>
    <row r="6271" spans="3:7" x14ac:dyDescent="0.3">
      <c r="C6271" s="109"/>
      <c r="D6271" s="109"/>
      <c r="E6271" s="109"/>
      <c r="F6271" s="110"/>
      <c r="G6271" s="109"/>
    </row>
    <row r="6272" spans="3:7" x14ac:dyDescent="0.3">
      <c r="C6272" s="109"/>
      <c r="D6272" s="109"/>
      <c r="E6272" s="109"/>
      <c r="F6272" s="110"/>
      <c r="G6272" s="109"/>
    </row>
    <row r="6273" spans="3:7" x14ac:dyDescent="0.3">
      <c r="C6273" s="109"/>
      <c r="D6273" s="109"/>
      <c r="E6273" s="109"/>
      <c r="F6273" s="110"/>
      <c r="G6273" s="109"/>
    </row>
    <row r="6274" spans="3:7" x14ac:dyDescent="0.3">
      <c r="C6274" s="109"/>
      <c r="D6274" s="109"/>
      <c r="E6274" s="109"/>
      <c r="F6274" s="110"/>
      <c r="G6274" s="109"/>
    </row>
    <row r="6275" spans="3:7" x14ac:dyDescent="0.3">
      <c r="C6275" s="109"/>
      <c r="D6275" s="109"/>
      <c r="E6275" s="109"/>
      <c r="F6275" s="110"/>
      <c r="G6275" s="109"/>
    </row>
    <row r="6276" spans="3:7" x14ac:dyDescent="0.3">
      <c r="C6276" s="109"/>
      <c r="D6276" s="109"/>
      <c r="E6276" s="109"/>
      <c r="F6276" s="110"/>
      <c r="G6276" s="109"/>
    </row>
    <row r="6277" spans="3:7" x14ac:dyDescent="0.3">
      <c r="C6277" s="109"/>
      <c r="D6277" s="109"/>
      <c r="E6277" s="109"/>
      <c r="F6277" s="110"/>
      <c r="G6277" s="109"/>
    </row>
    <row r="6278" spans="3:7" x14ac:dyDescent="0.3">
      <c r="C6278" s="109"/>
      <c r="D6278" s="109"/>
      <c r="E6278" s="109"/>
      <c r="F6278" s="110"/>
      <c r="G6278" s="109"/>
    </row>
    <row r="6279" spans="3:7" x14ac:dyDescent="0.3">
      <c r="C6279" s="109"/>
      <c r="D6279" s="109"/>
      <c r="E6279" s="109"/>
      <c r="F6279" s="110"/>
      <c r="G6279" s="109"/>
    </row>
    <row r="6280" spans="3:7" x14ac:dyDescent="0.3">
      <c r="C6280" s="109"/>
      <c r="D6280" s="109"/>
      <c r="E6280" s="109"/>
      <c r="F6280" s="110"/>
      <c r="G6280" s="109"/>
    </row>
    <row r="6281" spans="3:7" x14ac:dyDescent="0.3">
      <c r="C6281" s="109"/>
      <c r="D6281" s="109"/>
      <c r="E6281" s="109"/>
      <c r="F6281" s="110"/>
      <c r="G6281" s="109"/>
    </row>
    <row r="6282" spans="3:7" x14ac:dyDescent="0.3">
      <c r="C6282" s="109"/>
      <c r="D6282" s="109"/>
      <c r="E6282" s="109"/>
      <c r="F6282" s="110"/>
      <c r="G6282" s="109"/>
    </row>
    <row r="6283" spans="3:7" x14ac:dyDescent="0.3">
      <c r="C6283" s="109"/>
      <c r="D6283" s="109"/>
      <c r="E6283" s="109"/>
      <c r="F6283" s="110"/>
      <c r="G6283" s="109"/>
    </row>
    <row r="6284" spans="3:7" x14ac:dyDescent="0.3">
      <c r="C6284" s="109"/>
      <c r="D6284" s="109"/>
      <c r="E6284" s="109"/>
      <c r="F6284" s="110"/>
      <c r="G6284" s="109"/>
    </row>
    <row r="6285" spans="3:7" x14ac:dyDescent="0.3">
      <c r="C6285" s="109"/>
      <c r="D6285" s="109"/>
      <c r="E6285" s="109"/>
      <c r="F6285" s="110"/>
      <c r="G6285" s="109"/>
    </row>
    <row r="6286" spans="3:7" x14ac:dyDescent="0.3">
      <c r="C6286" s="109"/>
      <c r="D6286" s="109"/>
      <c r="E6286" s="109"/>
      <c r="F6286" s="110"/>
      <c r="G6286" s="109"/>
    </row>
    <row r="6287" spans="3:7" x14ac:dyDescent="0.3">
      <c r="C6287" s="109"/>
      <c r="D6287" s="109"/>
      <c r="E6287" s="109"/>
      <c r="F6287" s="110"/>
      <c r="G6287" s="109"/>
    </row>
    <row r="6288" spans="3:7" x14ac:dyDescent="0.3">
      <c r="C6288" s="109"/>
      <c r="D6288" s="109"/>
      <c r="E6288" s="109"/>
      <c r="F6288" s="110"/>
      <c r="G6288" s="109"/>
    </row>
    <row r="6289" spans="3:7" x14ac:dyDescent="0.3">
      <c r="C6289" s="109"/>
      <c r="D6289" s="109"/>
      <c r="E6289" s="109"/>
      <c r="F6289" s="110"/>
      <c r="G6289" s="109"/>
    </row>
    <row r="6290" spans="3:7" x14ac:dyDescent="0.3">
      <c r="C6290" s="109"/>
      <c r="D6290" s="109"/>
      <c r="E6290" s="109"/>
      <c r="F6290" s="110"/>
      <c r="G6290" s="109"/>
    </row>
    <row r="6291" spans="3:7" x14ac:dyDescent="0.3">
      <c r="C6291" s="109"/>
      <c r="D6291" s="109"/>
      <c r="E6291" s="109"/>
      <c r="F6291" s="110"/>
      <c r="G6291" s="109"/>
    </row>
    <row r="6292" spans="3:7" x14ac:dyDescent="0.3">
      <c r="C6292" s="109"/>
      <c r="D6292" s="109"/>
      <c r="E6292" s="109"/>
      <c r="F6292" s="110"/>
      <c r="G6292" s="109"/>
    </row>
    <row r="6293" spans="3:7" x14ac:dyDescent="0.3">
      <c r="C6293" s="109"/>
      <c r="D6293" s="109"/>
      <c r="E6293" s="109"/>
      <c r="F6293" s="110"/>
      <c r="G6293" s="109"/>
    </row>
    <row r="6294" spans="3:7" x14ac:dyDescent="0.3">
      <c r="C6294" s="109"/>
      <c r="D6294" s="109"/>
      <c r="E6294" s="109"/>
      <c r="F6294" s="110"/>
      <c r="G6294" s="109"/>
    </row>
    <row r="6295" spans="3:7" x14ac:dyDescent="0.3">
      <c r="C6295" s="109"/>
      <c r="D6295" s="109"/>
      <c r="E6295" s="109"/>
      <c r="F6295" s="110"/>
      <c r="G6295" s="109"/>
    </row>
    <row r="6296" spans="3:7" x14ac:dyDescent="0.3">
      <c r="C6296" s="109"/>
      <c r="D6296" s="109"/>
      <c r="E6296" s="109"/>
      <c r="F6296" s="110"/>
      <c r="G6296" s="109"/>
    </row>
    <row r="6297" spans="3:7" x14ac:dyDescent="0.3">
      <c r="C6297" s="109"/>
      <c r="D6297" s="109"/>
      <c r="E6297" s="109"/>
      <c r="F6297" s="110"/>
      <c r="G6297" s="109"/>
    </row>
    <row r="6298" spans="3:7" x14ac:dyDescent="0.3">
      <c r="C6298" s="109"/>
      <c r="D6298" s="109"/>
      <c r="E6298" s="109"/>
      <c r="F6298" s="110"/>
      <c r="G6298" s="109"/>
    </row>
    <row r="6299" spans="3:7" x14ac:dyDescent="0.3">
      <c r="C6299" s="109"/>
      <c r="D6299" s="109"/>
      <c r="E6299" s="109"/>
      <c r="F6299" s="110"/>
      <c r="G6299" s="109"/>
    </row>
    <row r="6300" spans="3:7" x14ac:dyDescent="0.3">
      <c r="C6300" s="109"/>
      <c r="D6300" s="109"/>
      <c r="E6300" s="109"/>
      <c r="F6300" s="110"/>
      <c r="G6300" s="109"/>
    </row>
    <row r="6301" spans="3:7" x14ac:dyDescent="0.3">
      <c r="C6301" s="109"/>
      <c r="D6301" s="109"/>
      <c r="E6301" s="109"/>
      <c r="F6301" s="110"/>
      <c r="G6301" s="109"/>
    </row>
    <row r="6302" spans="3:7" x14ac:dyDescent="0.3">
      <c r="C6302" s="109"/>
      <c r="D6302" s="109"/>
      <c r="E6302" s="109"/>
      <c r="F6302" s="110"/>
      <c r="G6302" s="109"/>
    </row>
    <row r="6303" spans="3:7" x14ac:dyDescent="0.3">
      <c r="C6303" s="109"/>
      <c r="D6303" s="109"/>
      <c r="E6303" s="109"/>
      <c r="F6303" s="110"/>
      <c r="G6303" s="109"/>
    </row>
    <row r="6304" spans="3:7" x14ac:dyDescent="0.3">
      <c r="C6304" s="109"/>
      <c r="D6304" s="109"/>
      <c r="E6304" s="109"/>
      <c r="F6304" s="110"/>
      <c r="G6304" s="109"/>
    </row>
    <row r="6305" spans="3:7" x14ac:dyDescent="0.3">
      <c r="C6305" s="109"/>
      <c r="D6305" s="109"/>
      <c r="E6305" s="109"/>
      <c r="F6305" s="110"/>
      <c r="G6305" s="109"/>
    </row>
    <row r="6306" spans="3:7" x14ac:dyDescent="0.3">
      <c r="C6306" s="109"/>
      <c r="D6306" s="109"/>
      <c r="E6306" s="109"/>
      <c r="F6306" s="110"/>
      <c r="G6306" s="109"/>
    </row>
    <row r="6307" spans="3:7" x14ac:dyDescent="0.3">
      <c r="C6307" s="109"/>
      <c r="D6307" s="109"/>
      <c r="E6307" s="109"/>
      <c r="F6307" s="110"/>
      <c r="G6307" s="109"/>
    </row>
    <row r="6308" spans="3:7" x14ac:dyDescent="0.3">
      <c r="C6308" s="109"/>
      <c r="D6308" s="109"/>
      <c r="E6308" s="109"/>
      <c r="F6308" s="110"/>
      <c r="G6308" s="109"/>
    </row>
    <row r="6309" spans="3:7" x14ac:dyDescent="0.3">
      <c r="C6309" s="109"/>
      <c r="D6309" s="109"/>
      <c r="E6309" s="109"/>
      <c r="F6309" s="110"/>
      <c r="G6309" s="109"/>
    </row>
    <row r="6310" spans="3:7" x14ac:dyDescent="0.3">
      <c r="C6310" s="109"/>
      <c r="D6310" s="109"/>
      <c r="E6310" s="109"/>
      <c r="F6310" s="110"/>
      <c r="G6310" s="109"/>
    </row>
    <row r="6311" spans="3:7" x14ac:dyDescent="0.3">
      <c r="C6311" s="109"/>
      <c r="D6311" s="109"/>
      <c r="E6311" s="109"/>
      <c r="F6311" s="110"/>
      <c r="G6311" s="109"/>
    </row>
    <row r="6312" spans="3:7" x14ac:dyDescent="0.3">
      <c r="C6312" s="109"/>
      <c r="D6312" s="109"/>
      <c r="E6312" s="109"/>
      <c r="F6312" s="110"/>
      <c r="G6312" s="109"/>
    </row>
    <row r="6313" spans="3:7" x14ac:dyDescent="0.3">
      <c r="C6313" s="109"/>
      <c r="D6313" s="109"/>
      <c r="E6313" s="109"/>
      <c r="F6313" s="110"/>
      <c r="G6313" s="109"/>
    </row>
    <row r="6314" spans="3:7" x14ac:dyDescent="0.3">
      <c r="C6314" s="109"/>
      <c r="D6314" s="109"/>
      <c r="E6314" s="109"/>
      <c r="F6314" s="110"/>
      <c r="G6314" s="109"/>
    </row>
    <row r="6315" spans="3:7" x14ac:dyDescent="0.3">
      <c r="C6315" s="109"/>
      <c r="D6315" s="109"/>
      <c r="E6315" s="109"/>
      <c r="F6315" s="110"/>
      <c r="G6315" s="109"/>
    </row>
    <row r="6316" spans="3:7" x14ac:dyDescent="0.3">
      <c r="C6316" s="109"/>
      <c r="D6316" s="109"/>
      <c r="E6316" s="109"/>
      <c r="F6316" s="110"/>
      <c r="G6316" s="109"/>
    </row>
    <row r="6317" spans="3:7" x14ac:dyDescent="0.3">
      <c r="C6317" s="109"/>
      <c r="D6317" s="109"/>
      <c r="E6317" s="109"/>
      <c r="F6317" s="110"/>
      <c r="G6317" s="109"/>
    </row>
    <row r="6318" spans="3:7" x14ac:dyDescent="0.3">
      <c r="C6318" s="109"/>
      <c r="D6318" s="109"/>
      <c r="E6318" s="109"/>
      <c r="F6318" s="110"/>
      <c r="G6318" s="109"/>
    </row>
    <row r="6319" spans="3:7" x14ac:dyDescent="0.3">
      <c r="C6319" s="109"/>
      <c r="D6319" s="109"/>
      <c r="E6319" s="109"/>
      <c r="F6319" s="110"/>
      <c r="G6319" s="109"/>
    </row>
    <row r="6320" spans="3:7" x14ac:dyDescent="0.3">
      <c r="C6320" s="109"/>
      <c r="D6320" s="109"/>
      <c r="E6320" s="109"/>
      <c r="F6320" s="110"/>
      <c r="G6320" s="109"/>
    </row>
    <row r="6321" spans="3:7" x14ac:dyDescent="0.3">
      <c r="C6321" s="109"/>
      <c r="D6321" s="109"/>
      <c r="E6321" s="109"/>
      <c r="F6321" s="110"/>
      <c r="G6321" s="109"/>
    </row>
    <row r="6322" spans="3:7" x14ac:dyDescent="0.3">
      <c r="C6322" s="109"/>
      <c r="D6322" s="109"/>
      <c r="E6322" s="109"/>
      <c r="F6322" s="110"/>
      <c r="G6322" s="109"/>
    </row>
    <row r="6323" spans="3:7" x14ac:dyDescent="0.3">
      <c r="C6323" s="109"/>
      <c r="D6323" s="109"/>
      <c r="E6323" s="109"/>
      <c r="F6323" s="110"/>
      <c r="G6323" s="109"/>
    </row>
    <row r="6324" spans="3:7" x14ac:dyDescent="0.3">
      <c r="C6324" s="109"/>
      <c r="D6324" s="109"/>
      <c r="E6324" s="109"/>
      <c r="F6324" s="110"/>
      <c r="G6324" s="109"/>
    </row>
    <row r="6325" spans="3:7" x14ac:dyDescent="0.3">
      <c r="C6325" s="109"/>
      <c r="D6325" s="109"/>
      <c r="E6325" s="109"/>
      <c r="F6325" s="110"/>
      <c r="G6325" s="109"/>
    </row>
    <row r="6326" spans="3:7" x14ac:dyDescent="0.3">
      <c r="C6326" s="109"/>
      <c r="D6326" s="109"/>
      <c r="E6326" s="109"/>
      <c r="F6326" s="110"/>
      <c r="G6326" s="109"/>
    </row>
    <row r="6327" spans="3:7" x14ac:dyDescent="0.3">
      <c r="C6327" s="109"/>
      <c r="D6327" s="109"/>
      <c r="E6327" s="109"/>
      <c r="F6327" s="110"/>
      <c r="G6327" s="109"/>
    </row>
    <row r="6328" spans="3:7" x14ac:dyDescent="0.3">
      <c r="C6328" s="109"/>
      <c r="D6328" s="109"/>
      <c r="E6328" s="109"/>
      <c r="F6328" s="110"/>
      <c r="G6328" s="109"/>
    </row>
    <row r="6329" spans="3:7" x14ac:dyDescent="0.3">
      <c r="C6329" s="109"/>
      <c r="D6329" s="109"/>
      <c r="E6329" s="109"/>
      <c r="F6329" s="110"/>
      <c r="G6329" s="109"/>
    </row>
    <row r="6330" spans="3:7" x14ac:dyDescent="0.3">
      <c r="C6330" s="109"/>
      <c r="D6330" s="109"/>
      <c r="E6330" s="109"/>
      <c r="F6330" s="110"/>
      <c r="G6330" s="109"/>
    </row>
    <row r="6331" spans="3:7" x14ac:dyDescent="0.3">
      <c r="C6331" s="109"/>
      <c r="D6331" s="109"/>
      <c r="E6331" s="109"/>
      <c r="F6331" s="110"/>
      <c r="G6331" s="109"/>
    </row>
    <row r="6332" spans="3:7" x14ac:dyDescent="0.3">
      <c r="C6332" s="109"/>
      <c r="D6332" s="109"/>
      <c r="E6332" s="109"/>
      <c r="F6332" s="110"/>
      <c r="G6332" s="109"/>
    </row>
    <row r="6333" spans="3:7" x14ac:dyDescent="0.3">
      <c r="C6333" s="109"/>
      <c r="D6333" s="109"/>
      <c r="E6333" s="109"/>
      <c r="F6333" s="110"/>
      <c r="G6333" s="109"/>
    </row>
    <row r="6334" spans="3:7" x14ac:dyDescent="0.3">
      <c r="C6334" s="109"/>
      <c r="D6334" s="109"/>
      <c r="E6334" s="109"/>
      <c r="F6334" s="110"/>
      <c r="G6334" s="109"/>
    </row>
    <row r="6335" spans="3:7" x14ac:dyDescent="0.3">
      <c r="C6335" s="109"/>
      <c r="D6335" s="109"/>
      <c r="E6335" s="109"/>
      <c r="F6335" s="110"/>
      <c r="G6335" s="109"/>
    </row>
    <row r="6336" spans="3:7" x14ac:dyDescent="0.3">
      <c r="C6336" s="109"/>
      <c r="D6336" s="109"/>
      <c r="E6336" s="109"/>
      <c r="F6336" s="110"/>
      <c r="G6336" s="109"/>
    </row>
    <row r="6337" spans="3:7" x14ac:dyDescent="0.3">
      <c r="C6337" s="109"/>
      <c r="D6337" s="109"/>
      <c r="E6337" s="109"/>
      <c r="F6337" s="110"/>
      <c r="G6337" s="109"/>
    </row>
    <row r="6338" spans="3:7" x14ac:dyDescent="0.3">
      <c r="C6338" s="109"/>
      <c r="D6338" s="109"/>
      <c r="E6338" s="109"/>
      <c r="F6338" s="110"/>
      <c r="G6338" s="109"/>
    </row>
    <row r="6339" spans="3:7" x14ac:dyDescent="0.3">
      <c r="C6339" s="109"/>
      <c r="D6339" s="109"/>
      <c r="E6339" s="109"/>
      <c r="F6339" s="110"/>
      <c r="G6339" s="109"/>
    </row>
    <row r="6340" spans="3:7" x14ac:dyDescent="0.3">
      <c r="C6340" s="109"/>
      <c r="D6340" s="109"/>
      <c r="E6340" s="109"/>
      <c r="F6340" s="110"/>
      <c r="G6340" s="109"/>
    </row>
    <row r="6341" spans="3:7" x14ac:dyDescent="0.3">
      <c r="C6341" s="109"/>
      <c r="D6341" s="109"/>
      <c r="E6341" s="109"/>
      <c r="F6341" s="110"/>
      <c r="G6341" s="109"/>
    </row>
    <row r="6342" spans="3:7" x14ac:dyDescent="0.3">
      <c r="C6342" s="109"/>
      <c r="D6342" s="109"/>
      <c r="E6342" s="109"/>
      <c r="F6342" s="110"/>
      <c r="G6342" s="109"/>
    </row>
    <row r="6343" spans="3:7" x14ac:dyDescent="0.3">
      <c r="C6343" s="109"/>
      <c r="D6343" s="109"/>
      <c r="E6343" s="109"/>
      <c r="F6343" s="110"/>
      <c r="G6343" s="109"/>
    </row>
    <row r="6344" spans="3:7" x14ac:dyDescent="0.3">
      <c r="C6344" s="109"/>
      <c r="D6344" s="109"/>
      <c r="E6344" s="109"/>
      <c r="F6344" s="110"/>
      <c r="G6344" s="109"/>
    </row>
    <row r="6345" spans="3:7" x14ac:dyDescent="0.3">
      <c r="C6345" s="109"/>
      <c r="D6345" s="109"/>
      <c r="E6345" s="109"/>
      <c r="F6345" s="110"/>
      <c r="G6345" s="109"/>
    </row>
    <row r="6346" spans="3:7" x14ac:dyDescent="0.3">
      <c r="C6346" s="109"/>
      <c r="D6346" s="109"/>
      <c r="E6346" s="109"/>
      <c r="F6346" s="110"/>
      <c r="G6346" s="109"/>
    </row>
    <row r="6347" spans="3:7" x14ac:dyDescent="0.3">
      <c r="C6347" s="109"/>
      <c r="D6347" s="109"/>
      <c r="E6347" s="109"/>
      <c r="F6347" s="110"/>
      <c r="G6347" s="109"/>
    </row>
    <row r="6348" spans="3:7" x14ac:dyDescent="0.3">
      <c r="C6348" s="109"/>
      <c r="D6348" s="109"/>
      <c r="E6348" s="109"/>
      <c r="F6348" s="110"/>
      <c r="G6348" s="109"/>
    </row>
    <row r="6349" spans="3:7" x14ac:dyDescent="0.3">
      <c r="C6349" s="109"/>
      <c r="D6349" s="109"/>
      <c r="E6349" s="109"/>
      <c r="F6349" s="110"/>
      <c r="G6349" s="109"/>
    </row>
    <row r="6350" spans="3:7" x14ac:dyDescent="0.3">
      <c r="C6350" s="109"/>
      <c r="D6350" s="109"/>
      <c r="E6350" s="109"/>
      <c r="F6350" s="110"/>
      <c r="G6350" s="109"/>
    </row>
    <row r="6351" spans="3:7" x14ac:dyDescent="0.3">
      <c r="C6351" s="109"/>
      <c r="D6351" s="109"/>
      <c r="E6351" s="109"/>
      <c r="F6351" s="110"/>
      <c r="G6351" s="109"/>
    </row>
    <row r="6352" spans="3:7" x14ac:dyDescent="0.3">
      <c r="C6352" s="109"/>
      <c r="D6352" s="109"/>
      <c r="E6352" s="109"/>
      <c r="F6352" s="110"/>
      <c r="G6352" s="109"/>
    </row>
    <row r="6353" spans="3:7" x14ac:dyDescent="0.3">
      <c r="C6353" s="109"/>
      <c r="D6353" s="109"/>
      <c r="E6353" s="109"/>
      <c r="F6353" s="110"/>
      <c r="G6353" s="109"/>
    </row>
    <row r="6354" spans="3:7" x14ac:dyDescent="0.3">
      <c r="C6354" s="109"/>
      <c r="D6354" s="109"/>
      <c r="E6354" s="109"/>
      <c r="F6354" s="110"/>
      <c r="G6354" s="109"/>
    </row>
    <row r="6355" spans="3:7" x14ac:dyDescent="0.3">
      <c r="C6355" s="109"/>
      <c r="D6355" s="109"/>
      <c r="E6355" s="109"/>
      <c r="F6355" s="110"/>
      <c r="G6355" s="109"/>
    </row>
    <row r="6356" spans="3:7" x14ac:dyDescent="0.3">
      <c r="C6356" s="109"/>
      <c r="D6356" s="109"/>
      <c r="E6356" s="109"/>
      <c r="F6356" s="110"/>
      <c r="G6356" s="109"/>
    </row>
    <row r="6357" spans="3:7" x14ac:dyDescent="0.3">
      <c r="C6357" s="109"/>
      <c r="D6357" s="109"/>
      <c r="E6357" s="109"/>
      <c r="F6357" s="110"/>
      <c r="G6357" s="109"/>
    </row>
    <row r="6358" spans="3:7" x14ac:dyDescent="0.3">
      <c r="C6358" s="109"/>
      <c r="D6358" s="109"/>
      <c r="E6358" s="109"/>
      <c r="F6358" s="110"/>
      <c r="G6358" s="109"/>
    </row>
    <row r="6359" spans="3:7" x14ac:dyDescent="0.3">
      <c r="C6359" s="109"/>
      <c r="D6359" s="109"/>
      <c r="E6359" s="109"/>
      <c r="F6359" s="110"/>
      <c r="G6359" s="109"/>
    </row>
    <row r="6360" spans="3:7" x14ac:dyDescent="0.3">
      <c r="C6360" s="109"/>
      <c r="D6360" s="109"/>
      <c r="E6360" s="109"/>
      <c r="F6360" s="110"/>
      <c r="G6360" s="109"/>
    </row>
    <row r="6361" spans="3:7" x14ac:dyDescent="0.3">
      <c r="C6361" s="109"/>
      <c r="D6361" s="109"/>
      <c r="E6361" s="109"/>
      <c r="F6361" s="110"/>
      <c r="G6361" s="109"/>
    </row>
    <row r="6362" spans="3:7" x14ac:dyDescent="0.3">
      <c r="C6362" s="109"/>
      <c r="D6362" s="109"/>
      <c r="E6362" s="109"/>
      <c r="F6362" s="110"/>
      <c r="G6362" s="109"/>
    </row>
    <row r="6363" spans="3:7" x14ac:dyDescent="0.3">
      <c r="C6363" s="109"/>
      <c r="D6363" s="109"/>
      <c r="E6363" s="109"/>
      <c r="F6363" s="110"/>
      <c r="G6363" s="109"/>
    </row>
    <row r="6364" spans="3:7" x14ac:dyDescent="0.3">
      <c r="C6364" s="109"/>
      <c r="D6364" s="109"/>
      <c r="E6364" s="109"/>
      <c r="F6364" s="110"/>
      <c r="G6364" s="109"/>
    </row>
    <row r="6365" spans="3:7" x14ac:dyDescent="0.3">
      <c r="C6365" s="109"/>
      <c r="D6365" s="109"/>
      <c r="E6365" s="109"/>
      <c r="F6365" s="110"/>
      <c r="G6365" s="109"/>
    </row>
    <row r="6366" spans="3:7" x14ac:dyDescent="0.3">
      <c r="C6366" s="109"/>
      <c r="D6366" s="109"/>
      <c r="E6366" s="109"/>
      <c r="F6366" s="110"/>
      <c r="G6366" s="109"/>
    </row>
    <row r="6367" spans="3:7" x14ac:dyDescent="0.3">
      <c r="C6367" s="109"/>
      <c r="D6367" s="109"/>
      <c r="E6367" s="109"/>
      <c r="F6367" s="110"/>
      <c r="G6367" s="109"/>
    </row>
    <row r="6368" spans="3:7" x14ac:dyDescent="0.3">
      <c r="C6368" s="109"/>
      <c r="D6368" s="109"/>
      <c r="E6368" s="109"/>
      <c r="F6368" s="110"/>
      <c r="G6368" s="109"/>
    </row>
    <row r="6369" spans="3:7" x14ac:dyDescent="0.3">
      <c r="C6369" s="109"/>
      <c r="D6369" s="109"/>
      <c r="E6369" s="109"/>
      <c r="F6369" s="110"/>
      <c r="G6369" s="109"/>
    </row>
    <row r="6370" spans="3:7" x14ac:dyDescent="0.3">
      <c r="C6370" s="109"/>
      <c r="D6370" s="109"/>
      <c r="E6370" s="109"/>
      <c r="F6370" s="110"/>
      <c r="G6370" s="109"/>
    </row>
    <row r="6371" spans="3:7" x14ac:dyDescent="0.3">
      <c r="C6371" s="109"/>
      <c r="D6371" s="109"/>
      <c r="E6371" s="109"/>
      <c r="F6371" s="110"/>
      <c r="G6371" s="109"/>
    </row>
    <row r="6372" spans="3:7" x14ac:dyDescent="0.3">
      <c r="C6372" s="109"/>
      <c r="D6372" s="109"/>
      <c r="E6372" s="109"/>
      <c r="F6372" s="110"/>
      <c r="G6372" s="109"/>
    </row>
    <row r="6373" spans="3:7" x14ac:dyDescent="0.3">
      <c r="C6373" s="109"/>
      <c r="D6373" s="109"/>
      <c r="E6373" s="109"/>
      <c r="F6373" s="110"/>
      <c r="G6373" s="109"/>
    </row>
    <row r="6374" spans="3:7" x14ac:dyDescent="0.3">
      <c r="C6374" s="109"/>
      <c r="D6374" s="109"/>
      <c r="E6374" s="109"/>
      <c r="F6374" s="110"/>
      <c r="G6374" s="109"/>
    </row>
    <row r="6375" spans="3:7" x14ac:dyDescent="0.3">
      <c r="C6375" s="109"/>
      <c r="D6375" s="109"/>
      <c r="E6375" s="109"/>
      <c r="F6375" s="110"/>
      <c r="G6375" s="109"/>
    </row>
    <row r="6376" spans="3:7" x14ac:dyDescent="0.3">
      <c r="C6376" s="109"/>
      <c r="D6376" s="109"/>
      <c r="E6376" s="109"/>
      <c r="F6376" s="110"/>
      <c r="G6376" s="109"/>
    </row>
    <row r="6377" spans="3:7" x14ac:dyDescent="0.3">
      <c r="C6377" s="109"/>
      <c r="D6377" s="109"/>
      <c r="E6377" s="109"/>
      <c r="F6377" s="110"/>
      <c r="G6377" s="109"/>
    </row>
    <row r="6378" spans="3:7" x14ac:dyDescent="0.3">
      <c r="C6378" s="109"/>
      <c r="D6378" s="109"/>
      <c r="E6378" s="109"/>
      <c r="F6378" s="110"/>
      <c r="G6378" s="109"/>
    </row>
    <row r="6379" spans="3:7" x14ac:dyDescent="0.3">
      <c r="C6379" s="109"/>
      <c r="D6379" s="109"/>
      <c r="E6379" s="109"/>
      <c r="F6379" s="110"/>
      <c r="G6379" s="109"/>
    </row>
    <row r="6380" spans="3:7" x14ac:dyDescent="0.3">
      <c r="C6380" s="109"/>
      <c r="D6380" s="109"/>
      <c r="E6380" s="109"/>
      <c r="F6380" s="110"/>
      <c r="G6380" s="109"/>
    </row>
    <row r="6381" spans="3:7" x14ac:dyDescent="0.3">
      <c r="C6381" s="109"/>
      <c r="D6381" s="109"/>
      <c r="E6381" s="109"/>
      <c r="F6381" s="110"/>
      <c r="G6381" s="109"/>
    </row>
    <row r="6382" spans="3:7" x14ac:dyDescent="0.3">
      <c r="C6382" s="109"/>
      <c r="D6382" s="109"/>
      <c r="E6382" s="109"/>
      <c r="F6382" s="110"/>
      <c r="G6382" s="109"/>
    </row>
    <row r="6383" spans="3:7" x14ac:dyDescent="0.3">
      <c r="C6383" s="109"/>
      <c r="D6383" s="109"/>
      <c r="E6383" s="109"/>
      <c r="F6383" s="110"/>
      <c r="G6383" s="109"/>
    </row>
    <row r="6384" spans="3:7" x14ac:dyDescent="0.3">
      <c r="C6384" s="109"/>
      <c r="D6384" s="109"/>
      <c r="E6384" s="109"/>
      <c r="F6384" s="110"/>
      <c r="G6384" s="109"/>
    </row>
    <row r="6385" spans="3:7" x14ac:dyDescent="0.3">
      <c r="C6385" s="109"/>
      <c r="D6385" s="109"/>
      <c r="E6385" s="109"/>
      <c r="F6385" s="110"/>
      <c r="G6385" s="109"/>
    </row>
    <row r="6386" spans="3:7" x14ac:dyDescent="0.3">
      <c r="C6386" s="109"/>
      <c r="D6386" s="109"/>
      <c r="E6386" s="109"/>
      <c r="F6386" s="110"/>
      <c r="G6386" s="109"/>
    </row>
    <row r="6387" spans="3:7" x14ac:dyDescent="0.3">
      <c r="C6387" s="109"/>
      <c r="D6387" s="109"/>
      <c r="E6387" s="109"/>
      <c r="F6387" s="110"/>
      <c r="G6387" s="109"/>
    </row>
    <row r="6388" spans="3:7" x14ac:dyDescent="0.3">
      <c r="C6388" s="109"/>
      <c r="D6388" s="109"/>
      <c r="E6388" s="109"/>
      <c r="F6388" s="110"/>
      <c r="G6388" s="109"/>
    </row>
    <row r="6389" spans="3:7" x14ac:dyDescent="0.3">
      <c r="C6389" s="109"/>
      <c r="D6389" s="109"/>
      <c r="E6389" s="109"/>
      <c r="F6389" s="110"/>
      <c r="G6389" s="109"/>
    </row>
    <row r="6390" spans="3:7" x14ac:dyDescent="0.3">
      <c r="C6390" s="109"/>
      <c r="D6390" s="109"/>
      <c r="E6390" s="109"/>
      <c r="F6390" s="110"/>
      <c r="G6390" s="109"/>
    </row>
    <row r="6391" spans="3:7" x14ac:dyDescent="0.3">
      <c r="C6391" s="109"/>
      <c r="D6391" s="109"/>
      <c r="E6391" s="109"/>
      <c r="F6391" s="110"/>
      <c r="G6391" s="109"/>
    </row>
    <row r="6392" spans="3:7" x14ac:dyDescent="0.3">
      <c r="C6392" s="109"/>
      <c r="D6392" s="109"/>
      <c r="E6392" s="109"/>
      <c r="F6392" s="110"/>
      <c r="G6392" s="109"/>
    </row>
    <row r="6393" spans="3:7" x14ac:dyDescent="0.3">
      <c r="C6393" s="109"/>
      <c r="D6393" s="109"/>
      <c r="E6393" s="109"/>
      <c r="F6393" s="110"/>
      <c r="G6393" s="109"/>
    </row>
    <row r="6394" spans="3:7" x14ac:dyDescent="0.3">
      <c r="C6394" s="109"/>
      <c r="D6394" s="109"/>
      <c r="E6394" s="109"/>
      <c r="F6394" s="110"/>
      <c r="G6394" s="109"/>
    </row>
    <row r="6395" spans="3:7" x14ac:dyDescent="0.3">
      <c r="C6395" s="109"/>
      <c r="D6395" s="109"/>
      <c r="E6395" s="109"/>
      <c r="F6395" s="110"/>
      <c r="G6395" s="109"/>
    </row>
    <row r="6396" spans="3:7" x14ac:dyDescent="0.3">
      <c r="C6396" s="109"/>
      <c r="D6396" s="109"/>
      <c r="E6396" s="109"/>
      <c r="F6396" s="110"/>
      <c r="G6396" s="109"/>
    </row>
    <row r="6397" spans="3:7" x14ac:dyDescent="0.3">
      <c r="C6397" s="109"/>
      <c r="D6397" s="109"/>
      <c r="E6397" s="109"/>
      <c r="F6397" s="110"/>
      <c r="G6397" s="109"/>
    </row>
    <row r="6398" spans="3:7" x14ac:dyDescent="0.3">
      <c r="C6398" s="109"/>
      <c r="D6398" s="109"/>
      <c r="E6398" s="109"/>
      <c r="F6398" s="110"/>
      <c r="G6398" s="109"/>
    </row>
    <row r="6399" spans="3:7" x14ac:dyDescent="0.3">
      <c r="C6399" s="109"/>
      <c r="D6399" s="109"/>
      <c r="E6399" s="109"/>
      <c r="F6399" s="110"/>
      <c r="G6399" s="109"/>
    </row>
    <row r="6400" spans="3:7" x14ac:dyDescent="0.3">
      <c r="C6400" s="109"/>
      <c r="D6400" s="109"/>
      <c r="E6400" s="109"/>
      <c r="F6400" s="110"/>
      <c r="G6400" s="109"/>
    </row>
    <row r="6401" spans="3:7" x14ac:dyDescent="0.3">
      <c r="C6401" s="109"/>
      <c r="D6401" s="109"/>
      <c r="E6401" s="109"/>
      <c r="F6401" s="110"/>
      <c r="G6401" s="109"/>
    </row>
    <row r="6402" spans="3:7" x14ac:dyDescent="0.3">
      <c r="C6402" s="109"/>
      <c r="D6402" s="109"/>
      <c r="E6402" s="109"/>
      <c r="F6402" s="110"/>
      <c r="G6402" s="109"/>
    </row>
    <row r="6403" spans="3:7" x14ac:dyDescent="0.3">
      <c r="C6403" s="109"/>
      <c r="D6403" s="109"/>
      <c r="E6403" s="109"/>
      <c r="F6403" s="110"/>
      <c r="G6403" s="109"/>
    </row>
    <row r="6404" spans="3:7" x14ac:dyDescent="0.3">
      <c r="C6404" s="109"/>
      <c r="D6404" s="109"/>
      <c r="E6404" s="109"/>
      <c r="F6404" s="110"/>
      <c r="G6404" s="109"/>
    </row>
    <row r="6405" spans="3:7" x14ac:dyDescent="0.3">
      <c r="C6405" s="109"/>
      <c r="D6405" s="109"/>
      <c r="E6405" s="109"/>
      <c r="F6405" s="110"/>
      <c r="G6405" s="109"/>
    </row>
    <row r="6406" spans="3:7" x14ac:dyDescent="0.3">
      <c r="C6406" s="109"/>
      <c r="D6406" s="109"/>
      <c r="E6406" s="109"/>
      <c r="F6406" s="110"/>
      <c r="G6406" s="109"/>
    </row>
    <row r="6407" spans="3:7" x14ac:dyDescent="0.3">
      <c r="C6407" s="109"/>
      <c r="D6407" s="109"/>
      <c r="E6407" s="109"/>
      <c r="F6407" s="110"/>
      <c r="G6407" s="109"/>
    </row>
    <row r="6408" spans="3:7" x14ac:dyDescent="0.3">
      <c r="C6408" s="109"/>
      <c r="D6408" s="109"/>
      <c r="E6408" s="109"/>
      <c r="F6408" s="110"/>
      <c r="G6408" s="109"/>
    </row>
    <row r="6409" spans="3:7" x14ac:dyDescent="0.3">
      <c r="C6409" s="109"/>
      <c r="D6409" s="109"/>
      <c r="E6409" s="109"/>
      <c r="F6409" s="110"/>
      <c r="G6409" s="109"/>
    </row>
    <row r="6410" spans="3:7" x14ac:dyDescent="0.3">
      <c r="C6410" s="109"/>
      <c r="D6410" s="109"/>
      <c r="E6410" s="109"/>
      <c r="F6410" s="110"/>
      <c r="G6410" s="109"/>
    </row>
    <row r="6411" spans="3:7" x14ac:dyDescent="0.3">
      <c r="C6411" s="109"/>
      <c r="D6411" s="109"/>
      <c r="E6411" s="109"/>
      <c r="F6411" s="110"/>
      <c r="G6411" s="109"/>
    </row>
    <row r="6412" spans="3:7" x14ac:dyDescent="0.3">
      <c r="C6412" s="109"/>
      <c r="D6412" s="109"/>
      <c r="E6412" s="109"/>
      <c r="F6412" s="110"/>
      <c r="G6412" s="109"/>
    </row>
    <row r="6413" spans="3:7" x14ac:dyDescent="0.3">
      <c r="C6413" s="109"/>
      <c r="D6413" s="109"/>
      <c r="E6413" s="109"/>
      <c r="F6413" s="110"/>
      <c r="G6413" s="109"/>
    </row>
    <row r="6414" spans="3:7" x14ac:dyDescent="0.3">
      <c r="C6414" s="109"/>
      <c r="D6414" s="109"/>
      <c r="E6414" s="109"/>
      <c r="F6414" s="110"/>
      <c r="G6414" s="109"/>
    </row>
    <row r="6415" spans="3:7" x14ac:dyDescent="0.3">
      <c r="C6415" s="109"/>
      <c r="D6415" s="109"/>
      <c r="E6415" s="109"/>
      <c r="F6415" s="110"/>
      <c r="G6415" s="109"/>
    </row>
    <row r="6416" spans="3:7" x14ac:dyDescent="0.3">
      <c r="C6416" s="109"/>
      <c r="D6416" s="109"/>
      <c r="E6416" s="109"/>
      <c r="F6416" s="110"/>
      <c r="G6416" s="109"/>
    </row>
    <row r="6417" spans="3:7" x14ac:dyDescent="0.3">
      <c r="C6417" s="109"/>
      <c r="D6417" s="109"/>
      <c r="E6417" s="109"/>
      <c r="F6417" s="110"/>
      <c r="G6417" s="109"/>
    </row>
    <row r="6418" spans="3:7" x14ac:dyDescent="0.3">
      <c r="C6418" s="109"/>
      <c r="D6418" s="109"/>
      <c r="E6418" s="109"/>
      <c r="F6418" s="110"/>
      <c r="G6418" s="109"/>
    </row>
    <row r="6419" spans="3:7" x14ac:dyDescent="0.3">
      <c r="C6419" s="109"/>
      <c r="D6419" s="109"/>
      <c r="E6419" s="109"/>
      <c r="F6419" s="110"/>
      <c r="G6419" s="109"/>
    </row>
    <row r="6420" spans="3:7" x14ac:dyDescent="0.3">
      <c r="C6420" s="109"/>
      <c r="D6420" s="109"/>
      <c r="E6420" s="109"/>
      <c r="F6420" s="110"/>
      <c r="G6420" s="109"/>
    </row>
    <row r="6421" spans="3:7" x14ac:dyDescent="0.3">
      <c r="C6421" s="109"/>
      <c r="D6421" s="109"/>
      <c r="E6421" s="109"/>
      <c r="F6421" s="110"/>
      <c r="G6421" s="109"/>
    </row>
    <row r="6422" spans="3:7" x14ac:dyDescent="0.3">
      <c r="C6422" s="109"/>
      <c r="D6422" s="109"/>
      <c r="E6422" s="109"/>
      <c r="F6422" s="110"/>
      <c r="G6422" s="109"/>
    </row>
    <row r="6423" spans="3:7" x14ac:dyDescent="0.3">
      <c r="C6423" s="109"/>
      <c r="D6423" s="109"/>
      <c r="E6423" s="109"/>
      <c r="F6423" s="110"/>
      <c r="G6423" s="109"/>
    </row>
    <row r="6424" spans="3:7" x14ac:dyDescent="0.3">
      <c r="C6424" s="109"/>
      <c r="D6424" s="109"/>
      <c r="E6424" s="109"/>
      <c r="F6424" s="110"/>
      <c r="G6424" s="109"/>
    </row>
    <row r="6425" spans="3:7" x14ac:dyDescent="0.3">
      <c r="C6425" s="109"/>
      <c r="D6425" s="109"/>
      <c r="E6425" s="109"/>
      <c r="F6425" s="110"/>
      <c r="G6425" s="109"/>
    </row>
    <row r="6426" spans="3:7" x14ac:dyDescent="0.3">
      <c r="C6426" s="109"/>
      <c r="D6426" s="109"/>
      <c r="E6426" s="109"/>
      <c r="F6426" s="110"/>
      <c r="G6426" s="109"/>
    </row>
    <row r="6427" spans="3:7" x14ac:dyDescent="0.3">
      <c r="C6427" s="109"/>
      <c r="D6427" s="109"/>
      <c r="E6427" s="109"/>
      <c r="F6427" s="110"/>
      <c r="G6427" s="109"/>
    </row>
    <row r="6428" spans="3:7" x14ac:dyDescent="0.3">
      <c r="C6428" s="109"/>
      <c r="D6428" s="109"/>
      <c r="E6428" s="109"/>
      <c r="F6428" s="110"/>
      <c r="G6428" s="109"/>
    </row>
    <row r="6429" spans="3:7" x14ac:dyDescent="0.3">
      <c r="C6429" s="109"/>
      <c r="D6429" s="109"/>
      <c r="E6429" s="109"/>
      <c r="F6429" s="110"/>
      <c r="G6429" s="109"/>
    </row>
    <row r="6430" spans="3:7" x14ac:dyDescent="0.3">
      <c r="C6430" s="109"/>
      <c r="D6430" s="109"/>
      <c r="E6430" s="109"/>
      <c r="F6430" s="110"/>
      <c r="G6430" s="109"/>
    </row>
    <row r="6431" spans="3:7" x14ac:dyDescent="0.3">
      <c r="C6431" s="109"/>
      <c r="D6431" s="109"/>
      <c r="E6431" s="109"/>
      <c r="F6431" s="110"/>
      <c r="G6431" s="109"/>
    </row>
    <row r="6432" spans="3:7" x14ac:dyDescent="0.3">
      <c r="C6432" s="109"/>
      <c r="D6432" s="109"/>
      <c r="E6432" s="109"/>
      <c r="F6432" s="110"/>
      <c r="G6432" s="109"/>
    </row>
    <row r="6433" spans="3:7" x14ac:dyDescent="0.3">
      <c r="C6433" s="109"/>
      <c r="D6433" s="109"/>
      <c r="E6433" s="109"/>
      <c r="F6433" s="110"/>
      <c r="G6433" s="109"/>
    </row>
    <row r="6434" spans="3:7" x14ac:dyDescent="0.3">
      <c r="C6434" s="109"/>
      <c r="D6434" s="109"/>
      <c r="E6434" s="109"/>
      <c r="F6434" s="110"/>
      <c r="G6434" s="109"/>
    </row>
    <row r="6435" spans="3:7" x14ac:dyDescent="0.3">
      <c r="C6435" s="109"/>
      <c r="D6435" s="109"/>
      <c r="E6435" s="109"/>
      <c r="F6435" s="110"/>
      <c r="G6435" s="109"/>
    </row>
    <row r="6436" spans="3:7" x14ac:dyDescent="0.3">
      <c r="C6436" s="109"/>
      <c r="D6436" s="109"/>
      <c r="E6436" s="109"/>
      <c r="F6436" s="110"/>
      <c r="G6436" s="109"/>
    </row>
    <row r="6437" spans="3:7" x14ac:dyDescent="0.3">
      <c r="C6437" s="109"/>
      <c r="D6437" s="109"/>
      <c r="E6437" s="109"/>
      <c r="F6437" s="110"/>
      <c r="G6437" s="109"/>
    </row>
    <row r="6438" spans="3:7" x14ac:dyDescent="0.3">
      <c r="C6438" s="109"/>
      <c r="D6438" s="109"/>
      <c r="E6438" s="109"/>
      <c r="F6438" s="110"/>
      <c r="G6438" s="109"/>
    </row>
    <row r="6439" spans="3:7" x14ac:dyDescent="0.3">
      <c r="C6439" s="109"/>
      <c r="D6439" s="109"/>
      <c r="E6439" s="109"/>
      <c r="F6439" s="110"/>
      <c r="G6439" s="109"/>
    </row>
    <row r="6440" spans="3:7" x14ac:dyDescent="0.3">
      <c r="C6440" s="109"/>
      <c r="D6440" s="109"/>
      <c r="E6440" s="109"/>
      <c r="F6440" s="110"/>
      <c r="G6440" s="109"/>
    </row>
    <row r="6441" spans="3:7" x14ac:dyDescent="0.3">
      <c r="C6441" s="109"/>
      <c r="D6441" s="109"/>
      <c r="E6441" s="109"/>
      <c r="F6441" s="110"/>
      <c r="G6441" s="109"/>
    </row>
    <row r="6442" spans="3:7" x14ac:dyDescent="0.3">
      <c r="C6442" s="109"/>
      <c r="D6442" s="109"/>
      <c r="E6442" s="109"/>
      <c r="F6442" s="110"/>
      <c r="G6442" s="109"/>
    </row>
    <row r="6443" spans="3:7" x14ac:dyDescent="0.3">
      <c r="C6443" s="109"/>
      <c r="D6443" s="109"/>
      <c r="E6443" s="109"/>
      <c r="F6443" s="110"/>
      <c r="G6443" s="109"/>
    </row>
    <row r="6444" spans="3:7" x14ac:dyDescent="0.3">
      <c r="C6444" s="109"/>
      <c r="D6444" s="109"/>
      <c r="E6444" s="109"/>
      <c r="F6444" s="110"/>
      <c r="G6444" s="109"/>
    </row>
    <row r="6445" spans="3:7" x14ac:dyDescent="0.3">
      <c r="C6445" s="109"/>
      <c r="D6445" s="109"/>
      <c r="E6445" s="109"/>
      <c r="F6445" s="110"/>
      <c r="G6445" s="109"/>
    </row>
    <row r="6446" spans="3:7" x14ac:dyDescent="0.3">
      <c r="C6446" s="109"/>
      <c r="D6446" s="109"/>
      <c r="E6446" s="109"/>
      <c r="F6446" s="110"/>
      <c r="G6446" s="109"/>
    </row>
    <row r="6447" spans="3:7" x14ac:dyDescent="0.3">
      <c r="C6447" s="109"/>
      <c r="D6447" s="109"/>
      <c r="E6447" s="109"/>
      <c r="F6447" s="110"/>
      <c r="G6447" s="109"/>
    </row>
    <row r="6448" spans="3:7" x14ac:dyDescent="0.3">
      <c r="C6448" s="109"/>
      <c r="D6448" s="109"/>
      <c r="E6448" s="109"/>
      <c r="F6448" s="110"/>
      <c r="G6448" s="109"/>
    </row>
    <row r="6449" spans="3:7" x14ac:dyDescent="0.3">
      <c r="C6449" s="109"/>
      <c r="D6449" s="109"/>
      <c r="E6449" s="109"/>
      <c r="F6449" s="110"/>
      <c r="G6449" s="109"/>
    </row>
    <row r="6450" spans="3:7" x14ac:dyDescent="0.3">
      <c r="C6450" s="109"/>
      <c r="D6450" s="109"/>
      <c r="E6450" s="109"/>
      <c r="F6450" s="110"/>
      <c r="G6450" s="109"/>
    </row>
    <row r="6451" spans="3:7" x14ac:dyDescent="0.3">
      <c r="C6451" s="109"/>
      <c r="D6451" s="109"/>
      <c r="E6451" s="109"/>
      <c r="F6451" s="110"/>
      <c r="G6451" s="109"/>
    </row>
    <row r="6452" spans="3:7" x14ac:dyDescent="0.3">
      <c r="C6452" s="109"/>
      <c r="D6452" s="109"/>
      <c r="E6452" s="109"/>
      <c r="F6452" s="110"/>
      <c r="G6452" s="109"/>
    </row>
    <row r="6453" spans="3:7" x14ac:dyDescent="0.3">
      <c r="C6453" s="109"/>
      <c r="D6453" s="109"/>
      <c r="E6453" s="109"/>
      <c r="F6453" s="110"/>
      <c r="G6453" s="109"/>
    </row>
    <row r="6454" spans="3:7" x14ac:dyDescent="0.3">
      <c r="C6454" s="109"/>
      <c r="D6454" s="109"/>
      <c r="E6454" s="109"/>
      <c r="F6454" s="110"/>
      <c r="G6454" s="109"/>
    </row>
    <row r="6455" spans="3:7" x14ac:dyDescent="0.3">
      <c r="C6455" s="109"/>
      <c r="D6455" s="109"/>
      <c r="E6455" s="109"/>
      <c r="F6455" s="110"/>
      <c r="G6455" s="109"/>
    </row>
    <row r="6456" spans="3:7" x14ac:dyDescent="0.3">
      <c r="C6456" s="109"/>
      <c r="D6456" s="109"/>
      <c r="E6456" s="109"/>
      <c r="F6456" s="110"/>
      <c r="G6456" s="109"/>
    </row>
    <row r="6457" spans="3:7" x14ac:dyDescent="0.3">
      <c r="C6457" s="109"/>
      <c r="D6457" s="109"/>
      <c r="E6457" s="109"/>
      <c r="F6457" s="110"/>
      <c r="G6457" s="109"/>
    </row>
    <row r="6458" spans="3:7" x14ac:dyDescent="0.3">
      <c r="C6458" s="109"/>
      <c r="D6458" s="109"/>
      <c r="E6458" s="109"/>
      <c r="F6458" s="110"/>
      <c r="G6458" s="109"/>
    </row>
    <row r="6459" spans="3:7" x14ac:dyDescent="0.3">
      <c r="C6459" s="109"/>
      <c r="D6459" s="109"/>
      <c r="E6459" s="109"/>
      <c r="F6459" s="110"/>
      <c r="G6459" s="109"/>
    </row>
    <row r="6460" spans="3:7" x14ac:dyDescent="0.3">
      <c r="C6460" s="109"/>
      <c r="D6460" s="109"/>
      <c r="E6460" s="109"/>
      <c r="F6460" s="110"/>
      <c r="G6460" s="109"/>
    </row>
    <row r="6461" spans="3:7" x14ac:dyDescent="0.3">
      <c r="C6461" s="109"/>
      <c r="D6461" s="109"/>
      <c r="E6461" s="109"/>
      <c r="F6461" s="110"/>
      <c r="G6461" s="109"/>
    </row>
    <row r="6462" spans="3:7" x14ac:dyDescent="0.3">
      <c r="C6462" s="109"/>
      <c r="D6462" s="109"/>
      <c r="E6462" s="109"/>
      <c r="F6462" s="110"/>
      <c r="G6462" s="109"/>
    </row>
    <row r="6463" spans="3:7" x14ac:dyDescent="0.3">
      <c r="C6463" s="109"/>
      <c r="D6463" s="109"/>
      <c r="E6463" s="109"/>
      <c r="F6463" s="110"/>
      <c r="G6463" s="109"/>
    </row>
    <row r="6464" spans="3:7" x14ac:dyDescent="0.3">
      <c r="C6464" s="109"/>
      <c r="D6464" s="109"/>
      <c r="E6464" s="109"/>
      <c r="F6464" s="110"/>
      <c r="G6464" s="109"/>
    </row>
    <row r="6465" spans="3:7" x14ac:dyDescent="0.3">
      <c r="C6465" s="109"/>
      <c r="D6465" s="109"/>
      <c r="E6465" s="109"/>
      <c r="F6465" s="110"/>
      <c r="G6465" s="109"/>
    </row>
    <row r="6466" spans="3:7" x14ac:dyDescent="0.3">
      <c r="C6466" s="109"/>
      <c r="D6466" s="109"/>
      <c r="E6466" s="109"/>
      <c r="F6466" s="110"/>
      <c r="G6466" s="109"/>
    </row>
    <row r="6467" spans="3:7" x14ac:dyDescent="0.3">
      <c r="C6467" s="109"/>
      <c r="D6467" s="109"/>
      <c r="E6467" s="109"/>
      <c r="F6467" s="110"/>
      <c r="G6467" s="109"/>
    </row>
    <row r="6468" spans="3:7" x14ac:dyDescent="0.3">
      <c r="C6468" s="109"/>
      <c r="D6468" s="109"/>
      <c r="E6468" s="109"/>
      <c r="F6468" s="110"/>
      <c r="G6468" s="109"/>
    </row>
    <row r="6469" spans="3:7" x14ac:dyDescent="0.3">
      <c r="C6469" s="109"/>
      <c r="D6469" s="109"/>
      <c r="E6469" s="109"/>
      <c r="F6469" s="110"/>
      <c r="G6469" s="109"/>
    </row>
    <row r="6470" spans="3:7" x14ac:dyDescent="0.3">
      <c r="C6470" s="109"/>
      <c r="D6470" s="109"/>
      <c r="E6470" s="109"/>
      <c r="F6470" s="110"/>
      <c r="G6470" s="109"/>
    </row>
    <row r="6471" spans="3:7" x14ac:dyDescent="0.3">
      <c r="C6471" s="109"/>
      <c r="D6471" s="109"/>
      <c r="E6471" s="109"/>
      <c r="F6471" s="110"/>
      <c r="G6471" s="109"/>
    </row>
    <row r="6472" spans="3:7" x14ac:dyDescent="0.3">
      <c r="C6472" s="109"/>
      <c r="D6472" s="109"/>
      <c r="E6472" s="109"/>
      <c r="F6472" s="110"/>
      <c r="G6472" s="109"/>
    </row>
    <row r="6473" spans="3:7" x14ac:dyDescent="0.3">
      <c r="C6473" s="109"/>
      <c r="D6473" s="109"/>
      <c r="E6473" s="109"/>
      <c r="F6473" s="110"/>
      <c r="G6473" s="109"/>
    </row>
    <row r="6474" spans="3:7" x14ac:dyDescent="0.3">
      <c r="C6474" s="109"/>
      <c r="D6474" s="109"/>
      <c r="E6474" s="109"/>
      <c r="F6474" s="110"/>
      <c r="G6474" s="109"/>
    </row>
    <row r="6475" spans="3:7" x14ac:dyDescent="0.3">
      <c r="C6475" s="109"/>
      <c r="D6475" s="109"/>
      <c r="E6475" s="109"/>
      <c r="F6475" s="110"/>
      <c r="G6475" s="109"/>
    </row>
    <row r="6476" spans="3:7" x14ac:dyDescent="0.3">
      <c r="C6476" s="109"/>
      <c r="D6476" s="109"/>
      <c r="E6476" s="109"/>
      <c r="F6476" s="110"/>
      <c r="G6476" s="109"/>
    </row>
    <row r="6477" spans="3:7" x14ac:dyDescent="0.3">
      <c r="C6477" s="109"/>
      <c r="D6477" s="109"/>
      <c r="E6477" s="109"/>
      <c r="F6477" s="110"/>
      <c r="G6477" s="109"/>
    </row>
    <row r="6478" spans="3:7" x14ac:dyDescent="0.3">
      <c r="C6478" s="109"/>
      <c r="D6478" s="109"/>
      <c r="E6478" s="109"/>
      <c r="F6478" s="110"/>
      <c r="G6478" s="109"/>
    </row>
    <row r="6479" spans="3:7" x14ac:dyDescent="0.3">
      <c r="C6479" s="109"/>
      <c r="D6479" s="109"/>
      <c r="E6479" s="109"/>
      <c r="F6479" s="110"/>
      <c r="G6479" s="109"/>
    </row>
    <row r="6480" spans="3:7" x14ac:dyDescent="0.3">
      <c r="C6480" s="109"/>
      <c r="D6480" s="109"/>
      <c r="E6480" s="109"/>
      <c r="F6480" s="110"/>
      <c r="G6480" s="109"/>
    </row>
    <row r="6481" spans="3:7" x14ac:dyDescent="0.3">
      <c r="C6481" s="109"/>
      <c r="D6481" s="109"/>
      <c r="E6481" s="109"/>
      <c r="F6481" s="110"/>
      <c r="G6481" s="109"/>
    </row>
    <row r="6482" spans="3:7" x14ac:dyDescent="0.3">
      <c r="C6482" s="109"/>
      <c r="D6482" s="109"/>
      <c r="E6482" s="109"/>
      <c r="F6482" s="110"/>
      <c r="G6482" s="109"/>
    </row>
    <row r="6483" spans="3:7" x14ac:dyDescent="0.3">
      <c r="C6483" s="109"/>
      <c r="D6483" s="109"/>
      <c r="E6483" s="109"/>
      <c r="F6483" s="110"/>
      <c r="G6483" s="109"/>
    </row>
    <row r="6484" spans="3:7" x14ac:dyDescent="0.3">
      <c r="C6484" s="109"/>
      <c r="D6484" s="109"/>
      <c r="E6484" s="109"/>
      <c r="F6484" s="110"/>
      <c r="G6484" s="109"/>
    </row>
    <row r="6485" spans="3:7" x14ac:dyDescent="0.3">
      <c r="C6485" s="109"/>
      <c r="D6485" s="109"/>
      <c r="E6485" s="109"/>
      <c r="F6485" s="110"/>
      <c r="G6485" s="109"/>
    </row>
    <row r="6486" spans="3:7" x14ac:dyDescent="0.3">
      <c r="C6486" s="109"/>
      <c r="D6486" s="109"/>
      <c r="E6486" s="109"/>
      <c r="F6486" s="110"/>
      <c r="G6486" s="109"/>
    </row>
    <row r="6487" spans="3:7" x14ac:dyDescent="0.3">
      <c r="C6487" s="109"/>
      <c r="D6487" s="109"/>
      <c r="E6487" s="109"/>
      <c r="F6487" s="110"/>
      <c r="G6487" s="109"/>
    </row>
    <row r="6488" spans="3:7" x14ac:dyDescent="0.3">
      <c r="C6488" s="109"/>
      <c r="D6488" s="109"/>
      <c r="E6488" s="109"/>
      <c r="F6488" s="110"/>
      <c r="G6488" s="109"/>
    </row>
    <row r="6489" spans="3:7" x14ac:dyDescent="0.3">
      <c r="C6489" s="109"/>
      <c r="D6489" s="109"/>
      <c r="E6489" s="109"/>
      <c r="F6489" s="110"/>
      <c r="G6489" s="109"/>
    </row>
    <row r="6490" spans="3:7" x14ac:dyDescent="0.3">
      <c r="C6490" s="109"/>
      <c r="D6490" s="109"/>
      <c r="E6490" s="109"/>
      <c r="F6490" s="110"/>
      <c r="G6490" s="109"/>
    </row>
    <row r="6491" spans="3:7" x14ac:dyDescent="0.3">
      <c r="C6491" s="109"/>
      <c r="D6491" s="109"/>
      <c r="E6491" s="109"/>
      <c r="F6491" s="110"/>
      <c r="G6491" s="109"/>
    </row>
    <row r="6492" spans="3:7" x14ac:dyDescent="0.3">
      <c r="C6492" s="109"/>
      <c r="D6492" s="109"/>
      <c r="E6492" s="109"/>
      <c r="F6492" s="110"/>
      <c r="G6492" s="109"/>
    </row>
    <row r="6493" spans="3:7" x14ac:dyDescent="0.3">
      <c r="C6493" s="109"/>
      <c r="D6493" s="109"/>
      <c r="E6493" s="109"/>
      <c r="F6493" s="110"/>
      <c r="G6493" s="109"/>
    </row>
    <row r="6494" spans="3:7" x14ac:dyDescent="0.3">
      <c r="C6494" s="109"/>
      <c r="D6494" s="109"/>
      <c r="E6494" s="109"/>
      <c r="F6494" s="110"/>
      <c r="G6494" s="109"/>
    </row>
    <row r="6495" spans="3:7" x14ac:dyDescent="0.3">
      <c r="C6495" s="109"/>
      <c r="D6495" s="109"/>
      <c r="E6495" s="109"/>
      <c r="F6495" s="110"/>
      <c r="G6495" s="109"/>
    </row>
    <row r="6496" spans="3:7" x14ac:dyDescent="0.3">
      <c r="C6496" s="109"/>
      <c r="D6496" s="109"/>
      <c r="E6496" s="109"/>
      <c r="F6496" s="110"/>
      <c r="G6496" s="109"/>
    </row>
    <row r="6497" spans="3:7" x14ac:dyDescent="0.3">
      <c r="C6497" s="109"/>
      <c r="D6497" s="109"/>
      <c r="E6497" s="109"/>
      <c r="F6497" s="110"/>
      <c r="G6497" s="109"/>
    </row>
    <row r="6498" spans="3:7" x14ac:dyDescent="0.3">
      <c r="C6498" s="109"/>
      <c r="D6498" s="109"/>
      <c r="E6498" s="109"/>
      <c r="F6498" s="110"/>
      <c r="G6498" s="109"/>
    </row>
    <row r="6499" spans="3:7" x14ac:dyDescent="0.3">
      <c r="C6499" s="109"/>
      <c r="D6499" s="109"/>
      <c r="E6499" s="109"/>
      <c r="F6499" s="110"/>
      <c r="G6499" s="109"/>
    </row>
    <row r="6500" spans="3:7" x14ac:dyDescent="0.3">
      <c r="C6500" s="109"/>
      <c r="D6500" s="109"/>
      <c r="E6500" s="109"/>
      <c r="F6500" s="110"/>
      <c r="G6500" s="109"/>
    </row>
    <row r="6501" spans="3:7" x14ac:dyDescent="0.3">
      <c r="C6501" s="109"/>
      <c r="D6501" s="109"/>
      <c r="E6501" s="109"/>
      <c r="F6501" s="110"/>
      <c r="G6501" s="109"/>
    </row>
    <row r="6502" spans="3:7" x14ac:dyDescent="0.3">
      <c r="C6502" s="109"/>
      <c r="D6502" s="109"/>
      <c r="E6502" s="109"/>
      <c r="F6502" s="110"/>
      <c r="G6502" s="109"/>
    </row>
    <row r="6503" spans="3:7" x14ac:dyDescent="0.3">
      <c r="C6503" s="109"/>
      <c r="D6503" s="109"/>
      <c r="E6503" s="109"/>
      <c r="F6503" s="110"/>
      <c r="G6503" s="109"/>
    </row>
    <row r="6504" spans="3:7" x14ac:dyDescent="0.3">
      <c r="C6504" s="109"/>
      <c r="D6504" s="109"/>
      <c r="E6504" s="109"/>
      <c r="F6504" s="110"/>
      <c r="G6504" s="109"/>
    </row>
    <row r="6505" spans="3:7" x14ac:dyDescent="0.3">
      <c r="C6505" s="109"/>
      <c r="D6505" s="109"/>
      <c r="E6505" s="109"/>
      <c r="F6505" s="110"/>
      <c r="G6505" s="109"/>
    </row>
    <row r="6506" spans="3:7" x14ac:dyDescent="0.3">
      <c r="C6506" s="109"/>
      <c r="D6506" s="109"/>
      <c r="E6506" s="109"/>
      <c r="F6506" s="110"/>
      <c r="G6506" s="109"/>
    </row>
    <row r="6507" spans="3:7" x14ac:dyDescent="0.3">
      <c r="C6507" s="109"/>
      <c r="D6507" s="109"/>
      <c r="E6507" s="109"/>
      <c r="F6507" s="110"/>
      <c r="G6507" s="109"/>
    </row>
    <row r="6508" spans="3:7" x14ac:dyDescent="0.3">
      <c r="C6508" s="109"/>
      <c r="D6508" s="109"/>
      <c r="E6508" s="109"/>
      <c r="F6508" s="110"/>
      <c r="G6508" s="109"/>
    </row>
    <row r="6509" spans="3:7" x14ac:dyDescent="0.3">
      <c r="C6509" s="109"/>
      <c r="D6509" s="109"/>
      <c r="E6509" s="109"/>
      <c r="F6509" s="110"/>
      <c r="G6509" s="109"/>
    </row>
    <row r="6510" spans="3:7" x14ac:dyDescent="0.3">
      <c r="C6510" s="109"/>
      <c r="D6510" s="109"/>
      <c r="E6510" s="109"/>
      <c r="F6510" s="110"/>
      <c r="G6510" s="109"/>
    </row>
    <row r="6511" spans="3:7" x14ac:dyDescent="0.3">
      <c r="C6511" s="109"/>
      <c r="D6511" s="109"/>
      <c r="E6511" s="109"/>
      <c r="F6511" s="110"/>
      <c r="G6511" s="109"/>
    </row>
    <row r="6512" spans="3:7" x14ac:dyDescent="0.3">
      <c r="C6512" s="109"/>
      <c r="D6512" s="109"/>
      <c r="E6512" s="109"/>
      <c r="F6512" s="110"/>
      <c r="G6512" s="109"/>
    </row>
    <row r="6513" spans="3:7" x14ac:dyDescent="0.3">
      <c r="C6513" s="109"/>
      <c r="D6513" s="109"/>
      <c r="E6513" s="109"/>
      <c r="F6513" s="110"/>
      <c r="G6513" s="109"/>
    </row>
    <row r="6514" spans="3:7" x14ac:dyDescent="0.3">
      <c r="C6514" s="109"/>
      <c r="D6514" s="109"/>
      <c r="E6514" s="109"/>
      <c r="F6514" s="110"/>
      <c r="G6514" s="109"/>
    </row>
    <row r="6515" spans="3:7" x14ac:dyDescent="0.3">
      <c r="C6515" s="109"/>
      <c r="D6515" s="109"/>
      <c r="E6515" s="109"/>
      <c r="F6515" s="110"/>
      <c r="G6515" s="109"/>
    </row>
    <row r="6516" spans="3:7" x14ac:dyDescent="0.3">
      <c r="C6516" s="109"/>
      <c r="D6516" s="109"/>
      <c r="E6516" s="109"/>
      <c r="F6516" s="110"/>
      <c r="G6516" s="109"/>
    </row>
    <row r="6517" spans="3:7" x14ac:dyDescent="0.3">
      <c r="C6517" s="109"/>
      <c r="D6517" s="109"/>
      <c r="E6517" s="109"/>
      <c r="F6517" s="110"/>
      <c r="G6517" s="109"/>
    </row>
    <row r="6518" spans="3:7" x14ac:dyDescent="0.3">
      <c r="C6518" s="109"/>
      <c r="D6518" s="109"/>
      <c r="E6518" s="109"/>
      <c r="F6518" s="110"/>
      <c r="G6518" s="109"/>
    </row>
    <row r="6519" spans="3:7" x14ac:dyDescent="0.3">
      <c r="C6519" s="109"/>
      <c r="D6519" s="109"/>
      <c r="E6519" s="109"/>
      <c r="F6519" s="110"/>
      <c r="G6519" s="109"/>
    </row>
    <row r="6520" spans="3:7" x14ac:dyDescent="0.3">
      <c r="C6520" s="109"/>
      <c r="D6520" s="109"/>
      <c r="E6520" s="109"/>
      <c r="F6520" s="110"/>
      <c r="G6520" s="109"/>
    </row>
    <row r="6521" spans="3:7" x14ac:dyDescent="0.3">
      <c r="C6521" s="109"/>
      <c r="D6521" s="109"/>
      <c r="E6521" s="109"/>
      <c r="F6521" s="110"/>
      <c r="G6521" s="109"/>
    </row>
    <row r="6522" spans="3:7" x14ac:dyDescent="0.3">
      <c r="C6522" s="109"/>
      <c r="D6522" s="109"/>
      <c r="E6522" s="109"/>
      <c r="F6522" s="110"/>
      <c r="G6522" s="109"/>
    </row>
    <row r="6523" spans="3:7" x14ac:dyDescent="0.3">
      <c r="C6523" s="109"/>
      <c r="D6523" s="109"/>
      <c r="E6523" s="109"/>
      <c r="F6523" s="110"/>
      <c r="G6523" s="109"/>
    </row>
    <row r="6524" spans="3:7" x14ac:dyDescent="0.3">
      <c r="C6524" s="109"/>
      <c r="D6524" s="109"/>
      <c r="E6524" s="109"/>
      <c r="F6524" s="110"/>
      <c r="G6524" s="109"/>
    </row>
    <row r="6525" spans="3:7" x14ac:dyDescent="0.3">
      <c r="C6525" s="109"/>
      <c r="D6525" s="109"/>
      <c r="E6525" s="109"/>
      <c r="F6525" s="110"/>
      <c r="G6525" s="109"/>
    </row>
    <row r="6526" spans="3:7" x14ac:dyDescent="0.3">
      <c r="C6526" s="109"/>
      <c r="D6526" s="109"/>
      <c r="E6526" s="109"/>
      <c r="F6526" s="110"/>
      <c r="G6526" s="109"/>
    </row>
    <row r="6527" spans="3:7" x14ac:dyDescent="0.3">
      <c r="C6527" s="109"/>
      <c r="D6527" s="109"/>
      <c r="E6527" s="109"/>
      <c r="F6527" s="110"/>
      <c r="G6527" s="109"/>
    </row>
    <row r="6528" spans="3:7" x14ac:dyDescent="0.3">
      <c r="C6528" s="109"/>
      <c r="D6528" s="109"/>
      <c r="E6528" s="109"/>
      <c r="F6528" s="110"/>
      <c r="G6528" s="109"/>
    </row>
    <row r="6529" spans="3:7" x14ac:dyDescent="0.3">
      <c r="C6529" s="109"/>
      <c r="D6529" s="109"/>
      <c r="E6529" s="109"/>
      <c r="F6529" s="110"/>
      <c r="G6529" s="109"/>
    </row>
    <row r="6530" spans="3:7" x14ac:dyDescent="0.3">
      <c r="C6530" s="109"/>
      <c r="D6530" s="109"/>
      <c r="E6530" s="109"/>
      <c r="F6530" s="110"/>
      <c r="G6530" s="109"/>
    </row>
    <row r="6531" spans="3:7" x14ac:dyDescent="0.3">
      <c r="C6531" s="109"/>
      <c r="D6531" s="109"/>
      <c r="E6531" s="109"/>
      <c r="F6531" s="110"/>
      <c r="G6531" s="109"/>
    </row>
    <row r="6532" spans="3:7" x14ac:dyDescent="0.3">
      <c r="C6532" s="109"/>
      <c r="D6532" s="109"/>
      <c r="E6532" s="109"/>
      <c r="F6532" s="110"/>
      <c r="G6532" s="109"/>
    </row>
    <row r="6533" spans="3:7" x14ac:dyDescent="0.3">
      <c r="C6533" s="109"/>
      <c r="D6533" s="109"/>
      <c r="E6533" s="109"/>
      <c r="F6533" s="110"/>
      <c r="G6533" s="109"/>
    </row>
    <row r="6534" spans="3:7" x14ac:dyDescent="0.3">
      <c r="C6534" s="109"/>
      <c r="D6534" s="109"/>
      <c r="E6534" s="109"/>
      <c r="F6534" s="110"/>
      <c r="G6534" s="109"/>
    </row>
    <row r="6535" spans="3:7" x14ac:dyDescent="0.3">
      <c r="C6535" s="109"/>
      <c r="D6535" s="109"/>
      <c r="E6535" s="109"/>
      <c r="F6535" s="110"/>
      <c r="G6535" s="109"/>
    </row>
    <row r="6536" spans="3:7" x14ac:dyDescent="0.3">
      <c r="C6536" s="109"/>
      <c r="D6536" s="109"/>
      <c r="E6536" s="109"/>
      <c r="F6536" s="110"/>
      <c r="G6536" s="109"/>
    </row>
    <row r="6537" spans="3:7" x14ac:dyDescent="0.3">
      <c r="C6537" s="109"/>
      <c r="D6537" s="109"/>
      <c r="E6537" s="109"/>
      <c r="F6537" s="110"/>
      <c r="G6537" s="109"/>
    </row>
    <row r="6538" spans="3:7" x14ac:dyDescent="0.3">
      <c r="C6538" s="109"/>
      <c r="D6538" s="109"/>
      <c r="E6538" s="109"/>
      <c r="F6538" s="110"/>
      <c r="G6538" s="109"/>
    </row>
    <row r="6539" spans="3:7" x14ac:dyDescent="0.3">
      <c r="C6539" s="109"/>
      <c r="D6539" s="109"/>
      <c r="E6539" s="109"/>
      <c r="F6539" s="110"/>
      <c r="G6539" s="109"/>
    </row>
    <row r="6540" spans="3:7" x14ac:dyDescent="0.3">
      <c r="C6540" s="109"/>
      <c r="D6540" s="109"/>
      <c r="E6540" s="109"/>
      <c r="F6540" s="110"/>
      <c r="G6540" s="109"/>
    </row>
    <row r="6541" spans="3:7" x14ac:dyDescent="0.3">
      <c r="C6541" s="109"/>
      <c r="D6541" s="109"/>
      <c r="E6541" s="109"/>
      <c r="F6541" s="110"/>
      <c r="G6541" s="109"/>
    </row>
    <row r="6542" spans="3:7" x14ac:dyDescent="0.3">
      <c r="C6542" s="109"/>
      <c r="D6542" s="109"/>
      <c r="E6542" s="109"/>
      <c r="F6542" s="110"/>
      <c r="G6542" s="109"/>
    </row>
    <row r="6543" spans="3:7" x14ac:dyDescent="0.3">
      <c r="C6543" s="109"/>
      <c r="D6543" s="109"/>
      <c r="E6543" s="109"/>
      <c r="F6543" s="110"/>
      <c r="G6543" s="109"/>
    </row>
    <row r="6544" spans="3:7" x14ac:dyDescent="0.3">
      <c r="C6544" s="109"/>
      <c r="D6544" s="109"/>
      <c r="E6544" s="109"/>
      <c r="F6544" s="110"/>
      <c r="G6544" s="109"/>
    </row>
    <row r="6545" spans="3:7" x14ac:dyDescent="0.3">
      <c r="C6545" s="109"/>
      <c r="D6545" s="109"/>
      <c r="E6545" s="109"/>
      <c r="F6545" s="110"/>
      <c r="G6545" s="109"/>
    </row>
    <row r="6546" spans="3:7" x14ac:dyDescent="0.3">
      <c r="C6546" s="109"/>
      <c r="D6546" s="109"/>
      <c r="E6546" s="109"/>
      <c r="F6546" s="110"/>
      <c r="G6546" s="109"/>
    </row>
    <row r="6547" spans="3:7" x14ac:dyDescent="0.3">
      <c r="C6547" s="109"/>
      <c r="D6547" s="109"/>
      <c r="E6547" s="109"/>
      <c r="F6547" s="110"/>
      <c r="G6547" s="109"/>
    </row>
    <row r="6548" spans="3:7" x14ac:dyDescent="0.3">
      <c r="C6548" s="109"/>
      <c r="D6548" s="109"/>
      <c r="E6548" s="109"/>
      <c r="F6548" s="110"/>
      <c r="G6548" s="109"/>
    </row>
    <row r="6549" spans="3:7" x14ac:dyDescent="0.3">
      <c r="C6549" s="109"/>
      <c r="D6549" s="109"/>
      <c r="E6549" s="109"/>
      <c r="F6549" s="110"/>
      <c r="G6549" s="109"/>
    </row>
    <row r="6550" spans="3:7" x14ac:dyDescent="0.3">
      <c r="C6550" s="109"/>
      <c r="D6550" s="109"/>
      <c r="E6550" s="109"/>
      <c r="F6550" s="110"/>
      <c r="G6550" s="109"/>
    </row>
    <row r="6551" spans="3:7" x14ac:dyDescent="0.3">
      <c r="C6551" s="109"/>
      <c r="D6551" s="109"/>
      <c r="E6551" s="109"/>
      <c r="F6551" s="110"/>
      <c r="G6551" s="109"/>
    </row>
    <row r="6552" spans="3:7" x14ac:dyDescent="0.3">
      <c r="C6552" s="109"/>
      <c r="D6552" s="109"/>
      <c r="E6552" s="109"/>
      <c r="F6552" s="110"/>
      <c r="G6552" s="109"/>
    </row>
    <row r="6553" spans="3:7" x14ac:dyDescent="0.3">
      <c r="C6553" s="109"/>
      <c r="D6553" s="109"/>
      <c r="E6553" s="109"/>
      <c r="F6553" s="110"/>
      <c r="G6553" s="109"/>
    </row>
    <row r="6554" spans="3:7" x14ac:dyDescent="0.3">
      <c r="C6554" s="109"/>
      <c r="D6554" s="109"/>
      <c r="E6554" s="109"/>
      <c r="F6554" s="110"/>
      <c r="G6554" s="109"/>
    </row>
    <row r="6555" spans="3:7" x14ac:dyDescent="0.3">
      <c r="C6555" s="109"/>
      <c r="D6555" s="109"/>
      <c r="E6555" s="109"/>
      <c r="F6555" s="110"/>
      <c r="G6555" s="109"/>
    </row>
    <row r="6556" spans="3:7" x14ac:dyDescent="0.3">
      <c r="C6556" s="109"/>
      <c r="D6556" s="109"/>
      <c r="E6556" s="109"/>
      <c r="F6556" s="110"/>
      <c r="G6556" s="109"/>
    </row>
    <row r="6557" spans="3:7" x14ac:dyDescent="0.3">
      <c r="C6557" s="109"/>
      <c r="D6557" s="109"/>
      <c r="E6557" s="109"/>
      <c r="F6557" s="110"/>
      <c r="G6557" s="109"/>
    </row>
    <row r="6558" spans="3:7" x14ac:dyDescent="0.3">
      <c r="C6558" s="109"/>
      <c r="D6558" s="109"/>
      <c r="E6558" s="109"/>
      <c r="F6558" s="110"/>
      <c r="G6558" s="109"/>
    </row>
    <row r="6559" spans="3:7" x14ac:dyDescent="0.3">
      <c r="C6559" s="109"/>
      <c r="D6559" s="109"/>
      <c r="E6559" s="109"/>
      <c r="F6559" s="110"/>
      <c r="G6559" s="109"/>
    </row>
    <row r="6560" spans="3:7" x14ac:dyDescent="0.3">
      <c r="C6560" s="109"/>
      <c r="D6560" s="109"/>
      <c r="E6560" s="109"/>
      <c r="F6560" s="110"/>
      <c r="G6560" s="109"/>
    </row>
    <row r="6561" spans="3:7" x14ac:dyDescent="0.3">
      <c r="C6561" s="109"/>
      <c r="D6561" s="109"/>
      <c r="E6561" s="109"/>
      <c r="F6561" s="110"/>
      <c r="G6561" s="109"/>
    </row>
    <row r="6562" spans="3:7" x14ac:dyDescent="0.3">
      <c r="C6562" s="109"/>
      <c r="D6562" s="109"/>
      <c r="E6562" s="109"/>
      <c r="F6562" s="110"/>
      <c r="G6562" s="109"/>
    </row>
    <row r="6563" spans="3:7" x14ac:dyDescent="0.3">
      <c r="C6563" s="109"/>
      <c r="D6563" s="109"/>
      <c r="E6563" s="109"/>
      <c r="F6563" s="110"/>
      <c r="G6563" s="109"/>
    </row>
    <row r="6564" spans="3:7" x14ac:dyDescent="0.3">
      <c r="C6564" s="109"/>
      <c r="D6564" s="109"/>
      <c r="E6564" s="109"/>
      <c r="F6564" s="110"/>
      <c r="G6564" s="109"/>
    </row>
    <row r="6565" spans="3:7" x14ac:dyDescent="0.3">
      <c r="C6565" s="109"/>
      <c r="D6565" s="109"/>
      <c r="E6565" s="109"/>
      <c r="F6565" s="110"/>
      <c r="G6565" s="109"/>
    </row>
    <row r="6566" spans="3:7" x14ac:dyDescent="0.3">
      <c r="C6566" s="109"/>
      <c r="D6566" s="109"/>
      <c r="E6566" s="109"/>
      <c r="F6566" s="110"/>
      <c r="G6566" s="109"/>
    </row>
    <row r="6567" spans="3:7" x14ac:dyDescent="0.3">
      <c r="C6567" s="109"/>
      <c r="D6567" s="109"/>
      <c r="E6567" s="109"/>
      <c r="F6567" s="110"/>
      <c r="G6567" s="109"/>
    </row>
    <row r="6568" spans="3:7" x14ac:dyDescent="0.3">
      <c r="C6568" s="109"/>
      <c r="D6568" s="109"/>
      <c r="E6568" s="109"/>
      <c r="F6568" s="110"/>
      <c r="G6568" s="109"/>
    </row>
    <row r="6569" spans="3:7" x14ac:dyDescent="0.3">
      <c r="C6569" s="109"/>
      <c r="D6569" s="109"/>
      <c r="E6569" s="109"/>
      <c r="F6569" s="110"/>
      <c r="G6569" s="109"/>
    </row>
    <row r="6570" spans="3:7" x14ac:dyDescent="0.3">
      <c r="C6570" s="109"/>
      <c r="D6570" s="109"/>
      <c r="E6570" s="109"/>
      <c r="F6570" s="110"/>
      <c r="G6570" s="109"/>
    </row>
    <row r="6571" spans="3:7" x14ac:dyDescent="0.3">
      <c r="C6571" s="109"/>
      <c r="D6571" s="109"/>
      <c r="E6571" s="109"/>
      <c r="F6571" s="110"/>
      <c r="G6571" s="109"/>
    </row>
    <row r="6572" spans="3:7" x14ac:dyDescent="0.3">
      <c r="C6572" s="109"/>
      <c r="D6572" s="109"/>
      <c r="E6572" s="109"/>
      <c r="F6572" s="110"/>
      <c r="G6572" s="109"/>
    </row>
    <row r="6573" spans="3:7" x14ac:dyDescent="0.3">
      <c r="C6573" s="109"/>
      <c r="D6573" s="109"/>
      <c r="E6573" s="109"/>
      <c r="F6573" s="110"/>
      <c r="G6573" s="109"/>
    </row>
    <row r="6574" spans="3:7" x14ac:dyDescent="0.3">
      <c r="C6574" s="109"/>
      <c r="D6574" s="109"/>
      <c r="E6574" s="109"/>
      <c r="F6574" s="110"/>
      <c r="G6574" s="109"/>
    </row>
    <row r="6575" spans="3:7" x14ac:dyDescent="0.3">
      <c r="C6575" s="109"/>
      <c r="D6575" s="109"/>
      <c r="E6575" s="109"/>
      <c r="F6575" s="110"/>
      <c r="G6575" s="109"/>
    </row>
    <row r="6576" spans="3:7" x14ac:dyDescent="0.3">
      <c r="C6576" s="109"/>
      <c r="D6576" s="109"/>
      <c r="E6576" s="109"/>
      <c r="F6576" s="110"/>
      <c r="G6576" s="109"/>
    </row>
    <row r="6577" spans="3:7" x14ac:dyDescent="0.3">
      <c r="C6577" s="109"/>
      <c r="D6577" s="109"/>
      <c r="E6577" s="109"/>
      <c r="F6577" s="110"/>
      <c r="G6577" s="109"/>
    </row>
    <row r="6578" spans="3:7" x14ac:dyDescent="0.3">
      <c r="C6578" s="109"/>
      <c r="D6578" s="109"/>
      <c r="E6578" s="109"/>
      <c r="F6578" s="110"/>
      <c r="G6578" s="109"/>
    </row>
    <row r="6579" spans="3:7" x14ac:dyDescent="0.3">
      <c r="C6579" s="109"/>
      <c r="D6579" s="109"/>
      <c r="E6579" s="109"/>
      <c r="F6579" s="110"/>
      <c r="G6579" s="109"/>
    </row>
    <row r="6580" spans="3:7" x14ac:dyDescent="0.3">
      <c r="C6580" s="109"/>
      <c r="D6580" s="109"/>
      <c r="E6580" s="109"/>
      <c r="F6580" s="110"/>
      <c r="G6580" s="109"/>
    </row>
    <row r="6581" spans="3:7" x14ac:dyDescent="0.3">
      <c r="C6581" s="109"/>
      <c r="D6581" s="109"/>
      <c r="E6581" s="109"/>
      <c r="F6581" s="110"/>
      <c r="G6581" s="109"/>
    </row>
    <row r="6582" spans="3:7" x14ac:dyDescent="0.3">
      <c r="C6582" s="109"/>
      <c r="D6582" s="109"/>
      <c r="E6582" s="109"/>
      <c r="F6582" s="110"/>
      <c r="G6582" s="109"/>
    </row>
    <row r="6583" spans="3:7" x14ac:dyDescent="0.3">
      <c r="C6583" s="109"/>
      <c r="D6583" s="109"/>
      <c r="E6583" s="109"/>
      <c r="F6583" s="110"/>
      <c r="G6583" s="109"/>
    </row>
    <row r="6584" spans="3:7" x14ac:dyDescent="0.3">
      <c r="C6584" s="109"/>
      <c r="D6584" s="109"/>
      <c r="E6584" s="109"/>
      <c r="F6584" s="110"/>
      <c r="G6584" s="109"/>
    </row>
    <row r="6585" spans="3:7" x14ac:dyDescent="0.3">
      <c r="C6585" s="109"/>
      <c r="D6585" s="109"/>
      <c r="E6585" s="109"/>
      <c r="F6585" s="110"/>
      <c r="G6585" s="109"/>
    </row>
    <row r="6586" spans="3:7" x14ac:dyDescent="0.3">
      <c r="C6586" s="109"/>
      <c r="D6586" s="109"/>
      <c r="E6586" s="109"/>
      <c r="F6586" s="110"/>
      <c r="G6586" s="109"/>
    </row>
    <row r="6587" spans="3:7" x14ac:dyDescent="0.3">
      <c r="C6587" s="109"/>
      <c r="D6587" s="109"/>
      <c r="E6587" s="109"/>
      <c r="F6587" s="110"/>
      <c r="G6587" s="109"/>
    </row>
    <row r="6588" spans="3:7" x14ac:dyDescent="0.3">
      <c r="C6588" s="109"/>
      <c r="D6588" s="109"/>
      <c r="E6588" s="109"/>
      <c r="F6588" s="110"/>
      <c r="G6588" s="109"/>
    </row>
    <row r="6589" spans="3:7" x14ac:dyDescent="0.3">
      <c r="C6589" s="109"/>
      <c r="D6589" s="109"/>
      <c r="E6589" s="109"/>
      <c r="F6589" s="110"/>
      <c r="G6589" s="109"/>
    </row>
    <row r="6590" spans="3:7" x14ac:dyDescent="0.3">
      <c r="C6590" s="109"/>
      <c r="D6590" s="109"/>
      <c r="E6590" s="109"/>
      <c r="F6590" s="110"/>
      <c r="G6590" s="109"/>
    </row>
    <row r="6591" spans="3:7" x14ac:dyDescent="0.3">
      <c r="C6591" s="109"/>
      <c r="D6591" s="109"/>
      <c r="E6591" s="109"/>
      <c r="F6591" s="110"/>
      <c r="G6591" s="109"/>
    </row>
    <row r="6592" spans="3:7" x14ac:dyDescent="0.3">
      <c r="C6592" s="109"/>
      <c r="D6592" s="109"/>
      <c r="E6592" s="109"/>
      <c r="F6592" s="110"/>
      <c r="G6592" s="109"/>
    </row>
    <row r="6593" spans="3:7" x14ac:dyDescent="0.3">
      <c r="C6593" s="109"/>
      <c r="D6593" s="109"/>
      <c r="E6593" s="109"/>
      <c r="F6593" s="110"/>
      <c r="G6593" s="109"/>
    </row>
    <row r="6594" spans="3:7" x14ac:dyDescent="0.3">
      <c r="C6594" s="109"/>
      <c r="D6594" s="109"/>
      <c r="E6594" s="109"/>
      <c r="F6594" s="110"/>
      <c r="G6594" s="109"/>
    </row>
    <row r="6595" spans="3:7" x14ac:dyDescent="0.3">
      <c r="C6595" s="109"/>
      <c r="D6595" s="109"/>
      <c r="E6595" s="109"/>
      <c r="F6595" s="110"/>
      <c r="G6595" s="109"/>
    </row>
    <row r="6596" spans="3:7" x14ac:dyDescent="0.3">
      <c r="C6596" s="109"/>
      <c r="D6596" s="109"/>
      <c r="E6596" s="109"/>
      <c r="F6596" s="110"/>
      <c r="G6596" s="109"/>
    </row>
    <row r="6597" spans="3:7" x14ac:dyDescent="0.3">
      <c r="C6597" s="109"/>
      <c r="D6597" s="109"/>
      <c r="E6597" s="109"/>
      <c r="F6597" s="110"/>
      <c r="G6597" s="109"/>
    </row>
    <row r="6598" spans="3:7" x14ac:dyDescent="0.3">
      <c r="C6598" s="109"/>
      <c r="D6598" s="109"/>
      <c r="E6598" s="109"/>
      <c r="F6598" s="110"/>
      <c r="G6598" s="109"/>
    </row>
    <row r="6599" spans="3:7" x14ac:dyDescent="0.3">
      <c r="C6599" s="109"/>
      <c r="D6599" s="109"/>
      <c r="E6599" s="109"/>
      <c r="F6599" s="110"/>
      <c r="G6599" s="109"/>
    </row>
    <row r="6600" spans="3:7" x14ac:dyDescent="0.3">
      <c r="C6600" s="109"/>
      <c r="D6600" s="109"/>
      <c r="E6600" s="109"/>
      <c r="F6600" s="110"/>
      <c r="G6600" s="109"/>
    </row>
    <row r="6601" spans="3:7" x14ac:dyDescent="0.3">
      <c r="C6601" s="109"/>
      <c r="D6601" s="109"/>
      <c r="E6601" s="109"/>
      <c r="F6601" s="110"/>
      <c r="G6601" s="109"/>
    </row>
    <row r="6602" spans="3:7" x14ac:dyDescent="0.3">
      <c r="C6602" s="109"/>
      <c r="D6602" s="109"/>
      <c r="E6602" s="109"/>
      <c r="F6602" s="110"/>
      <c r="G6602" s="109"/>
    </row>
    <row r="6603" spans="3:7" x14ac:dyDescent="0.3">
      <c r="C6603" s="109"/>
      <c r="D6603" s="109"/>
      <c r="E6603" s="109"/>
      <c r="F6603" s="110"/>
      <c r="G6603" s="109"/>
    </row>
    <row r="6604" spans="3:7" x14ac:dyDescent="0.3">
      <c r="C6604" s="109"/>
      <c r="D6604" s="109"/>
      <c r="E6604" s="109"/>
      <c r="F6604" s="110"/>
      <c r="G6604" s="109"/>
    </row>
    <row r="6605" spans="3:7" x14ac:dyDescent="0.3">
      <c r="C6605" s="109"/>
      <c r="D6605" s="109"/>
      <c r="E6605" s="109"/>
      <c r="F6605" s="110"/>
      <c r="G6605" s="109"/>
    </row>
    <row r="6606" spans="3:7" x14ac:dyDescent="0.3">
      <c r="C6606" s="109"/>
      <c r="D6606" s="109"/>
      <c r="E6606" s="109"/>
      <c r="F6606" s="110"/>
      <c r="G6606" s="109"/>
    </row>
    <row r="6607" spans="3:7" x14ac:dyDescent="0.3">
      <c r="C6607" s="109"/>
      <c r="D6607" s="109"/>
      <c r="E6607" s="109"/>
      <c r="F6607" s="110"/>
      <c r="G6607" s="109"/>
    </row>
    <row r="6608" spans="3:7" x14ac:dyDescent="0.3">
      <c r="C6608" s="109"/>
      <c r="D6608" s="109"/>
      <c r="E6608" s="109"/>
      <c r="F6608" s="110"/>
      <c r="G6608" s="109"/>
    </row>
    <row r="6609" spans="3:7" x14ac:dyDescent="0.3">
      <c r="C6609" s="109"/>
      <c r="D6609" s="109"/>
      <c r="E6609" s="109"/>
      <c r="F6609" s="110"/>
      <c r="G6609" s="109"/>
    </row>
    <row r="6610" spans="3:7" x14ac:dyDescent="0.3">
      <c r="C6610" s="109"/>
      <c r="D6610" s="109"/>
      <c r="E6610" s="109"/>
      <c r="F6610" s="110"/>
      <c r="G6610" s="109"/>
    </row>
    <row r="6611" spans="3:7" x14ac:dyDescent="0.3">
      <c r="C6611" s="109"/>
      <c r="D6611" s="109"/>
      <c r="E6611" s="109"/>
      <c r="F6611" s="110"/>
      <c r="G6611" s="109"/>
    </row>
    <row r="6612" spans="3:7" x14ac:dyDescent="0.3">
      <c r="C6612" s="109"/>
      <c r="D6612" s="109"/>
      <c r="E6612" s="109"/>
      <c r="F6612" s="110"/>
      <c r="G6612" s="109"/>
    </row>
    <row r="6613" spans="3:7" x14ac:dyDescent="0.3">
      <c r="C6613" s="109"/>
      <c r="D6613" s="109"/>
      <c r="E6613" s="109"/>
      <c r="F6613" s="110"/>
      <c r="G6613" s="109"/>
    </row>
    <row r="6614" spans="3:7" x14ac:dyDescent="0.3">
      <c r="C6614" s="109"/>
      <c r="D6614" s="109"/>
      <c r="E6614" s="109"/>
      <c r="F6614" s="110"/>
      <c r="G6614" s="109"/>
    </row>
    <row r="6615" spans="3:7" x14ac:dyDescent="0.3">
      <c r="C6615" s="109"/>
      <c r="D6615" s="109"/>
      <c r="E6615" s="109"/>
      <c r="F6615" s="110"/>
      <c r="G6615" s="109"/>
    </row>
    <row r="6616" spans="3:7" x14ac:dyDescent="0.3">
      <c r="C6616" s="109"/>
      <c r="D6616" s="109"/>
      <c r="E6616" s="109"/>
      <c r="F6616" s="110"/>
      <c r="G6616" s="109"/>
    </row>
    <row r="6617" spans="3:7" x14ac:dyDescent="0.3">
      <c r="C6617" s="109"/>
      <c r="D6617" s="109"/>
      <c r="E6617" s="109"/>
      <c r="F6617" s="110"/>
      <c r="G6617" s="109"/>
    </row>
    <row r="6618" spans="3:7" x14ac:dyDescent="0.3">
      <c r="C6618" s="109"/>
      <c r="D6618" s="109"/>
      <c r="E6618" s="109"/>
      <c r="F6618" s="110"/>
      <c r="G6618" s="109"/>
    </row>
    <row r="6619" spans="3:7" x14ac:dyDescent="0.3">
      <c r="C6619" s="109"/>
      <c r="D6619" s="109"/>
      <c r="E6619" s="109"/>
      <c r="F6619" s="110"/>
      <c r="G6619" s="109"/>
    </row>
    <row r="6620" spans="3:7" x14ac:dyDescent="0.3">
      <c r="C6620" s="109"/>
      <c r="D6620" s="109"/>
      <c r="E6620" s="109"/>
      <c r="F6620" s="110"/>
      <c r="G6620" s="109"/>
    </row>
    <row r="6621" spans="3:7" x14ac:dyDescent="0.3">
      <c r="C6621" s="109"/>
      <c r="D6621" s="109"/>
      <c r="E6621" s="109"/>
      <c r="F6621" s="110"/>
      <c r="G6621" s="109"/>
    </row>
    <row r="6622" spans="3:7" x14ac:dyDescent="0.3">
      <c r="C6622" s="109"/>
      <c r="D6622" s="109"/>
      <c r="E6622" s="109"/>
      <c r="F6622" s="110"/>
      <c r="G6622" s="109"/>
    </row>
    <row r="6623" spans="3:7" x14ac:dyDescent="0.3">
      <c r="C6623" s="109"/>
      <c r="D6623" s="109"/>
      <c r="E6623" s="109"/>
      <c r="F6623" s="110"/>
      <c r="G6623" s="109"/>
    </row>
    <row r="6624" spans="3:7" x14ac:dyDescent="0.3">
      <c r="C6624" s="109"/>
      <c r="D6624" s="109"/>
      <c r="E6624" s="109"/>
      <c r="F6624" s="110"/>
      <c r="G6624" s="109"/>
    </row>
    <row r="6625" spans="3:7" x14ac:dyDescent="0.3">
      <c r="C6625" s="109"/>
      <c r="D6625" s="109"/>
      <c r="E6625" s="109"/>
      <c r="F6625" s="110"/>
      <c r="G6625" s="109"/>
    </row>
    <row r="6626" spans="3:7" x14ac:dyDescent="0.3">
      <c r="C6626" s="109"/>
      <c r="D6626" s="109"/>
      <c r="E6626" s="109"/>
      <c r="F6626" s="110"/>
      <c r="G6626" s="109"/>
    </row>
    <row r="6627" spans="3:7" x14ac:dyDescent="0.3">
      <c r="C6627" s="109"/>
      <c r="D6627" s="109"/>
      <c r="E6627" s="109"/>
      <c r="F6627" s="110"/>
      <c r="G6627" s="109"/>
    </row>
    <row r="6628" spans="3:7" x14ac:dyDescent="0.3">
      <c r="C6628" s="109"/>
      <c r="D6628" s="109"/>
      <c r="E6628" s="109"/>
      <c r="F6628" s="110"/>
      <c r="G6628" s="109"/>
    </row>
    <row r="6629" spans="3:7" x14ac:dyDescent="0.3">
      <c r="C6629" s="109"/>
      <c r="D6629" s="109"/>
      <c r="E6629" s="109"/>
      <c r="F6629" s="110"/>
      <c r="G6629" s="109"/>
    </row>
    <row r="6630" spans="3:7" x14ac:dyDescent="0.3">
      <c r="C6630" s="109"/>
      <c r="D6630" s="109"/>
      <c r="E6630" s="109"/>
      <c r="F6630" s="110"/>
      <c r="G6630" s="109"/>
    </row>
    <row r="6631" spans="3:7" x14ac:dyDescent="0.3">
      <c r="C6631" s="109"/>
      <c r="D6631" s="109"/>
      <c r="E6631" s="109"/>
      <c r="F6631" s="110"/>
      <c r="G6631" s="109"/>
    </row>
    <row r="6632" spans="3:7" x14ac:dyDescent="0.3">
      <c r="C6632" s="109"/>
      <c r="D6632" s="109"/>
      <c r="E6632" s="109"/>
      <c r="F6632" s="110"/>
      <c r="G6632" s="109"/>
    </row>
    <row r="6633" spans="3:7" x14ac:dyDescent="0.3">
      <c r="C6633" s="109"/>
      <c r="D6633" s="109"/>
      <c r="E6633" s="109"/>
      <c r="F6633" s="110"/>
      <c r="G6633" s="109"/>
    </row>
    <row r="6634" spans="3:7" x14ac:dyDescent="0.3">
      <c r="C6634" s="109"/>
      <c r="D6634" s="109"/>
      <c r="E6634" s="109"/>
      <c r="F6634" s="110"/>
      <c r="G6634" s="109"/>
    </row>
    <row r="6635" spans="3:7" x14ac:dyDescent="0.3">
      <c r="C6635" s="109"/>
      <c r="D6635" s="109"/>
      <c r="E6635" s="109"/>
      <c r="F6635" s="110"/>
      <c r="G6635" s="109"/>
    </row>
    <row r="6636" spans="3:7" x14ac:dyDescent="0.3">
      <c r="C6636" s="109"/>
      <c r="D6636" s="109"/>
      <c r="E6636" s="109"/>
      <c r="F6636" s="110"/>
      <c r="G6636" s="109"/>
    </row>
    <row r="6637" spans="3:7" x14ac:dyDescent="0.3">
      <c r="C6637" s="109"/>
      <c r="D6637" s="109"/>
      <c r="E6637" s="109"/>
      <c r="F6637" s="110"/>
      <c r="G6637" s="109"/>
    </row>
    <row r="6638" spans="3:7" x14ac:dyDescent="0.3">
      <c r="C6638" s="109"/>
      <c r="D6638" s="109"/>
      <c r="E6638" s="109"/>
      <c r="F6638" s="110"/>
      <c r="G6638" s="109"/>
    </row>
    <row r="6639" spans="3:7" x14ac:dyDescent="0.3">
      <c r="C6639" s="109"/>
      <c r="D6639" s="109"/>
      <c r="E6639" s="109"/>
      <c r="F6639" s="110"/>
      <c r="G6639" s="109"/>
    </row>
    <row r="6640" spans="3:7" x14ac:dyDescent="0.3">
      <c r="C6640" s="109"/>
      <c r="D6640" s="109"/>
      <c r="E6640" s="109"/>
      <c r="F6640" s="110"/>
      <c r="G6640" s="109"/>
    </row>
    <row r="6641" spans="3:7" x14ac:dyDescent="0.3">
      <c r="C6641" s="109"/>
      <c r="D6641" s="109"/>
      <c r="E6641" s="109"/>
      <c r="F6641" s="110"/>
      <c r="G6641" s="109"/>
    </row>
    <row r="6642" spans="3:7" x14ac:dyDescent="0.3">
      <c r="C6642" s="109"/>
      <c r="D6642" s="109"/>
      <c r="E6642" s="109"/>
      <c r="F6642" s="110"/>
      <c r="G6642" s="109"/>
    </row>
    <row r="6643" spans="3:7" x14ac:dyDescent="0.3">
      <c r="C6643" s="109"/>
      <c r="D6643" s="109"/>
      <c r="E6643" s="109"/>
      <c r="F6643" s="110"/>
      <c r="G6643" s="109"/>
    </row>
    <row r="6644" spans="3:7" x14ac:dyDescent="0.3">
      <c r="C6644" s="109"/>
      <c r="D6644" s="109"/>
      <c r="E6644" s="109"/>
      <c r="F6644" s="110"/>
      <c r="G6644" s="109"/>
    </row>
    <row r="6645" spans="3:7" x14ac:dyDescent="0.3">
      <c r="C6645" s="109"/>
      <c r="D6645" s="109"/>
      <c r="E6645" s="109"/>
      <c r="F6645" s="110"/>
      <c r="G6645" s="109"/>
    </row>
    <row r="6646" spans="3:7" x14ac:dyDescent="0.3">
      <c r="C6646" s="109"/>
      <c r="D6646" s="109"/>
      <c r="E6646" s="109"/>
      <c r="F6646" s="110"/>
      <c r="G6646" s="109"/>
    </row>
    <row r="6647" spans="3:7" x14ac:dyDescent="0.3">
      <c r="C6647" s="109"/>
      <c r="D6647" s="109"/>
      <c r="E6647" s="109"/>
      <c r="F6647" s="110"/>
      <c r="G6647" s="109"/>
    </row>
    <row r="6648" spans="3:7" x14ac:dyDescent="0.3">
      <c r="C6648" s="109"/>
      <c r="D6648" s="109"/>
      <c r="E6648" s="109"/>
      <c r="F6648" s="110"/>
      <c r="G6648" s="109"/>
    </row>
    <row r="6649" spans="3:7" x14ac:dyDescent="0.3">
      <c r="C6649" s="109"/>
      <c r="D6649" s="109"/>
      <c r="E6649" s="109"/>
      <c r="F6649" s="110"/>
      <c r="G6649" s="109"/>
    </row>
    <row r="6650" spans="3:7" x14ac:dyDescent="0.3">
      <c r="C6650" s="109"/>
      <c r="D6650" s="109"/>
      <c r="E6650" s="109"/>
      <c r="F6650" s="110"/>
      <c r="G6650" s="109"/>
    </row>
    <row r="6651" spans="3:7" x14ac:dyDescent="0.3">
      <c r="C6651" s="109"/>
      <c r="D6651" s="109"/>
      <c r="E6651" s="109"/>
      <c r="F6651" s="110"/>
      <c r="G6651" s="109"/>
    </row>
    <row r="6652" spans="3:7" x14ac:dyDescent="0.3">
      <c r="C6652" s="109"/>
      <c r="D6652" s="109"/>
      <c r="E6652" s="109"/>
      <c r="F6652" s="110"/>
      <c r="G6652" s="109"/>
    </row>
    <row r="6653" spans="3:7" x14ac:dyDescent="0.3">
      <c r="C6653" s="109"/>
      <c r="D6653" s="109"/>
      <c r="E6653" s="109"/>
      <c r="F6653" s="110"/>
      <c r="G6653" s="109"/>
    </row>
    <row r="6654" spans="3:7" x14ac:dyDescent="0.3">
      <c r="C6654" s="109"/>
      <c r="D6654" s="109"/>
      <c r="E6654" s="109"/>
      <c r="F6654" s="110"/>
      <c r="G6654" s="109"/>
    </row>
    <row r="6655" spans="3:7" x14ac:dyDescent="0.3">
      <c r="C6655" s="109"/>
      <c r="D6655" s="109"/>
      <c r="E6655" s="109"/>
      <c r="F6655" s="110"/>
      <c r="G6655" s="109"/>
    </row>
    <row r="6656" spans="3:7" x14ac:dyDescent="0.3">
      <c r="C6656" s="109"/>
      <c r="D6656" s="109"/>
      <c r="E6656" s="109"/>
      <c r="F6656" s="110"/>
      <c r="G6656" s="109"/>
    </row>
    <row r="6657" spans="3:7" x14ac:dyDescent="0.3">
      <c r="C6657" s="109"/>
      <c r="D6657" s="109"/>
      <c r="E6657" s="109"/>
      <c r="F6657" s="110"/>
      <c r="G6657" s="109"/>
    </row>
    <row r="6658" spans="3:7" x14ac:dyDescent="0.3">
      <c r="C6658" s="109"/>
      <c r="D6658" s="109"/>
      <c r="E6658" s="109"/>
      <c r="F6658" s="110"/>
      <c r="G6658" s="109"/>
    </row>
    <row r="6659" spans="3:7" x14ac:dyDescent="0.3">
      <c r="C6659" s="109"/>
      <c r="D6659" s="109"/>
      <c r="E6659" s="109"/>
      <c r="F6659" s="110"/>
      <c r="G6659" s="109"/>
    </row>
    <row r="6660" spans="3:7" x14ac:dyDescent="0.3">
      <c r="C6660" s="109"/>
      <c r="D6660" s="109"/>
      <c r="E6660" s="109"/>
      <c r="F6660" s="110"/>
      <c r="G6660" s="109"/>
    </row>
    <row r="6661" spans="3:7" x14ac:dyDescent="0.3">
      <c r="C6661" s="109"/>
      <c r="D6661" s="109"/>
      <c r="E6661" s="109"/>
      <c r="F6661" s="110"/>
      <c r="G6661" s="109"/>
    </row>
    <row r="6662" spans="3:7" x14ac:dyDescent="0.3">
      <c r="C6662" s="109"/>
      <c r="D6662" s="109"/>
      <c r="E6662" s="109"/>
      <c r="F6662" s="110"/>
      <c r="G6662" s="109"/>
    </row>
    <row r="6663" spans="3:7" x14ac:dyDescent="0.3">
      <c r="C6663" s="109"/>
      <c r="D6663" s="109"/>
      <c r="E6663" s="109"/>
      <c r="F6663" s="110"/>
      <c r="G6663" s="109"/>
    </row>
    <row r="6664" spans="3:7" x14ac:dyDescent="0.3">
      <c r="C6664" s="109"/>
      <c r="D6664" s="109"/>
      <c r="E6664" s="109"/>
      <c r="F6664" s="110"/>
      <c r="G6664" s="109"/>
    </row>
    <row r="6665" spans="3:7" x14ac:dyDescent="0.3">
      <c r="C6665" s="109"/>
      <c r="D6665" s="109"/>
      <c r="E6665" s="109"/>
      <c r="F6665" s="110"/>
      <c r="G6665" s="109"/>
    </row>
    <row r="6666" spans="3:7" x14ac:dyDescent="0.3">
      <c r="C6666" s="109"/>
      <c r="D6666" s="109"/>
      <c r="E6666" s="109"/>
      <c r="F6666" s="110"/>
      <c r="G6666" s="109"/>
    </row>
    <row r="6667" spans="3:7" x14ac:dyDescent="0.3">
      <c r="C6667" s="109"/>
      <c r="D6667" s="109"/>
      <c r="E6667" s="109"/>
      <c r="F6667" s="110"/>
      <c r="G6667" s="109"/>
    </row>
    <row r="6668" spans="3:7" x14ac:dyDescent="0.3">
      <c r="C6668" s="109"/>
      <c r="D6668" s="109"/>
      <c r="E6668" s="109"/>
      <c r="F6668" s="110"/>
      <c r="G6668" s="109"/>
    </row>
    <row r="6669" spans="3:7" x14ac:dyDescent="0.3">
      <c r="C6669" s="109"/>
      <c r="D6669" s="109"/>
      <c r="E6669" s="109"/>
      <c r="F6669" s="110"/>
      <c r="G6669" s="109"/>
    </row>
    <row r="6670" spans="3:7" x14ac:dyDescent="0.3">
      <c r="C6670" s="109"/>
      <c r="D6670" s="109"/>
      <c r="E6670" s="109"/>
      <c r="F6670" s="110"/>
      <c r="G6670" s="109"/>
    </row>
    <row r="6671" spans="3:7" x14ac:dyDescent="0.3">
      <c r="C6671" s="109"/>
      <c r="D6671" s="109"/>
      <c r="E6671" s="109"/>
      <c r="F6671" s="110"/>
      <c r="G6671" s="109"/>
    </row>
    <row r="6672" spans="3:7" x14ac:dyDescent="0.3">
      <c r="C6672" s="109"/>
      <c r="D6672" s="109"/>
      <c r="E6672" s="109"/>
      <c r="F6672" s="110"/>
      <c r="G6672" s="109"/>
    </row>
    <row r="6673" spans="3:7" x14ac:dyDescent="0.3">
      <c r="C6673" s="109"/>
      <c r="D6673" s="109"/>
      <c r="E6673" s="109"/>
      <c r="F6673" s="110"/>
      <c r="G6673" s="109"/>
    </row>
    <row r="6674" spans="3:7" x14ac:dyDescent="0.3">
      <c r="C6674" s="109"/>
      <c r="D6674" s="109"/>
      <c r="E6674" s="109"/>
      <c r="F6674" s="110"/>
      <c r="G6674" s="109"/>
    </row>
    <row r="6675" spans="3:7" x14ac:dyDescent="0.3">
      <c r="C6675" s="109"/>
      <c r="D6675" s="109"/>
      <c r="E6675" s="109"/>
      <c r="F6675" s="110"/>
      <c r="G6675" s="109"/>
    </row>
    <row r="6676" spans="3:7" x14ac:dyDescent="0.3">
      <c r="C6676" s="109"/>
      <c r="D6676" s="109"/>
      <c r="E6676" s="109"/>
      <c r="F6676" s="110"/>
      <c r="G6676" s="109"/>
    </row>
    <row r="6677" spans="3:7" x14ac:dyDescent="0.3">
      <c r="C6677" s="109"/>
      <c r="D6677" s="109"/>
      <c r="E6677" s="109"/>
      <c r="F6677" s="110"/>
      <c r="G6677" s="109"/>
    </row>
    <row r="6678" spans="3:7" x14ac:dyDescent="0.3">
      <c r="C6678" s="109"/>
      <c r="D6678" s="109"/>
      <c r="E6678" s="109"/>
      <c r="F6678" s="110"/>
      <c r="G6678" s="109"/>
    </row>
    <row r="6679" spans="3:7" x14ac:dyDescent="0.3">
      <c r="C6679" s="109"/>
      <c r="D6679" s="109"/>
      <c r="E6679" s="109"/>
      <c r="F6679" s="110"/>
      <c r="G6679" s="109"/>
    </row>
    <row r="6680" spans="3:7" x14ac:dyDescent="0.3">
      <c r="C6680" s="109"/>
      <c r="D6680" s="109"/>
      <c r="E6680" s="109"/>
      <c r="F6680" s="110"/>
      <c r="G6680" s="109"/>
    </row>
    <row r="6681" spans="3:7" x14ac:dyDescent="0.3">
      <c r="C6681" s="109"/>
      <c r="D6681" s="109"/>
      <c r="E6681" s="109"/>
      <c r="F6681" s="110"/>
      <c r="G6681" s="109"/>
    </row>
    <row r="6682" spans="3:7" x14ac:dyDescent="0.3">
      <c r="C6682" s="109"/>
      <c r="D6682" s="109"/>
      <c r="E6682" s="109"/>
      <c r="F6682" s="110"/>
      <c r="G6682" s="109"/>
    </row>
    <row r="6683" spans="3:7" x14ac:dyDescent="0.3">
      <c r="C6683" s="109"/>
      <c r="D6683" s="109"/>
      <c r="E6683" s="109"/>
      <c r="F6683" s="110"/>
      <c r="G6683" s="109"/>
    </row>
    <row r="6684" spans="3:7" x14ac:dyDescent="0.3">
      <c r="C6684" s="109"/>
      <c r="D6684" s="109"/>
      <c r="E6684" s="109"/>
      <c r="F6684" s="110"/>
      <c r="G6684" s="109"/>
    </row>
    <row r="6685" spans="3:7" x14ac:dyDescent="0.3">
      <c r="C6685" s="109"/>
      <c r="D6685" s="109"/>
      <c r="E6685" s="109"/>
      <c r="F6685" s="110"/>
      <c r="G6685" s="109"/>
    </row>
    <row r="6686" spans="3:7" x14ac:dyDescent="0.3">
      <c r="C6686" s="109"/>
      <c r="D6686" s="109"/>
      <c r="E6686" s="109"/>
      <c r="F6686" s="110"/>
      <c r="G6686" s="109"/>
    </row>
    <row r="6687" spans="3:7" x14ac:dyDescent="0.3">
      <c r="C6687" s="109"/>
      <c r="D6687" s="109"/>
      <c r="E6687" s="109"/>
      <c r="F6687" s="110"/>
      <c r="G6687" s="109"/>
    </row>
    <row r="6688" spans="3:7" x14ac:dyDescent="0.3">
      <c r="C6688" s="109"/>
      <c r="D6688" s="109"/>
      <c r="E6688" s="109"/>
      <c r="F6688" s="110"/>
      <c r="G6688" s="109"/>
    </row>
    <row r="6689" spans="3:7" x14ac:dyDescent="0.3">
      <c r="C6689" s="109"/>
      <c r="D6689" s="109"/>
      <c r="E6689" s="109"/>
      <c r="F6689" s="110"/>
      <c r="G6689" s="109"/>
    </row>
    <row r="6690" spans="3:7" x14ac:dyDescent="0.3">
      <c r="C6690" s="109"/>
      <c r="D6690" s="109"/>
      <c r="E6690" s="109"/>
      <c r="F6690" s="110"/>
      <c r="G6690" s="109"/>
    </row>
    <row r="6691" spans="3:7" x14ac:dyDescent="0.3">
      <c r="C6691" s="109"/>
      <c r="D6691" s="109"/>
      <c r="E6691" s="109"/>
      <c r="F6691" s="110"/>
      <c r="G6691" s="109"/>
    </row>
    <row r="6692" spans="3:7" x14ac:dyDescent="0.3">
      <c r="C6692" s="109"/>
      <c r="D6692" s="109"/>
      <c r="E6692" s="109"/>
      <c r="F6692" s="110"/>
      <c r="G6692" s="109"/>
    </row>
    <row r="6693" spans="3:7" x14ac:dyDescent="0.3">
      <c r="C6693" s="109"/>
      <c r="D6693" s="109"/>
      <c r="E6693" s="109"/>
      <c r="F6693" s="110"/>
      <c r="G6693" s="109"/>
    </row>
    <row r="6694" spans="3:7" x14ac:dyDescent="0.3">
      <c r="C6694" s="109"/>
      <c r="D6694" s="109"/>
      <c r="E6694" s="109"/>
      <c r="F6694" s="110"/>
      <c r="G6694" s="109"/>
    </row>
    <row r="6695" spans="3:7" x14ac:dyDescent="0.3">
      <c r="C6695" s="109"/>
      <c r="D6695" s="109"/>
      <c r="E6695" s="109"/>
      <c r="F6695" s="110"/>
      <c r="G6695" s="109"/>
    </row>
    <row r="6696" spans="3:7" x14ac:dyDescent="0.3">
      <c r="C6696" s="109"/>
      <c r="D6696" s="109"/>
      <c r="E6696" s="109"/>
      <c r="F6696" s="110"/>
      <c r="G6696" s="109"/>
    </row>
    <row r="6697" spans="3:7" x14ac:dyDescent="0.3">
      <c r="C6697" s="109"/>
      <c r="D6697" s="109"/>
      <c r="E6697" s="109"/>
      <c r="F6697" s="110"/>
      <c r="G6697" s="109"/>
    </row>
    <row r="6698" spans="3:7" x14ac:dyDescent="0.3">
      <c r="C6698" s="109"/>
      <c r="D6698" s="109"/>
      <c r="E6698" s="109"/>
      <c r="F6698" s="110"/>
      <c r="G6698" s="109"/>
    </row>
    <row r="6699" spans="3:7" x14ac:dyDescent="0.3">
      <c r="C6699" s="109"/>
      <c r="D6699" s="109"/>
      <c r="E6699" s="109"/>
      <c r="F6699" s="110"/>
      <c r="G6699" s="109"/>
    </row>
    <row r="6700" spans="3:7" x14ac:dyDescent="0.3">
      <c r="C6700" s="109"/>
      <c r="D6700" s="109"/>
      <c r="E6700" s="109"/>
      <c r="F6700" s="110"/>
      <c r="G6700" s="109"/>
    </row>
    <row r="6701" spans="3:7" x14ac:dyDescent="0.3">
      <c r="C6701" s="109"/>
      <c r="D6701" s="109"/>
      <c r="E6701" s="109"/>
      <c r="F6701" s="110"/>
      <c r="G6701" s="109"/>
    </row>
    <row r="6702" spans="3:7" x14ac:dyDescent="0.3">
      <c r="C6702" s="109"/>
      <c r="D6702" s="109"/>
      <c r="E6702" s="109"/>
      <c r="F6702" s="110"/>
      <c r="G6702" s="109"/>
    </row>
    <row r="6703" spans="3:7" x14ac:dyDescent="0.3">
      <c r="C6703" s="109"/>
      <c r="D6703" s="109"/>
      <c r="E6703" s="109"/>
      <c r="F6703" s="110"/>
      <c r="G6703" s="109"/>
    </row>
    <row r="6704" spans="3:7" x14ac:dyDescent="0.3">
      <c r="C6704" s="109"/>
      <c r="D6704" s="109"/>
      <c r="E6704" s="109"/>
      <c r="F6704" s="110"/>
      <c r="G6704" s="109"/>
    </row>
    <row r="6705" spans="3:7" x14ac:dyDescent="0.3">
      <c r="C6705" s="109"/>
      <c r="D6705" s="109"/>
      <c r="E6705" s="109"/>
      <c r="F6705" s="110"/>
      <c r="G6705" s="109"/>
    </row>
    <row r="6706" spans="3:7" x14ac:dyDescent="0.3">
      <c r="C6706" s="109"/>
      <c r="D6706" s="109"/>
      <c r="E6706" s="109"/>
      <c r="F6706" s="110"/>
      <c r="G6706" s="109"/>
    </row>
    <row r="6707" spans="3:7" x14ac:dyDescent="0.3">
      <c r="C6707" s="109"/>
      <c r="D6707" s="109"/>
      <c r="E6707" s="109"/>
      <c r="F6707" s="110"/>
      <c r="G6707" s="109"/>
    </row>
    <row r="6708" spans="3:7" x14ac:dyDescent="0.3">
      <c r="C6708" s="109"/>
      <c r="D6708" s="109"/>
      <c r="E6708" s="109"/>
      <c r="F6708" s="110"/>
      <c r="G6708" s="109"/>
    </row>
    <row r="6709" spans="3:7" x14ac:dyDescent="0.3">
      <c r="C6709" s="109"/>
      <c r="D6709" s="109"/>
      <c r="E6709" s="109"/>
      <c r="F6709" s="110"/>
      <c r="G6709" s="109"/>
    </row>
    <row r="6710" spans="3:7" x14ac:dyDescent="0.3">
      <c r="C6710" s="109"/>
      <c r="D6710" s="109"/>
      <c r="E6710" s="109"/>
      <c r="F6710" s="110"/>
      <c r="G6710" s="109"/>
    </row>
    <row r="6711" spans="3:7" x14ac:dyDescent="0.3">
      <c r="C6711" s="109"/>
      <c r="D6711" s="109"/>
      <c r="E6711" s="109"/>
      <c r="F6711" s="110"/>
      <c r="G6711" s="109"/>
    </row>
    <row r="6712" spans="3:7" x14ac:dyDescent="0.3">
      <c r="C6712" s="109"/>
      <c r="D6712" s="109"/>
      <c r="E6712" s="109"/>
      <c r="F6712" s="110"/>
      <c r="G6712" s="109"/>
    </row>
    <row r="6713" spans="3:7" x14ac:dyDescent="0.3">
      <c r="C6713" s="109"/>
      <c r="D6713" s="109"/>
      <c r="E6713" s="109"/>
      <c r="F6713" s="110"/>
      <c r="G6713" s="109"/>
    </row>
    <row r="6714" spans="3:7" x14ac:dyDescent="0.3">
      <c r="C6714" s="109"/>
      <c r="D6714" s="109"/>
      <c r="E6714" s="109"/>
      <c r="F6714" s="110"/>
      <c r="G6714" s="109"/>
    </row>
    <row r="6715" spans="3:7" x14ac:dyDescent="0.3">
      <c r="C6715" s="109"/>
      <c r="D6715" s="109"/>
      <c r="E6715" s="109"/>
      <c r="F6715" s="110"/>
      <c r="G6715" s="109"/>
    </row>
    <row r="6716" spans="3:7" x14ac:dyDescent="0.3">
      <c r="C6716" s="109"/>
      <c r="D6716" s="109"/>
      <c r="E6716" s="109"/>
      <c r="F6716" s="110"/>
      <c r="G6716" s="109"/>
    </row>
    <row r="6717" spans="3:7" x14ac:dyDescent="0.3">
      <c r="C6717" s="109"/>
      <c r="D6717" s="109"/>
      <c r="E6717" s="109"/>
      <c r="F6717" s="110"/>
      <c r="G6717" s="109"/>
    </row>
    <row r="6718" spans="3:7" x14ac:dyDescent="0.3">
      <c r="C6718" s="109"/>
      <c r="D6718" s="109"/>
      <c r="E6718" s="109"/>
      <c r="F6718" s="110"/>
      <c r="G6718" s="109"/>
    </row>
    <row r="6719" spans="3:7" x14ac:dyDescent="0.3">
      <c r="C6719" s="109"/>
      <c r="D6719" s="109"/>
      <c r="E6719" s="109"/>
      <c r="F6719" s="110"/>
      <c r="G6719" s="109"/>
    </row>
    <row r="6720" spans="3:7" x14ac:dyDescent="0.3">
      <c r="C6720" s="109"/>
      <c r="D6720" s="109"/>
      <c r="E6720" s="109"/>
      <c r="F6720" s="110"/>
      <c r="G6720" s="109"/>
    </row>
    <row r="6721" spans="3:7" x14ac:dyDescent="0.3">
      <c r="C6721" s="109"/>
      <c r="D6721" s="109"/>
      <c r="E6721" s="109"/>
      <c r="F6721" s="110"/>
      <c r="G6721" s="109"/>
    </row>
    <row r="6722" spans="3:7" x14ac:dyDescent="0.3">
      <c r="C6722" s="109"/>
      <c r="D6722" s="109"/>
      <c r="E6722" s="109"/>
      <c r="F6722" s="110"/>
      <c r="G6722" s="109"/>
    </row>
    <row r="6723" spans="3:7" x14ac:dyDescent="0.3">
      <c r="C6723" s="109"/>
      <c r="D6723" s="109"/>
      <c r="E6723" s="109"/>
      <c r="F6723" s="110"/>
      <c r="G6723" s="109"/>
    </row>
    <row r="6724" spans="3:7" x14ac:dyDescent="0.3">
      <c r="C6724" s="109"/>
      <c r="D6724" s="109"/>
      <c r="E6724" s="109"/>
      <c r="F6724" s="110"/>
      <c r="G6724" s="109"/>
    </row>
    <row r="6725" spans="3:7" x14ac:dyDescent="0.3">
      <c r="C6725" s="109"/>
      <c r="D6725" s="109"/>
      <c r="E6725" s="109"/>
      <c r="F6725" s="110"/>
      <c r="G6725" s="109"/>
    </row>
    <row r="6726" spans="3:7" x14ac:dyDescent="0.3">
      <c r="C6726" s="109"/>
      <c r="D6726" s="109"/>
      <c r="E6726" s="109"/>
      <c r="F6726" s="110"/>
      <c r="G6726" s="109"/>
    </row>
    <row r="6727" spans="3:7" x14ac:dyDescent="0.3">
      <c r="C6727" s="109"/>
      <c r="D6727" s="109"/>
      <c r="E6727" s="109"/>
      <c r="F6727" s="110"/>
      <c r="G6727" s="109"/>
    </row>
    <row r="6728" spans="3:7" x14ac:dyDescent="0.3">
      <c r="C6728" s="109"/>
      <c r="D6728" s="109"/>
      <c r="E6728" s="109"/>
      <c r="F6728" s="110"/>
      <c r="G6728" s="109"/>
    </row>
    <row r="6729" spans="3:7" x14ac:dyDescent="0.3">
      <c r="C6729" s="109"/>
      <c r="D6729" s="109"/>
      <c r="E6729" s="109"/>
      <c r="F6729" s="110"/>
      <c r="G6729" s="109"/>
    </row>
    <row r="6730" spans="3:7" x14ac:dyDescent="0.3">
      <c r="C6730" s="109"/>
      <c r="D6730" s="109"/>
      <c r="E6730" s="109"/>
      <c r="F6730" s="110"/>
      <c r="G6730" s="109"/>
    </row>
    <row r="6731" spans="3:7" x14ac:dyDescent="0.3">
      <c r="C6731" s="109"/>
      <c r="D6731" s="109"/>
      <c r="E6731" s="109"/>
      <c r="F6731" s="110"/>
      <c r="G6731" s="109"/>
    </row>
    <row r="6732" spans="3:7" x14ac:dyDescent="0.3">
      <c r="C6732" s="109"/>
      <c r="D6732" s="109"/>
      <c r="E6732" s="109"/>
      <c r="F6732" s="110"/>
      <c r="G6732" s="109"/>
    </row>
    <row r="6733" spans="3:7" x14ac:dyDescent="0.3">
      <c r="C6733" s="109"/>
      <c r="D6733" s="109"/>
      <c r="E6733" s="109"/>
      <c r="F6733" s="110"/>
      <c r="G6733" s="109"/>
    </row>
    <row r="6734" spans="3:7" x14ac:dyDescent="0.3">
      <c r="C6734" s="109"/>
      <c r="D6734" s="109"/>
      <c r="E6734" s="109"/>
      <c r="F6734" s="110"/>
      <c r="G6734" s="109"/>
    </row>
    <row r="6735" spans="3:7" x14ac:dyDescent="0.3">
      <c r="C6735" s="109"/>
      <c r="D6735" s="109"/>
      <c r="E6735" s="109"/>
      <c r="F6735" s="110"/>
      <c r="G6735" s="109"/>
    </row>
    <row r="6736" spans="3:7" x14ac:dyDescent="0.3">
      <c r="C6736" s="109"/>
      <c r="D6736" s="109"/>
      <c r="E6736" s="109"/>
      <c r="F6736" s="110"/>
      <c r="G6736" s="109"/>
    </row>
    <row r="6737" spans="3:7" x14ac:dyDescent="0.3">
      <c r="C6737" s="109"/>
      <c r="D6737" s="109"/>
      <c r="E6737" s="109"/>
      <c r="F6737" s="110"/>
      <c r="G6737" s="109"/>
    </row>
    <row r="6738" spans="3:7" x14ac:dyDescent="0.3">
      <c r="C6738" s="109"/>
      <c r="D6738" s="109"/>
      <c r="E6738" s="109"/>
      <c r="F6738" s="110"/>
      <c r="G6738" s="109"/>
    </row>
    <row r="6739" spans="3:7" x14ac:dyDescent="0.3">
      <c r="C6739" s="109"/>
      <c r="D6739" s="109"/>
      <c r="E6739" s="109"/>
      <c r="F6739" s="110"/>
      <c r="G6739" s="109"/>
    </row>
    <row r="6740" spans="3:7" x14ac:dyDescent="0.3">
      <c r="C6740" s="109"/>
      <c r="D6740" s="109"/>
      <c r="E6740" s="109"/>
      <c r="F6740" s="110"/>
      <c r="G6740" s="109"/>
    </row>
    <row r="6741" spans="3:7" x14ac:dyDescent="0.3">
      <c r="C6741" s="109"/>
      <c r="D6741" s="109"/>
      <c r="E6741" s="109"/>
      <c r="F6741" s="110"/>
      <c r="G6741" s="109"/>
    </row>
    <row r="6742" spans="3:7" x14ac:dyDescent="0.3">
      <c r="C6742" s="109"/>
      <c r="D6742" s="109"/>
      <c r="E6742" s="109"/>
      <c r="F6742" s="110"/>
      <c r="G6742" s="109"/>
    </row>
    <row r="6743" spans="3:7" x14ac:dyDescent="0.3">
      <c r="C6743" s="109"/>
      <c r="D6743" s="109"/>
      <c r="E6743" s="109"/>
      <c r="F6743" s="110"/>
      <c r="G6743" s="109"/>
    </row>
    <row r="6744" spans="3:7" x14ac:dyDescent="0.3">
      <c r="C6744" s="109"/>
      <c r="D6744" s="109"/>
      <c r="E6744" s="109"/>
      <c r="F6744" s="110"/>
      <c r="G6744" s="109"/>
    </row>
    <row r="6745" spans="3:7" x14ac:dyDescent="0.3">
      <c r="C6745" s="109"/>
      <c r="D6745" s="109"/>
      <c r="E6745" s="109"/>
      <c r="F6745" s="110"/>
      <c r="G6745" s="109"/>
    </row>
    <row r="6746" spans="3:7" x14ac:dyDescent="0.3">
      <c r="C6746" s="109"/>
      <c r="D6746" s="109"/>
      <c r="E6746" s="109"/>
      <c r="F6746" s="110"/>
      <c r="G6746" s="109"/>
    </row>
    <row r="6747" spans="3:7" x14ac:dyDescent="0.3">
      <c r="C6747" s="109"/>
      <c r="D6747" s="109"/>
      <c r="E6747" s="109"/>
      <c r="F6747" s="110"/>
      <c r="G6747" s="109"/>
    </row>
    <row r="6748" spans="3:7" x14ac:dyDescent="0.3">
      <c r="C6748" s="109"/>
      <c r="D6748" s="109"/>
      <c r="E6748" s="109"/>
      <c r="F6748" s="110"/>
      <c r="G6748" s="109"/>
    </row>
    <row r="6749" spans="3:7" x14ac:dyDescent="0.3">
      <c r="C6749" s="109"/>
      <c r="D6749" s="109"/>
      <c r="E6749" s="109"/>
      <c r="F6749" s="110"/>
      <c r="G6749" s="109"/>
    </row>
    <row r="6750" spans="3:7" x14ac:dyDescent="0.3">
      <c r="C6750" s="109"/>
      <c r="D6750" s="109"/>
      <c r="E6750" s="109"/>
      <c r="F6750" s="110"/>
      <c r="G6750" s="109"/>
    </row>
    <row r="6751" spans="3:7" x14ac:dyDescent="0.3">
      <c r="C6751" s="109"/>
      <c r="D6751" s="109"/>
      <c r="E6751" s="109"/>
      <c r="F6751" s="110"/>
      <c r="G6751" s="109"/>
    </row>
    <row r="6752" spans="3:7" x14ac:dyDescent="0.3">
      <c r="C6752" s="109"/>
      <c r="D6752" s="109"/>
      <c r="E6752" s="109"/>
      <c r="F6752" s="110"/>
      <c r="G6752" s="109"/>
    </row>
    <row r="6753" spans="3:7" x14ac:dyDescent="0.3">
      <c r="C6753" s="109"/>
      <c r="D6753" s="109"/>
      <c r="E6753" s="109"/>
      <c r="F6753" s="110"/>
      <c r="G6753" s="109"/>
    </row>
    <row r="6754" spans="3:7" x14ac:dyDescent="0.3">
      <c r="C6754" s="109"/>
      <c r="D6754" s="109"/>
      <c r="E6754" s="109"/>
      <c r="F6754" s="110"/>
      <c r="G6754" s="109"/>
    </row>
    <row r="6755" spans="3:7" x14ac:dyDescent="0.3">
      <c r="C6755" s="109"/>
      <c r="D6755" s="109"/>
      <c r="E6755" s="109"/>
      <c r="F6755" s="110"/>
      <c r="G6755" s="109"/>
    </row>
    <row r="6756" spans="3:7" x14ac:dyDescent="0.3">
      <c r="C6756" s="109"/>
      <c r="D6756" s="109"/>
      <c r="E6756" s="109"/>
      <c r="F6756" s="110"/>
      <c r="G6756" s="109"/>
    </row>
    <row r="6757" spans="3:7" x14ac:dyDescent="0.3">
      <c r="C6757" s="109"/>
      <c r="D6757" s="109"/>
      <c r="E6757" s="109"/>
      <c r="F6757" s="110"/>
      <c r="G6757" s="109"/>
    </row>
    <row r="6758" spans="3:7" x14ac:dyDescent="0.3">
      <c r="C6758" s="109"/>
      <c r="D6758" s="109"/>
      <c r="E6758" s="109"/>
      <c r="F6758" s="110"/>
      <c r="G6758" s="109"/>
    </row>
    <row r="6759" spans="3:7" x14ac:dyDescent="0.3">
      <c r="C6759" s="109"/>
      <c r="D6759" s="109"/>
      <c r="E6759" s="109"/>
      <c r="F6759" s="110"/>
      <c r="G6759" s="109"/>
    </row>
    <row r="6760" spans="3:7" x14ac:dyDescent="0.3">
      <c r="C6760" s="109"/>
      <c r="D6760" s="109"/>
      <c r="E6760" s="109"/>
      <c r="F6760" s="110"/>
      <c r="G6760" s="109"/>
    </row>
    <row r="6761" spans="3:7" x14ac:dyDescent="0.3">
      <c r="C6761" s="109"/>
      <c r="D6761" s="109"/>
      <c r="E6761" s="109"/>
      <c r="F6761" s="110"/>
      <c r="G6761" s="109"/>
    </row>
    <row r="6762" spans="3:7" x14ac:dyDescent="0.3">
      <c r="C6762" s="109"/>
      <c r="D6762" s="109"/>
      <c r="E6762" s="109"/>
      <c r="F6762" s="110"/>
      <c r="G6762" s="109"/>
    </row>
    <row r="6763" spans="3:7" x14ac:dyDescent="0.3">
      <c r="C6763" s="109"/>
      <c r="D6763" s="109"/>
      <c r="E6763" s="109"/>
      <c r="F6763" s="110"/>
      <c r="G6763" s="109"/>
    </row>
    <row r="6764" spans="3:7" x14ac:dyDescent="0.3">
      <c r="C6764" s="109"/>
      <c r="D6764" s="109"/>
      <c r="E6764" s="109"/>
      <c r="F6764" s="110"/>
      <c r="G6764" s="109"/>
    </row>
    <row r="6765" spans="3:7" x14ac:dyDescent="0.3">
      <c r="C6765" s="109"/>
      <c r="D6765" s="109"/>
      <c r="E6765" s="109"/>
      <c r="F6765" s="110"/>
      <c r="G6765" s="109"/>
    </row>
    <row r="6766" spans="3:7" x14ac:dyDescent="0.3">
      <c r="C6766" s="109"/>
      <c r="D6766" s="109"/>
      <c r="E6766" s="109"/>
      <c r="F6766" s="110"/>
      <c r="G6766" s="109"/>
    </row>
    <row r="6767" spans="3:7" x14ac:dyDescent="0.3">
      <c r="C6767" s="109"/>
      <c r="D6767" s="109"/>
      <c r="E6767" s="109"/>
      <c r="F6767" s="110"/>
      <c r="G6767" s="109"/>
    </row>
    <row r="6768" spans="3:7" x14ac:dyDescent="0.3">
      <c r="C6768" s="109"/>
      <c r="D6768" s="109"/>
      <c r="E6768" s="109"/>
      <c r="F6768" s="110"/>
      <c r="G6768" s="109"/>
    </row>
    <row r="6769" spans="3:7" x14ac:dyDescent="0.3">
      <c r="C6769" s="109"/>
      <c r="D6769" s="109"/>
      <c r="E6769" s="109"/>
      <c r="F6769" s="110"/>
      <c r="G6769" s="109"/>
    </row>
    <row r="6770" spans="3:7" x14ac:dyDescent="0.3">
      <c r="C6770" s="109"/>
      <c r="D6770" s="109"/>
      <c r="E6770" s="109"/>
      <c r="F6770" s="110"/>
      <c r="G6770" s="109"/>
    </row>
    <row r="6771" spans="3:7" x14ac:dyDescent="0.3">
      <c r="C6771" s="109"/>
      <c r="D6771" s="109"/>
      <c r="E6771" s="109"/>
      <c r="F6771" s="110"/>
      <c r="G6771" s="109"/>
    </row>
    <row r="6772" spans="3:7" x14ac:dyDescent="0.3">
      <c r="C6772" s="109"/>
      <c r="D6772" s="109"/>
      <c r="E6772" s="109"/>
      <c r="F6772" s="110"/>
      <c r="G6772" s="109"/>
    </row>
    <row r="6773" spans="3:7" x14ac:dyDescent="0.3">
      <c r="C6773" s="109"/>
      <c r="D6773" s="109"/>
      <c r="E6773" s="109"/>
      <c r="F6773" s="110"/>
      <c r="G6773" s="109"/>
    </row>
    <row r="6774" spans="3:7" x14ac:dyDescent="0.3">
      <c r="C6774" s="109"/>
      <c r="D6774" s="109"/>
      <c r="E6774" s="109"/>
      <c r="F6774" s="110"/>
      <c r="G6774" s="109"/>
    </row>
    <row r="6775" spans="3:7" x14ac:dyDescent="0.3">
      <c r="C6775" s="109"/>
      <c r="D6775" s="109"/>
      <c r="E6775" s="109"/>
      <c r="F6775" s="110"/>
      <c r="G6775" s="109"/>
    </row>
    <row r="6776" spans="3:7" x14ac:dyDescent="0.3">
      <c r="C6776" s="109"/>
      <c r="D6776" s="109"/>
      <c r="E6776" s="109"/>
      <c r="F6776" s="110"/>
      <c r="G6776" s="109"/>
    </row>
    <row r="6777" spans="3:7" x14ac:dyDescent="0.3">
      <c r="C6777" s="109"/>
      <c r="D6777" s="109"/>
      <c r="E6777" s="109"/>
      <c r="F6777" s="110"/>
      <c r="G6777" s="109"/>
    </row>
    <row r="6778" spans="3:7" x14ac:dyDescent="0.3">
      <c r="C6778" s="109"/>
      <c r="D6778" s="109"/>
      <c r="E6778" s="109"/>
      <c r="F6778" s="110"/>
      <c r="G6778" s="109"/>
    </row>
    <row r="6779" spans="3:7" x14ac:dyDescent="0.3">
      <c r="C6779" s="109"/>
      <c r="D6779" s="109"/>
      <c r="E6779" s="109"/>
      <c r="F6779" s="110"/>
      <c r="G6779" s="109"/>
    </row>
    <row r="6780" spans="3:7" x14ac:dyDescent="0.3">
      <c r="C6780" s="109"/>
      <c r="D6780" s="109"/>
      <c r="E6780" s="109"/>
      <c r="F6780" s="110"/>
      <c r="G6780" s="109"/>
    </row>
    <row r="6781" spans="3:7" x14ac:dyDescent="0.3">
      <c r="C6781" s="109"/>
      <c r="D6781" s="109"/>
      <c r="E6781" s="109"/>
      <c r="F6781" s="110"/>
      <c r="G6781" s="109"/>
    </row>
    <row r="6782" spans="3:7" x14ac:dyDescent="0.3">
      <c r="C6782" s="109"/>
      <c r="D6782" s="109"/>
      <c r="E6782" s="109"/>
      <c r="F6782" s="110"/>
      <c r="G6782" s="109"/>
    </row>
    <row r="6783" spans="3:7" x14ac:dyDescent="0.3">
      <c r="C6783" s="109"/>
      <c r="D6783" s="109"/>
      <c r="E6783" s="109"/>
      <c r="F6783" s="110"/>
      <c r="G6783" s="109"/>
    </row>
    <row r="6784" spans="3:7" x14ac:dyDescent="0.3">
      <c r="C6784" s="109"/>
      <c r="D6784" s="109"/>
      <c r="E6784" s="109"/>
      <c r="F6784" s="110"/>
      <c r="G6784" s="109"/>
    </row>
    <row r="6785" spans="3:7" x14ac:dyDescent="0.3">
      <c r="C6785" s="109"/>
      <c r="D6785" s="109"/>
      <c r="E6785" s="109"/>
      <c r="F6785" s="110"/>
      <c r="G6785" s="109"/>
    </row>
    <row r="6786" spans="3:7" x14ac:dyDescent="0.3">
      <c r="C6786" s="109"/>
      <c r="D6786" s="109"/>
      <c r="E6786" s="109"/>
      <c r="F6786" s="110"/>
      <c r="G6786" s="109"/>
    </row>
    <row r="6787" spans="3:7" x14ac:dyDescent="0.3">
      <c r="C6787" s="109"/>
      <c r="D6787" s="109"/>
      <c r="E6787" s="109"/>
      <c r="F6787" s="110"/>
      <c r="G6787" s="109"/>
    </row>
    <row r="6788" spans="3:7" x14ac:dyDescent="0.3">
      <c r="C6788" s="109"/>
      <c r="D6788" s="109"/>
      <c r="E6788" s="109"/>
      <c r="F6788" s="110"/>
      <c r="G6788" s="109"/>
    </row>
    <row r="6789" spans="3:7" x14ac:dyDescent="0.3">
      <c r="C6789" s="109"/>
      <c r="D6789" s="109"/>
      <c r="E6789" s="109"/>
      <c r="F6789" s="110"/>
      <c r="G6789" s="109"/>
    </row>
    <row r="6790" spans="3:7" x14ac:dyDescent="0.3">
      <c r="C6790" s="109"/>
      <c r="D6790" s="109"/>
      <c r="E6790" s="109"/>
      <c r="F6790" s="110"/>
      <c r="G6790" s="109"/>
    </row>
    <row r="6791" spans="3:7" x14ac:dyDescent="0.3">
      <c r="C6791" s="109"/>
      <c r="D6791" s="109"/>
      <c r="E6791" s="109"/>
      <c r="F6791" s="110"/>
      <c r="G6791" s="109"/>
    </row>
    <row r="6792" spans="3:7" x14ac:dyDescent="0.3">
      <c r="C6792" s="109"/>
      <c r="D6792" s="109"/>
      <c r="E6792" s="109"/>
      <c r="F6792" s="110"/>
      <c r="G6792" s="109"/>
    </row>
    <row r="6793" spans="3:7" x14ac:dyDescent="0.3">
      <c r="C6793" s="109"/>
      <c r="D6793" s="109"/>
      <c r="E6793" s="109"/>
      <c r="F6793" s="110"/>
      <c r="G6793" s="109"/>
    </row>
    <row r="6794" spans="3:7" x14ac:dyDescent="0.3">
      <c r="C6794" s="109"/>
      <c r="D6794" s="109"/>
      <c r="E6794" s="109"/>
      <c r="F6794" s="110"/>
      <c r="G6794" s="109"/>
    </row>
    <row r="6795" spans="3:7" x14ac:dyDescent="0.3">
      <c r="C6795" s="109"/>
      <c r="D6795" s="109"/>
      <c r="E6795" s="109"/>
      <c r="F6795" s="110"/>
      <c r="G6795" s="109"/>
    </row>
    <row r="6796" spans="3:7" x14ac:dyDescent="0.3">
      <c r="C6796" s="109"/>
      <c r="D6796" s="109"/>
      <c r="E6796" s="109"/>
      <c r="F6796" s="110"/>
      <c r="G6796" s="109"/>
    </row>
    <row r="6797" spans="3:7" x14ac:dyDescent="0.3">
      <c r="C6797" s="109"/>
      <c r="D6797" s="109"/>
      <c r="E6797" s="109"/>
      <c r="F6797" s="110"/>
      <c r="G6797" s="109"/>
    </row>
    <row r="6798" spans="3:7" x14ac:dyDescent="0.3">
      <c r="C6798" s="109"/>
      <c r="D6798" s="109"/>
      <c r="E6798" s="109"/>
      <c r="F6798" s="110"/>
      <c r="G6798" s="109"/>
    </row>
    <row r="6799" spans="3:7" x14ac:dyDescent="0.3">
      <c r="C6799" s="109"/>
      <c r="D6799" s="109"/>
      <c r="E6799" s="109"/>
      <c r="F6799" s="110"/>
      <c r="G6799" s="109"/>
    </row>
    <row r="6800" spans="3:7" x14ac:dyDescent="0.3">
      <c r="C6800" s="109"/>
      <c r="D6800" s="109"/>
      <c r="E6800" s="109"/>
      <c r="F6800" s="110"/>
      <c r="G6800" s="109"/>
    </row>
    <row r="6801" spans="3:7" x14ac:dyDescent="0.3">
      <c r="C6801" s="109"/>
      <c r="D6801" s="109"/>
      <c r="E6801" s="109"/>
      <c r="F6801" s="110"/>
      <c r="G6801" s="109"/>
    </row>
    <row r="6802" spans="3:7" x14ac:dyDescent="0.3">
      <c r="C6802" s="109"/>
      <c r="D6802" s="109"/>
      <c r="E6802" s="109"/>
      <c r="F6802" s="110"/>
      <c r="G6802" s="109"/>
    </row>
    <row r="6803" spans="3:7" x14ac:dyDescent="0.3">
      <c r="C6803" s="109"/>
      <c r="D6803" s="109"/>
      <c r="E6803" s="109"/>
      <c r="F6803" s="110"/>
      <c r="G6803" s="109"/>
    </row>
    <row r="6804" spans="3:7" x14ac:dyDescent="0.3">
      <c r="C6804" s="109"/>
      <c r="D6804" s="109"/>
      <c r="E6804" s="109"/>
      <c r="F6804" s="110"/>
      <c r="G6804" s="109"/>
    </row>
    <row r="6805" spans="3:7" x14ac:dyDescent="0.3">
      <c r="C6805" s="109"/>
      <c r="D6805" s="109"/>
      <c r="E6805" s="109"/>
      <c r="F6805" s="110"/>
      <c r="G6805" s="109"/>
    </row>
    <row r="6806" spans="3:7" x14ac:dyDescent="0.3">
      <c r="C6806" s="109"/>
      <c r="D6806" s="109"/>
      <c r="E6806" s="109"/>
      <c r="F6806" s="110"/>
      <c r="G6806" s="109"/>
    </row>
    <row r="6807" spans="3:7" x14ac:dyDescent="0.3">
      <c r="C6807" s="109"/>
      <c r="D6807" s="109"/>
      <c r="E6807" s="109"/>
      <c r="F6807" s="110"/>
      <c r="G6807" s="109"/>
    </row>
    <row r="6808" spans="3:7" x14ac:dyDescent="0.3">
      <c r="C6808" s="109"/>
      <c r="D6808" s="109"/>
      <c r="E6808" s="109"/>
      <c r="F6808" s="110"/>
      <c r="G6808" s="109"/>
    </row>
    <row r="6809" spans="3:7" x14ac:dyDescent="0.3">
      <c r="C6809" s="109"/>
      <c r="D6809" s="109"/>
      <c r="E6809" s="109"/>
      <c r="F6809" s="110"/>
      <c r="G6809" s="109"/>
    </row>
    <row r="6810" spans="3:7" x14ac:dyDescent="0.3">
      <c r="C6810" s="109"/>
      <c r="D6810" s="109"/>
      <c r="E6810" s="109"/>
      <c r="F6810" s="110"/>
      <c r="G6810" s="109"/>
    </row>
    <row r="6811" spans="3:7" x14ac:dyDescent="0.3">
      <c r="C6811" s="109"/>
      <c r="D6811" s="109"/>
      <c r="E6811" s="109"/>
      <c r="F6811" s="110"/>
      <c r="G6811" s="109"/>
    </row>
    <row r="6812" spans="3:7" x14ac:dyDescent="0.3">
      <c r="C6812" s="109"/>
      <c r="D6812" s="109"/>
      <c r="E6812" s="109"/>
      <c r="F6812" s="110"/>
      <c r="G6812" s="109"/>
    </row>
    <row r="6813" spans="3:7" x14ac:dyDescent="0.3">
      <c r="C6813" s="109"/>
      <c r="D6813" s="109"/>
      <c r="E6813" s="109"/>
      <c r="F6813" s="110"/>
      <c r="G6813" s="109"/>
    </row>
    <row r="6814" spans="3:7" x14ac:dyDescent="0.3">
      <c r="C6814" s="109"/>
      <c r="D6814" s="109"/>
      <c r="E6814" s="109"/>
      <c r="F6814" s="110"/>
      <c r="G6814" s="109"/>
    </row>
    <row r="6815" spans="3:7" x14ac:dyDescent="0.3">
      <c r="C6815" s="109"/>
      <c r="D6815" s="109"/>
      <c r="E6815" s="109"/>
      <c r="F6815" s="110"/>
      <c r="G6815" s="109"/>
    </row>
    <row r="6816" spans="3:7" x14ac:dyDescent="0.3">
      <c r="C6816" s="109"/>
      <c r="D6816" s="109"/>
      <c r="E6816" s="109"/>
      <c r="F6816" s="110"/>
      <c r="G6816" s="109"/>
    </row>
    <row r="6817" spans="3:7" x14ac:dyDescent="0.3">
      <c r="C6817" s="109"/>
      <c r="D6817" s="109"/>
      <c r="E6817" s="109"/>
      <c r="F6817" s="110"/>
      <c r="G6817" s="109"/>
    </row>
    <row r="6818" spans="3:7" x14ac:dyDescent="0.3">
      <c r="C6818" s="109"/>
      <c r="D6818" s="109"/>
      <c r="E6818" s="109"/>
      <c r="F6818" s="110"/>
      <c r="G6818" s="109"/>
    </row>
    <row r="6819" spans="3:7" x14ac:dyDescent="0.3">
      <c r="C6819" s="109"/>
      <c r="D6819" s="109"/>
      <c r="E6819" s="109"/>
      <c r="F6819" s="110"/>
      <c r="G6819" s="109"/>
    </row>
    <row r="6820" spans="3:7" x14ac:dyDescent="0.3">
      <c r="C6820" s="109"/>
      <c r="D6820" s="109"/>
      <c r="E6820" s="109"/>
      <c r="F6820" s="110"/>
      <c r="G6820" s="109"/>
    </row>
    <row r="6821" spans="3:7" x14ac:dyDescent="0.3">
      <c r="C6821" s="109"/>
      <c r="D6821" s="109"/>
      <c r="E6821" s="109"/>
      <c r="F6821" s="110"/>
      <c r="G6821" s="109"/>
    </row>
    <row r="6822" spans="3:7" x14ac:dyDescent="0.3">
      <c r="C6822" s="109"/>
      <c r="D6822" s="109"/>
      <c r="E6822" s="109"/>
      <c r="F6822" s="110"/>
      <c r="G6822" s="109"/>
    </row>
    <row r="6823" spans="3:7" x14ac:dyDescent="0.3">
      <c r="C6823" s="109"/>
      <c r="D6823" s="109"/>
      <c r="E6823" s="109"/>
      <c r="F6823" s="110"/>
      <c r="G6823" s="109"/>
    </row>
    <row r="6824" spans="3:7" x14ac:dyDescent="0.3">
      <c r="C6824" s="109"/>
      <c r="D6824" s="109"/>
      <c r="E6824" s="109"/>
      <c r="F6824" s="110"/>
      <c r="G6824" s="109"/>
    </row>
    <row r="6825" spans="3:7" x14ac:dyDescent="0.3">
      <c r="C6825" s="109"/>
      <c r="D6825" s="109"/>
      <c r="E6825" s="109"/>
      <c r="F6825" s="110"/>
      <c r="G6825" s="109"/>
    </row>
    <row r="6826" spans="3:7" x14ac:dyDescent="0.3">
      <c r="C6826" s="109"/>
      <c r="D6826" s="109"/>
      <c r="E6826" s="109"/>
      <c r="F6826" s="110"/>
      <c r="G6826" s="109"/>
    </row>
    <row r="6827" spans="3:7" x14ac:dyDescent="0.3">
      <c r="C6827" s="109"/>
      <c r="D6827" s="109"/>
      <c r="E6827" s="109"/>
      <c r="F6827" s="110"/>
      <c r="G6827" s="109"/>
    </row>
    <row r="6828" spans="3:7" x14ac:dyDescent="0.3">
      <c r="C6828" s="109"/>
      <c r="D6828" s="109"/>
      <c r="E6828" s="109"/>
      <c r="F6828" s="110"/>
      <c r="G6828" s="109"/>
    </row>
    <row r="6829" spans="3:7" x14ac:dyDescent="0.3">
      <c r="C6829" s="109"/>
      <c r="D6829" s="109"/>
      <c r="E6829" s="109"/>
      <c r="F6829" s="110"/>
      <c r="G6829" s="109"/>
    </row>
    <row r="6830" spans="3:7" x14ac:dyDescent="0.3">
      <c r="C6830" s="109"/>
      <c r="D6830" s="109"/>
      <c r="E6830" s="109"/>
      <c r="F6830" s="110"/>
      <c r="G6830" s="109"/>
    </row>
    <row r="6831" spans="3:7" x14ac:dyDescent="0.3">
      <c r="C6831" s="109"/>
      <c r="D6831" s="109"/>
      <c r="E6831" s="109"/>
      <c r="F6831" s="110"/>
      <c r="G6831" s="109"/>
    </row>
    <row r="6832" spans="3:7" x14ac:dyDescent="0.3">
      <c r="C6832" s="109"/>
      <c r="D6832" s="109"/>
      <c r="E6832" s="109"/>
      <c r="F6832" s="110"/>
      <c r="G6832" s="109"/>
    </row>
    <row r="6833" spans="3:7" x14ac:dyDescent="0.3">
      <c r="C6833" s="109"/>
      <c r="D6833" s="109"/>
      <c r="E6833" s="109"/>
      <c r="F6833" s="110"/>
      <c r="G6833" s="109"/>
    </row>
    <row r="6834" spans="3:7" x14ac:dyDescent="0.3">
      <c r="C6834" s="109"/>
      <c r="D6834" s="109"/>
      <c r="E6834" s="109"/>
      <c r="F6834" s="110"/>
      <c r="G6834" s="109"/>
    </row>
    <row r="6835" spans="3:7" x14ac:dyDescent="0.3">
      <c r="C6835" s="109"/>
      <c r="D6835" s="109"/>
      <c r="E6835" s="109"/>
      <c r="F6835" s="110"/>
      <c r="G6835" s="109"/>
    </row>
    <row r="6836" spans="3:7" x14ac:dyDescent="0.3">
      <c r="C6836" s="109"/>
      <c r="D6836" s="109"/>
      <c r="E6836" s="109"/>
      <c r="F6836" s="110"/>
      <c r="G6836" s="109"/>
    </row>
    <row r="6837" spans="3:7" x14ac:dyDescent="0.3">
      <c r="C6837" s="109"/>
      <c r="D6837" s="109"/>
      <c r="E6837" s="109"/>
      <c r="F6837" s="110"/>
      <c r="G6837" s="109"/>
    </row>
    <row r="6838" spans="3:7" x14ac:dyDescent="0.3">
      <c r="C6838" s="109"/>
      <c r="D6838" s="109"/>
      <c r="E6838" s="109"/>
      <c r="F6838" s="110"/>
      <c r="G6838" s="109"/>
    </row>
    <row r="6839" spans="3:7" x14ac:dyDescent="0.3">
      <c r="C6839" s="109"/>
      <c r="D6839" s="109"/>
      <c r="E6839" s="109"/>
      <c r="F6839" s="110"/>
      <c r="G6839" s="109"/>
    </row>
    <row r="6840" spans="3:7" x14ac:dyDescent="0.3">
      <c r="C6840" s="109"/>
      <c r="D6840" s="109"/>
      <c r="E6840" s="109"/>
      <c r="F6840" s="110"/>
      <c r="G6840" s="109"/>
    </row>
    <row r="6841" spans="3:7" x14ac:dyDescent="0.3">
      <c r="C6841" s="109"/>
      <c r="D6841" s="109"/>
      <c r="E6841" s="109"/>
      <c r="F6841" s="110"/>
      <c r="G6841" s="109"/>
    </row>
    <row r="6842" spans="3:7" x14ac:dyDescent="0.3">
      <c r="C6842" s="109"/>
      <c r="D6842" s="109"/>
      <c r="E6842" s="109"/>
      <c r="F6842" s="110"/>
      <c r="G6842" s="109"/>
    </row>
    <row r="6843" spans="3:7" x14ac:dyDescent="0.3">
      <c r="C6843" s="109"/>
      <c r="D6843" s="109"/>
      <c r="E6843" s="109"/>
      <c r="F6843" s="110"/>
      <c r="G6843" s="109"/>
    </row>
    <row r="6844" spans="3:7" x14ac:dyDescent="0.3">
      <c r="C6844" s="109"/>
      <c r="D6844" s="109"/>
      <c r="E6844" s="109"/>
      <c r="F6844" s="110"/>
      <c r="G6844" s="109"/>
    </row>
    <row r="6845" spans="3:7" x14ac:dyDescent="0.3">
      <c r="C6845" s="109"/>
      <c r="D6845" s="109"/>
      <c r="E6845" s="109"/>
      <c r="F6845" s="110"/>
      <c r="G6845" s="109"/>
    </row>
    <row r="6846" spans="3:7" x14ac:dyDescent="0.3">
      <c r="C6846" s="109"/>
      <c r="D6846" s="109"/>
      <c r="E6846" s="109"/>
      <c r="F6846" s="110"/>
      <c r="G6846" s="109"/>
    </row>
    <row r="6847" spans="3:7" x14ac:dyDescent="0.3">
      <c r="C6847" s="109"/>
      <c r="D6847" s="109"/>
      <c r="E6847" s="109"/>
      <c r="F6847" s="110"/>
      <c r="G6847" s="109"/>
    </row>
    <row r="6848" spans="3:7" x14ac:dyDescent="0.3">
      <c r="C6848" s="109"/>
      <c r="D6848" s="109"/>
      <c r="E6848" s="109"/>
      <c r="F6848" s="110"/>
      <c r="G6848" s="109"/>
    </row>
    <row r="6849" spans="3:7" x14ac:dyDescent="0.3">
      <c r="C6849" s="109"/>
      <c r="D6849" s="109"/>
      <c r="E6849" s="109"/>
      <c r="F6849" s="110"/>
      <c r="G6849" s="109"/>
    </row>
    <row r="6850" spans="3:7" x14ac:dyDescent="0.3">
      <c r="C6850" s="109"/>
      <c r="D6850" s="109"/>
      <c r="E6850" s="109"/>
      <c r="F6850" s="110"/>
      <c r="G6850" s="109"/>
    </row>
    <row r="6851" spans="3:7" x14ac:dyDescent="0.3">
      <c r="C6851" s="109"/>
      <c r="D6851" s="109"/>
      <c r="E6851" s="109"/>
      <c r="F6851" s="110"/>
      <c r="G6851" s="109"/>
    </row>
    <row r="6852" spans="3:7" x14ac:dyDescent="0.3">
      <c r="C6852" s="109"/>
      <c r="D6852" s="109"/>
      <c r="E6852" s="109"/>
      <c r="F6852" s="110"/>
      <c r="G6852" s="109"/>
    </row>
    <row r="6853" spans="3:7" x14ac:dyDescent="0.3">
      <c r="C6853" s="109"/>
      <c r="D6853" s="109"/>
      <c r="E6853" s="109"/>
      <c r="F6853" s="110"/>
      <c r="G6853" s="109"/>
    </row>
    <row r="6854" spans="3:7" x14ac:dyDescent="0.3">
      <c r="C6854" s="109"/>
      <c r="D6854" s="109"/>
      <c r="E6854" s="109"/>
      <c r="F6854" s="110"/>
      <c r="G6854" s="109"/>
    </row>
    <row r="6855" spans="3:7" x14ac:dyDescent="0.3">
      <c r="C6855" s="109"/>
      <c r="D6855" s="109"/>
      <c r="E6855" s="109"/>
      <c r="F6855" s="110"/>
      <c r="G6855" s="109"/>
    </row>
    <row r="6856" spans="3:7" x14ac:dyDescent="0.3">
      <c r="C6856" s="109"/>
      <c r="D6856" s="109"/>
      <c r="E6856" s="109"/>
      <c r="F6856" s="110"/>
      <c r="G6856" s="109"/>
    </row>
    <row r="6857" spans="3:7" x14ac:dyDescent="0.3">
      <c r="C6857" s="109"/>
      <c r="D6857" s="109"/>
      <c r="E6857" s="109"/>
      <c r="F6857" s="110"/>
      <c r="G6857" s="109"/>
    </row>
    <row r="6858" spans="3:7" x14ac:dyDescent="0.3">
      <c r="C6858" s="109"/>
      <c r="D6858" s="109"/>
      <c r="E6858" s="109"/>
      <c r="F6858" s="110"/>
      <c r="G6858" s="109"/>
    </row>
    <row r="6859" spans="3:7" x14ac:dyDescent="0.3">
      <c r="C6859" s="109"/>
      <c r="D6859" s="109"/>
      <c r="E6859" s="109"/>
      <c r="F6859" s="110"/>
      <c r="G6859" s="109"/>
    </row>
    <row r="6860" spans="3:7" x14ac:dyDescent="0.3">
      <c r="C6860" s="109"/>
      <c r="D6860" s="109"/>
      <c r="E6860" s="109"/>
      <c r="F6860" s="110"/>
      <c r="G6860" s="109"/>
    </row>
    <row r="6861" spans="3:7" x14ac:dyDescent="0.3">
      <c r="C6861" s="109"/>
      <c r="D6861" s="109"/>
      <c r="E6861" s="109"/>
      <c r="F6861" s="110"/>
      <c r="G6861" s="109"/>
    </row>
    <row r="6862" spans="3:7" x14ac:dyDescent="0.3">
      <c r="C6862" s="109"/>
      <c r="D6862" s="109"/>
      <c r="E6862" s="109"/>
      <c r="F6862" s="110"/>
      <c r="G6862" s="109"/>
    </row>
    <row r="6863" spans="3:7" x14ac:dyDescent="0.3">
      <c r="C6863" s="109"/>
      <c r="D6863" s="109"/>
      <c r="E6863" s="109"/>
      <c r="F6863" s="110"/>
      <c r="G6863" s="109"/>
    </row>
    <row r="6864" spans="3:7" x14ac:dyDescent="0.3">
      <c r="C6864" s="109"/>
      <c r="D6864" s="109"/>
      <c r="E6864" s="109"/>
      <c r="F6864" s="110"/>
      <c r="G6864" s="109"/>
    </row>
    <row r="6865" spans="3:7" x14ac:dyDescent="0.3">
      <c r="C6865" s="109"/>
      <c r="D6865" s="109"/>
      <c r="E6865" s="109"/>
      <c r="F6865" s="110"/>
      <c r="G6865" s="109"/>
    </row>
    <row r="6866" spans="3:7" x14ac:dyDescent="0.3">
      <c r="C6866" s="109"/>
      <c r="D6866" s="109"/>
      <c r="E6866" s="109"/>
      <c r="F6866" s="110"/>
      <c r="G6866" s="109"/>
    </row>
    <row r="6867" spans="3:7" x14ac:dyDescent="0.3">
      <c r="C6867" s="109"/>
      <c r="D6867" s="109"/>
      <c r="E6867" s="109"/>
      <c r="F6867" s="110"/>
      <c r="G6867" s="109"/>
    </row>
    <row r="6868" spans="3:7" x14ac:dyDescent="0.3">
      <c r="C6868" s="109"/>
      <c r="D6868" s="109"/>
      <c r="E6868" s="109"/>
      <c r="F6868" s="110"/>
      <c r="G6868" s="109"/>
    </row>
    <row r="6869" spans="3:7" x14ac:dyDescent="0.3">
      <c r="C6869" s="109"/>
      <c r="D6869" s="109"/>
      <c r="E6869" s="109"/>
      <c r="F6869" s="110"/>
      <c r="G6869" s="109"/>
    </row>
    <row r="6870" spans="3:7" x14ac:dyDescent="0.3">
      <c r="C6870" s="109"/>
      <c r="D6870" s="109"/>
      <c r="E6870" s="109"/>
      <c r="F6870" s="110"/>
      <c r="G6870" s="109"/>
    </row>
    <row r="6871" spans="3:7" x14ac:dyDescent="0.3">
      <c r="C6871" s="109"/>
      <c r="D6871" s="109"/>
      <c r="E6871" s="109"/>
      <c r="F6871" s="110"/>
      <c r="G6871" s="109"/>
    </row>
    <row r="6872" spans="3:7" x14ac:dyDescent="0.3">
      <c r="C6872" s="109"/>
      <c r="D6872" s="109"/>
      <c r="E6872" s="109"/>
      <c r="F6872" s="110"/>
      <c r="G6872" s="109"/>
    </row>
    <row r="6873" spans="3:7" x14ac:dyDescent="0.3">
      <c r="C6873" s="109"/>
      <c r="D6873" s="109"/>
      <c r="E6873" s="109"/>
      <c r="F6873" s="110"/>
      <c r="G6873" s="109"/>
    </row>
    <row r="6874" spans="3:7" x14ac:dyDescent="0.3">
      <c r="C6874" s="109"/>
      <c r="D6874" s="109"/>
      <c r="E6874" s="109"/>
      <c r="F6874" s="110"/>
      <c r="G6874" s="109"/>
    </row>
    <row r="6875" spans="3:7" x14ac:dyDescent="0.3">
      <c r="C6875" s="109"/>
      <c r="D6875" s="109"/>
      <c r="E6875" s="109"/>
      <c r="F6875" s="110"/>
      <c r="G6875" s="109"/>
    </row>
    <row r="6876" spans="3:7" x14ac:dyDescent="0.3">
      <c r="C6876" s="109"/>
      <c r="D6876" s="109"/>
      <c r="E6876" s="109"/>
      <c r="F6876" s="110"/>
      <c r="G6876" s="109"/>
    </row>
    <row r="6877" spans="3:7" x14ac:dyDescent="0.3">
      <c r="C6877" s="109"/>
      <c r="D6877" s="109"/>
      <c r="E6877" s="109"/>
      <c r="F6877" s="110"/>
      <c r="G6877" s="109"/>
    </row>
    <row r="6878" spans="3:7" x14ac:dyDescent="0.3">
      <c r="C6878" s="109"/>
      <c r="D6878" s="109"/>
      <c r="E6878" s="109"/>
      <c r="F6878" s="110"/>
      <c r="G6878" s="109"/>
    </row>
    <row r="6879" spans="3:7" x14ac:dyDescent="0.3">
      <c r="C6879" s="109"/>
      <c r="D6879" s="109"/>
      <c r="E6879" s="109"/>
      <c r="F6879" s="110"/>
      <c r="G6879" s="109"/>
    </row>
    <row r="6880" spans="3:7" x14ac:dyDescent="0.3">
      <c r="C6880" s="109"/>
      <c r="D6880" s="109"/>
      <c r="E6880" s="109"/>
      <c r="F6880" s="110"/>
      <c r="G6880" s="109"/>
    </row>
    <row r="6881" spans="3:7" x14ac:dyDescent="0.3">
      <c r="C6881" s="109"/>
      <c r="D6881" s="109"/>
      <c r="E6881" s="109"/>
      <c r="F6881" s="110"/>
      <c r="G6881" s="109"/>
    </row>
    <row r="6882" spans="3:7" x14ac:dyDescent="0.3">
      <c r="C6882" s="109"/>
      <c r="D6882" s="109"/>
      <c r="E6882" s="109"/>
      <c r="F6882" s="110"/>
      <c r="G6882" s="109"/>
    </row>
    <row r="6883" spans="3:7" x14ac:dyDescent="0.3">
      <c r="C6883" s="109"/>
      <c r="D6883" s="109"/>
      <c r="E6883" s="109"/>
      <c r="F6883" s="110"/>
      <c r="G6883" s="109"/>
    </row>
    <row r="6884" spans="3:7" x14ac:dyDescent="0.3">
      <c r="C6884" s="109"/>
      <c r="D6884" s="109"/>
      <c r="E6884" s="109"/>
      <c r="F6884" s="110"/>
      <c r="G6884" s="109"/>
    </row>
    <row r="6885" spans="3:7" x14ac:dyDescent="0.3">
      <c r="C6885" s="109"/>
      <c r="D6885" s="109"/>
      <c r="E6885" s="109"/>
      <c r="F6885" s="110"/>
      <c r="G6885" s="109"/>
    </row>
    <row r="6886" spans="3:7" x14ac:dyDescent="0.3">
      <c r="C6886" s="109"/>
      <c r="D6886" s="109"/>
      <c r="E6886" s="109"/>
      <c r="F6886" s="110"/>
      <c r="G6886" s="109"/>
    </row>
    <row r="6887" spans="3:7" x14ac:dyDescent="0.3">
      <c r="C6887" s="109"/>
      <c r="D6887" s="109"/>
      <c r="E6887" s="109"/>
      <c r="F6887" s="110"/>
      <c r="G6887" s="109"/>
    </row>
    <row r="6888" spans="3:7" x14ac:dyDescent="0.3">
      <c r="C6888" s="109"/>
      <c r="D6888" s="109"/>
      <c r="E6888" s="109"/>
      <c r="F6888" s="110"/>
      <c r="G6888" s="109"/>
    </row>
    <row r="6889" spans="3:7" x14ac:dyDescent="0.3">
      <c r="C6889" s="109"/>
      <c r="D6889" s="109"/>
      <c r="E6889" s="109"/>
      <c r="F6889" s="110"/>
      <c r="G6889" s="109"/>
    </row>
    <row r="6890" spans="3:7" x14ac:dyDescent="0.3">
      <c r="C6890" s="109"/>
      <c r="D6890" s="109"/>
      <c r="E6890" s="109"/>
      <c r="F6890" s="110"/>
      <c r="G6890" s="109"/>
    </row>
    <row r="6891" spans="3:7" x14ac:dyDescent="0.3">
      <c r="C6891" s="109"/>
      <c r="D6891" s="109"/>
      <c r="E6891" s="109"/>
      <c r="F6891" s="110"/>
      <c r="G6891" s="109"/>
    </row>
    <row r="6892" spans="3:7" x14ac:dyDescent="0.3">
      <c r="C6892" s="109"/>
      <c r="D6892" s="109"/>
      <c r="E6892" s="109"/>
      <c r="F6892" s="110"/>
      <c r="G6892" s="109"/>
    </row>
    <row r="6893" spans="3:7" x14ac:dyDescent="0.3">
      <c r="C6893" s="109"/>
      <c r="D6893" s="109"/>
      <c r="E6893" s="109"/>
      <c r="F6893" s="110"/>
      <c r="G6893" s="109"/>
    </row>
    <row r="6894" spans="3:7" x14ac:dyDescent="0.3">
      <c r="C6894" s="109"/>
      <c r="D6894" s="109"/>
      <c r="E6894" s="109"/>
      <c r="F6894" s="110"/>
      <c r="G6894" s="109"/>
    </row>
    <row r="6895" spans="3:7" x14ac:dyDescent="0.3">
      <c r="C6895" s="109"/>
      <c r="D6895" s="109"/>
      <c r="E6895" s="109"/>
      <c r="F6895" s="110"/>
      <c r="G6895" s="109"/>
    </row>
    <row r="6896" spans="3:7" x14ac:dyDescent="0.3">
      <c r="C6896" s="109"/>
      <c r="D6896" s="109"/>
      <c r="E6896" s="109"/>
      <c r="F6896" s="110"/>
      <c r="G6896" s="109"/>
    </row>
    <row r="6897" spans="3:7" x14ac:dyDescent="0.3">
      <c r="C6897" s="109"/>
      <c r="D6897" s="109"/>
      <c r="E6897" s="109"/>
      <c r="F6897" s="110"/>
      <c r="G6897" s="109"/>
    </row>
    <row r="6898" spans="3:7" x14ac:dyDescent="0.3">
      <c r="C6898" s="109"/>
      <c r="D6898" s="109"/>
      <c r="E6898" s="109"/>
      <c r="F6898" s="110"/>
      <c r="G6898" s="109"/>
    </row>
    <row r="6899" spans="3:7" x14ac:dyDescent="0.3">
      <c r="C6899" s="109"/>
      <c r="D6899" s="109"/>
      <c r="E6899" s="109"/>
      <c r="F6899" s="110"/>
      <c r="G6899" s="109"/>
    </row>
    <row r="6900" spans="3:7" x14ac:dyDescent="0.3">
      <c r="C6900" s="109"/>
      <c r="D6900" s="109"/>
      <c r="E6900" s="109"/>
      <c r="F6900" s="110"/>
      <c r="G6900" s="109"/>
    </row>
    <row r="6901" spans="3:7" x14ac:dyDescent="0.3">
      <c r="C6901" s="109"/>
      <c r="D6901" s="109"/>
      <c r="E6901" s="109"/>
      <c r="F6901" s="110"/>
      <c r="G6901" s="109"/>
    </row>
    <row r="6902" spans="3:7" x14ac:dyDescent="0.3">
      <c r="C6902" s="109"/>
      <c r="D6902" s="109"/>
      <c r="E6902" s="109"/>
      <c r="F6902" s="110"/>
      <c r="G6902" s="109"/>
    </row>
    <row r="6903" spans="3:7" x14ac:dyDescent="0.3">
      <c r="C6903" s="109"/>
      <c r="D6903" s="109"/>
      <c r="E6903" s="109"/>
      <c r="F6903" s="110"/>
      <c r="G6903" s="109"/>
    </row>
    <row r="6904" spans="3:7" x14ac:dyDescent="0.3">
      <c r="C6904" s="109"/>
      <c r="D6904" s="109"/>
      <c r="E6904" s="109"/>
      <c r="F6904" s="110"/>
      <c r="G6904" s="109"/>
    </row>
    <row r="6905" spans="3:7" x14ac:dyDescent="0.3">
      <c r="C6905" s="109"/>
      <c r="D6905" s="109"/>
      <c r="E6905" s="109"/>
      <c r="F6905" s="110"/>
      <c r="G6905" s="109"/>
    </row>
    <row r="6906" spans="3:7" x14ac:dyDescent="0.3">
      <c r="C6906" s="109"/>
      <c r="D6906" s="109"/>
      <c r="E6906" s="109"/>
      <c r="F6906" s="110"/>
      <c r="G6906" s="109"/>
    </row>
    <row r="6907" spans="3:7" x14ac:dyDescent="0.3">
      <c r="C6907" s="109"/>
      <c r="D6907" s="109"/>
      <c r="E6907" s="109"/>
      <c r="F6907" s="110"/>
      <c r="G6907" s="109"/>
    </row>
    <row r="6908" spans="3:7" x14ac:dyDescent="0.3">
      <c r="C6908" s="109"/>
      <c r="D6908" s="109"/>
      <c r="E6908" s="109"/>
      <c r="F6908" s="110"/>
      <c r="G6908" s="109"/>
    </row>
    <row r="6909" spans="3:7" x14ac:dyDescent="0.3">
      <c r="C6909" s="109"/>
      <c r="D6909" s="109"/>
      <c r="E6909" s="109"/>
      <c r="F6909" s="110"/>
      <c r="G6909" s="109"/>
    </row>
    <row r="6910" spans="3:7" x14ac:dyDescent="0.3">
      <c r="C6910" s="109"/>
      <c r="D6910" s="109"/>
      <c r="E6910" s="109"/>
      <c r="F6910" s="110"/>
      <c r="G6910" s="109"/>
    </row>
    <row r="6911" spans="3:7" x14ac:dyDescent="0.3">
      <c r="C6911" s="109"/>
      <c r="D6911" s="109"/>
      <c r="E6911" s="109"/>
      <c r="F6911" s="110"/>
      <c r="G6911" s="109"/>
    </row>
    <row r="6912" spans="3:7" x14ac:dyDescent="0.3">
      <c r="C6912" s="109"/>
      <c r="D6912" s="109"/>
      <c r="E6912" s="109"/>
      <c r="F6912" s="110"/>
      <c r="G6912" s="109"/>
    </row>
    <row r="6913" spans="3:7" x14ac:dyDescent="0.3">
      <c r="C6913" s="109"/>
      <c r="D6913" s="109"/>
      <c r="E6913" s="109"/>
      <c r="F6913" s="110"/>
      <c r="G6913" s="109"/>
    </row>
    <row r="6914" spans="3:7" x14ac:dyDescent="0.3">
      <c r="C6914" s="109"/>
      <c r="D6914" s="109"/>
      <c r="E6914" s="109"/>
      <c r="F6914" s="110"/>
      <c r="G6914" s="109"/>
    </row>
    <row r="6915" spans="3:7" x14ac:dyDescent="0.3">
      <c r="C6915" s="109"/>
      <c r="D6915" s="109"/>
      <c r="E6915" s="109"/>
      <c r="F6915" s="110"/>
      <c r="G6915" s="109"/>
    </row>
    <row r="6916" spans="3:7" x14ac:dyDescent="0.3">
      <c r="C6916" s="109"/>
      <c r="D6916" s="109"/>
      <c r="E6916" s="109"/>
      <c r="F6916" s="110"/>
      <c r="G6916" s="109"/>
    </row>
    <row r="6917" spans="3:7" x14ac:dyDescent="0.3">
      <c r="C6917" s="109"/>
      <c r="D6917" s="109"/>
      <c r="E6917" s="109"/>
      <c r="F6917" s="110"/>
      <c r="G6917" s="109"/>
    </row>
    <row r="6918" spans="3:7" x14ac:dyDescent="0.3">
      <c r="C6918" s="109"/>
      <c r="D6918" s="109"/>
      <c r="E6918" s="109"/>
      <c r="F6918" s="110"/>
      <c r="G6918" s="109"/>
    </row>
    <row r="6919" spans="3:7" x14ac:dyDescent="0.3">
      <c r="C6919" s="109"/>
      <c r="D6919" s="109"/>
      <c r="E6919" s="109"/>
      <c r="F6919" s="110"/>
      <c r="G6919" s="109"/>
    </row>
    <row r="6920" spans="3:7" x14ac:dyDescent="0.3">
      <c r="C6920" s="109"/>
      <c r="D6920" s="109"/>
      <c r="E6920" s="109"/>
      <c r="F6920" s="110"/>
      <c r="G6920" s="109"/>
    </row>
    <row r="6921" spans="3:7" x14ac:dyDescent="0.3">
      <c r="C6921" s="109"/>
      <c r="D6921" s="109"/>
      <c r="E6921" s="109"/>
      <c r="F6921" s="110"/>
      <c r="G6921" s="109"/>
    </row>
    <row r="6922" spans="3:7" x14ac:dyDescent="0.3">
      <c r="C6922" s="109"/>
      <c r="D6922" s="109"/>
      <c r="E6922" s="109"/>
      <c r="F6922" s="110"/>
      <c r="G6922" s="109"/>
    </row>
    <row r="6923" spans="3:7" x14ac:dyDescent="0.3">
      <c r="C6923" s="109"/>
      <c r="D6923" s="109"/>
      <c r="E6923" s="109"/>
      <c r="F6923" s="110"/>
      <c r="G6923" s="109"/>
    </row>
    <row r="6924" spans="3:7" x14ac:dyDescent="0.3">
      <c r="C6924" s="109"/>
      <c r="D6924" s="109"/>
      <c r="E6924" s="109"/>
      <c r="F6924" s="110"/>
      <c r="G6924" s="109"/>
    </row>
    <row r="6925" spans="3:7" x14ac:dyDescent="0.3">
      <c r="C6925" s="109"/>
      <c r="D6925" s="109"/>
      <c r="E6925" s="109"/>
      <c r="F6925" s="110"/>
      <c r="G6925" s="109"/>
    </row>
    <row r="6926" spans="3:7" x14ac:dyDescent="0.3">
      <c r="C6926" s="109"/>
      <c r="D6926" s="109"/>
      <c r="E6926" s="109"/>
      <c r="F6926" s="110"/>
      <c r="G6926" s="109"/>
    </row>
    <row r="6927" spans="3:7" x14ac:dyDescent="0.3">
      <c r="C6927" s="109"/>
      <c r="D6927" s="109"/>
      <c r="E6927" s="109"/>
      <c r="F6927" s="110"/>
      <c r="G6927" s="109"/>
    </row>
    <row r="6928" spans="3:7" x14ac:dyDescent="0.3">
      <c r="C6928" s="109"/>
      <c r="D6928" s="109"/>
      <c r="E6928" s="109"/>
      <c r="F6928" s="110"/>
      <c r="G6928" s="109"/>
    </row>
    <row r="6929" spans="3:7" x14ac:dyDescent="0.3">
      <c r="C6929" s="109"/>
      <c r="D6929" s="109"/>
      <c r="E6929" s="109"/>
      <c r="F6929" s="110"/>
      <c r="G6929" s="109"/>
    </row>
    <row r="6930" spans="3:7" x14ac:dyDescent="0.3">
      <c r="C6930" s="109"/>
      <c r="D6930" s="109"/>
      <c r="E6930" s="109"/>
      <c r="F6930" s="110"/>
      <c r="G6930" s="109"/>
    </row>
    <row r="6931" spans="3:7" x14ac:dyDescent="0.3">
      <c r="C6931" s="109"/>
      <c r="D6931" s="109"/>
      <c r="E6931" s="109"/>
      <c r="F6931" s="110"/>
      <c r="G6931" s="109"/>
    </row>
    <row r="6932" spans="3:7" x14ac:dyDescent="0.3">
      <c r="C6932" s="109"/>
      <c r="D6932" s="109"/>
      <c r="E6932" s="109"/>
      <c r="F6932" s="110"/>
      <c r="G6932" s="109"/>
    </row>
    <row r="6933" spans="3:7" x14ac:dyDescent="0.3">
      <c r="C6933" s="109"/>
      <c r="D6933" s="109"/>
      <c r="E6933" s="109"/>
      <c r="F6933" s="110"/>
      <c r="G6933" s="109"/>
    </row>
    <row r="6934" spans="3:7" x14ac:dyDescent="0.3">
      <c r="C6934" s="109"/>
      <c r="D6934" s="109"/>
      <c r="E6934" s="109"/>
      <c r="F6934" s="110"/>
      <c r="G6934" s="109"/>
    </row>
    <row r="6935" spans="3:7" x14ac:dyDescent="0.3">
      <c r="C6935" s="109"/>
      <c r="D6935" s="109"/>
      <c r="E6935" s="109"/>
      <c r="F6935" s="110"/>
      <c r="G6935" s="109"/>
    </row>
    <row r="6936" spans="3:7" x14ac:dyDescent="0.3">
      <c r="C6936" s="109"/>
      <c r="D6936" s="109"/>
      <c r="E6936" s="109"/>
      <c r="F6936" s="110"/>
      <c r="G6936" s="109"/>
    </row>
    <row r="6937" spans="3:7" x14ac:dyDescent="0.3">
      <c r="C6937" s="109"/>
      <c r="D6937" s="109"/>
      <c r="E6937" s="109"/>
      <c r="F6937" s="110"/>
      <c r="G6937" s="109"/>
    </row>
    <row r="6938" spans="3:7" x14ac:dyDescent="0.3">
      <c r="C6938" s="109"/>
      <c r="D6938" s="109"/>
      <c r="E6938" s="109"/>
      <c r="F6938" s="110"/>
      <c r="G6938" s="109"/>
    </row>
    <row r="6939" spans="3:7" x14ac:dyDescent="0.3">
      <c r="C6939" s="109"/>
      <c r="D6939" s="109"/>
      <c r="E6939" s="109"/>
      <c r="F6939" s="110"/>
      <c r="G6939" s="109"/>
    </row>
    <row r="6940" spans="3:7" x14ac:dyDescent="0.3">
      <c r="C6940" s="109"/>
      <c r="D6940" s="109"/>
      <c r="E6940" s="109"/>
      <c r="F6940" s="110"/>
      <c r="G6940" s="109"/>
    </row>
    <row r="6941" spans="3:7" x14ac:dyDescent="0.3">
      <c r="C6941" s="109"/>
      <c r="D6941" s="109"/>
      <c r="E6941" s="109"/>
      <c r="F6941" s="110"/>
      <c r="G6941" s="109"/>
    </row>
    <row r="6942" spans="3:7" x14ac:dyDescent="0.3">
      <c r="C6942" s="109"/>
      <c r="D6942" s="109"/>
      <c r="E6942" s="109"/>
      <c r="F6942" s="110"/>
      <c r="G6942" s="109"/>
    </row>
    <row r="6943" spans="3:7" x14ac:dyDescent="0.3">
      <c r="C6943" s="109"/>
      <c r="D6943" s="109"/>
      <c r="E6943" s="109"/>
      <c r="F6943" s="110"/>
      <c r="G6943" s="109"/>
    </row>
    <row r="6944" spans="3:7" x14ac:dyDescent="0.3">
      <c r="C6944" s="109"/>
      <c r="D6944" s="109"/>
      <c r="E6944" s="109"/>
      <c r="F6944" s="110"/>
      <c r="G6944" s="109"/>
    </row>
    <row r="6945" spans="3:7" x14ac:dyDescent="0.3">
      <c r="C6945" s="109"/>
      <c r="D6945" s="109"/>
      <c r="E6945" s="109"/>
      <c r="F6945" s="110"/>
      <c r="G6945" s="109"/>
    </row>
    <row r="6946" spans="3:7" x14ac:dyDescent="0.3">
      <c r="C6946" s="109"/>
      <c r="D6946" s="109"/>
      <c r="E6946" s="109"/>
      <c r="F6946" s="110"/>
      <c r="G6946" s="109"/>
    </row>
    <row r="6947" spans="3:7" x14ac:dyDescent="0.3">
      <c r="C6947" s="109"/>
      <c r="D6947" s="109"/>
      <c r="E6947" s="109"/>
      <c r="F6947" s="110"/>
      <c r="G6947" s="109"/>
    </row>
    <row r="6948" spans="3:7" x14ac:dyDescent="0.3">
      <c r="C6948" s="109"/>
      <c r="D6948" s="109"/>
      <c r="E6948" s="109"/>
      <c r="F6948" s="110"/>
      <c r="G6948" s="109"/>
    </row>
    <row r="6949" spans="3:7" x14ac:dyDescent="0.3">
      <c r="C6949" s="109"/>
      <c r="D6949" s="109"/>
      <c r="E6949" s="109"/>
      <c r="F6949" s="110"/>
      <c r="G6949" s="109"/>
    </row>
    <row r="6950" spans="3:7" x14ac:dyDescent="0.3">
      <c r="C6950" s="109"/>
      <c r="D6950" s="109"/>
      <c r="E6950" s="109"/>
      <c r="F6950" s="110"/>
      <c r="G6950" s="109"/>
    </row>
    <row r="6951" spans="3:7" x14ac:dyDescent="0.3">
      <c r="C6951" s="109"/>
      <c r="D6951" s="109"/>
      <c r="E6951" s="109"/>
      <c r="F6951" s="110"/>
      <c r="G6951" s="109"/>
    </row>
    <row r="6952" spans="3:7" x14ac:dyDescent="0.3">
      <c r="C6952" s="109"/>
      <c r="D6952" s="109"/>
      <c r="E6952" s="109"/>
      <c r="F6952" s="110"/>
      <c r="G6952" s="109"/>
    </row>
    <row r="6953" spans="3:7" x14ac:dyDescent="0.3">
      <c r="C6953" s="109"/>
      <c r="D6953" s="109"/>
      <c r="E6953" s="109"/>
      <c r="F6953" s="110"/>
      <c r="G6953" s="109"/>
    </row>
    <row r="6954" spans="3:7" x14ac:dyDescent="0.3">
      <c r="C6954" s="109"/>
      <c r="D6954" s="109"/>
      <c r="E6954" s="109"/>
      <c r="F6954" s="110"/>
      <c r="G6954" s="109"/>
    </row>
    <row r="6955" spans="3:7" x14ac:dyDescent="0.3">
      <c r="C6955" s="109"/>
      <c r="D6955" s="109"/>
      <c r="E6955" s="109"/>
      <c r="F6955" s="110"/>
      <c r="G6955" s="109"/>
    </row>
    <row r="6956" spans="3:7" x14ac:dyDescent="0.3">
      <c r="C6956" s="109"/>
      <c r="D6956" s="109"/>
      <c r="E6956" s="109"/>
      <c r="F6956" s="110"/>
      <c r="G6956" s="109"/>
    </row>
    <row r="6957" spans="3:7" x14ac:dyDescent="0.3">
      <c r="C6957" s="109"/>
      <c r="D6957" s="109"/>
      <c r="E6957" s="109"/>
      <c r="F6957" s="110"/>
      <c r="G6957" s="109"/>
    </row>
    <row r="6958" spans="3:7" x14ac:dyDescent="0.3">
      <c r="C6958" s="109"/>
      <c r="D6958" s="109"/>
      <c r="E6958" s="109"/>
      <c r="F6958" s="110"/>
      <c r="G6958" s="109"/>
    </row>
    <row r="6959" spans="3:7" x14ac:dyDescent="0.3">
      <c r="C6959" s="109"/>
      <c r="D6959" s="109"/>
      <c r="E6959" s="109"/>
      <c r="F6959" s="110"/>
      <c r="G6959" s="109"/>
    </row>
    <row r="6960" spans="3:7" x14ac:dyDescent="0.3">
      <c r="C6960" s="109"/>
      <c r="D6960" s="109"/>
      <c r="E6960" s="109"/>
      <c r="F6960" s="110"/>
      <c r="G6960" s="109"/>
    </row>
    <row r="6961" spans="3:7" x14ac:dyDescent="0.3">
      <c r="C6961" s="109"/>
      <c r="D6961" s="109"/>
      <c r="E6961" s="109"/>
      <c r="F6961" s="110"/>
      <c r="G6961" s="109"/>
    </row>
    <row r="6962" spans="3:7" x14ac:dyDescent="0.3">
      <c r="C6962" s="109"/>
      <c r="D6962" s="109"/>
      <c r="E6962" s="109"/>
      <c r="F6962" s="110"/>
      <c r="G6962" s="109"/>
    </row>
    <row r="6963" spans="3:7" x14ac:dyDescent="0.3">
      <c r="C6963" s="109"/>
      <c r="D6963" s="109"/>
      <c r="E6963" s="109"/>
      <c r="F6963" s="110"/>
      <c r="G6963" s="109"/>
    </row>
    <row r="6964" spans="3:7" x14ac:dyDescent="0.3">
      <c r="C6964" s="109"/>
      <c r="D6964" s="109"/>
      <c r="E6964" s="109"/>
      <c r="F6964" s="110"/>
      <c r="G6964" s="109"/>
    </row>
    <row r="6965" spans="3:7" x14ac:dyDescent="0.3">
      <c r="C6965" s="109"/>
      <c r="D6965" s="109"/>
      <c r="E6965" s="109"/>
      <c r="F6965" s="110"/>
      <c r="G6965" s="109"/>
    </row>
    <row r="6966" spans="3:7" x14ac:dyDescent="0.3">
      <c r="C6966" s="109"/>
      <c r="D6966" s="109"/>
      <c r="E6966" s="109"/>
      <c r="F6966" s="110"/>
      <c r="G6966" s="109"/>
    </row>
    <row r="6967" spans="3:7" x14ac:dyDescent="0.3">
      <c r="C6967" s="109"/>
      <c r="D6967" s="109"/>
      <c r="E6967" s="109"/>
      <c r="F6967" s="110"/>
      <c r="G6967" s="109"/>
    </row>
    <row r="6968" spans="3:7" x14ac:dyDescent="0.3">
      <c r="C6968" s="109"/>
      <c r="D6968" s="109"/>
      <c r="E6968" s="109"/>
      <c r="F6968" s="110"/>
      <c r="G6968" s="109"/>
    </row>
    <row r="6969" spans="3:7" x14ac:dyDescent="0.3">
      <c r="C6969" s="109"/>
      <c r="D6969" s="109"/>
      <c r="E6969" s="109"/>
      <c r="F6969" s="110"/>
      <c r="G6969" s="109"/>
    </row>
    <row r="6970" spans="3:7" x14ac:dyDescent="0.3">
      <c r="C6970" s="109"/>
      <c r="D6970" s="109"/>
      <c r="E6970" s="109"/>
      <c r="F6970" s="110"/>
      <c r="G6970" s="109"/>
    </row>
    <row r="6971" spans="3:7" x14ac:dyDescent="0.3">
      <c r="C6971" s="109"/>
      <c r="D6971" s="109"/>
      <c r="E6971" s="109"/>
      <c r="F6971" s="110"/>
      <c r="G6971" s="109"/>
    </row>
    <row r="6972" spans="3:7" x14ac:dyDescent="0.3">
      <c r="C6972" s="109"/>
      <c r="D6972" s="109"/>
      <c r="E6972" s="109"/>
      <c r="F6972" s="110"/>
      <c r="G6972" s="109"/>
    </row>
    <row r="6973" spans="3:7" x14ac:dyDescent="0.3">
      <c r="C6973" s="109"/>
      <c r="D6973" s="109"/>
      <c r="E6973" s="109"/>
      <c r="F6973" s="110"/>
      <c r="G6973" s="109"/>
    </row>
    <row r="6974" spans="3:7" x14ac:dyDescent="0.3">
      <c r="C6974" s="109"/>
      <c r="D6974" s="109"/>
      <c r="E6974" s="109"/>
      <c r="F6974" s="110"/>
      <c r="G6974" s="109"/>
    </row>
    <row r="6975" spans="3:7" x14ac:dyDescent="0.3">
      <c r="C6975" s="109"/>
      <c r="D6975" s="109"/>
      <c r="E6975" s="109"/>
      <c r="F6975" s="110"/>
      <c r="G6975" s="109"/>
    </row>
    <row r="6976" spans="3:7" x14ac:dyDescent="0.3">
      <c r="C6976" s="109"/>
      <c r="D6976" s="109"/>
      <c r="E6976" s="109"/>
      <c r="F6976" s="110"/>
      <c r="G6976" s="109"/>
    </row>
    <row r="6977" spans="3:7" x14ac:dyDescent="0.3">
      <c r="C6977" s="109"/>
      <c r="D6977" s="109"/>
      <c r="E6977" s="109"/>
      <c r="F6977" s="110"/>
      <c r="G6977" s="109"/>
    </row>
    <row r="6978" spans="3:7" x14ac:dyDescent="0.3">
      <c r="C6978" s="109"/>
      <c r="D6978" s="109"/>
      <c r="E6978" s="109"/>
      <c r="F6978" s="110"/>
      <c r="G6978" s="109"/>
    </row>
    <row r="6979" spans="3:7" x14ac:dyDescent="0.3">
      <c r="C6979" s="109"/>
      <c r="D6979" s="109"/>
      <c r="E6979" s="109"/>
      <c r="F6979" s="110"/>
      <c r="G6979" s="109"/>
    </row>
    <row r="6980" spans="3:7" x14ac:dyDescent="0.3">
      <c r="C6980" s="109"/>
      <c r="D6980" s="109"/>
      <c r="E6980" s="109"/>
      <c r="F6980" s="110"/>
      <c r="G6980" s="109"/>
    </row>
    <row r="6981" spans="3:7" x14ac:dyDescent="0.3">
      <c r="C6981" s="109"/>
      <c r="D6981" s="109"/>
      <c r="E6981" s="109"/>
      <c r="F6981" s="110"/>
      <c r="G6981" s="109"/>
    </row>
    <row r="6982" spans="3:7" x14ac:dyDescent="0.3">
      <c r="C6982" s="109"/>
      <c r="D6982" s="109"/>
      <c r="E6982" s="109"/>
      <c r="F6982" s="110"/>
      <c r="G6982" s="109"/>
    </row>
    <row r="6983" spans="3:7" x14ac:dyDescent="0.3">
      <c r="C6983" s="109"/>
      <c r="D6983" s="109"/>
      <c r="E6983" s="109"/>
      <c r="F6983" s="110"/>
      <c r="G6983" s="109"/>
    </row>
    <row r="6984" spans="3:7" x14ac:dyDescent="0.3">
      <c r="C6984" s="109"/>
      <c r="D6984" s="109"/>
      <c r="E6984" s="109"/>
      <c r="F6984" s="110"/>
      <c r="G6984" s="109"/>
    </row>
    <row r="6985" spans="3:7" x14ac:dyDescent="0.3">
      <c r="C6985" s="109"/>
      <c r="D6985" s="109"/>
      <c r="E6985" s="109"/>
      <c r="F6985" s="110"/>
      <c r="G6985" s="109"/>
    </row>
    <row r="6986" spans="3:7" x14ac:dyDescent="0.3">
      <c r="C6986" s="109"/>
      <c r="D6986" s="109"/>
      <c r="E6986" s="109"/>
      <c r="F6986" s="110"/>
      <c r="G6986" s="109"/>
    </row>
    <row r="6987" spans="3:7" x14ac:dyDescent="0.3">
      <c r="C6987" s="109"/>
      <c r="D6987" s="109"/>
      <c r="E6987" s="109"/>
      <c r="F6987" s="110"/>
      <c r="G6987" s="109"/>
    </row>
    <row r="6988" spans="3:7" x14ac:dyDescent="0.3">
      <c r="C6988" s="109"/>
      <c r="D6988" s="109"/>
      <c r="E6988" s="109"/>
      <c r="F6988" s="110"/>
      <c r="G6988" s="109"/>
    </row>
    <row r="6989" spans="3:7" x14ac:dyDescent="0.3">
      <c r="C6989" s="109"/>
      <c r="D6989" s="109"/>
      <c r="E6989" s="109"/>
      <c r="F6989" s="110"/>
      <c r="G6989" s="109"/>
    </row>
    <row r="6990" spans="3:7" x14ac:dyDescent="0.3">
      <c r="C6990" s="109"/>
      <c r="D6990" s="109"/>
      <c r="E6990" s="109"/>
      <c r="F6990" s="110"/>
      <c r="G6990" s="109"/>
    </row>
    <row r="6991" spans="3:7" x14ac:dyDescent="0.3">
      <c r="C6991" s="109"/>
      <c r="D6991" s="109"/>
      <c r="E6991" s="109"/>
      <c r="F6991" s="110"/>
      <c r="G6991" s="109"/>
    </row>
    <row r="6992" spans="3:7" x14ac:dyDescent="0.3">
      <c r="C6992" s="109"/>
      <c r="D6992" s="109"/>
      <c r="E6992" s="109"/>
      <c r="F6992" s="110"/>
      <c r="G6992" s="109"/>
    </row>
    <row r="6993" spans="3:7" x14ac:dyDescent="0.3">
      <c r="C6993" s="109"/>
      <c r="D6993" s="109"/>
      <c r="E6993" s="109"/>
      <c r="F6993" s="110"/>
      <c r="G6993" s="109"/>
    </row>
    <row r="6994" spans="3:7" x14ac:dyDescent="0.3">
      <c r="C6994" s="109"/>
      <c r="D6994" s="109"/>
      <c r="E6994" s="109"/>
      <c r="F6994" s="110"/>
      <c r="G6994" s="109"/>
    </row>
    <row r="6995" spans="3:7" x14ac:dyDescent="0.3">
      <c r="C6995" s="109"/>
      <c r="D6995" s="109"/>
      <c r="E6995" s="109"/>
      <c r="F6995" s="110"/>
      <c r="G6995" s="109"/>
    </row>
    <row r="6996" spans="3:7" x14ac:dyDescent="0.3">
      <c r="C6996" s="109"/>
      <c r="D6996" s="109"/>
      <c r="E6996" s="109"/>
      <c r="F6996" s="110"/>
      <c r="G6996" s="109"/>
    </row>
    <row r="6997" spans="3:7" x14ac:dyDescent="0.3">
      <c r="C6997" s="109"/>
      <c r="D6997" s="109"/>
      <c r="E6997" s="109"/>
      <c r="F6997" s="110"/>
      <c r="G6997" s="109"/>
    </row>
    <row r="6998" spans="3:7" x14ac:dyDescent="0.3">
      <c r="C6998" s="109"/>
      <c r="D6998" s="109"/>
      <c r="E6998" s="109"/>
      <c r="F6998" s="110"/>
      <c r="G6998" s="109"/>
    </row>
    <row r="6999" spans="3:7" x14ac:dyDescent="0.3">
      <c r="C6999" s="109"/>
      <c r="D6999" s="109"/>
      <c r="E6999" s="109"/>
      <c r="F6999" s="110"/>
      <c r="G6999" s="109"/>
    </row>
    <row r="7000" spans="3:7" x14ac:dyDescent="0.3">
      <c r="C7000" s="109"/>
      <c r="D7000" s="109"/>
      <c r="E7000" s="109"/>
      <c r="F7000" s="110"/>
      <c r="G7000" s="109"/>
    </row>
    <row r="7001" spans="3:7" x14ac:dyDescent="0.3">
      <c r="C7001" s="109"/>
      <c r="D7001" s="109"/>
      <c r="E7001" s="109"/>
      <c r="F7001" s="110"/>
      <c r="G7001" s="109"/>
    </row>
    <row r="7002" spans="3:7" x14ac:dyDescent="0.3">
      <c r="C7002" s="109"/>
      <c r="D7002" s="109"/>
      <c r="E7002" s="109"/>
      <c r="F7002" s="110"/>
      <c r="G7002" s="109"/>
    </row>
    <row r="7003" spans="3:7" x14ac:dyDescent="0.3">
      <c r="C7003" s="109"/>
      <c r="D7003" s="109"/>
      <c r="E7003" s="109"/>
      <c r="F7003" s="110"/>
      <c r="G7003" s="109"/>
    </row>
    <row r="7004" spans="3:7" x14ac:dyDescent="0.3">
      <c r="C7004" s="109"/>
      <c r="D7004" s="109"/>
      <c r="E7004" s="109"/>
      <c r="F7004" s="110"/>
      <c r="G7004" s="109"/>
    </row>
    <row r="7005" spans="3:7" x14ac:dyDescent="0.3">
      <c r="C7005" s="109"/>
      <c r="D7005" s="109"/>
      <c r="E7005" s="109"/>
      <c r="F7005" s="110"/>
      <c r="G7005" s="109"/>
    </row>
    <row r="7006" spans="3:7" x14ac:dyDescent="0.3">
      <c r="C7006" s="109"/>
      <c r="D7006" s="109"/>
      <c r="E7006" s="109"/>
      <c r="F7006" s="110"/>
      <c r="G7006" s="109"/>
    </row>
    <row r="7007" spans="3:7" x14ac:dyDescent="0.3">
      <c r="C7007" s="109"/>
      <c r="D7007" s="109"/>
      <c r="E7007" s="109"/>
      <c r="F7007" s="110"/>
      <c r="G7007" s="109"/>
    </row>
    <row r="7008" spans="3:7" x14ac:dyDescent="0.3">
      <c r="C7008" s="109"/>
      <c r="D7008" s="109"/>
      <c r="E7008" s="109"/>
      <c r="F7008" s="110"/>
      <c r="G7008" s="109"/>
    </row>
    <row r="7009" spans="3:7" x14ac:dyDescent="0.3">
      <c r="C7009" s="109"/>
      <c r="D7009" s="109"/>
      <c r="E7009" s="109"/>
      <c r="F7009" s="110"/>
      <c r="G7009" s="109"/>
    </row>
    <row r="7010" spans="3:7" x14ac:dyDescent="0.3">
      <c r="C7010" s="109"/>
      <c r="D7010" s="109"/>
      <c r="E7010" s="109"/>
      <c r="F7010" s="110"/>
      <c r="G7010" s="109"/>
    </row>
    <row r="7011" spans="3:7" x14ac:dyDescent="0.3">
      <c r="C7011" s="109"/>
      <c r="D7011" s="109"/>
      <c r="E7011" s="109"/>
      <c r="F7011" s="110"/>
      <c r="G7011" s="109"/>
    </row>
    <row r="7012" spans="3:7" x14ac:dyDescent="0.3">
      <c r="C7012" s="109"/>
      <c r="D7012" s="109"/>
      <c r="E7012" s="109"/>
      <c r="F7012" s="110"/>
      <c r="G7012" s="109"/>
    </row>
    <row r="7013" spans="3:7" x14ac:dyDescent="0.3">
      <c r="C7013" s="109"/>
      <c r="D7013" s="109"/>
      <c r="E7013" s="109"/>
      <c r="F7013" s="110"/>
      <c r="G7013" s="109"/>
    </row>
    <row r="7014" spans="3:7" x14ac:dyDescent="0.3">
      <c r="C7014" s="109"/>
      <c r="D7014" s="109"/>
      <c r="E7014" s="109"/>
      <c r="F7014" s="110"/>
      <c r="G7014" s="109"/>
    </row>
    <row r="7015" spans="3:7" x14ac:dyDescent="0.3">
      <c r="C7015" s="109"/>
      <c r="D7015" s="109"/>
      <c r="E7015" s="109"/>
      <c r="F7015" s="110"/>
      <c r="G7015" s="109"/>
    </row>
    <row r="7016" spans="3:7" x14ac:dyDescent="0.3">
      <c r="C7016" s="109"/>
      <c r="D7016" s="109"/>
      <c r="E7016" s="109"/>
      <c r="F7016" s="110"/>
      <c r="G7016" s="109"/>
    </row>
    <row r="7017" spans="3:7" x14ac:dyDescent="0.3">
      <c r="C7017" s="109"/>
      <c r="D7017" s="109"/>
      <c r="E7017" s="109"/>
      <c r="F7017" s="110"/>
      <c r="G7017" s="109"/>
    </row>
    <row r="7018" spans="3:7" x14ac:dyDescent="0.3">
      <c r="C7018" s="109"/>
      <c r="D7018" s="109"/>
      <c r="E7018" s="109"/>
      <c r="F7018" s="110"/>
      <c r="G7018" s="109"/>
    </row>
    <row r="7019" spans="3:7" x14ac:dyDescent="0.3">
      <c r="C7019" s="109"/>
      <c r="D7019" s="109"/>
      <c r="E7019" s="109"/>
      <c r="F7019" s="110"/>
      <c r="G7019" s="109"/>
    </row>
    <row r="7020" spans="3:7" x14ac:dyDescent="0.3">
      <c r="C7020" s="109"/>
      <c r="D7020" s="109"/>
      <c r="E7020" s="109"/>
      <c r="F7020" s="110"/>
      <c r="G7020" s="109"/>
    </row>
    <row r="7021" spans="3:7" x14ac:dyDescent="0.3">
      <c r="C7021" s="109"/>
      <c r="D7021" s="109"/>
      <c r="E7021" s="109"/>
      <c r="F7021" s="110"/>
      <c r="G7021" s="109"/>
    </row>
    <row r="7022" spans="3:7" x14ac:dyDescent="0.3">
      <c r="C7022" s="109"/>
      <c r="D7022" s="109"/>
      <c r="E7022" s="109"/>
      <c r="F7022" s="110"/>
      <c r="G7022" s="109"/>
    </row>
    <row r="7023" spans="3:7" x14ac:dyDescent="0.3">
      <c r="C7023" s="109"/>
      <c r="D7023" s="109"/>
      <c r="E7023" s="109"/>
      <c r="F7023" s="110"/>
      <c r="G7023" s="109"/>
    </row>
    <row r="7024" spans="3:7" x14ac:dyDescent="0.3">
      <c r="C7024" s="109"/>
      <c r="D7024" s="109"/>
      <c r="E7024" s="109"/>
      <c r="F7024" s="110"/>
      <c r="G7024" s="109"/>
    </row>
    <row r="7025" spans="3:7" x14ac:dyDescent="0.3">
      <c r="C7025" s="109"/>
      <c r="D7025" s="109"/>
      <c r="E7025" s="109"/>
      <c r="F7025" s="110"/>
      <c r="G7025" s="109"/>
    </row>
    <row r="7026" spans="3:7" x14ac:dyDescent="0.3">
      <c r="C7026" s="109"/>
      <c r="D7026" s="109"/>
      <c r="E7026" s="109"/>
      <c r="F7026" s="110"/>
      <c r="G7026" s="109"/>
    </row>
    <row r="7027" spans="3:7" x14ac:dyDescent="0.3">
      <c r="C7027" s="109"/>
      <c r="D7027" s="109"/>
      <c r="E7027" s="109"/>
      <c r="F7027" s="110"/>
      <c r="G7027" s="109"/>
    </row>
    <row r="7028" spans="3:7" x14ac:dyDescent="0.3">
      <c r="C7028" s="109"/>
      <c r="D7028" s="109"/>
      <c r="E7028" s="109"/>
      <c r="F7028" s="110"/>
      <c r="G7028" s="109"/>
    </row>
    <row r="7029" spans="3:7" x14ac:dyDescent="0.3">
      <c r="C7029" s="109"/>
      <c r="D7029" s="109"/>
      <c r="E7029" s="109"/>
      <c r="F7029" s="110"/>
      <c r="G7029" s="109"/>
    </row>
    <row r="7030" spans="3:7" x14ac:dyDescent="0.3">
      <c r="C7030" s="109"/>
      <c r="D7030" s="109"/>
      <c r="E7030" s="109"/>
      <c r="F7030" s="110"/>
      <c r="G7030" s="109"/>
    </row>
    <row r="7031" spans="3:7" x14ac:dyDescent="0.3">
      <c r="C7031" s="109"/>
      <c r="D7031" s="109"/>
      <c r="E7031" s="109"/>
      <c r="F7031" s="110"/>
      <c r="G7031" s="109"/>
    </row>
    <row r="7032" spans="3:7" x14ac:dyDescent="0.3">
      <c r="C7032" s="109"/>
      <c r="D7032" s="109"/>
      <c r="E7032" s="109"/>
      <c r="F7032" s="110"/>
      <c r="G7032" s="109"/>
    </row>
    <row r="7033" spans="3:7" x14ac:dyDescent="0.3">
      <c r="C7033" s="109"/>
      <c r="D7033" s="109"/>
      <c r="E7033" s="109"/>
      <c r="F7033" s="110"/>
      <c r="G7033" s="109"/>
    </row>
    <row r="7034" spans="3:7" x14ac:dyDescent="0.3">
      <c r="C7034" s="109"/>
      <c r="D7034" s="109"/>
      <c r="E7034" s="109"/>
      <c r="F7034" s="110"/>
      <c r="G7034" s="109"/>
    </row>
    <row r="7035" spans="3:7" x14ac:dyDescent="0.3">
      <c r="C7035" s="109"/>
      <c r="D7035" s="109"/>
      <c r="E7035" s="109"/>
      <c r="F7035" s="110"/>
      <c r="G7035" s="109"/>
    </row>
    <row r="7036" spans="3:7" x14ac:dyDescent="0.3">
      <c r="C7036" s="109"/>
      <c r="D7036" s="109"/>
      <c r="E7036" s="109"/>
      <c r="F7036" s="110"/>
      <c r="G7036" s="109"/>
    </row>
    <row r="7037" spans="3:7" x14ac:dyDescent="0.3">
      <c r="C7037" s="109"/>
      <c r="D7037" s="109"/>
      <c r="E7037" s="109"/>
      <c r="F7037" s="110"/>
      <c r="G7037" s="109"/>
    </row>
    <row r="7038" spans="3:7" x14ac:dyDescent="0.3">
      <c r="C7038" s="109"/>
      <c r="D7038" s="109"/>
      <c r="E7038" s="109"/>
      <c r="F7038" s="110"/>
      <c r="G7038" s="109"/>
    </row>
    <row r="7039" spans="3:7" x14ac:dyDescent="0.3">
      <c r="C7039" s="109"/>
      <c r="D7039" s="109"/>
      <c r="E7039" s="109"/>
      <c r="F7039" s="110"/>
      <c r="G7039" s="109"/>
    </row>
    <row r="7040" spans="3:7" x14ac:dyDescent="0.3">
      <c r="C7040" s="109"/>
      <c r="D7040" s="109"/>
      <c r="E7040" s="109"/>
      <c r="F7040" s="110"/>
      <c r="G7040" s="109"/>
    </row>
    <row r="7041" spans="3:7" x14ac:dyDescent="0.3">
      <c r="C7041" s="109"/>
      <c r="D7041" s="109"/>
      <c r="E7041" s="109"/>
      <c r="F7041" s="110"/>
      <c r="G7041" s="109"/>
    </row>
    <row r="7042" spans="3:7" x14ac:dyDescent="0.3">
      <c r="C7042" s="109"/>
      <c r="D7042" s="109"/>
      <c r="E7042" s="109"/>
      <c r="F7042" s="110"/>
      <c r="G7042" s="109"/>
    </row>
    <row r="7043" spans="3:7" x14ac:dyDescent="0.3">
      <c r="C7043" s="109"/>
      <c r="D7043" s="109"/>
      <c r="E7043" s="109"/>
      <c r="F7043" s="110"/>
      <c r="G7043" s="109"/>
    </row>
    <row r="7044" spans="3:7" x14ac:dyDescent="0.3">
      <c r="C7044" s="109"/>
      <c r="D7044" s="109"/>
      <c r="E7044" s="109"/>
      <c r="F7044" s="110"/>
      <c r="G7044" s="109"/>
    </row>
    <row r="7045" spans="3:7" x14ac:dyDescent="0.3">
      <c r="C7045" s="109"/>
      <c r="D7045" s="109"/>
      <c r="E7045" s="109"/>
      <c r="F7045" s="110"/>
      <c r="G7045" s="109"/>
    </row>
    <row r="7046" spans="3:7" x14ac:dyDescent="0.3">
      <c r="C7046" s="109"/>
      <c r="D7046" s="109"/>
      <c r="E7046" s="109"/>
      <c r="F7046" s="110"/>
      <c r="G7046" s="109"/>
    </row>
    <row r="7047" spans="3:7" x14ac:dyDescent="0.3">
      <c r="C7047" s="109"/>
      <c r="D7047" s="109"/>
      <c r="E7047" s="109"/>
      <c r="F7047" s="110"/>
      <c r="G7047" s="109"/>
    </row>
    <row r="7048" spans="3:7" x14ac:dyDescent="0.3">
      <c r="C7048" s="109"/>
      <c r="D7048" s="109"/>
      <c r="E7048" s="109"/>
      <c r="F7048" s="110"/>
      <c r="G7048" s="109"/>
    </row>
    <row r="7049" spans="3:7" x14ac:dyDescent="0.3">
      <c r="C7049" s="109"/>
      <c r="D7049" s="109"/>
      <c r="E7049" s="109"/>
      <c r="F7049" s="110"/>
      <c r="G7049" s="109"/>
    </row>
    <row r="7050" spans="3:7" x14ac:dyDescent="0.3">
      <c r="C7050" s="109"/>
      <c r="D7050" s="109"/>
      <c r="E7050" s="109"/>
      <c r="F7050" s="110"/>
      <c r="G7050" s="109"/>
    </row>
    <row r="7051" spans="3:7" x14ac:dyDescent="0.3">
      <c r="C7051" s="109"/>
      <c r="D7051" s="109"/>
      <c r="E7051" s="109"/>
      <c r="F7051" s="110"/>
      <c r="G7051" s="109"/>
    </row>
    <row r="7052" spans="3:7" x14ac:dyDescent="0.3">
      <c r="C7052" s="109"/>
      <c r="D7052" s="109"/>
      <c r="E7052" s="109"/>
      <c r="F7052" s="110"/>
      <c r="G7052" s="109"/>
    </row>
    <row r="7053" spans="3:7" x14ac:dyDescent="0.3">
      <c r="C7053" s="109"/>
      <c r="D7053" s="109"/>
      <c r="E7053" s="109"/>
      <c r="F7053" s="110"/>
      <c r="G7053" s="109"/>
    </row>
    <row r="7054" spans="3:7" x14ac:dyDescent="0.3">
      <c r="C7054" s="109"/>
      <c r="D7054" s="109"/>
      <c r="E7054" s="109"/>
      <c r="F7054" s="110"/>
      <c r="G7054" s="109"/>
    </row>
    <row r="7055" spans="3:7" x14ac:dyDescent="0.3">
      <c r="C7055" s="109"/>
      <c r="D7055" s="109"/>
      <c r="E7055" s="109"/>
      <c r="F7055" s="110"/>
      <c r="G7055" s="109"/>
    </row>
    <row r="7056" spans="3:7" x14ac:dyDescent="0.3">
      <c r="C7056" s="109"/>
      <c r="D7056" s="109"/>
      <c r="E7056" s="109"/>
      <c r="F7056" s="110"/>
      <c r="G7056" s="109"/>
    </row>
    <row r="7057" spans="3:7" x14ac:dyDescent="0.3">
      <c r="C7057" s="109"/>
      <c r="D7057" s="109"/>
      <c r="E7057" s="109"/>
      <c r="F7057" s="110"/>
      <c r="G7057" s="109"/>
    </row>
    <row r="7058" spans="3:7" x14ac:dyDescent="0.3">
      <c r="C7058" s="109"/>
      <c r="D7058" s="109"/>
      <c r="E7058" s="109"/>
      <c r="F7058" s="110"/>
      <c r="G7058" s="109"/>
    </row>
    <row r="7059" spans="3:7" x14ac:dyDescent="0.3">
      <c r="C7059" s="109"/>
      <c r="D7059" s="109"/>
      <c r="E7059" s="109"/>
      <c r="F7059" s="110"/>
      <c r="G7059" s="109"/>
    </row>
    <row r="7060" spans="3:7" x14ac:dyDescent="0.3">
      <c r="C7060" s="109"/>
      <c r="D7060" s="109"/>
      <c r="E7060" s="109"/>
      <c r="F7060" s="110"/>
      <c r="G7060" s="109"/>
    </row>
    <row r="7061" spans="3:7" x14ac:dyDescent="0.3">
      <c r="C7061" s="109"/>
      <c r="D7061" s="109"/>
      <c r="E7061" s="109"/>
      <c r="F7061" s="110"/>
      <c r="G7061" s="109"/>
    </row>
    <row r="7062" spans="3:7" x14ac:dyDescent="0.3">
      <c r="C7062" s="109"/>
      <c r="D7062" s="109"/>
      <c r="E7062" s="109"/>
      <c r="F7062" s="110"/>
      <c r="G7062" s="109"/>
    </row>
    <row r="7063" spans="3:7" x14ac:dyDescent="0.3">
      <c r="C7063" s="109"/>
      <c r="D7063" s="109"/>
      <c r="E7063" s="109"/>
      <c r="F7063" s="110"/>
      <c r="G7063" s="109"/>
    </row>
    <row r="7064" spans="3:7" x14ac:dyDescent="0.3">
      <c r="C7064" s="109"/>
      <c r="D7064" s="109"/>
      <c r="E7064" s="109"/>
      <c r="F7064" s="110"/>
      <c r="G7064" s="109"/>
    </row>
    <row r="7065" spans="3:7" x14ac:dyDescent="0.3">
      <c r="C7065" s="109"/>
      <c r="D7065" s="109"/>
      <c r="E7065" s="109"/>
      <c r="F7065" s="110"/>
      <c r="G7065" s="109"/>
    </row>
    <row r="7066" spans="3:7" x14ac:dyDescent="0.3">
      <c r="C7066" s="109"/>
      <c r="D7066" s="109"/>
      <c r="E7066" s="109"/>
      <c r="F7066" s="110"/>
      <c r="G7066" s="109"/>
    </row>
    <row r="7067" spans="3:7" x14ac:dyDescent="0.3">
      <c r="C7067" s="109"/>
      <c r="D7067" s="109"/>
      <c r="E7067" s="109"/>
      <c r="F7067" s="110"/>
      <c r="G7067" s="109"/>
    </row>
    <row r="7068" spans="3:7" x14ac:dyDescent="0.3">
      <c r="C7068" s="109"/>
      <c r="D7068" s="109"/>
      <c r="E7068" s="109"/>
      <c r="F7068" s="110"/>
      <c r="G7068" s="109"/>
    </row>
    <row r="7069" spans="3:7" x14ac:dyDescent="0.3">
      <c r="C7069" s="109"/>
      <c r="D7069" s="109"/>
      <c r="E7069" s="109"/>
      <c r="F7069" s="110"/>
      <c r="G7069" s="109"/>
    </row>
    <row r="7070" spans="3:7" x14ac:dyDescent="0.3">
      <c r="C7070" s="109"/>
      <c r="D7070" s="109"/>
      <c r="E7070" s="109"/>
      <c r="F7070" s="110"/>
      <c r="G7070" s="109"/>
    </row>
    <row r="7071" spans="3:7" x14ac:dyDescent="0.3">
      <c r="C7071" s="109"/>
      <c r="D7071" s="109"/>
      <c r="E7071" s="109"/>
      <c r="F7071" s="110"/>
      <c r="G7071" s="109"/>
    </row>
    <row r="7072" spans="3:7" x14ac:dyDescent="0.3">
      <c r="C7072" s="109"/>
      <c r="D7072" s="109"/>
      <c r="E7072" s="109"/>
      <c r="F7072" s="110"/>
      <c r="G7072" s="109"/>
    </row>
    <row r="7073" spans="3:7" x14ac:dyDescent="0.3">
      <c r="C7073" s="109"/>
      <c r="D7073" s="109"/>
      <c r="E7073" s="109"/>
      <c r="F7073" s="110"/>
      <c r="G7073" s="109"/>
    </row>
    <row r="7074" spans="3:7" x14ac:dyDescent="0.3">
      <c r="C7074" s="109"/>
      <c r="D7074" s="109"/>
      <c r="E7074" s="109"/>
      <c r="F7074" s="110"/>
      <c r="G7074" s="109"/>
    </row>
    <row r="7075" spans="3:7" x14ac:dyDescent="0.3">
      <c r="C7075" s="109"/>
      <c r="D7075" s="109"/>
      <c r="E7075" s="109"/>
      <c r="F7075" s="110"/>
      <c r="G7075" s="109"/>
    </row>
    <row r="7076" spans="3:7" x14ac:dyDescent="0.3">
      <c r="C7076" s="109"/>
      <c r="D7076" s="109"/>
      <c r="E7076" s="109"/>
      <c r="F7076" s="110"/>
      <c r="G7076" s="109"/>
    </row>
    <row r="7077" spans="3:7" x14ac:dyDescent="0.3">
      <c r="C7077" s="109"/>
      <c r="D7077" s="109"/>
      <c r="E7077" s="109"/>
      <c r="F7077" s="110"/>
      <c r="G7077" s="109"/>
    </row>
    <row r="7078" spans="3:7" x14ac:dyDescent="0.3">
      <c r="C7078" s="109"/>
      <c r="D7078" s="109"/>
      <c r="E7078" s="109"/>
      <c r="F7078" s="110"/>
      <c r="G7078" s="109"/>
    </row>
    <row r="7079" spans="3:7" x14ac:dyDescent="0.3">
      <c r="C7079" s="109"/>
      <c r="D7079" s="109"/>
      <c r="E7079" s="109"/>
      <c r="F7079" s="110"/>
      <c r="G7079" s="109"/>
    </row>
    <row r="7080" spans="3:7" x14ac:dyDescent="0.3">
      <c r="C7080" s="109"/>
      <c r="D7080" s="109"/>
      <c r="E7080" s="109"/>
      <c r="F7080" s="110"/>
      <c r="G7080" s="109"/>
    </row>
    <row r="7081" spans="3:7" x14ac:dyDescent="0.3">
      <c r="C7081" s="109"/>
      <c r="D7081" s="109"/>
      <c r="E7081" s="109"/>
      <c r="F7081" s="110"/>
      <c r="G7081" s="109"/>
    </row>
    <row r="7082" spans="3:7" x14ac:dyDescent="0.3">
      <c r="C7082" s="109"/>
      <c r="D7082" s="109"/>
      <c r="E7082" s="109"/>
      <c r="F7082" s="110"/>
      <c r="G7082" s="109"/>
    </row>
    <row r="7083" spans="3:7" x14ac:dyDescent="0.3">
      <c r="C7083" s="109"/>
      <c r="D7083" s="109"/>
      <c r="E7083" s="109"/>
      <c r="F7083" s="110"/>
      <c r="G7083" s="109"/>
    </row>
    <row r="7084" spans="3:7" x14ac:dyDescent="0.3">
      <c r="C7084" s="109"/>
      <c r="D7084" s="109"/>
      <c r="E7084" s="109"/>
      <c r="F7084" s="110"/>
      <c r="G7084" s="109"/>
    </row>
    <row r="7085" spans="3:7" x14ac:dyDescent="0.3">
      <c r="C7085" s="109"/>
      <c r="D7085" s="109"/>
      <c r="E7085" s="109"/>
      <c r="F7085" s="110"/>
      <c r="G7085" s="109"/>
    </row>
    <row r="7086" spans="3:7" x14ac:dyDescent="0.3">
      <c r="C7086" s="109"/>
      <c r="D7086" s="109"/>
      <c r="E7086" s="109"/>
      <c r="F7086" s="110"/>
      <c r="G7086" s="109"/>
    </row>
    <row r="7087" spans="3:7" x14ac:dyDescent="0.3">
      <c r="C7087" s="109"/>
      <c r="D7087" s="109"/>
      <c r="E7087" s="109"/>
      <c r="F7087" s="110"/>
      <c r="G7087" s="109"/>
    </row>
    <row r="7088" spans="3:7" x14ac:dyDescent="0.3">
      <c r="C7088" s="109"/>
      <c r="D7088" s="109"/>
      <c r="E7088" s="109"/>
      <c r="F7088" s="110"/>
      <c r="G7088" s="109"/>
    </row>
    <row r="7089" spans="3:7" x14ac:dyDescent="0.3">
      <c r="C7089" s="109"/>
      <c r="D7089" s="109"/>
      <c r="E7089" s="109"/>
      <c r="F7089" s="110"/>
      <c r="G7089" s="109"/>
    </row>
    <row r="7090" spans="3:7" x14ac:dyDescent="0.3">
      <c r="C7090" s="109"/>
      <c r="D7090" s="109"/>
      <c r="E7090" s="109"/>
      <c r="F7090" s="110"/>
      <c r="G7090" s="109"/>
    </row>
    <row r="7091" spans="3:7" x14ac:dyDescent="0.3">
      <c r="C7091" s="109"/>
      <c r="D7091" s="109"/>
      <c r="E7091" s="109"/>
      <c r="F7091" s="110"/>
      <c r="G7091" s="109"/>
    </row>
    <row r="7092" spans="3:7" x14ac:dyDescent="0.3">
      <c r="C7092" s="109"/>
      <c r="D7092" s="109"/>
      <c r="E7092" s="109"/>
      <c r="F7092" s="110"/>
      <c r="G7092" s="109"/>
    </row>
    <row r="7093" spans="3:7" x14ac:dyDescent="0.3">
      <c r="C7093" s="109"/>
      <c r="D7093" s="109"/>
      <c r="E7093" s="109"/>
      <c r="F7093" s="110"/>
      <c r="G7093" s="109"/>
    </row>
    <row r="7094" spans="3:7" x14ac:dyDescent="0.3">
      <c r="C7094" s="109"/>
      <c r="D7094" s="109"/>
      <c r="E7094" s="109"/>
      <c r="F7094" s="110"/>
      <c r="G7094" s="109"/>
    </row>
    <row r="7095" spans="3:7" x14ac:dyDescent="0.3">
      <c r="C7095" s="109"/>
      <c r="D7095" s="109"/>
      <c r="E7095" s="109"/>
      <c r="F7095" s="110"/>
      <c r="G7095" s="109"/>
    </row>
    <row r="7096" spans="3:7" x14ac:dyDescent="0.3">
      <c r="C7096" s="109"/>
      <c r="D7096" s="109"/>
      <c r="E7096" s="109"/>
      <c r="F7096" s="110"/>
      <c r="G7096" s="109"/>
    </row>
    <row r="7097" spans="3:7" x14ac:dyDescent="0.3">
      <c r="C7097" s="109"/>
      <c r="D7097" s="109"/>
      <c r="E7097" s="109"/>
      <c r="F7097" s="110"/>
      <c r="G7097" s="109"/>
    </row>
    <row r="7098" spans="3:7" x14ac:dyDescent="0.3">
      <c r="C7098" s="109"/>
      <c r="D7098" s="109"/>
      <c r="E7098" s="109"/>
      <c r="F7098" s="110"/>
      <c r="G7098" s="109"/>
    </row>
    <row r="7099" spans="3:7" x14ac:dyDescent="0.3">
      <c r="C7099" s="109"/>
      <c r="D7099" s="109"/>
      <c r="E7099" s="109"/>
      <c r="F7099" s="110"/>
      <c r="G7099" s="109"/>
    </row>
    <row r="7100" spans="3:7" x14ac:dyDescent="0.3">
      <c r="C7100" s="109"/>
      <c r="D7100" s="109"/>
      <c r="E7100" s="109"/>
      <c r="F7100" s="110"/>
      <c r="G7100" s="109"/>
    </row>
    <row r="7101" spans="3:7" x14ac:dyDescent="0.3">
      <c r="C7101" s="109"/>
      <c r="D7101" s="109"/>
      <c r="E7101" s="109"/>
      <c r="F7101" s="110"/>
      <c r="G7101" s="109"/>
    </row>
    <row r="7102" spans="3:7" x14ac:dyDescent="0.3">
      <c r="C7102" s="109"/>
      <c r="D7102" s="109"/>
      <c r="E7102" s="109"/>
      <c r="F7102" s="110"/>
      <c r="G7102" s="109"/>
    </row>
    <row r="7103" spans="3:7" x14ac:dyDescent="0.3">
      <c r="C7103" s="109"/>
      <c r="D7103" s="109"/>
      <c r="E7103" s="109"/>
      <c r="F7103" s="110"/>
      <c r="G7103" s="109"/>
    </row>
    <row r="7104" spans="3:7" x14ac:dyDescent="0.3">
      <c r="C7104" s="109"/>
      <c r="D7104" s="109"/>
      <c r="E7104" s="109"/>
      <c r="F7104" s="110"/>
      <c r="G7104" s="109"/>
    </row>
    <row r="7105" spans="3:7" x14ac:dyDescent="0.3">
      <c r="C7105" s="109"/>
      <c r="D7105" s="109"/>
      <c r="E7105" s="109"/>
      <c r="F7105" s="110"/>
      <c r="G7105" s="109"/>
    </row>
    <row r="7106" spans="3:7" x14ac:dyDescent="0.3">
      <c r="C7106" s="109"/>
      <c r="D7106" s="109"/>
      <c r="E7106" s="109"/>
      <c r="F7106" s="110"/>
      <c r="G7106" s="109"/>
    </row>
    <row r="7107" spans="3:7" x14ac:dyDescent="0.3">
      <c r="C7107" s="109"/>
      <c r="D7107" s="109"/>
      <c r="E7107" s="109"/>
      <c r="F7107" s="110"/>
      <c r="G7107" s="109"/>
    </row>
    <row r="7108" spans="3:7" x14ac:dyDescent="0.3">
      <c r="C7108" s="109"/>
      <c r="D7108" s="109"/>
      <c r="E7108" s="109"/>
      <c r="F7108" s="110"/>
      <c r="G7108" s="109"/>
    </row>
    <row r="7109" spans="3:7" x14ac:dyDescent="0.3">
      <c r="C7109" s="109"/>
      <c r="D7109" s="109"/>
      <c r="E7109" s="109"/>
      <c r="F7109" s="110"/>
      <c r="G7109" s="109"/>
    </row>
    <row r="7110" spans="3:7" x14ac:dyDescent="0.3">
      <c r="C7110" s="109"/>
      <c r="D7110" s="109"/>
      <c r="E7110" s="109"/>
      <c r="F7110" s="110"/>
      <c r="G7110" s="109"/>
    </row>
    <row r="7111" spans="3:7" x14ac:dyDescent="0.3">
      <c r="C7111" s="109"/>
      <c r="D7111" s="109"/>
      <c r="E7111" s="109"/>
      <c r="F7111" s="110"/>
      <c r="G7111" s="109"/>
    </row>
    <row r="7112" spans="3:7" x14ac:dyDescent="0.3">
      <c r="C7112" s="109"/>
      <c r="D7112" s="109"/>
      <c r="E7112" s="109"/>
      <c r="F7112" s="110"/>
      <c r="G7112" s="109"/>
    </row>
    <row r="7113" spans="3:7" x14ac:dyDescent="0.3">
      <c r="C7113" s="109"/>
      <c r="D7113" s="109"/>
      <c r="E7113" s="109"/>
      <c r="F7113" s="110"/>
      <c r="G7113" s="109"/>
    </row>
    <row r="7114" spans="3:7" x14ac:dyDescent="0.3">
      <c r="C7114" s="109"/>
      <c r="D7114" s="109"/>
      <c r="E7114" s="109"/>
      <c r="F7114" s="110"/>
      <c r="G7114" s="109"/>
    </row>
    <row r="7115" spans="3:7" x14ac:dyDescent="0.3">
      <c r="C7115" s="109"/>
      <c r="D7115" s="109"/>
      <c r="E7115" s="109"/>
      <c r="F7115" s="110"/>
      <c r="G7115" s="109"/>
    </row>
    <row r="7116" spans="3:7" x14ac:dyDescent="0.3">
      <c r="C7116" s="109"/>
      <c r="D7116" s="109"/>
      <c r="E7116" s="109"/>
      <c r="F7116" s="110"/>
      <c r="G7116" s="109"/>
    </row>
    <row r="7117" spans="3:7" x14ac:dyDescent="0.3">
      <c r="C7117" s="109"/>
      <c r="D7117" s="109"/>
      <c r="E7117" s="109"/>
      <c r="F7117" s="110"/>
      <c r="G7117" s="109"/>
    </row>
    <row r="7118" spans="3:7" x14ac:dyDescent="0.3">
      <c r="C7118" s="109"/>
      <c r="D7118" s="109"/>
      <c r="E7118" s="109"/>
      <c r="F7118" s="110"/>
      <c r="G7118" s="109"/>
    </row>
    <row r="7119" spans="3:7" x14ac:dyDescent="0.3">
      <c r="C7119" s="109"/>
      <c r="D7119" s="109"/>
      <c r="E7119" s="109"/>
      <c r="F7119" s="110"/>
      <c r="G7119" s="109"/>
    </row>
    <row r="7120" spans="3:7" x14ac:dyDescent="0.3">
      <c r="C7120" s="109"/>
      <c r="D7120" s="109"/>
      <c r="E7120" s="109"/>
      <c r="F7120" s="110"/>
      <c r="G7120" s="109"/>
    </row>
    <row r="7121" spans="3:7" x14ac:dyDescent="0.3">
      <c r="C7121" s="109"/>
      <c r="D7121" s="109"/>
      <c r="E7121" s="109"/>
      <c r="F7121" s="110"/>
      <c r="G7121" s="109"/>
    </row>
    <row r="7122" spans="3:7" x14ac:dyDescent="0.3">
      <c r="C7122" s="109"/>
      <c r="D7122" s="109"/>
      <c r="E7122" s="109"/>
      <c r="F7122" s="110"/>
      <c r="G7122" s="109"/>
    </row>
    <row r="7123" spans="3:7" x14ac:dyDescent="0.3">
      <c r="C7123" s="109"/>
      <c r="D7123" s="109"/>
      <c r="E7123" s="109"/>
      <c r="F7123" s="110"/>
      <c r="G7123" s="109"/>
    </row>
    <row r="7124" spans="3:7" x14ac:dyDescent="0.3">
      <c r="C7124" s="109"/>
      <c r="D7124" s="109"/>
      <c r="E7124" s="109"/>
      <c r="F7124" s="110"/>
      <c r="G7124" s="109"/>
    </row>
    <row r="7125" spans="3:7" x14ac:dyDescent="0.3">
      <c r="C7125" s="109"/>
      <c r="D7125" s="109"/>
      <c r="E7125" s="109"/>
      <c r="F7125" s="110"/>
      <c r="G7125" s="109"/>
    </row>
    <row r="7126" spans="3:7" x14ac:dyDescent="0.3">
      <c r="C7126" s="109"/>
      <c r="D7126" s="109"/>
      <c r="E7126" s="109"/>
      <c r="F7126" s="110"/>
      <c r="G7126" s="109"/>
    </row>
    <row r="7127" spans="3:7" x14ac:dyDescent="0.3">
      <c r="C7127" s="109"/>
      <c r="D7127" s="109"/>
      <c r="E7127" s="109"/>
      <c r="F7127" s="110"/>
      <c r="G7127" s="109"/>
    </row>
    <row r="7128" spans="3:7" x14ac:dyDescent="0.3">
      <c r="C7128" s="109"/>
      <c r="D7128" s="109"/>
      <c r="E7128" s="109"/>
      <c r="F7128" s="110"/>
      <c r="G7128" s="109"/>
    </row>
    <row r="7129" spans="3:7" x14ac:dyDescent="0.3">
      <c r="C7129" s="109"/>
      <c r="D7129" s="109"/>
      <c r="E7129" s="109"/>
      <c r="F7129" s="110"/>
      <c r="G7129" s="109"/>
    </row>
    <row r="7130" spans="3:7" x14ac:dyDescent="0.3">
      <c r="C7130" s="109"/>
      <c r="D7130" s="109"/>
      <c r="E7130" s="109"/>
      <c r="F7130" s="110"/>
      <c r="G7130" s="109"/>
    </row>
    <row r="7131" spans="3:7" x14ac:dyDescent="0.3">
      <c r="C7131" s="109"/>
      <c r="D7131" s="109"/>
      <c r="E7131" s="109"/>
      <c r="F7131" s="110"/>
      <c r="G7131" s="109"/>
    </row>
    <row r="7132" spans="3:7" x14ac:dyDescent="0.3">
      <c r="C7132" s="109"/>
      <c r="D7132" s="109"/>
      <c r="E7132" s="109"/>
      <c r="F7132" s="110"/>
      <c r="G7132" s="109"/>
    </row>
    <row r="7133" spans="3:7" x14ac:dyDescent="0.3">
      <c r="C7133" s="109"/>
      <c r="D7133" s="109"/>
      <c r="E7133" s="109"/>
      <c r="F7133" s="110"/>
      <c r="G7133" s="109"/>
    </row>
    <row r="7134" spans="3:7" x14ac:dyDescent="0.3">
      <c r="C7134" s="109"/>
      <c r="D7134" s="109"/>
      <c r="E7134" s="109"/>
      <c r="F7134" s="110"/>
      <c r="G7134" s="109"/>
    </row>
    <row r="7135" spans="3:7" x14ac:dyDescent="0.3">
      <c r="C7135" s="109"/>
      <c r="D7135" s="109"/>
      <c r="E7135" s="109"/>
      <c r="F7135" s="110"/>
      <c r="G7135" s="109"/>
    </row>
    <row r="7136" spans="3:7" x14ac:dyDescent="0.3">
      <c r="C7136" s="109"/>
      <c r="D7136" s="109"/>
      <c r="E7136" s="109"/>
      <c r="F7136" s="110"/>
      <c r="G7136" s="109"/>
    </row>
    <row r="7137" spans="3:7" x14ac:dyDescent="0.3">
      <c r="C7137" s="109"/>
      <c r="D7137" s="109"/>
      <c r="E7137" s="109"/>
      <c r="F7137" s="110"/>
      <c r="G7137" s="109"/>
    </row>
    <row r="7138" spans="3:7" x14ac:dyDescent="0.3">
      <c r="C7138" s="109"/>
      <c r="D7138" s="109"/>
      <c r="E7138" s="109"/>
      <c r="F7138" s="110"/>
      <c r="G7138" s="109"/>
    </row>
    <row r="7139" spans="3:7" x14ac:dyDescent="0.3">
      <c r="C7139" s="109"/>
      <c r="D7139" s="109"/>
      <c r="E7139" s="109"/>
      <c r="F7139" s="110"/>
      <c r="G7139" s="109"/>
    </row>
    <row r="7140" spans="3:7" x14ac:dyDescent="0.3">
      <c r="C7140" s="109"/>
      <c r="D7140" s="109"/>
      <c r="E7140" s="109"/>
      <c r="F7140" s="110"/>
      <c r="G7140" s="109"/>
    </row>
    <row r="7141" spans="3:7" x14ac:dyDescent="0.3">
      <c r="C7141" s="109"/>
      <c r="D7141" s="109"/>
      <c r="E7141" s="109"/>
      <c r="F7141" s="110"/>
      <c r="G7141" s="109"/>
    </row>
    <row r="7142" spans="3:7" x14ac:dyDescent="0.3">
      <c r="C7142" s="109"/>
      <c r="D7142" s="109"/>
      <c r="E7142" s="109"/>
      <c r="F7142" s="110"/>
      <c r="G7142" s="109"/>
    </row>
    <row r="7143" spans="3:7" x14ac:dyDescent="0.3">
      <c r="C7143" s="109"/>
      <c r="D7143" s="109"/>
      <c r="E7143" s="109"/>
      <c r="F7143" s="110"/>
      <c r="G7143" s="109"/>
    </row>
    <row r="7144" spans="3:7" x14ac:dyDescent="0.3">
      <c r="C7144" s="109"/>
      <c r="D7144" s="109"/>
      <c r="E7144" s="109"/>
      <c r="F7144" s="110"/>
      <c r="G7144" s="109"/>
    </row>
    <row r="7145" spans="3:7" x14ac:dyDescent="0.3">
      <c r="C7145" s="109"/>
      <c r="D7145" s="109"/>
      <c r="E7145" s="109"/>
      <c r="F7145" s="110"/>
      <c r="G7145" s="109"/>
    </row>
    <row r="7146" spans="3:7" x14ac:dyDescent="0.3">
      <c r="C7146" s="109"/>
      <c r="D7146" s="109"/>
      <c r="E7146" s="109"/>
      <c r="F7146" s="110"/>
      <c r="G7146" s="109"/>
    </row>
    <row r="7147" spans="3:7" x14ac:dyDescent="0.3">
      <c r="C7147" s="109"/>
      <c r="D7147" s="109"/>
      <c r="E7147" s="109"/>
      <c r="F7147" s="110"/>
      <c r="G7147" s="109"/>
    </row>
    <row r="7148" spans="3:7" x14ac:dyDescent="0.3">
      <c r="C7148" s="109"/>
      <c r="D7148" s="109"/>
      <c r="E7148" s="109"/>
      <c r="F7148" s="110"/>
      <c r="G7148" s="109"/>
    </row>
    <row r="7149" spans="3:7" x14ac:dyDescent="0.3">
      <c r="C7149" s="109"/>
      <c r="D7149" s="109"/>
      <c r="E7149" s="109"/>
      <c r="F7149" s="110"/>
      <c r="G7149" s="109"/>
    </row>
    <row r="7150" spans="3:7" x14ac:dyDescent="0.3">
      <c r="C7150" s="109"/>
      <c r="D7150" s="109"/>
      <c r="E7150" s="109"/>
      <c r="F7150" s="110"/>
      <c r="G7150" s="109"/>
    </row>
    <row r="7151" spans="3:7" x14ac:dyDescent="0.3">
      <c r="C7151" s="109"/>
      <c r="D7151" s="109"/>
      <c r="E7151" s="109"/>
      <c r="F7151" s="110"/>
      <c r="G7151" s="109"/>
    </row>
    <row r="7152" spans="3:7" x14ac:dyDescent="0.3">
      <c r="C7152" s="109"/>
      <c r="D7152" s="109"/>
      <c r="E7152" s="109"/>
      <c r="F7152" s="110"/>
      <c r="G7152" s="109"/>
    </row>
    <row r="7153" spans="3:7" x14ac:dyDescent="0.3">
      <c r="C7153" s="109"/>
      <c r="D7153" s="109"/>
      <c r="E7153" s="109"/>
      <c r="F7153" s="110"/>
      <c r="G7153" s="109"/>
    </row>
    <row r="7154" spans="3:7" x14ac:dyDescent="0.3">
      <c r="C7154" s="109"/>
      <c r="D7154" s="109"/>
      <c r="E7154" s="109"/>
      <c r="F7154" s="110"/>
      <c r="G7154" s="109"/>
    </row>
    <row r="7155" spans="3:7" x14ac:dyDescent="0.3">
      <c r="C7155" s="109"/>
      <c r="D7155" s="109"/>
      <c r="E7155" s="109"/>
      <c r="F7155" s="110"/>
      <c r="G7155" s="109"/>
    </row>
    <row r="7156" spans="3:7" x14ac:dyDescent="0.3">
      <c r="C7156" s="109"/>
      <c r="D7156" s="109"/>
      <c r="E7156" s="109"/>
      <c r="F7156" s="110"/>
      <c r="G7156" s="109"/>
    </row>
    <row r="7157" spans="3:7" x14ac:dyDescent="0.3">
      <c r="C7157" s="109"/>
      <c r="D7157" s="109"/>
      <c r="E7157" s="109"/>
      <c r="F7157" s="110"/>
      <c r="G7157" s="109"/>
    </row>
    <row r="7158" spans="3:7" x14ac:dyDescent="0.3">
      <c r="C7158" s="109"/>
      <c r="D7158" s="109"/>
      <c r="E7158" s="109"/>
      <c r="F7158" s="110"/>
      <c r="G7158" s="109"/>
    </row>
    <row r="7159" spans="3:7" x14ac:dyDescent="0.3">
      <c r="C7159" s="109"/>
      <c r="D7159" s="109"/>
      <c r="E7159" s="109"/>
      <c r="F7159" s="110"/>
      <c r="G7159" s="109"/>
    </row>
    <row r="7160" spans="3:7" x14ac:dyDescent="0.3">
      <c r="C7160" s="109"/>
      <c r="D7160" s="109"/>
      <c r="E7160" s="109"/>
      <c r="F7160" s="110"/>
      <c r="G7160" s="109"/>
    </row>
    <row r="7161" spans="3:7" x14ac:dyDescent="0.3">
      <c r="C7161" s="109"/>
      <c r="D7161" s="109"/>
      <c r="E7161" s="109"/>
      <c r="F7161" s="110"/>
      <c r="G7161" s="109"/>
    </row>
    <row r="7162" spans="3:7" x14ac:dyDescent="0.3">
      <c r="C7162" s="109"/>
      <c r="D7162" s="109"/>
      <c r="E7162" s="109"/>
      <c r="F7162" s="110"/>
      <c r="G7162" s="109"/>
    </row>
    <row r="7163" spans="3:7" x14ac:dyDescent="0.3">
      <c r="C7163" s="109"/>
      <c r="D7163" s="109"/>
      <c r="E7163" s="109"/>
      <c r="F7163" s="110"/>
      <c r="G7163" s="109"/>
    </row>
    <row r="7164" spans="3:7" x14ac:dyDescent="0.3">
      <c r="C7164" s="109"/>
      <c r="D7164" s="109"/>
      <c r="E7164" s="109"/>
      <c r="F7164" s="110"/>
      <c r="G7164" s="109"/>
    </row>
    <row r="7165" spans="3:7" x14ac:dyDescent="0.3">
      <c r="C7165" s="109"/>
      <c r="D7165" s="109"/>
      <c r="E7165" s="109"/>
      <c r="F7165" s="110"/>
      <c r="G7165" s="109"/>
    </row>
    <row r="7166" spans="3:7" x14ac:dyDescent="0.3">
      <c r="C7166" s="109"/>
      <c r="D7166" s="109"/>
      <c r="E7166" s="109"/>
      <c r="F7166" s="110"/>
      <c r="G7166" s="109"/>
    </row>
    <row r="7167" spans="3:7" x14ac:dyDescent="0.3">
      <c r="C7167" s="109"/>
      <c r="D7167" s="109"/>
      <c r="E7167" s="109"/>
      <c r="F7167" s="110"/>
      <c r="G7167" s="109"/>
    </row>
    <row r="7168" spans="3:7" x14ac:dyDescent="0.3">
      <c r="C7168" s="109"/>
      <c r="D7168" s="109"/>
      <c r="E7168" s="109"/>
      <c r="F7168" s="110"/>
      <c r="G7168" s="109"/>
    </row>
    <row r="7169" spans="3:7" x14ac:dyDescent="0.3">
      <c r="C7169" s="109"/>
      <c r="D7169" s="109"/>
      <c r="E7169" s="109"/>
      <c r="F7169" s="110"/>
      <c r="G7169" s="109"/>
    </row>
    <row r="7170" spans="3:7" x14ac:dyDescent="0.3">
      <c r="C7170" s="109"/>
      <c r="D7170" s="109"/>
      <c r="E7170" s="109"/>
      <c r="F7170" s="110"/>
      <c r="G7170" s="109"/>
    </row>
    <row r="7171" spans="3:7" x14ac:dyDescent="0.3">
      <c r="C7171" s="109"/>
      <c r="D7171" s="109"/>
      <c r="E7171" s="109"/>
      <c r="F7171" s="110"/>
      <c r="G7171" s="109"/>
    </row>
    <row r="7172" spans="3:7" x14ac:dyDescent="0.3">
      <c r="C7172" s="109"/>
      <c r="D7172" s="109"/>
      <c r="E7172" s="109"/>
      <c r="F7172" s="110"/>
      <c r="G7172" s="109"/>
    </row>
    <row r="7173" spans="3:7" x14ac:dyDescent="0.3">
      <c r="C7173" s="109"/>
      <c r="D7173" s="109"/>
      <c r="E7173" s="109"/>
      <c r="F7173" s="110"/>
      <c r="G7173" s="109"/>
    </row>
    <row r="7174" spans="3:7" x14ac:dyDescent="0.3">
      <c r="C7174" s="109"/>
      <c r="D7174" s="109"/>
      <c r="E7174" s="109"/>
      <c r="F7174" s="110"/>
      <c r="G7174" s="109"/>
    </row>
    <row r="7175" spans="3:7" x14ac:dyDescent="0.3">
      <c r="C7175" s="109"/>
      <c r="D7175" s="109"/>
      <c r="E7175" s="109"/>
      <c r="F7175" s="110"/>
      <c r="G7175" s="109"/>
    </row>
    <row r="7176" spans="3:7" x14ac:dyDescent="0.3">
      <c r="C7176" s="109"/>
      <c r="D7176" s="109"/>
      <c r="E7176" s="109"/>
      <c r="F7176" s="110"/>
      <c r="G7176" s="109"/>
    </row>
    <row r="7177" spans="3:7" x14ac:dyDescent="0.3">
      <c r="C7177" s="109"/>
      <c r="D7177" s="109"/>
      <c r="E7177" s="109"/>
      <c r="F7177" s="110"/>
      <c r="G7177" s="109"/>
    </row>
    <row r="7178" spans="3:7" x14ac:dyDescent="0.3">
      <c r="C7178" s="109"/>
      <c r="D7178" s="109"/>
      <c r="E7178" s="109"/>
      <c r="F7178" s="110"/>
      <c r="G7178" s="109"/>
    </row>
    <row r="7179" spans="3:7" x14ac:dyDescent="0.3">
      <c r="C7179" s="109"/>
      <c r="D7179" s="109"/>
      <c r="E7179" s="109"/>
      <c r="F7179" s="110"/>
      <c r="G7179" s="109"/>
    </row>
    <row r="7180" spans="3:7" x14ac:dyDescent="0.3">
      <c r="C7180" s="109"/>
      <c r="D7180" s="109"/>
      <c r="E7180" s="109"/>
      <c r="F7180" s="110"/>
      <c r="G7180" s="109"/>
    </row>
    <row r="7181" spans="3:7" x14ac:dyDescent="0.3">
      <c r="C7181" s="109"/>
      <c r="D7181" s="109"/>
      <c r="E7181" s="109"/>
      <c r="F7181" s="110"/>
      <c r="G7181" s="109"/>
    </row>
    <row r="7182" spans="3:7" x14ac:dyDescent="0.3">
      <c r="C7182" s="109"/>
      <c r="D7182" s="109"/>
      <c r="E7182" s="109"/>
      <c r="F7182" s="110"/>
      <c r="G7182" s="109"/>
    </row>
    <row r="7183" spans="3:7" x14ac:dyDescent="0.3">
      <c r="C7183" s="109"/>
      <c r="D7183" s="109"/>
      <c r="E7183" s="109"/>
      <c r="F7183" s="110"/>
      <c r="G7183" s="109"/>
    </row>
    <row r="7184" spans="3:7" x14ac:dyDescent="0.3">
      <c r="C7184" s="109"/>
      <c r="D7184" s="109"/>
      <c r="E7184" s="109"/>
      <c r="F7184" s="110"/>
      <c r="G7184" s="109"/>
    </row>
    <row r="7185" spans="3:7" x14ac:dyDescent="0.3">
      <c r="C7185" s="109"/>
      <c r="D7185" s="109"/>
      <c r="E7185" s="109"/>
      <c r="F7185" s="110"/>
      <c r="G7185" s="109"/>
    </row>
    <row r="7186" spans="3:7" x14ac:dyDescent="0.3">
      <c r="C7186" s="109"/>
      <c r="D7186" s="109"/>
      <c r="E7186" s="109"/>
      <c r="F7186" s="110"/>
      <c r="G7186" s="109"/>
    </row>
    <row r="7187" spans="3:7" x14ac:dyDescent="0.3">
      <c r="C7187" s="109"/>
      <c r="D7187" s="109"/>
      <c r="E7187" s="109"/>
      <c r="F7187" s="110"/>
      <c r="G7187" s="109"/>
    </row>
    <row r="7188" spans="3:7" x14ac:dyDescent="0.3">
      <c r="C7188" s="109"/>
      <c r="D7188" s="109"/>
      <c r="E7188" s="109"/>
      <c r="F7188" s="110"/>
      <c r="G7188" s="109"/>
    </row>
    <row r="7189" spans="3:7" x14ac:dyDescent="0.3">
      <c r="C7189" s="109"/>
      <c r="D7189" s="109"/>
      <c r="E7189" s="109"/>
      <c r="F7189" s="110"/>
      <c r="G7189" s="109"/>
    </row>
    <row r="7190" spans="3:7" x14ac:dyDescent="0.3">
      <c r="C7190" s="109"/>
      <c r="D7190" s="109"/>
      <c r="E7190" s="109"/>
      <c r="F7190" s="110"/>
      <c r="G7190" s="109"/>
    </row>
    <row r="7191" spans="3:7" x14ac:dyDescent="0.3">
      <c r="C7191" s="109"/>
      <c r="D7191" s="109"/>
      <c r="E7191" s="109"/>
      <c r="F7191" s="110"/>
      <c r="G7191" s="109"/>
    </row>
    <row r="7192" spans="3:7" x14ac:dyDescent="0.3">
      <c r="C7192" s="109"/>
      <c r="D7192" s="109"/>
      <c r="E7192" s="109"/>
      <c r="F7192" s="110"/>
      <c r="G7192" s="109"/>
    </row>
    <row r="7193" spans="3:7" x14ac:dyDescent="0.3">
      <c r="C7193" s="109"/>
      <c r="D7193" s="109"/>
      <c r="E7193" s="109"/>
      <c r="F7193" s="110"/>
      <c r="G7193" s="109"/>
    </row>
    <row r="7194" spans="3:7" x14ac:dyDescent="0.3">
      <c r="C7194" s="109"/>
      <c r="D7194" s="109"/>
      <c r="E7194" s="109"/>
      <c r="F7194" s="110"/>
      <c r="G7194" s="109"/>
    </row>
    <row r="7195" spans="3:7" x14ac:dyDescent="0.3">
      <c r="C7195" s="109"/>
      <c r="D7195" s="109"/>
      <c r="E7195" s="109"/>
      <c r="F7195" s="110"/>
      <c r="G7195" s="109"/>
    </row>
    <row r="7196" spans="3:7" x14ac:dyDescent="0.3">
      <c r="C7196" s="109"/>
      <c r="D7196" s="109"/>
      <c r="E7196" s="109"/>
      <c r="F7196" s="110"/>
      <c r="G7196" s="109"/>
    </row>
    <row r="7197" spans="3:7" x14ac:dyDescent="0.3">
      <c r="C7197" s="109"/>
      <c r="D7197" s="109"/>
      <c r="E7197" s="109"/>
      <c r="F7197" s="110"/>
      <c r="G7197" s="109"/>
    </row>
    <row r="7198" spans="3:7" x14ac:dyDescent="0.3">
      <c r="C7198" s="109"/>
      <c r="D7198" s="109"/>
      <c r="E7198" s="109"/>
      <c r="F7198" s="110"/>
      <c r="G7198" s="109"/>
    </row>
    <row r="7199" spans="3:7" x14ac:dyDescent="0.3">
      <c r="C7199" s="109"/>
      <c r="D7199" s="109"/>
      <c r="E7199" s="109"/>
      <c r="F7199" s="110"/>
      <c r="G7199" s="109"/>
    </row>
    <row r="7200" spans="3:7" x14ac:dyDescent="0.3">
      <c r="C7200" s="109"/>
      <c r="D7200" s="109"/>
      <c r="E7200" s="109"/>
      <c r="F7200" s="110"/>
      <c r="G7200" s="109"/>
    </row>
    <row r="7201" spans="3:7" x14ac:dyDescent="0.3">
      <c r="C7201" s="109"/>
      <c r="D7201" s="109"/>
      <c r="E7201" s="109"/>
      <c r="F7201" s="110"/>
      <c r="G7201" s="109"/>
    </row>
    <row r="7202" spans="3:7" x14ac:dyDescent="0.3">
      <c r="C7202" s="109"/>
      <c r="D7202" s="109"/>
      <c r="E7202" s="109"/>
      <c r="F7202" s="110"/>
      <c r="G7202" s="109"/>
    </row>
    <row r="7203" spans="3:7" x14ac:dyDescent="0.3">
      <c r="C7203" s="109"/>
      <c r="D7203" s="109"/>
      <c r="E7203" s="109"/>
      <c r="F7203" s="110"/>
      <c r="G7203" s="109"/>
    </row>
    <row r="7204" spans="3:7" x14ac:dyDescent="0.3">
      <c r="C7204" s="109"/>
      <c r="D7204" s="109"/>
      <c r="E7204" s="109"/>
      <c r="F7204" s="110"/>
      <c r="G7204" s="109"/>
    </row>
    <row r="7205" spans="3:7" x14ac:dyDescent="0.3">
      <c r="C7205" s="109"/>
      <c r="D7205" s="109"/>
      <c r="E7205" s="109"/>
      <c r="F7205" s="110"/>
      <c r="G7205" s="109"/>
    </row>
    <row r="7206" spans="3:7" x14ac:dyDescent="0.3">
      <c r="C7206" s="109"/>
      <c r="D7206" s="109"/>
      <c r="E7206" s="109"/>
      <c r="F7206" s="110"/>
      <c r="G7206" s="109"/>
    </row>
    <row r="7207" spans="3:7" x14ac:dyDescent="0.3">
      <c r="C7207" s="109"/>
      <c r="D7207" s="109"/>
      <c r="E7207" s="109"/>
      <c r="F7207" s="110"/>
      <c r="G7207" s="109"/>
    </row>
    <row r="7208" spans="3:7" x14ac:dyDescent="0.3">
      <c r="C7208" s="109"/>
      <c r="D7208" s="109"/>
      <c r="E7208" s="109"/>
      <c r="F7208" s="110"/>
      <c r="G7208" s="109"/>
    </row>
    <row r="7209" spans="3:7" x14ac:dyDescent="0.3">
      <c r="C7209" s="109"/>
      <c r="D7209" s="109"/>
      <c r="E7209" s="109"/>
      <c r="F7209" s="110"/>
      <c r="G7209" s="109"/>
    </row>
    <row r="7210" spans="3:7" x14ac:dyDescent="0.3">
      <c r="C7210" s="109"/>
      <c r="D7210" s="109"/>
      <c r="E7210" s="109"/>
      <c r="F7210" s="110"/>
      <c r="G7210" s="109"/>
    </row>
    <row r="7211" spans="3:7" x14ac:dyDescent="0.3">
      <c r="C7211" s="109"/>
      <c r="D7211" s="109"/>
      <c r="E7211" s="109"/>
      <c r="F7211" s="110"/>
      <c r="G7211" s="109"/>
    </row>
    <row r="7212" spans="3:7" x14ac:dyDescent="0.3">
      <c r="C7212" s="109"/>
      <c r="D7212" s="109"/>
      <c r="E7212" s="109"/>
      <c r="F7212" s="110"/>
      <c r="G7212" s="109"/>
    </row>
    <row r="7213" spans="3:7" x14ac:dyDescent="0.3">
      <c r="C7213" s="109"/>
      <c r="D7213" s="109"/>
      <c r="E7213" s="109"/>
      <c r="F7213" s="110"/>
      <c r="G7213" s="109"/>
    </row>
    <row r="7214" spans="3:7" x14ac:dyDescent="0.3">
      <c r="C7214" s="109"/>
      <c r="D7214" s="109"/>
      <c r="E7214" s="109"/>
      <c r="F7214" s="110"/>
      <c r="G7214" s="109"/>
    </row>
    <row r="7215" spans="3:7" x14ac:dyDescent="0.3">
      <c r="C7215" s="109"/>
      <c r="D7215" s="109"/>
      <c r="E7215" s="109"/>
      <c r="F7215" s="110"/>
      <c r="G7215" s="109"/>
    </row>
    <row r="7216" spans="3:7" x14ac:dyDescent="0.3">
      <c r="C7216" s="109"/>
      <c r="D7216" s="109"/>
      <c r="E7216" s="109"/>
      <c r="F7216" s="110"/>
      <c r="G7216" s="109"/>
    </row>
    <row r="7217" spans="3:7" x14ac:dyDescent="0.3">
      <c r="C7217" s="109"/>
      <c r="D7217" s="109"/>
      <c r="E7217" s="109"/>
      <c r="F7217" s="110"/>
      <c r="G7217" s="109"/>
    </row>
    <row r="7218" spans="3:7" x14ac:dyDescent="0.3">
      <c r="C7218" s="109"/>
      <c r="D7218" s="109"/>
      <c r="E7218" s="109"/>
      <c r="F7218" s="110"/>
      <c r="G7218" s="109"/>
    </row>
    <row r="7219" spans="3:7" x14ac:dyDescent="0.3">
      <c r="C7219" s="109"/>
      <c r="D7219" s="109"/>
      <c r="E7219" s="109"/>
      <c r="F7219" s="110"/>
      <c r="G7219" s="109"/>
    </row>
    <row r="7220" spans="3:7" x14ac:dyDescent="0.3">
      <c r="C7220" s="109"/>
      <c r="D7220" s="109"/>
      <c r="E7220" s="109"/>
      <c r="F7220" s="110"/>
      <c r="G7220" s="109"/>
    </row>
    <row r="7221" spans="3:7" x14ac:dyDescent="0.3">
      <c r="C7221" s="109"/>
      <c r="D7221" s="109"/>
      <c r="E7221" s="109"/>
      <c r="F7221" s="110"/>
      <c r="G7221" s="109"/>
    </row>
    <row r="7222" spans="3:7" x14ac:dyDescent="0.3">
      <c r="C7222" s="109"/>
      <c r="D7222" s="109"/>
      <c r="E7222" s="109"/>
      <c r="F7222" s="110"/>
      <c r="G7222" s="109"/>
    </row>
    <row r="7223" spans="3:7" x14ac:dyDescent="0.3">
      <c r="C7223" s="109"/>
      <c r="D7223" s="109"/>
      <c r="E7223" s="109"/>
      <c r="F7223" s="110"/>
      <c r="G7223" s="109"/>
    </row>
    <row r="7224" spans="3:7" x14ac:dyDescent="0.3">
      <c r="C7224" s="109"/>
      <c r="D7224" s="109"/>
      <c r="E7224" s="109"/>
      <c r="F7224" s="110"/>
      <c r="G7224" s="109"/>
    </row>
    <row r="7225" spans="3:7" x14ac:dyDescent="0.3">
      <c r="C7225" s="109"/>
      <c r="D7225" s="109"/>
      <c r="E7225" s="109"/>
      <c r="F7225" s="110"/>
      <c r="G7225" s="109"/>
    </row>
    <row r="7226" spans="3:7" x14ac:dyDescent="0.3">
      <c r="C7226" s="109"/>
      <c r="D7226" s="109"/>
      <c r="E7226" s="109"/>
      <c r="F7226" s="110"/>
      <c r="G7226" s="109"/>
    </row>
    <row r="7227" spans="3:7" x14ac:dyDescent="0.3">
      <c r="C7227" s="109"/>
      <c r="D7227" s="109"/>
      <c r="E7227" s="109"/>
      <c r="F7227" s="110"/>
      <c r="G7227" s="109"/>
    </row>
    <row r="7228" spans="3:7" x14ac:dyDescent="0.3">
      <c r="C7228" s="109"/>
      <c r="D7228" s="109"/>
      <c r="E7228" s="109"/>
      <c r="F7228" s="110"/>
      <c r="G7228" s="109"/>
    </row>
    <row r="7229" spans="3:7" x14ac:dyDescent="0.3">
      <c r="C7229" s="109"/>
      <c r="D7229" s="109"/>
      <c r="E7229" s="109"/>
      <c r="F7229" s="110"/>
      <c r="G7229" s="109"/>
    </row>
    <row r="7230" spans="3:7" x14ac:dyDescent="0.3">
      <c r="C7230" s="109"/>
      <c r="D7230" s="109"/>
      <c r="E7230" s="109"/>
      <c r="F7230" s="110"/>
      <c r="G7230" s="109"/>
    </row>
    <row r="7231" spans="3:7" x14ac:dyDescent="0.3">
      <c r="C7231" s="109"/>
      <c r="D7231" s="109"/>
      <c r="E7231" s="109"/>
      <c r="F7231" s="110"/>
      <c r="G7231" s="109"/>
    </row>
    <row r="7232" spans="3:7" x14ac:dyDescent="0.3">
      <c r="C7232" s="109"/>
      <c r="D7232" s="109"/>
      <c r="E7232" s="109"/>
      <c r="F7232" s="110"/>
      <c r="G7232" s="109"/>
    </row>
    <row r="7233" spans="3:7" x14ac:dyDescent="0.3">
      <c r="C7233" s="109"/>
      <c r="D7233" s="109"/>
      <c r="E7233" s="109"/>
      <c r="F7233" s="110"/>
      <c r="G7233" s="109"/>
    </row>
    <row r="7234" spans="3:7" x14ac:dyDescent="0.3">
      <c r="C7234" s="109"/>
      <c r="D7234" s="109"/>
      <c r="E7234" s="109"/>
      <c r="F7234" s="110"/>
      <c r="G7234" s="109"/>
    </row>
    <row r="7235" spans="3:7" x14ac:dyDescent="0.3">
      <c r="C7235" s="109"/>
      <c r="D7235" s="109"/>
      <c r="E7235" s="109"/>
      <c r="F7235" s="110"/>
      <c r="G7235" s="109"/>
    </row>
    <row r="7236" spans="3:7" x14ac:dyDescent="0.3">
      <c r="C7236" s="109"/>
      <c r="D7236" s="109"/>
      <c r="E7236" s="109"/>
      <c r="F7236" s="110"/>
      <c r="G7236" s="109"/>
    </row>
    <row r="7237" spans="3:7" x14ac:dyDescent="0.3">
      <c r="C7237" s="109"/>
      <c r="D7237" s="109"/>
      <c r="E7237" s="109"/>
      <c r="F7237" s="110"/>
      <c r="G7237" s="109"/>
    </row>
    <row r="7238" spans="3:7" x14ac:dyDescent="0.3">
      <c r="C7238" s="109"/>
      <c r="D7238" s="109"/>
      <c r="E7238" s="109"/>
      <c r="F7238" s="110"/>
      <c r="G7238" s="109"/>
    </row>
    <row r="7239" spans="3:7" x14ac:dyDescent="0.3">
      <c r="C7239" s="109"/>
      <c r="D7239" s="109"/>
      <c r="E7239" s="109"/>
      <c r="F7239" s="110"/>
      <c r="G7239" s="109"/>
    </row>
    <row r="7240" spans="3:7" x14ac:dyDescent="0.3">
      <c r="C7240" s="109"/>
      <c r="D7240" s="109"/>
      <c r="E7240" s="109"/>
      <c r="F7240" s="110"/>
      <c r="G7240" s="109"/>
    </row>
    <row r="7241" spans="3:7" x14ac:dyDescent="0.3">
      <c r="C7241" s="109"/>
      <c r="D7241" s="109"/>
      <c r="E7241" s="109"/>
      <c r="F7241" s="110"/>
      <c r="G7241" s="109"/>
    </row>
    <row r="7242" spans="3:7" x14ac:dyDescent="0.3">
      <c r="C7242" s="109"/>
      <c r="D7242" s="109"/>
      <c r="E7242" s="109"/>
      <c r="F7242" s="110"/>
      <c r="G7242" s="109"/>
    </row>
    <row r="7243" spans="3:7" x14ac:dyDescent="0.3">
      <c r="C7243" s="109"/>
      <c r="D7243" s="109"/>
      <c r="E7243" s="109"/>
      <c r="F7243" s="110"/>
      <c r="G7243" s="109"/>
    </row>
    <row r="7244" spans="3:7" x14ac:dyDescent="0.3">
      <c r="C7244" s="109"/>
      <c r="D7244" s="109"/>
      <c r="E7244" s="109"/>
      <c r="F7244" s="110"/>
      <c r="G7244" s="109"/>
    </row>
    <row r="7245" spans="3:7" x14ac:dyDescent="0.3">
      <c r="C7245" s="109"/>
      <c r="D7245" s="109"/>
      <c r="E7245" s="109"/>
      <c r="F7245" s="110"/>
      <c r="G7245" s="109"/>
    </row>
    <row r="7246" spans="3:7" x14ac:dyDescent="0.3">
      <c r="C7246" s="109"/>
      <c r="D7246" s="109"/>
      <c r="E7246" s="109"/>
      <c r="F7246" s="110"/>
      <c r="G7246" s="109"/>
    </row>
    <row r="7247" spans="3:7" x14ac:dyDescent="0.3">
      <c r="C7247" s="109"/>
      <c r="D7247" s="109"/>
      <c r="E7247" s="109"/>
      <c r="F7247" s="110"/>
      <c r="G7247" s="109"/>
    </row>
    <row r="7248" spans="3:7" x14ac:dyDescent="0.3">
      <c r="C7248" s="109"/>
      <c r="D7248" s="109"/>
      <c r="E7248" s="109"/>
      <c r="F7248" s="110"/>
      <c r="G7248" s="109"/>
    </row>
    <row r="7249" spans="3:7" x14ac:dyDescent="0.3">
      <c r="C7249" s="109"/>
      <c r="D7249" s="109"/>
      <c r="E7249" s="109"/>
      <c r="F7249" s="110"/>
      <c r="G7249" s="109"/>
    </row>
    <row r="7250" spans="3:7" x14ac:dyDescent="0.3">
      <c r="C7250" s="109"/>
      <c r="D7250" s="109"/>
      <c r="E7250" s="109"/>
      <c r="F7250" s="110"/>
      <c r="G7250" s="109"/>
    </row>
    <row r="7251" spans="3:7" x14ac:dyDescent="0.3">
      <c r="C7251" s="109"/>
      <c r="D7251" s="109"/>
      <c r="E7251" s="109"/>
      <c r="F7251" s="110"/>
      <c r="G7251" s="109"/>
    </row>
    <row r="7252" spans="3:7" x14ac:dyDescent="0.3">
      <c r="C7252" s="109"/>
      <c r="D7252" s="109"/>
      <c r="E7252" s="109"/>
      <c r="F7252" s="110"/>
      <c r="G7252" s="109"/>
    </row>
    <row r="7253" spans="3:7" x14ac:dyDescent="0.3">
      <c r="C7253" s="109"/>
      <c r="D7253" s="109"/>
      <c r="E7253" s="109"/>
      <c r="F7253" s="110"/>
      <c r="G7253" s="109"/>
    </row>
    <row r="7254" spans="3:7" x14ac:dyDescent="0.3">
      <c r="C7254" s="109"/>
      <c r="D7254" s="109"/>
      <c r="E7254" s="109"/>
      <c r="F7254" s="110"/>
      <c r="G7254" s="109"/>
    </row>
    <row r="7255" spans="3:7" x14ac:dyDescent="0.3">
      <c r="C7255" s="109"/>
      <c r="D7255" s="109"/>
      <c r="E7255" s="109"/>
      <c r="F7255" s="110"/>
      <c r="G7255" s="109"/>
    </row>
    <row r="7256" spans="3:7" x14ac:dyDescent="0.3">
      <c r="C7256" s="109"/>
      <c r="D7256" s="109"/>
      <c r="E7256" s="109"/>
      <c r="F7256" s="110"/>
      <c r="G7256" s="109"/>
    </row>
    <row r="7257" spans="3:7" x14ac:dyDescent="0.3">
      <c r="C7257" s="109"/>
      <c r="D7257" s="109"/>
      <c r="E7257" s="109"/>
      <c r="F7257" s="110"/>
      <c r="G7257" s="109"/>
    </row>
    <row r="7258" spans="3:7" x14ac:dyDescent="0.3">
      <c r="C7258" s="109"/>
      <c r="D7258" s="109"/>
      <c r="E7258" s="109"/>
      <c r="F7258" s="110"/>
      <c r="G7258" s="109"/>
    </row>
    <row r="7259" spans="3:7" x14ac:dyDescent="0.3">
      <c r="C7259" s="109"/>
      <c r="D7259" s="109"/>
      <c r="E7259" s="109"/>
      <c r="F7259" s="110"/>
      <c r="G7259" s="109"/>
    </row>
    <row r="7260" spans="3:7" x14ac:dyDescent="0.3">
      <c r="C7260" s="109"/>
      <c r="D7260" s="109"/>
      <c r="E7260" s="109"/>
      <c r="F7260" s="110"/>
      <c r="G7260" s="109"/>
    </row>
    <row r="7261" spans="3:7" x14ac:dyDescent="0.3">
      <c r="C7261" s="109"/>
      <c r="D7261" s="109"/>
      <c r="E7261" s="109"/>
      <c r="F7261" s="110"/>
      <c r="G7261" s="109"/>
    </row>
    <row r="7262" spans="3:7" x14ac:dyDescent="0.3">
      <c r="C7262" s="109"/>
      <c r="D7262" s="109"/>
      <c r="E7262" s="109"/>
      <c r="F7262" s="110"/>
      <c r="G7262" s="109"/>
    </row>
    <row r="7263" spans="3:7" x14ac:dyDescent="0.3">
      <c r="C7263" s="109"/>
      <c r="D7263" s="109"/>
      <c r="E7263" s="109"/>
      <c r="F7263" s="110"/>
      <c r="G7263" s="109"/>
    </row>
    <row r="7264" spans="3:7" x14ac:dyDescent="0.3">
      <c r="C7264" s="109"/>
      <c r="D7264" s="109"/>
      <c r="E7264" s="109"/>
      <c r="F7264" s="110"/>
      <c r="G7264" s="109"/>
    </row>
    <row r="7265" spans="3:7" x14ac:dyDescent="0.3">
      <c r="C7265" s="109"/>
      <c r="D7265" s="109"/>
      <c r="E7265" s="109"/>
      <c r="F7265" s="110"/>
      <c r="G7265" s="109"/>
    </row>
    <row r="7266" spans="3:7" x14ac:dyDescent="0.3">
      <c r="C7266" s="109"/>
      <c r="D7266" s="109"/>
      <c r="E7266" s="109"/>
      <c r="F7266" s="110"/>
      <c r="G7266" s="109"/>
    </row>
    <row r="7267" spans="3:7" x14ac:dyDescent="0.3">
      <c r="C7267" s="109"/>
      <c r="D7267" s="109"/>
      <c r="E7267" s="109"/>
      <c r="F7267" s="110"/>
      <c r="G7267" s="109"/>
    </row>
    <row r="7268" spans="3:7" x14ac:dyDescent="0.3">
      <c r="C7268" s="109"/>
      <c r="D7268" s="109"/>
      <c r="E7268" s="109"/>
      <c r="F7268" s="110"/>
      <c r="G7268" s="109"/>
    </row>
    <row r="7269" spans="3:7" x14ac:dyDescent="0.3">
      <c r="C7269" s="109"/>
      <c r="D7269" s="109"/>
      <c r="E7269" s="109"/>
      <c r="F7269" s="110"/>
      <c r="G7269" s="109"/>
    </row>
    <row r="7270" spans="3:7" x14ac:dyDescent="0.3">
      <c r="C7270" s="109"/>
      <c r="D7270" s="109"/>
      <c r="E7270" s="109"/>
      <c r="F7270" s="110"/>
      <c r="G7270" s="109"/>
    </row>
    <row r="7271" spans="3:7" x14ac:dyDescent="0.3">
      <c r="C7271" s="109"/>
      <c r="D7271" s="109"/>
      <c r="E7271" s="109"/>
      <c r="F7271" s="110"/>
      <c r="G7271" s="109"/>
    </row>
    <row r="7272" spans="3:7" x14ac:dyDescent="0.3">
      <c r="C7272" s="109"/>
      <c r="D7272" s="109"/>
      <c r="E7272" s="109"/>
      <c r="F7272" s="110"/>
      <c r="G7272" s="109"/>
    </row>
    <row r="7273" spans="3:7" x14ac:dyDescent="0.3">
      <c r="C7273" s="109"/>
      <c r="D7273" s="109"/>
      <c r="E7273" s="109"/>
      <c r="F7273" s="110"/>
      <c r="G7273" s="109"/>
    </row>
    <row r="7274" spans="3:7" x14ac:dyDescent="0.3">
      <c r="C7274" s="109"/>
      <c r="D7274" s="109"/>
      <c r="E7274" s="109"/>
      <c r="F7274" s="110"/>
      <c r="G7274" s="109"/>
    </row>
    <row r="7275" spans="3:7" x14ac:dyDescent="0.3">
      <c r="C7275" s="109"/>
      <c r="D7275" s="109"/>
      <c r="E7275" s="109"/>
      <c r="F7275" s="110"/>
      <c r="G7275" s="109"/>
    </row>
    <row r="7276" spans="3:7" x14ac:dyDescent="0.3">
      <c r="C7276" s="109"/>
      <c r="D7276" s="109"/>
      <c r="E7276" s="109"/>
      <c r="F7276" s="110"/>
      <c r="G7276" s="109"/>
    </row>
    <row r="7277" spans="3:7" x14ac:dyDescent="0.3">
      <c r="C7277" s="109"/>
      <c r="D7277" s="109"/>
      <c r="E7277" s="109"/>
      <c r="F7277" s="110"/>
      <c r="G7277" s="109"/>
    </row>
    <row r="7278" spans="3:7" x14ac:dyDescent="0.3">
      <c r="C7278" s="109"/>
      <c r="D7278" s="109"/>
      <c r="E7278" s="109"/>
      <c r="F7278" s="110"/>
      <c r="G7278" s="109"/>
    </row>
    <row r="7279" spans="3:7" x14ac:dyDescent="0.3">
      <c r="C7279" s="109"/>
      <c r="D7279" s="109"/>
      <c r="E7279" s="109"/>
      <c r="F7279" s="110"/>
      <c r="G7279" s="109"/>
    </row>
    <row r="7280" spans="3:7" x14ac:dyDescent="0.3">
      <c r="C7280" s="109"/>
      <c r="D7280" s="109"/>
      <c r="E7280" s="109"/>
      <c r="F7280" s="110"/>
      <c r="G7280" s="109"/>
    </row>
    <row r="7281" spans="3:7" x14ac:dyDescent="0.3">
      <c r="C7281" s="109"/>
      <c r="D7281" s="109"/>
      <c r="E7281" s="109"/>
      <c r="F7281" s="110"/>
      <c r="G7281" s="109"/>
    </row>
    <row r="7282" spans="3:7" x14ac:dyDescent="0.3">
      <c r="C7282" s="109"/>
      <c r="D7282" s="109"/>
      <c r="E7282" s="109"/>
      <c r="F7282" s="110"/>
      <c r="G7282" s="109"/>
    </row>
    <row r="7283" spans="3:7" x14ac:dyDescent="0.3">
      <c r="C7283" s="109"/>
      <c r="D7283" s="109"/>
      <c r="E7283" s="109"/>
      <c r="F7283" s="110"/>
      <c r="G7283" s="109"/>
    </row>
    <row r="7284" spans="3:7" x14ac:dyDescent="0.3">
      <c r="C7284" s="109"/>
      <c r="D7284" s="109"/>
      <c r="E7284" s="109"/>
      <c r="F7284" s="110"/>
      <c r="G7284" s="109"/>
    </row>
    <row r="7285" spans="3:7" x14ac:dyDescent="0.3">
      <c r="C7285" s="109"/>
      <c r="D7285" s="109"/>
      <c r="E7285" s="109"/>
      <c r="F7285" s="110"/>
      <c r="G7285" s="109"/>
    </row>
    <row r="7286" spans="3:7" x14ac:dyDescent="0.3">
      <c r="C7286" s="109"/>
      <c r="D7286" s="109"/>
      <c r="E7286" s="109"/>
      <c r="F7286" s="110"/>
      <c r="G7286" s="109"/>
    </row>
    <row r="7287" spans="3:7" x14ac:dyDescent="0.3">
      <c r="C7287" s="109"/>
      <c r="D7287" s="109"/>
      <c r="E7287" s="109"/>
      <c r="F7287" s="110"/>
      <c r="G7287" s="109"/>
    </row>
    <row r="7288" spans="3:7" x14ac:dyDescent="0.3">
      <c r="C7288" s="109"/>
      <c r="D7288" s="109"/>
      <c r="E7288" s="109"/>
      <c r="F7288" s="110"/>
      <c r="G7288" s="109"/>
    </row>
    <row r="7289" spans="3:7" x14ac:dyDescent="0.3">
      <c r="C7289" s="109"/>
      <c r="D7289" s="109"/>
      <c r="E7289" s="109"/>
      <c r="F7289" s="110"/>
      <c r="G7289" s="109"/>
    </row>
    <row r="7290" spans="3:7" x14ac:dyDescent="0.3">
      <c r="C7290" s="109"/>
      <c r="D7290" s="109"/>
      <c r="E7290" s="109"/>
      <c r="F7290" s="110"/>
      <c r="G7290" s="109"/>
    </row>
    <row r="7291" spans="3:7" x14ac:dyDescent="0.3">
      <c r="C7291" s="109"/>
      <c r="D7291" s="109"/>
      <c r="E7291" s="109"/>
      <c r="F7291" s="110"/>
      <c r="G7291" s="109"/>
    </row>
    <row r="7292" spans="3:7" x14ac:dyDescent="0.3">
      <c r="C7292" s="109"/>
      <c r="D7292" s="109"/>
      <c r="E7292" s="109"/>
      <c r="F7292" s="110"/>
      <c r="G7292" s="109"/>
    </row>
    <row r="7293" spans="3:7" x14ac:dyDescent="0.3">
      <c r="C7293" s="109"/>
      <c r="D7293" s="109"/>
      <c r="E7293" s="109"/>
      <c r="F7293" s="110"/>
      <c r="G7293" s="109"/>
    </row>
    <row r="7294" spans="3:7" x14ac:dyDescent="0.3">
      <c r="C7294" s="109"/>
      <c r="D7294" s="109"/>
      <c r="E7294" s="109"/>
      <c r="F7294" s="110"/>
      <c r="G7294" s="109"/>
    </row>
    <row r="7295" spans="3:7" x14ac:dyDescent="0.3">
      <c r="C7295" s="109"/>
      <c r="D7295" s="109"/>
      <c r="E7295" s="109"/>
      <c r="F7295" s="110"/>
      <c r="G7295" s="109"/>
    </row>
    <row r="7296" spans="3:7" x14ac:dyDescent="0.3">
      <c r="C7296" s="109"/>
      <c r="D7296" s="109"/>
      <c r="E7296" s="109"/>
      <c r="F7296" s="110"/>
      <c r="G7296" s="109"/>
    </row>
    <row r="7297" spans="3:7" x14ac:dyDescent="0.3">
      <c r="C7297" s="109"/>
      <c r="D7297" s="109"/>
      <c r="E7297" s="109"/>
      <c r="F7297" s="110"/>
      <c r="G7297" s="109"/>
    </row>
    <row r="7298" spans="3:7" x14ac:dyDescent="0.3">
      <c r="C7298" s="109"/>
      <c r="D7298" s="109"/>
      <c r="E7298" s="109"/>
      <c r="F7298" s="110"/>
      <c r="G7298" s="109"/>
    </row>
    <row r="7299" spans="3:7" x14ac:dyDescent="0.3">
      <c r="C7299" s="109"/>
      <c r="D7299" s="109"/>
      <c r="E7299" s="109"/>
      <c r="F7299" s="110"/>
      <c r="G7299" s="109"/>
    </row>
    <row r="7300" spans="3:7" x14ac:dyDescent="0.3">
      <c r="C7300" s="109"/>
      <c r="D7300" s="109"/>
      <c r="E7300" s="109"/>
      <c r="F7300" s="110"/>
      <c r="G7300" s="109"/>
    </row>
    <row r="7301" spans="3:7" x14ac:dyDescent="0.3">
      <c r="C7301" s="109"/>
      <c r="D7301" s="109"/>
      <c r="E7301" s="109"/>
      <c r="F7301" s="110"/>
      <c r="G7301" s="109"/>
    </row>
    <row r="7302" spans="3:7" x14ac:dyDescent="0.3">
      <c r="C7302" s="109"/>
      <c r="D7302" s="109"/>
      <c r="E7302" s="109"/>
      <c r="F7302" s="110"/>
      <c r="G7302" s="109"/>
    </row>
    <row r="7303" spans="3:7" x14ac:dyDescent="0.3">
      <c r="C7303" s="109"/>
      <c r="D7303" s="109"/>
      <c r="E7303" s="109"/>
      <c r="F7303" s="110"/>
      <c r="G7303" s="109"/>
    </row>
    <row r="7304" spans="3:7" x14ac:dyDescent="0.3">
      <c r="C7304" s="109"/>
      <c r="D7304" s="109"/>
      <c r="E7304" s="109"/>
      <c r="F7304" s="110"/>
      <c r="G7304" s="109"/>
    </row>
    <row r="7305" spans="3:7" x14ac:dyDescent="0.3">
      <c r="C7305" s="109"/>
      <c r="D7305" s="109"/>
      <c r="E7305" s="109"/>
      <c r="F7305" s="110"/>
      <c r="G7305" s="109"/>
    </row>
    <row r="7306" spans="3:7" x14ac:dyDescent="0.3">
      <c r="C7306" s="109"/>
      <c r="D7306" s="109"/>
      <c r="E7306" s="109"/>
      <c r="F7306" s="110"/>
      <c r="G7306" s="109"/>
    </row>
    <row r="7307" spans="3:7" x14ac:dyDescent="0.3">
      <c r="C7307" s="109"/>
      <c r="D7307" s="109"/>
      <c r="E7307" s="109"/>
      <c r="F7307" s="110"/>
      <c r="G7307" s="109"/>
    </row>
    <row r="7308" spans="3:7" x14ac:dyDescent="0.3">
      <c r="C7308" s="109"/>
      <c r="D7308" s="109"/>
      <c r="E7308" s="109"/>
      <c r="F7308" s="110"/>
      <c r="G7308" s="109"/>
    </row>
    <row r="7309" spans="3:7" x14ac:dyDescent="0.3">
      <c r="C7309" s="109"/>
      <c r="D7309" s="109"/>
      <c r="E7309" s="109"/>
      <c r="F7309" s="110"/>
      <c r="G7309" s="109"/>
    </row>
    <row r="7310" spans="3:7" x14ac:dyDescent="0.3">
      <c r="C7310" s="109"/>
      <c r="D7310" s="109"/>
      <c r="E7310" s="109"/>
      <c r="F7310" s="110"/>
      <c r="G7310" s="109"/>
    </row>
    <row r="7311" spans="3:7" x14ac:dyDescent="0.3">
      <c r="C7311" s="109"/>
      <c r="D7311" s="109"/>
      <c r="E7311" s="109"/>
      <c r="F7311" s="110"/>
      <c r="G7311" s="109"/>
    </row>
    <row r="7312" spans="3:7" x14ac:dyDescent="0.3">
      <c r="C7312" s="109"/>
      <c r="D7312" s="109"/>
      <c r="E7312" s="109"/>
      <c r="F7312" s="110"/>
      <c r="G7312" s="109"/>
    </row>
    <row r="7313" spans="3:7" x14ac:dyDescent="0.3">
      <c r="C7313" s="109"/>
      <c r="D7313" s="109"/>
      <c r="E7313" s="109"/>
      <c r="F7313" s="110"/>
      <c r="G7313" s="109"/>
    </row>
    <row r="7314" spans="3:7" x14ac:dyDescent="0.3">
      <c r="C7314" s="109"/>
      <c r="D7314" s="109"/>
      <c r="E7314" s="109"/>
      <c r="F7314" s="110"/>
      <c r="G7314" s="109"/>
    </row>
    <row r="7315" spans="3:7" x14ac:dyDescent="0.3">
      <c r="C7315" s="109"/>
      <c r="D7315" s="109"/>
      <c r="E7315" s="109"/>
      <c r="F7315" s="110"/>
      <c r="G7315" s="109"/>
    </row>
    <row r="7316" spans="3:7" x14ac:dyDescent="0.3">
      <c r="C7316" s="109"/>
      <c r="D7316" s="109"/>
      <c r="E7316" s="109"/>
      <c r="F7316" s="110"/>
      <c r="G7316" s="109"/>
    </row>
    <row r="7317" spans="3:7" x14ac:dyDescent="0.3">
      <c r="C7317" s="109"/>
      <c r="D7317" s="109"/>
      <c r="E7317" s="109"/>
      <c r="F7317" s="110"/>
      <c r="G7317" s="109"/>
    </row>
    <row r="7318" spans="3:7" x14ac:dyDescent="0.3">
      <c r="C7318" s="109"/>
      <c r="D7318" s="109"/>
      <c r="E7318" s="109"/>
      <c r="F7318" s="110"/>
      <c r="G7318" s="109"/>
    </row>
    <row r="7319" spans="3:7" x14ac:dyDescent="0.3">
      <c r="C7319" s="109"/>
      <c r="D7319" s="109"/>
      <c r="E7319" s="109"/>
      <c r="F7319" s="110"/>
      <c r="G7319" s="109"/>
    </row>
    <row r="7320" spans="3:7" x14ac:dyDescent="0.3">
      <c r="C7320" s="109"/>
      <c r="D7320" s="109"/>
      <c r="E7320" s="109"/>
      <c r="F7320" s="110"/>
      <c r="G7320" s="109"/>
    </row>
    <row r="7321" spans="3:7" x14ac:dyDescent="0.3">
      <c r="C7321" s="109"/>
      <c r="D7321" s="109"/>
      <c r="E7321" s="109"/>
      <c r="F7321" s="110"/>
      <c r="G7321" s="109"/>
    </row>
    <row r="7322" spans="3:7" x14ac:dyDescent="0.3">
      <c r="C7322" s="109"/>
      <c r="D7322" s="109"/>
      <c r="E7322" s="109"/>
      <c r="F7322" s="110"/>
      <c r="G7322" s="109"/>
    </row>
    <row r="7323" spans="3:7" x14ac:dyDescent="0.3">
      <c r="C7323" s="109"/>
      <c r="D7323" s="109"/>
      <c r="E7323" s="109"/>
      <c r="F7323" s="110"/>
      <c r="G7323" s="109"/>
    </row>
    <row r="7324" spans="3:7" x14ac:dyDescent="0.3">
      <c r="C7324" s="109"/>
      <c r="D7324" s="109"/>
      <c r="E7324" s="109"/>
      <c r="F7324" s="110"/>
      <c r="G7324" s="109"/>
    </row>
    <row r="7325" spans="3:7" x14ac:dyDescent="0.3">
      <c r="C7325" s="109"/>
      <c r="D7325" s="109"/>
      <c r="E7325" s="109"/>
      <c r="F7325" s="110"/>
      <c r="G7325" s="109"/>
    </row>
    <row r="7326" spans="3:7" x14ac:dyDescent="0.3">
      <c r="C7326" s="109"/>
      <c r="D7326" s="109"/>
      <c r="E7326" s="109"/>
      <c r="F7326" s="110"/>
      <c r="G7326" s="109"/>
    </row>
    <row r="7327" spans="3:7" x14ac:dyDescent="0.3">
      <c r="C7327" s="109"/>
      <c r="D7327" s="109"/>
      <c r="E7327" s="109"/>
      <c r="F7327" s="110"/>
      <c r="G7327" s="109"/>
    </row>
    <row r="7328" spans="3:7" x14ac:dyDescent="0.3">
      <c r="C7328" s="109"/>
      <c r="D7328" s="109"/>
      <c r="E7328" s="109"/>
      <c r="F7328" s="110"/>
      <c r="G7328" s="109"/>
    </row>
    <row r="7329" spans="3:7" x14ac:dyDescent="0.3">
      <c r="C7329" s="109"/>
      <c r="D7329" s="109"/>
      <c r="E7329" s="109"/>
      <c r="F7329" s="110"/>
      <c r="G7329" s="109"/>
    </row>
    <row r="7330" spans="3:7" x14ac:dyDescent="0.3">
      <c r="C7330" s="109"/>
      <c r="D7330" s="109"/>
      <c r="E7330" s="109"/>
      <c r="F7330" s="110"/>
      <c r="G7330" s="109"/>
    </row>
    <row r="7331" spans="3:7" x14ac:dyDescent="0.3">
      <c r="C7331" s="109"/>
      <c r="D7331" s="109"/>
      <c r="E7331" s="109"/>
      <c r="F7331" s="110"/>
      <c r="G7331" s="109"/>
    </row>
    <row r="7332" spans="3:7" x14ac:dyDescent="0.3">
      <c r="C7332" s="109"/>
      <c r="D7332" s="109"/>
      <c r="E7332" s="109"/>
      <c r="F7332" s="110"/>
      <c r="G7332" s="109"/>
    </row>
    <row r="7333" spans="3:7" x14ac:dyDescent="0.3">
      <c r="C7333" s="109"/>
      <c r="D7333" s="109"/>
      <c r="E7333" s="109"/>
      <c r="F7333" s="110"/>
      <c r="G7333" s="109"/>
    </row>
    <row r="7334" spans="3:7" x14ac:dyDescent="0.3">
      <c r="C7334" s="109"/>
      <c r="D7334" s="109"/>
      <c r="E7334" s="109"/>
      <c r="F7334" s="110"/>
      <c r="G7334" s="109"/>
    </row>
    <row r="7335" spans="3:7" x14ac:dyDescent="0.3">
      <c r="C7335" s="109"/>
      <c r="D7335" s="109"/>
      <c r="E7335" s="109"/>
      <c r="F7335" s="110"/>
      <c r="G7335" s="109"/>
    </row>
    <row r="7336" spans="3:7" x14ac:dyDescent="0.3">
      <c r="C7336" s="109"/>
      <c r="D7336" s="109"/>
      <c r="E7336" s="109"/>
      <c r="F7336" s="110"/>
      <c r="G7336" s="109"/>
    </row>
    <row r="7337" spans="3:7" x14ac:dyDescent="0.3">
      <c r="C7337" s="109"/>
      <c r="D7337" s="109"/>
      <c r="E7337" s="109"/>
      <c r="F7337" s="110"/>
      <c r="G7337" s="109"/>
    </row>
    <row r="7338" spans="3:7" x14ac:dyDescent="0.3">
      <c r="C7338" s="109"/>
      <c r="D7338" s="109"/>
      <c r="E7338" s="109"/>
      <c r="F7338" s="110"/>
      <c r="G7338" s="109"/>
    </row>
    <row r="7339" spans="3:7" x14ac:dyDescent="0.3">
      <c r="C7339" s="109"/>
      <c r="D7339" s="109"/>
      <c r="E7339" s="109"/>
      <c r="F7339" s="110"/>
      <c r="G7339" s="109"/>
    </row>
    <row r="7340" spans="3:7" x14ac:dyDescent="0.3">
      <c r="C7340" s="109"/>
      <c r="D7340" s="109"/>
      <c r="E7340" s="109"/>
      <c r="F7340" s="110"/>
      <c r="G7340" s="109"/>
    </row>
    <row r="7341" spans="3:7" x14ac:dyDescent="0.3">
      <c r="C7341" s="109"/>
      <c r="D7341" s="109"/>
      <c r="E7341" s="109"/>
      <c r="F7341" s="110"/>
      <c r="G7341" s="109"/>
    </row>
    <row r="7342" spans="3:7" x14ac:dyDescent="0.3">
      <c r="C7342" s="109"/>
      <c r="D7342" s="109"/>
      <c r="E7342" s="109"/>
      <c r="F7342" s="110"/>
      <c r="G7342" s="109"/>
    </row>
    <row r="7343" spans="3:7" x14ac:dyDescent="0.3">
      <c r="C7343" s="109"/>
      <c r="D7343" s="109"/>
      <c r="E7343" s="109"/>
      <c r="F7343" s="110"/>
      <c r="G7343" s="109"/>
    </row>
    <row r="7344" spans="3:7" x14ac:dyDescent="0.3">
      <c r="C7344" s="109"/>
      <c r="D7344" s="109"/>
      <c r="E7344" s="109"/>
      <c r="F7344" s="110"/>
      <c r="G7344" s="109"/>
    </row>
    <row r="7345" spans="3:7" x14ac:dyDescent="0.3">
      <c r="C7345" s="109"/>
      <c r="D7345" s="109"/>
      <c r="E7345" s="109"/>
      <c r="F7345" s="110"/>
      <c r="G7345" s="109"/>
    </row>
    <row r="7346" spans="3:7" x14ac:dyDescent="0.3">
      <c r="C7346" s="109"/>
      <c r="D7346" s="109"/>
      <c r="E7346" s="109"/>
      <c r="F7346" s="110"/>
      <c r="G7346" s="109"/>
    </row>
    <row r="7347" spans="3:7" x14ac:dyDescent="0.3">
      <c r="C7347" s="109"/>
      <c r="D7347" s="109"/>
      <c r="E7347" s="109"/>
      <c r="F7347" s="110"/>
      <c r="G7347" s="109"/>
    </row>
    <row r="7348" spans="3:7" x14ac:dyDescent="0.3">
      <c r="C7348" s="109"/>
      <c r="D7348" s="109"/>
      <c r="E7348" s="109"/>
      <c r="F7348" s="110"/>
      <c r="G7348" s="109"/>
    </row>
    <row r="7349" spans="3:7" x14ac:dyDescent="0.3">
      <c r="C7349" s="109"/>
      <c r="D7349" s="109"/>
      <c r="E7349" s="109"/>
      <c r="F7349" s="110"/>
      <c r="G7349" s="109"/>
    </row>
    <row r="7350" spans="3:7" x14ac:dyDescent="0.3">
      <c r="C7350" s="109"/>
      <c r="D7350" s="109"/>
      <c r="E7350" s="109"/>
      <c r="F7350" s="110"/>
      <c r="G7350" s="109"/>
    </row>
    <row r="7351" spans="3:7" x14ac:dyDescent="0.3">
      <c r="C7351" s="109"/>
      <c r="D7351" s="109"/>
      <c r="E7351" s="109"/>
      <c r="F7351" s="110"/>
      <c r="G7351" s="109"/>
    </row>
    <row r="7352" spans="3:7" x14ac:dyDescent="0.3">
      <c r="C7352" s="109"/>
      <c r="D7352" s="109"/>
      <c r="E7352" s="109"/>
      <c r="F7352" s="110"/>
      <c r="G7352" s="109"/>
    </row>
    <row r="7353" spans="3:7" x14ac:dyDescent="0.3">
      <c r="C7353" s="109"/>
      <c r="D7353" s="109"/>
      <c r="E7353" s="109"/>
      <c r="F7353" s="110"/>
      <c r="G7353" s="109"/>
    </row>
    <row r="7354" spans="3:7" x14ac:dyDescent="0.3">
      <c r="C7354" s="109"/>
      <c r="D7354" s="109"/>
      <c r="E7354" s="109"/>
      <c r="F7354" s="110"/>
      <c r="G7354" s="109"/>
    </row>
    <row r="7355" spans="3:7" x14ac:dyDescent="0.3">
      <c r="C7355" s="109"/>
      <c r="D7355" s="109"/>
      <c r="E7355" s="109"/>
      <c r="F7355" s="110"/>
      <c r="G7355" s="109"/>
    </row>
    <row r="7356" spans="3:7" x14ac:dyDescent="0.3">
      <c r="C7356" s="109"/>
      <c r="D7356" s="109"/>
      <c r="E7356" s="109"/>
      <c r="F7356" s="110"/>
      <c r="G7356" s="109"/>
    </row>
    <row r="7357" spans="3:7" x14ac:dyDescent="0.3">
      <c r="C7357" s="109"/>
      <c r="D7357" s="109"/>
      <c r="E7357" s="109"/>
      <c r="F7357" s="110"/>
      <c r="G7357" s="109"/>
    </row>
    <row r="7358" spans="3:7" x14ac:dyDescent="0.3">
      <c r="C7358" s="109"/>
      <c r="D7358" s="109"/>
      <c r="E7358" s="109"/>
      <c r="F7358" s="110"/>
      <c r="G7358" s="109"/>
    </row>
    <row r="7359" spans="3:7" x14ac:dyDescent="0.3">
      <c r="C7359" s="109"/>
      <c r="D7359" s="109"/>
      <c r="E7359" s="109"/>
      <c r="F7359" s="110"/>
      <c r="G7359" s="109"/>
    </row>
    <row r="7360" spans="3:7" x14ac:dyDescent="0.3">
      <c r="C7360" s="109"/>
      <c r="D7360" s="109"/>
      <c r="E7360" s="109"/>
      <c r="F7360" s="110"/>
      <c r="G7360" s="109"/>
    </row>
    <row r="7361" spans="3:7" x14ac:dyDescent="0.3">
      <c r="C7361" s="109"/>
      <c r="D7361" s="109"/>
      <c r="E7361" s="109"/>
      <c r="F7361" s="110"/>
      <c r="G7361" s="109"/>
    </row>
    <row r="7362" spans="3:7" x14ac:dyDescent="0.3">
      <c r="C7362" s="109"/>
      <c r="D7362" s="109"/>
      <c r="E7362" s="109"/>
      <c r="F7362" s="110"/>
      <c r="G7362" s="109"/>
    </row>
    <row r="7363" spans="3:7" x14ac:dyDescent="0.3">
      <c r="C7363" s="109"/>
      <c r="D7363" s="109"/>
      <c r="E7363" s="109"/>
      <c r="F7363" s="110"/>
      <c r="G7363" s="109"/>
    </row>
    <row r="7364" spans="3:7" x14ac:dyDescent="0.3">
      <c r="C7364" s="109"/>
      <c r="D7364" s="109"/>
      <c r="E7364" s="109"/>
      <c r="F7364" s="110"/>
      <c r="G7364" s="109"/>
    </row>
    <row r="7365" spans="3:7" x14ac:dyDescent="0.3">
      <c r="C7365" s="109"/>
      <c r="D7365" s="109"/>
      <c r="E7365" s="109"/>
      <c r="F7365" s="110"/>
      <c r="G7365" s="109"/>
    </row>
    <row r="7366" spans="3:7" x14ac:dyDescent="0.3">
      <c r="C7366" s="109"/>
      <c r="D7366" s="109"/>
      <c r="E7366" s="109"/>
      <c r="F7366" s="110"/>
      <c r="G7366" s="109"/>
    </row>
    <row r="7367" spans="3:7" x14ac:dyDescent="0.3">
      <c r="C7367" s="109"/>
      <c r="D7367" s="109"/>
      <c r="E7367" s="109"/>
      <c r="F7367" s="110"/>
      <c r="G7367" s="109"/>
    </row>
    <row r="7368" spans="3:7" x14ac:dyDescent="0.3">
      <c r="C7368" s="109"/>
      <c r="D7368" s="109"/>
      <c r="E7368" s="109"/>
      <c r="F7368" s="110"/>
      <c r="G7368" s="109"/>
    </row>
    <row r="7369" spans="3:7" x14ac:dyDescent="0.3">
      <c r="C7369" s="109"/>
      <c r="D7369" s="109"/>
      <c r="E7369" s="109"/>
      <c r="F7369" s="110"/>
      <c r="G7369" s="109"/>
    </row>
    <row r="7370" spans="3:7" x14ac:dyDescent="0.3">
      <c r="C7370" s="109"/>
      <c r="D7370" s="109"/>
      <c r="E7370" s="109"/>
      <c r="F7370" s="110"/>
      <c r="G7370" s="109"/>
    </row>
    <row r="7371" spans="3:7" x14ac:dyDescent="0.3">
      <c r="C7371" s="109"/>
      <c r="D7371" s="109"/>
      <c r="E7371" s="109"/>
      <c r="F7371" s="110"/>
      <c r="G7371" s="109"/>
    </row>
    <row r="7372" spans="3:7" x14ac:dyDescent="0.3">
      <c r="C7372" s="109"/>
      <c r="D7372" s="109"/>
      <c r="E7372" s="109"/>
      <c r="F7372" s="110"/>
      <c r="G7372" s="109"/>
    </row>
    <row r="7373" spans="3:7" x14ac:dyDescent="0.3">
      <c r="C7373" s="109"/>
      <c r="D7373" s="109"/>
      <c r="E7373" s="109"/>
      <c r="F7373" s="110"/>
      <c r="G7373" s="109"/>
    </row>
    <row r="7374" spans="3:7" x14ac:dyDescent="0.3">
      <c r="C7374" s="109"/>
      <c r="D7374" s="109"/>
      <c r="E7374" s="109"/>
      <c r="F7374" s="110"/>
      <c r="G7374" s="109"/>
    </row>
    <row r="7375" spans="3:7" x14ac:dyDescent="0.3">
      <c r="C7375" s="109"/>
      <c r="D7375" s="109"/>
      <c r="E7375" s="109"/>
      <c r="F7375" s="110"/>
      <c r="G7375" s="109"/>
    </row>
    <row r="7376" spans="3:7" x14ac:dyDescent="0.3">
      <c r="C7376" s="109"/>
      <c r="D7376" s="109"/>
      <c r="E7376" s="109"/>
      <c r="F7376" s="110"/>
      <c r="G7376" s="109"/>
    </row>
    <row r="7377" spans="3:7" x14ac:dyDescent="0.3">
      <c r="C7377" s="109"/>
      <c r="D7377" s="109"/>
      <c r="E7377" s="109"/>
      <c r="F7377" s="110"/>
      <c r="G7377" s="109"/>
    </row>
    <row r="7378" spans="3:7" x14ac:dyDescent="0.3">
      <c r="C7378" s="109"/>
      <c r="D7378" s="109"/>
      <c r="E7378" s="109"/>
      <c r="F7378" s="110"/>
      <c r="G7378" s="109"/>
    </row>
    <row r="7379" spans="3:7" x14ac:dyDescent="0.3">
      <c r="C7379" s="109"/>
      <c r="D7379" s="109"/>
      <c r="E7379" s="109"/>
      <c r="F7379" s="110"/>
      <c r="G7379" s="109"/>
    </row>
    <row r="7380" spans="3:7" x14ac:dyDescent="0.3">
      <c r="C7380" s="109"/>
      <c r="D7380" s="109"/>
      <c r="E7380" s="109"/>
      <c r="F7380" s="110"/>
      <c r="G7380" s="109"/>
    </row>
    <row r="7381" spans="3:7" x14ac:dyDescent="0.3">
      <c r="C7381" s="109"/>
      <c r="D7381" s="109"/>
      <c r="E7381" s="109"/>
      <c r="F7381" s="110"/>
      <c r="G7381" s="109"/>
    </row>
    <row r="7382" spans="3:7" x14ac:dyDescent="0.3">
      <c r="C7382" s="109"/>
      <c r="D7382" s="109"/>
      <c r="E7382" s="109"/>
      <c r="F7382" s="110"/>
      <c r="G7382" s="109"/>
    </row>
    <row r="7383" spans="3:7" x14ac:dyDescent="0.3">
      <c r="C7383" s="109"/>
      <c r="D7383" s="109"/>
      <c r="E7383" s="109"/>
      <c r="F7383" s="110"/>
      <c r="G7383" s="109"/>
    </row>
    <row r="7384" spans="3:7" x14ac:dyDescent="0.3">
      <c r="C7384" s="109"/>
      <c r="D7384" s="109"/>
      <c r="E7384" s="109"/>
      <c r="F7384" s="110"/>
      <c r="G7384" s="109"/>
    </row>
    <row r="7385" spans="3:7" x14ac:dyDescent="0.3">
      <c r="C7385" s="109"/>
      <c r="D7385" s="109"/>
      <c r="E7385" s="109"/>
      <c r="F7385" s="110"/>
      <c r="G7385" s="109"/>
    </row>
    <row r="7386" spans="3:7" x14ac:dyDescent="0.3">
      <c r="C7386" s="109"/>
      <c r="D7386" s="109"/>
      <c r="E7386" s="109"/>
      <c r="F7386" s="110"/>
      <c r="G7386" s="109"/>
    </row>
    <row r="7387" spans="3:7" x14ac:dyDescent="0.3">
      <c r="C7387" s="109"/>
      <c r="D7387" s="109"/>
      <c r="E7387" s="109"/>
      <c r="F7387" s="110"/>
      <c r="G7387" s="109"/>
    </row>
    <row r="7388" spans="3:7" x14ac:dyDescent="0.3">
      <c r="C7388" s="109"/>
      <c r="D7388" s="109"/>
      <c r="E7388" s="109"/>
      <c r="F7388" s="110"/>
      <c r="G7388" s="109"/>
    </row>
    <row r="7389" spans="3:7" x14ac:dyDescent="0.3">
      <c r="C7389" s="109"/>
      <c r="D7389" s="109"/>
      <c r="E7389" s="109"/>
      <c r="F7389" s="110"/>
      <c r="G7389" s="109"/>
    </row>
    <row r="7390" spans="3:7" x14ac:dyDescent="0.3">
      <c r="C7390" s="109"/>
      <c r="D7390" s="109"/>
      <c r="E7390" s="109"/>
      <c r="F7390" s="110"/>
      <c r="G7390" s="109"/>
    </row>
    <row r="7391" spans="3:7" x14ac:dyDescent="0.3">
      <c r="C7391" s="109"/>
      <c r="D7391" s="109"/>
      <c r="E7391" s="109"/>
      <c r="F7391" s="110"/>
      <c r="G7391" s="109"/>
    </row>
    <row r="7392" spans="3:7" x14ac:dyDescent="0.3">
      <c r="C7392" s="109"/>
      <c r="D7392" s="109"/>
      <c r="E7392" s="109"/>
      <c r="F7392" s="110"/>
      <c r="G7392" s="109"/>
    </row>
    <row r="7393" spans="3:7" x14ac:dyDescent="0.3">
      <c r="C7393" s="109"/>
      <c r="D7393" s="109"/>
      <c r="E7393" s="109"/>
      <c r="F7393" s="110"/>
      <c r="G7393" s="109"/>
    </row>
    <row r="7394" spans="3:7" x14ac:dyDescent="0.3">
      <c r="C7394" s="109"/>
      <c r="D7394" s="109"/>
      <c r="E7394" s="109"/>
      <c r="F7394" s="110"/>
      <c r="G7394" s="109"/>
    </row>
    <row r="7395" spans="3:7" x14ac:dyDescent="0.3">
      <c r="C7395" s="109"/>
      <c r="D7395" s="109"/>
      <c r="E7395" s="109"/>
      <c r="F7395" s="110"/>
      <c r="G7395" s="109"/>
    </row>
    <row r="7396" spans="3:7" x14ac:dyDescent="0.3">
      <c r="C7396" s="109"/>
      <c r="D7396" s="109"/>
      <c r="E7396" s="109"/>
      <c r="F7396" s="110"/>
      <c r="G7396" s="109"/>
    </row>
    <row r="7397" spans="3:7" x14ac:dyDescent="0.3">
      <c r="C7397" s="109"/>
      <c r="D7397" s="109"/>
      <c r="E7397" s="109"/>
      <c r="F7397" s="110"/>
      <c r="G7397" s="109"/>
    </row>
    <row r="7398" spans="3:7" x14ac:dyDescent="0.3">
      <c r="C7398" s="109"/>
      <c r="D7398" s="109"/>
      <c r="E7398" s="109"/>
      <c r="F7398" s="110"/>
      <c r="G7398" s="109"/>
    </row>
    <row r="7399" spans="3:7" x14ac:dyDescent="0.3">
      <c r="C7399" s="109"/>
      <c r="D7399" s="109"/>
      <c r="E7399" s="109"/>
      <c r="F7399" s="110"/>
      <c r="G7399" s="109"/>
    </row>
    <row r="7400" spans="3:7" x14ac:dyDescent="0.3">
      <c r="C7400" s="109"/>
      <c r="D7400" s="109"/>
      <c r="E7400" s="109"/>
      <c r="F7400" s="110"/>
      <c r="G7400" s="109"/>
    </row>
    <row r="7401" spans="3:7" x14ac:dyDescent="0.3">
      <c r="C7401" s="109"/>
      <c r="D7401" s="109"/>
      <c r="E7401" s="109"/>
      <c r="F7401" s="110"/>
      <c r="G7401" s="109"/>
    </row>
    <row r="7402" spans="3:7" x14ac:dyDescent="0.3">
      <c r="C7402" s="109"/>
      <c r="D7402" s="109"/>
      <c r="E7402" s="109"/>
      <c r="F7402" s="110"/>
      <c r="G7402" s="109"/>
    </row>
    <row r="7403" spans="3:7" x14ac:dyDescent="0.3">
      <c r="C7403" s="109"/>
      <c r="D7403" s="109"/>
      <c r="E7403" s="109"/>
      <c r="F7403" s="110"/>
      <c r="G7403" s="109"/>
    </row>
    <row r="7404" spans="3:7" x14ac:dyDescent="0.3">
      <c r="C7404" s="109"/>
      <c r="D7404" s="109"/>
      <c r="E7404" s="109"/>
      <c r="F7404" s="110"/>
      <c r="G7404" s="109"/>
    </row>
    <row r="7405" spans="3:7" x14ac:dyDescent="0.3">
      <c r="C7405" s="109"/>
      <c r="D7405" s="109"/>
      <c r="E7405" s="109"/>
      <c r="F7405" s="110"/>
      <c r="G7405" s="109"/>
    </row>
    <row r="7406" spans="3:7" x14ac:dyDescent="0.3">
      <c r="C7406" s="109"/>
      <c r="D7406" s="109"/>
      <c r="E7406" s="109"/>
      <c r="F7406" s="110"/>
      <c r="G7406" s="109"/>
    </row>
    <row r="7407" spans="3:7" x14ac:dyDescent="0.3">
      <c r="C7407" s="109"/>
      <c r="D7407" s="109"/>
      <c r="E7407" s="109"/>
      <c r="F7407" s="110"/>
      <c r="G7407" s="109"/>
    </row>
    <row r="7408" spans="3:7" x14ac:dyDescent="0.3">
      <c r="C7408" s="109"/>
      <c r="D7408" s="109"/>
      <c r="E7408" s="109"/>
      <c r="F7408" s="110"/>
      <c r="G7408" s="109"/>
    </row>
    <row r="7409" spans="3:7" x14ac:dyDescent="0.3">
      <c r="C7409" s="109"/>
      <c r="D7409" s="109"/>
      <c r="E7409" s="109"/>
      <c r="F7409" s="110"/>
      <c r="G7409" s="109"/>
    </row>
    <row r="7410" spans="3:7" x14ac:dyDescent="0.3">
      <c r="C7410" s="109"/>
      <c r="D7410" s="109"/>
      <c r="E7410" s="109"/>
      <c r="F7410" s="110"/>
      <c r="G7410" s="109"/>
    </row>
    <row r="7411" spans="3:7" x14ac:dyDescent="0.3">
      <c r="C7411" s="109"/>
      <c r="D7411" s="109"/>
      <c r="E7411" s="109"/>
      <c r="F7411" s="110"/>
      <c r="G7411" s="109"/>
    </row>
    <row r="7412" spans="3:7" x14ac:dyDescent="0.3">
      <c r="C7412" s="109"/>
      <c r="D7412" s="109"/>
      <c r="E7412" s="109"/>
      <c r="F7412" s="110"/>
      <c r="G7412" s="109"/>
    </row>
    <row r="7413" spans="3:7" x14ac:dyDescent="0.3">
      <c r="C7413" s="109"/>
      <c r="D7413" s="109"/>
      <c r="E7413" s="109"/>
      <c r="F7413" s="110"/>
      <c r="G7413" s="109"/>
    </row>
    <row r="7414" spans="3:7" x14ac:dyDescent="0.3">
      <c r="C7414" s="109"/>
      <c r="D7414" s="109"/>
      <c r="E7414" s="109"/>
      <c r="F7414" s="110"/>
      <c r="G7414" s="109"/>
    </row>
    <row r="7415" spans="3:7" x14ac:dyDescent="0.3">
      <c r="C7415" s="109"/>
      <c r="D7415" s="109"/>
      <c r="E7415" s="109"/>
      <c r="F7415" s="110"/>
      <c r="G7415" s="109"/>
    </row>
    <row r="7416" spans="3:7" x14ac:dyDescent="0.3">
      <c r="C7416" s="109"/>
      <c r="D7416" s="109"/>
      <c r="E7416" s="109"/>
      <c r="F7416" s="110"/>
      <c r="G7416" s="109"/>
    </row>
    <row r="7417" spans="3:7" x14ac:dyDescent="0.3">
      <c r="C7417" s="109"/>
      <c r="D7417" s="109"/>
      <c r="E7417" s="109"/>
      <c r="F7417" s="110"/>
      <c r="G7417" s="109"/>
    </row>
    <row r="7418" spans="3:7" x14ac:dyDescent="0.3">
      <c r="C7418" s="109"/>
      <c r="D7418" s="109"/>
      <c r="E7418" s="109"/>
      <c r="F7418" s="110"/>
      <c r="G7418" s="109"/>
    </row>
    <row r="7419" spans="3:7" x14ac:dyDescent="0.3">
      <c r="C7419" s="109"/>
      <c r="D7419" s="109"/>
      <c r="E7419" s="109"/>
      <c r="F7419" s="110"/>
      <c r="G7419" s="109"/>
    </row>
    <row r="7420" spans="3:7" x14ac:dyDescent="0.3">
      <c r="C7420" s="109"/>
      <c r="D7420" s="109"/>
      <c r="E7420" s="109"/>
      <c r="F7420" s="110"/>
      <c r="G7420" s="109"/>
    </row>
    <row r="7421" spans="3:7" x14ac:dyDescent="0.3">
      <c r="C7421" s="109"/>
      <c r="D7421" s="109"/>
      <c r="E7421" s="109"/>
      <c r="F7421" s="110"/>
      <c r="G7421" s="109"/>
    </row>
    <row r="7422" spans="3:7" x14ac:dyDescent="0.3">
      <c r="C7422" s="109"/>
      <c r="D7422" s="109"/>
      <c r="E7422" s="109"/>
      <c r="F7422" s="110"/>
      <c r="G7422" s="109"/>
    </row>
    <row r="7423" spans="3:7" x14ac:dyDescent="0.3">
      <c r="C7423" s="109"/>
      <c r="D7423" s="109"/>
      <c r="E7423" s="109"/>
      <c r="F7423" s="110"/>
      <c r="G7423" s="109"/>
    </row>
    <row r="7424" spans="3:7" x14ac:dyDescent="0.3">
      <c r="C7424" s="109"/>
      <c r="D7424" s="109"/>
      <c r="E7424" s="109"/>
      <c r="F7424" s="110"/>
      <c r="G7424" s="109"/>
    </row>
    <row r="7425" spans="3:7" x14ac:dyDescent="0.3">
      <c r="C7425" s="109"/>
      <c r="D7425" s="109"/>
      <c r="E7425" s="109"/>
      <c r="F7425" s="110"/>
      <c r="G7425" s="109"/>
    </row>
    <row r="7426" spans="3:7" x14ac:dyDescent="0.3">
      <c r="C7426" s="109"/>
      <c r="D7426" s="109"/>
      <c r="E7426" s="109"/>
      <c r="F7426" s="110"/>
      <c r="G7426" s="109"/>
    </row>
    <row r="7427" spans="3:7" x14ac:dyDescent="0.3">
      <c r="C7427" s="109"/>
      <c r="D7427" s="109"/>
      <c r="E7427" s="109"/>
      <c r="F7427" s="110"/>
      <c r="G7427" s="109"/>
    </row>
    <row r="7428" spans="3:7" x14ac:dyDescent="0.3">
      <c r="C7428" s="109"/>
      <c r="D7428" s="109"/>
      <c r="E7428" s="109"/>
      <c r="F7428" s="110"/>
      <c r="G7428" s="109"/>
    </row>
    <row r="7429" spans="3:7" x14ac:dyDescent="0.3">
      <c r="C7429" s="109"/>
      <c r="D7429" s="109"/>
      <c r="E7429" s="109"/>
      <c r="F7429" s="110"/>
      <c r="G7429" s="109"/>
    </row>
    <row r="7430" spans="3:7" x14ac:dyDescent="0.3">
      <c r="C7430" s="109"/>
      <c r="D7430" s="109"/>
      <c r="E7430" s="109"/>
      <c r="F7430" s="110"/>
      <c r="G7430" s="109"/>
    </row>
    <row r="7431" spans="3:7" x14ac:dyDescent="0.3">
      <c r="C7431" s="109"/>
      <c r="D7431" s="109"/>
      <c r="E7431" s="109"/>
      <c r="F7431" s="110"/>
      <c r="G7431" s="109"/>
    </row>
    <row r="7432" spans="3:7" x14ac:dyDescent="0.3">
      <c r="C7432" s="109"/>
      <c r="D7432" s="109"/>
      <c r="E7432" s="109"/>
      <c r="F7432" s="110"/>
      <c r="G7432" s="109"/>
    </row>
    <row r="7433" spans="3:7" x14ac:dyDescent="0.3">
      <c r="C7433" s="109"/>
      <c r="D7433" s="109"/>
      <c r="E7433" s="109"/>
      <c r="F7433" s="110"/>
      <c r="G7433" s="109"/>
    </row>
    <row r="7434" spans="3:7" x14ac:dyDescent="0.3">
      <c r="C7434" s="109"/>
      <c r="D7434" s="109"/>
      <c r="E7434" s="109"/>
      <c r="F7434" s="110"/>
      <c r="G7434" s="109"/>
    </row>
    <row r="7435" spans="3:7" x14ac:dyDescent="0.3">
      <c r="C7435" s="109"/>
      <c r="D7435" s="109"/>
      <c r="E7435" s="109"/>
      <c r="F7435" s="110"/>
      <c r="G7435" s="109"/>
    </row>
    <row r="7436" spans="3:7" x14ac:dyDescent="0.3">
      <c r="C7436" s="109"/>
      <c r="D7436" s="109"/>
      <c r="E7436" s="109"/>
      <c r="F7436" s="110"/>
      <c r="G7436" s="109"/>
    </row>
    <row r="7437" spans="3:7" x14ac:dyDescent="0.3">
      <c r="C7437" s="109"/>
      <c r="D7437" s="109"/>
      <c r="E7437" s="109"/>
      <c r="F7437" s="110"/>
      <c r="G7437" s="109"/>
    </row>
    <row r="7438" spans="3:7" x14ac:dyDescent="0.3">
      <c r="C7438" s="109"/>
      <c r="D7438" s="109"/>
      <c r="E7438" s="109"/>
      <c r="F7438" s="110"/>
      <c r="G7438" s="109"/>
    </row>
    <row r="7439" spans="3:7" x14ac:dyDescent="0.3">
      <c r="C7439" s="109"/>
      <c r="D7439" s="109"/>
      <c r="E7439" s="109"/>
      <c r="F7439" s="110"/>
      <c r="G7439" s="109"/>
    </row>
    <row r="7440" spans="3:7" x14ac:dyDescent="0.3">
      <c r="C7440" s="109"/>
      <c r="D7440" s="109"/>
      <c r="E7440" s="109"/>
      <c r="F7440" s="110"/>
      <c r="G7440" s="109"/>
    </row>
    <row r="7441" spans="3:7" x14ac:dyDescent="0.3">
      <c r="C7441" s="109"/>
      <c r="D7441" s="109"/>
      <c r="E7441" s="109"/>
      <c r="F7441" s="110"/>
      <c r="G7441" s="109"/>
    </row>
    <row r="7442" spans="3:7" x14ac:dyDescent="0.3">
      <c r="C7442" s="109"/>
      <c r="D7442" s="109"/>
      <c r="E7442" s="109"/>
      <c r="F7442" s="110"/>
      <c r="G7442" s="109"/>
    </row>
    <row r="7443" spans="3:7" x14ac:dyDescent="0.3">
      <c r="C7443" s="109"/>
      <c r="D7443" s="109"/>
      <c r="E7443" s="109"/>
      <c r="F7443" s="110"/>
      <c r="G7443" s="109"/>
    </row>
    <row r="7444" spans="3:7" x14ac:dyDescent="0.3">
      <c r="C7444" s="109"/>
      <c r="D7444" s="109"/>
      <c r="E7444" s="109"/>
      <c r="F7444" s="110"/>
      <c r="G7444" s="109"/>
    </row>
    <row r="7445" spans="3:7" x14ac:dyDescent="0.3">
      <c r="C7445" s="109"/>
      <c r="D7445" s="109"/>
      <c r="E7445" s="109"/>
      <c r="F7445" s="110"/>
      <c r="G7445" s="109"/>
    </row>
    <row r="7446" spans="3:7" x14ac:dyDescent="0.3">
      <c r="C7446" s="109"/>
      <c r="D7446" s="109"/>
      <c r="E7446" s="109"/>
      <c r="F7446" s="110"/>
      <c r="G7446" s="109"/>
    </row>
    <row r="7447" spans="3:7" x14ac:dyDescent="0.3">
      <c r="C7447" s="109"/>
      <c r="D7447" s="109"/>
      <c r="E7447" s="109"/>
      <c r="F7447" s="110"/>
      <c r="G7447" s="109"/>
    </row>
    <row r="7448" spans="3:7" x14ac:dyDescent="0.3">
      <c r="C7448" s="109"/>
      <c r="D7448" s="109"/>
      <c r="E7448" s="109"/>
      <c r="F7448" s="110"/>
      <c r="G7448" s="109"/>
    </row>
    <row r="7449" spans="3:7" x14ac:dyDescent="0.3">
      <c r="C7449" s="109"/>
      <c r="D7449" s="109"/>
      <c r="E7449" s="109"/>
      <c r="F7449" s="110"/>
      <c r="G7449" s="109"/>
    </row>
    <row r="7450" spans="3:7" x14ac:dyDescent="0.3">
      <c r="C7450" s="109"/>
      <c r="D7450" s="109"/>
      <c r="E7450" s="109"/>
      <c r="F7450" s="110"/>
      <c r="G7450" s="109"/>
    </row>
    <row r="7451" spans="3:7" x14ac:dyDescent="0.3">
      <c r="C7451" s="109"/>
      <c r="D7451" s="109"/>
      <c r="E7451" s="109"/>
      <c r="F7451" s="110"/>
      <c r="G7451" s="109"/>
    </row>
    <row r="7452" spans="3:7" x14ac:dyDescent="0.3">
      <c r="C7452" s="109"/>
      <c r="D7452" s="109"/>
      <c r="E7452" s="109"/>
      <c r="F7452" s="110"/>
      <c r="G7452" s="109"/>
    </row>
    <row r="7453" spans="3:7" x14ac:dyDescent="0.3">
      <c r="C7453" s="109"/>
      <c r="D7453" s="109"/>
      <c r="E7453" s="109"/>
      <c r="F7453" s="110"/>
      <c r="G7453" s="109"/>
    </row>
    <row r="7454" spans="3:7" x14ac:dyDescent="0.3">
      <c r="C7454" s="109"/>
      <c r="D7454" s="109"/>
      <c r="E7454" s="109"/>
      <c r="F7454" s="110"/>
      <c r="G7454" s="109"/>
    </row>
    <row r="7455" spans="3:7" x14ac:dyDescent="0.3">
      <c r="C7455" s="109"/>
      <c r="D7455" s="109"/>
      <c r="E7455" s="109"/>
      <c r="F7455" s="110"/>
      <c r="G7455" s="109"/>
    </row>
    <row r="7456" spans="3:7" x14ac:dyDescent="0.3">
      <c r="C7456" s="109"/>
      <c r="D7456" s="109"/>
      <c r="E7456" s="109"/>
      <c r="F7456" s="110"/>
      <c r="G7456" s="109"/>
    </row>
    <row r="7457" spans="3:7" x14ac:dyDescent="0.3">
      <c r="C7457" s="109"/>
      <c r="D7457" s="109"/>
      <c r="E7457" s="109"/>
      <c r="F7457" s="110"/>
      <c r="G7457" s="109"/>
    </row>
    <row r="7458" spans="3:7" x14ac:dyDescent="0.3">
      <c r="C7458" s="109"/>
      <c r="D7458" s="109"/>
      <c r="E7458" s="109"/>
      <c r="F7458" s="110"/>
      <c r="G7458" s="109"/>
    </row>
    <row r="7459" spans="3:7" x14ac:dyDescent="0.3">
      <c r="C7459" s="109"/>
      <c r="D7459" s="109"/>
      <c r="E7459" s="109"/>
      <c r="F7459" s="110"/>
      <c r="G7459" s="109"/>
    </row>
    <row r="7460" spans="3:7" x14ac:dyDescent="0.3">
      <c r="C7460" s="109"/>
      <c r="D7460" s="109"/>
      <c r="E7460" s="109"/>
      <c r="F7460" s="110"/>
      <c r="G7460" s="109"/>
    </row>
    <row r="7461" spans="3:7" x14ac:dyDescent="0.3">
      <c r="C7461" s="109"/>
      <c r="D7461" s="109"/>
      <c r="E7461" s="109"/>
      <c r="F7461" s="110"/>
      <c r="G7461" s="109"/>
    </row>
    <row r="7462" spans="3:7" x14ac:dyDescent="0.3">
      <c r="C7462" s="109"/>
      <c r="D7462" s="109"/>
      <c r="E7462" s="109"/>
      <c r="F7462" s="110"/>
      <c r="G7462" s="109"/>
    </row>
    <row r="7463" spans="3:7" x14ac:dyDescent="0.3">
      <c r="C7463" s="109"/>
      <c r="D7463" s="109"/>
      <c r="E7463" s="109"/>
      <c r="F7463" s="110"/>
      <c r="G7463" s="109"/>
    </row>
    <row r="7464" spans="3:7" x14ac:dyDescent="0.3">
      <c r="C7464" s="109"/>
      <c r="D7464" s="109"/>
      <c r="E7464" s="109"/>
      <c r="F7464" s="110"/>
      <c r="G7464" s="109"/>
    </row>
    <row r="7465" spans="3:7" x14ac:dyDescent="0.3">
      <c r="C7465" s="109"/>
      <c r="D7465" s="109"/>
      <c r="E7465" s="109"/>
      <c r="F7465" s="110"/>
      <c r="G7465" s="109"/>
    </row>
    <row r="7466" spans="3:7" x14ac:dyDescent="0.3">
      <c r="C7466" s="109"/>
      <c r="D7466" s="109"/>
      <c r="E7466" s="109"/>
      <c r="F7466" s="110"/>
      <c r="G7466" s="109"/>
    </row>
    <row r="7467" spans="3:7" x14ac:dyDescent="0.3">
      <c r="C7467" s="109"/>
      <c r="D7467" s="109"/>
      <c r="E7467" s="109"/>
      <c r="F7467" s="110"/>
      <c r="G7467" s="109"/>
    </row>
    <row r="7468" spans="3:7" x14ac:dyDescent="0.3">
      <c r="C7468" s="109"/>
      <c r="D7468" s="109"/>
      <c r="E7468" s="109"/>
      <c r="F7468" s="110"/>
      <c r="G7468" s="109"/>
    </row>
    <row r="7469" spans="3:7" x14ac:dyDescent="0.3">
      <c r="C7469" s="109"/>
      <c r="D7469" s="109"/>
      <c r="E7469" s="109"/>
      <c r="F7469" s="110"/>
      <c r="G7469" s="109"/>
    </row>
    <row r="7470" spans="3:7" x14ac:dyDescent="0.3">
      <c r="C7470" s="109"/>
      <c r="D7470" s="109"/>
      <c r="E7470" s="109"/>
      <c r="F7470" s="110"/>
      <c r="G7470" s="109"/>
    </row>
    <row r="7471" spans="3:7" x14ac:dyDescent="0.3">
      <c r="C7471" s="109"/>
      <c r="D7471" s="109"/>
      <c r="E7471" s="109"/>
      <c r="F7471" s="110"/>
      <c r="G7471" s="109"/>
    </row>
    <row r="7472" spans="3:7" x14ac:dyDescent="0.3">
      <c r="C7472" s="109"/>
      <c r="D7472" s="109"/>
      <c r="E7472" s="109"/>
      <c r="F7472" s="110"/>
      <c r="G7472" s="109"/>
    </row>
    <row r="7473" spans="3:7" x14ac:dyDescent="0.3">
      <c r="C7473" s="109"/>
      <c r="D7473" s="109"/>
      <c r="E7473" s="109"/>
      <c r="F7473" s="110"/>
      <c r="G7473" s="109"/>
    </row>
    <row r="7474" spans="3:7" x14ac:dyDescent="0.3">
      <c r="C7474" s="109"/>
      <c r="D7474" s="109"/>
      <c r="E7474" s="109"/>
      <c r="F7474" s="110"/>
      <c r="G7474" s="109"/>
    </row>
    <row r="7475" spans="3:7" x14ac:dyDescent="0.3">
      <c r="C7475" s="109"/>
      <c r="D7475" s="109"/>
      <c r="E7475" s="109"/>
      <c r="F7475" s="110"/>
      <c r="G7475" s="109"/>
    </row>
    <row r="7476" spans="3:7" x14ac:dyDescent="0.3">
      <c r="C7476" s="109"/>
      <c r="D7476" s="109"/>
      <c r="E7476" s="109"/>
      <c r="F7476" s="110"/>
      <c r="G7476" s="109"/>
    </row>
    <row r="7477" spans="3:7" x14ac:dyDescent="0.3">
      <c r="C7477" s="109"/>
      <c r="D7477" s="109"/>
      <c r="E7477" s="109"/>
      <c r="F7477" s="110"/>
      <c r="G7477" s="109"/>
    </row>
    <row r="7478" spans="3:7" x14ac:dyDescent="0.3">
      <c r="C7478" s="109"/>
      <c r="D7478" s="109"/>
      <c r="E7478" s="109"/>
      <c r="F7478" s="110"/>
      <c r="G7478" s="109"/>
    </row>
    <row r="7479" spans="3:7" x14ac:dyDescent="0.3">
      <c r="C7479" s="109"/>
      <c r="D7479" s="109"/>
      <c r="E7479" s="109"/>
      <c r="F7479" s="110"/>
      <c r="G7479" s="109"/>
    </row>
    <row r="7480" spans="3:7" x14ac:dyDescent="0.3">
      <c r="C7480" s="109"/>
      <c r="D7480" s="109"/>
      <c r="E7480" s="109"/>
      <c r="F7480" s="110"/>
      <c r="G7480" s="109"/>
    </row>
    <row r="7481" spans="3:7" x14ac:dyDescent="0.3">
      <c r="C7481" s="109"/>
      <c r="D7481" s="109"/>
      <c r="E7481" s="109"/>
      <c r="F7481" s="110"/>
      <c r="G7481" s="109"/>
    </row>
    <row r="7482" spans="3:7" x14ac:dyDescent="0.3">
      <c r="C7482" s="109"/>
      <c r="D7482" s="109"/>
      <c r="E7482" s="109"/>
      <c r="F7482" s="110"/>
      <c r="G7482" s="109"/>
    </row>
    <row r="7483" spans="3:7" x14ac:dyDescent="0.3">
      <c r="C7483" s="109"/>
      <c r="D7483" s="109"/>
      <c r="E7483" s="109"/>
      <c r="F7483" s="110"/>
      <c r="G7483" s="109"/>
    </row>
    <row r="7484" spans="3:7" x14ac:dyDescent="0.3">
      <c r="C7484" s="109"/>
      <c r="D7484" s="109"/>
      <c r="E7484" s="109"/>
      <c r="F7484" s="110"/>
      <c r="G7484" s="109"/>
    </row>
    <row r="7485" spans="3:7" x14ac:dyDescent="0.3">
      <c r="C7485" s="109"/>
      <c r="D7485" s="109"/>
      <c r="E7485" s="109"/>
      <c r="F7485" s="110"/>
      <c r="G7485" s="109"/>
    </row>
    <row r="7486" spans="3:7" x14ac:dyDescent="0.3">
      <c r="C7486" s="109"/>
      <c r="D7486" s="109"/>
      <c r="E7486" s="109"/>
      <c r="F7486" s="110"/>
      <c r="G7486" s="109"/>
    </row>
    <row r="7487" spans="3:7" x14ac:dyDescent="0.3">
      <c r="C7487" s="109"/>
      <c r="D7487" s="109"/>
      <c r="E7487" s="109"/>
      <c r="F7487" s="110"/>
      <c r="G7487" s="109"/>
    </row>
    <row r="7488" spans="3:7" x14ac:dyDescent="0.3">
      <c r="C7488" s="109"/>
      <c r="D7488" s="109"/>
      <c r="E7488" s="109"/>
      <c r="F7488" s="110"/>
      <c r="G7488" s="109"/>
    </row>
    <row r="7489" spans="3:7" x14ac:dyDescent="0.3">
      <c r="C7489" s="109"/>
      <c r="D7489" s="109"/>
      <c r="E7489" s="109"/>
      <c r="F7489" s="110"/>
      <c r="G7489" s="109"/>
    </row>
    <row r="7490" spans="3:7" x14ac:dyDescent="0.3">
      <c r="C7490" s="109"/>
      <c r="D7490" s="109"/>
      <c r="E7490" s="109"/>
      <c r="F7490" s="110"/>
      <c r="G7490" s="109"/>
    </row>
    <row r="7491" spans="3:7" x14ac:dyDescent="0.3">
      <c r="C7491" s="109"/>
      <c r="D7491" s="109"/>
      <c r="E7491" s="109"/>
      <c r="F7491" s="110"/>
      <c r="G7491" s="109"/>
    </row>
    <row r="7492" spans="3:7" x14ac:dyDescent="0.3">
      <c r="C7492" s="109"/>
      <c r="D7492" s="109"/>
      <c r="E7492" s="109"/>
      <c r="F7492" s="110"/>
      <c r="G7492" s="109"/>
    </row>
    <row r="7493" spans="3:7" x14ac:dyDescent="0.3">
      <c r="C7493" s="109"/>
      <c r="D7493" s="109"/>
      <c r="E7493" s="109"/>
      <c r="F7493" s="110"/>
      <c r="G7493" s="109"/>
    </row>
    <row r="7494" spans="3:7" x14ac:dyDescent="0.3">
      <c r="C7494" s="109"/>
      <c r="D7494" s="109"/>
      <c r="E7494" s="109"/>
      <c r="F7494" s="110"/>
      <c r="G7494" s="109"/>
    </row>
    <row r="7495" spans="3:7" x14ac:dyDescent="0.3">
      <c r="C7495" s="109"/>
      <c r="D7495" s="109"/>
      <c r="E7495" s="109"/>
      <c r="F7495" s="110"/>
      <c r="G7495" s="109"/>
    </row>
    <row r="7496" spans="3:7" x14ac:dyDescent="0.3">
      <c r="C7496" s="109"/>
      <c r="D7496" s="109"/>
      <c r="E7496" s="109"/>
      <c r="F7496" s="110"/>
      <c r="G7496" s="109"/>
    </row>
    <row r="7497" spans="3:7" x14ac:dyDescent="0.3">
      <c r="C7497" s="109"/>
      <c r="D7497" s="109"/>
      <c r="E7497" s="109"/>
      <c r="F7497" s="110"/>
      <c r="G7497" s="109"/>
    </row>
    <row r="7498" spans="3:7" x14ac:dyDescent="0.3">
      <c r="C7498" s="109"/>
      <c r="D7498" s="109"/>
      <c r="E7498" s="109"/>
      <c r="F7498" s="110"/>
      <c r="G7498" s="109"/>
    </row>
    <row r="7499" spans="3:7" x14ac:dyDescent="0.3">
      <c r="C7499" s="109"/>
      <c r="D7499" s="109"/>
      <c r="E7499" s="109"/>
      <c r="F7499" s="110"/>
      <c r="G7499" s="109"/>
    </row>
    <row r="7500" spans="3:7" x14ac:dyDescent="0.3">
      <c r="C7500" s="109"/>
      <c r="D7500" s="109"/>
      <c r="E7500" s="109"/>
      <c r="F7500" s="110"/>
      <c r="G7500" s="109"/>
    </row>
    <row r="7501" spans="3:7" x14ac:dyDescent="0.3">
      <c r="C7501" s="109"/>
      <c r="D7501" s="109"/>
      <c r="E7501" s="109"/>
      <c r="F7501" s="110"/>
      <c r="G7501" s="109"/>
    </row>
    <row r="7502" spans="3:7" x14ac:dyDescent="0.3">
      <c r="C7502" s="109"/>
      <c r="D7502" s="109"/>
      <c r="E7502" s="109"/>
      <c r="F7502" s="110"/>
      <c r="G7502" s="109"/>
    </row>
    <row r="7503" spans="3:7" x14ac:dyDescent="0.3">
      <c r="C7503" s="109"/>
      <c r="D7503" s="109"/>
      <c r="E7503" s="109"/>
      <c r="F7503" s="110"/>
      <c r="G7503" s="109"/>
    </row>
    <row r="7504" spans="3:7" x14ac:dyDescent="0.3">
      <c r="C7504" s="109"/>
      <c r="D7504" s="109"/>
      <c r="E7504" s="109"/>
      <c r="F7504" s="110"/>
      <c r="G7504" s="109"/>
    </row>
    <row r="7505" spans="3:7" x14ac:dyDescent="0.3">
      <c r="C7505" s="109"/>
      <c r="D7505" s="109"/>
      <c r="E7505" s="109"/>
      <c r="F7505" s="110"/>
      <c r="G7505" s="109"/>
    </row>
    <row r="7506" spans="3:7" x14ac:dyDescent="0.3">
      <c r="C7506" s="109"/>
      <c r="D7506" s="109"/>
      <c r="E7506" s="109"/>
      <c r="F7506" s="110"/>
      <c r="G7506" s="109"/>
    </row>
    <row r="7507" spans="3:7" x14ac:dyDescent="0.3">
      <c r="C7507" s="109"/>
      <c r="D7507" s="109"/>
      <c r="E7507" s="109"/>
      <c r="F7507" s="110"/>
      <c r="G7507" s="109"/>
    </row>
    <row r="7508" spans="3:7" x14ac:dyDescent="0.3">
      <c r="C7508" s="109"/>
      <c r="D7508" s="109"/>
      <c r="E7508" s="109"/>
      <c r="F7508" s="110"/>
      <c r="G7508" s="109"/>
    </row>
    <row r="7509" spans="3:7" x14ac:dyDescent="0.3">
      <c r="C7509" s="109"/>
      <c r="D7509" s="109"/>
      <c r="E7509" s="109"/>
      <c r="F7509" s="110"/>
      <c r="G7509" s="109"/>
    </row>
    <row r="7510" spans="3:7" x14ac:dyDescent="0.3">
      <c r="C7510" s="109"/>
      <c r="D7510" s="109"/>
      <c r="E7510" s="109"/>
      <c r="F7510" s="110"/>
      <c r="G7510" s="109"/>
    </row>
    <row r="7511" spans="3:7" x14ac:dyDescent="0.3">
      <c r="C7511" s="109"/>
      <c r="D7511" s="109"/>
      <c r="E7511" s="109"/>
      <c r="F7511" s="110"/>
      <c r="G7511" s="109"/>
    </row>
    <row r="7512" spans="3:7" x14ac:dyDescent="0.3">
      <c r="C7512" s="109"/>
      <c r="D7512" s="109"/>
      <c r="E7512" s="109"/>
      <c r="F7512" s="110"/>
      <c r="G7512" s="109"/>
    </row>
    <row r="7513" spans="3:7" x14ac:dyDescent="0.3">
      <c r="C7513" s="109"/>
      <c r="D7513" s="109"/>
      <c r="E7513" s="109"/>
      <c r="F7513" s="110"/>
      <c r="G7513" s="109"/>
    </row>
    <row r="7514" spans="3:7" x14ac:dyDescent="0.3">
      <c r="C7514" s="109"/>
      <c r="D7514" s="109"/>
      <c r="E7514" s="109"/>
      <c r="F7514" s="110"/>
      <c r="G7514" s="109"/>
    </row>
    <row r="7515" spans="3:7" x14ac:dyDescent="0.3">
      <c r="C7515" s="109"/>
      <c r="D7515" s="109"/>
      <c r="E7515" s="109"/>
      <c r="F7515" s="110"/>
      <c r="G7515" s="109"/>
    </row>
    <row r="7516" spans="3:7" x14ac:dyDescent="0.3">
      <c r="C7516" s="109"/>
      <c r="D7516" s="109"/>
      <c r="E7516" s="109"/>
      <c r="F7516" s="110"/>
      <c r="G7516" s="109"/>
    </row>
    <row r="7517" spans="3:7" x14ac:dyDescent="0.3">
      <c r="C7517" s="109"/>
      <c r="D7517" s="109"/>
      <c r="E7517" s="109"/>
      <c r="F7517" s="110"/>
      <c r="G7517" s="109"/>
    </row>
    <row r="7518" spans="3:7" x14ac:dyDescent="0.3">
      <c r="C7518" s="109"/>
      <c r="D7518" s="109"/>
      <c r="E7518" s="109"/>
      <c r="F7518" s="110"/>
      <c r="G7518" s="109"/>
    </row>
    <row r="7519" spans="3:7" x14ac:dyDescent="0.3">
      <c r="C7519" s="109"/>
      <c r="D7519" s="109"/>
      <c r="E7519" s="109"/>
      <c r="F7519" s="110"/>
      <c r="G7519" s="109"/>
    </row>
    <row r="7520" spans="3:7" x14ac:dyDescent="0.3">
      <c r="C7520" s="109"/>
      <c r="D7520" s="109"/>
      <c r="E7520" s="109"/>
      <c r="F7520" s="110"/>
      <c r="G7520" s="109"/>
    </row>
    <row r="7521" spans="3:7" x14ac:dyDescent="0.3">
      <c r="C7521" s="109"/>
      <c r="D7521" s="109"/>
      <c r="E7521" s="109"/>
      <c r="F7521" s="110"/>
      <c r="G7521" s="109"/>
    </row>
    <row r="7522" spans="3:7" x14ac:dyDescent="0.3">
      <c r="C7522" s="109"/>
      <c r="D7522" s="109"/>
      <c r="E7522" s="109"/>
      <c r="F7522" s="110"/>
      <c r="G7522" s="109"/>
    </row>
    <row r="7523" spans="3:7" x14ac:dyDescent="0.3">
      <c r="C7523" s="109"/>
      <c r="D7523" s="109"/>
      <c r="E7523" s="109"/>
      <c r="F7523" s="110"/>
      <c r="G7523" s="109"/>
    </row>
    <row r="7524" spans="3:7" x14ac:dyDescent="0.3">
      <c r="C7524" s="109"/>
      <c r="D7524" s="109"/>
      <c r="E7524" s="109"/>
      <c r="F7524" s="110"/>
      <c r="G7524" s="109"/>
    </row>
    <row r="7525" spans="3:7" x14ac:dyDescent="0.3">
      <c r="C7525" s="109"/>
      <c r="D7525" s="109"/>
      <c r="E7525" s="109"/>
      <c r="F7525" s="110"/>
      <c r="G7525" s="109"/>
    </row>
    <row r="7526" spans="3:7" x14ac:dyDescent="0.3">
      <c r="C7526" s="109"/>
      <c r="D7526" s="109"/>
      <c r="E7526" s="109"/>
      <c r="F7526" s="110"/>
      <c r="G7526" s="109"/>
    </row>
    <row r="7527" spans="3:7" x14ac:dyDescent="0.3">
      <c r="C7527" s="109"/>
      <c r="D7527" s="109"/>
      <c r="E7527" s="109"/>
      <c r="F7527" s="110"/>
      <c r="G7527" s="109"/>
    </row>
    <row r="7528" spans="3:7" x14ac:dyDescent="0.3">
      <c r="C7528" s="109"/>
      <c r="D7528" s="109"/>
      <c r="E7528" s="109"/>
      <c r="F7528" s="110"/>
      <c r="G7528" s="109"/>
    </row>
    <row r="7529" spans="3:7" x14ac:dyDescent="0.3">
      <c r="C7529" s="109"/>
      <c r="D7529" s="109"/>
      <c r="E7529" s="109"/>
      <c r="F7529" s="110"/>
      <c r="G7529" s="109"/>
    </row>
    <row r="7530" spans="3:7" x14ac:dyDescent="0.3">
      <c r="C7530" s="109"/>
      <c r="D7530" s="109"/>
      <c r="E7530" s="109"/>
      <c r="F7530" s="110"/>
      <c r="G7530" s="109"/>
    </row>
    <row r="7531" spans="3:7" x14ac:dyDescent="0.3">
      <c r="C7531" s="109"/>
      <c r="D7531" s="109"/>
      <c r="E7531" s="109"/>
      <c r="F7531" s="110"/>
      <c r="G7531" s="109"/>
    </row>
    <row r="7532" spans="3:7" x14ac:dyDescent="0.3">
      <c r="C7532" s="109"/>
      <c r="D7532" s="109"/>
      <c r="E7532" s="109"/>
      <c r="F7532" s="110"/>
      <c r="G7532" s="109"/>
    </row>
    <row r="7533" spans="3:7" x14ac:dyDescent="0.3">
      <c r="C7533" s="109"/>
      <c r="D7533" s="109"/>
      <c r="E7533" s="109"/>
      <c r="F7533" s="110"/>
      <c r="G7533" s="109"/>
    </row>
    <row r="7534" spans="3:7" x14ac:dyDescent="0.3">
      <c r="C7534" s="109"/>
      <c r="D7534" s="109"/>
      <c r="E7534" s="109"/>
      <c r="F7534" s="110"/>
      <c r="G7534" s="109"/>
    </row>
    <row r="7535" spans="3:7" x14ac:dyDescent="0.3">
      <c r="C7535" s="109"/>
      <c r="D7535" s="109"/>
      <c r="E7535" s="109"/>
      <c r="F7535" s="110"/>
      <c r="G7535" s="109"/>
    </row>
    <row r="7536" spans="3:7" x14ac:dyDescent="0.3">
      <c r="C7536" s="109"/>
      <c r="D7536" s="109"/>
      <c r="E7536" s="109"/>
      <c r="F7536" s="110"/>
      <c r="G7536" s="109"/>
    </row>
    <row r="7537" spans="3:7" x14ac:dyDescent="0.3">
      <c r="C7537" s="109"/>
      <c r="D7537" s="109"/>
      <c r="E7537" s="109"/>
      <c r="F7537" s="110"/>
      <c r="G7537" s="109"/>
    </row>
    <row r="7538" spans="3:7" x14ac:dyDescent="0.3">
      <c r="C7538" s="109"/>
      <c r="D7538" s="109"/>
      <c r="E7538" s="109"/>
      <c r="F7538" s="110"/>
      <c r="G7538" s="109"/>
    </row>
    <row r="7539" spans="3:7" x14ac:dyDescent="0.3">
      <c r="C7539" s="109"/>
      <c r="D7539" s="109"/>
      <c r="E7539" s="109"/>
      <c r="F7539" s="110"/>
      <c r="G7539" s="109"/>
    </row>
    <row r="7540" spans="3:7" x14ac:dyDescent="0.3">
      <c r="C7540" s="109"/>
      <c r="D7540" s="109"/>
      <c r="E7540" s="109"/>
      <c r="F7540" s="110"/>
      <c r="G7540" s="109"/>
    </row>
    <row r="7541" spans="3:7" x14ac:dyDescent="0.3">
      <c r="C7541" s="109"/>
      <c r="D7541" s="109"/>
      <c r="E7541" s="109"/>
      <c r="F7541" s="110"/>
      <c r="G7541" s="109"/>
    </row>
    <row r="7542" spans="3:7" x14ac:dyDescent="0.3">
      <c r="C7542" s="109"/>
      <c r="D7542" s="109"/>
      <c r="E7542" s="109"/>
      <c r="F7542" s="110"/>
      <c r="G7542" s="109"/>
    </row>
    <row r="7543" spans="3:7" x14ac:dyDescent="0.3">
      <c r="C7543" s="109"/>
      <c r="D7543" s="109"/>
      <c r="E7543" s="109"/>
      <c r="F7543" s="110"/>
      <c r="G7543" s="109"/>
    </row>
    <row r="7544" spans="3:7" x14ac:dyDescent="0.3">
      <c r="C7544" s="109"/>
      <c r="D7544" s="109"/>
      <c r="E7544" s="109"/>
      <c r="F7544" s="110"/>
      <c r="G7544" s="109"/>
    </row>
    <row r="7545" spans="3:7" x14ac:dyDescent="0.3">
      <c r="C7545" s="109"/>
      <c r="D7545" s="109"/>
      <c r="E7545" s="109"/>
      <c r="F7545" s="110"/>
      <c r="G7545" s="109"/>
    </row>
    <row r="7546" spans="3:7" x14ac:dyDescent="0.3">
      <c r="C7546" s="109"/>
      <c r="D7546" s="109"/>
      <c r="E7546" s="109"/>
      <c r="F7546" s="110"/>
      <c r="G7546" s="109"/>
    </row>
    <row r="7547" spans="3:7" x14ac:dyDescent="0.3">
      <c r="C7547" s="109"/>
      <c r="D7547" s="109"/>
      <c r="E7547" s="109"/>
      <c r="F7547" s="110"/>
      <c r="G7547" s="109"/>
    </row>
    <row r="7548" spans="3:7" x14ac:dyDescent="0.3">
      <c r="C7548" s="109"/>
      <c r="D7548" s="109"/>
      <c r="E7548" s="109"/>
      <c r="F7548" s="110"/>
      <c r="G7548" s="109"/>
    </row>
    <row r="7549" spans="3:7" x14ac:dyDescent="0.3">
      <c r="C7549" s="109"/>
      <c r="D7549" s="109"/>
      <c r="E7549" s="109"/>
      <c r="F7549" s="110"/>
      <c r="G7549" s="109"/>
    </row>
    <row r="7550" spans="3:7" x14ac:dyDescent="0.3">
      <c r="C7550" s="109"/>
      <c r="D7550" s="109"/>
      <c r="E7550" s="109"/>
      <c r="F7550" s="110"/>
      <c r="G7550" s="109"/>
    </row>
    <row r="7551" spans="3:7" x14ac:dyDescent="0.3">
      <c r="C7551" s="109"/>
      <c r="D7551" s="109"/>
      <c r="E7551" s="109"/>
      <c r="F7551" s="110"/>
      <c r="G7551" s="109"/>
    </row>
    <row r="7552" spans="3:7" x14ac:dyDescent="0.3">
      <c r="C7552" s="109"/>
      <c r="D7552" s="109"/>
      <c r="E7552" s="109"/>
      <c r="F7552" s="110"/>
      <c r="G7552" s="109"/>
    </row>
    <row r="7553" spans="3:7" x14ac:dyDescent="0.3">
      <c r="C7553" s="109"/>
      <c r="D7553" s="109"/>
      <c r="E7553" s="109"/>
      <c r="F7553" s="110"/>
      <c r="G7553" s="109"/>
    </row>
    <row r="7554" spans="3:7" x14ac:dyDescent="0.3">
      <c r="C7554" s="109"/>
      <c r="D7554" s="109"/>
      <c r="E7554" s="109"/>
      <c r="F7554" s="110"/>
      <c r="G7554" s="109"/>
    </row>
    <row r="7555" spans="3:7" x14ac:dyDescent="0.3">
      <c r="C7555" s="109"/>
      <c r="D7555" s="109"/>
      <c r="E7555" s="109"/>
      <c r="F7555" s="110"/>
      <c r="G7555" s="109"/>
    </row>
    <row r="7556" spans="3:7" x14ac:dyDescent="0.3">
      <c r="C7556" s="109"/>
      <c r="D7556" s="109"/>
      <c r="E7556" s="109"/>
      <c r="F7556" s="110"/>
      <c r="G7556" s="109"/>
    </row>
    <row r="7557" spans="3:7" x14ac:dyDescent="0.3">
      <c r="C7557" s="109"/>
      <c r="D7557" s="109"/>
      <c r="E7557" s="109"/>
      <c r="F7557" s="110"/>
      <c r="G7557" s="109"/>
    </row>
    <row r="7558" spans="3:7" x14ac:dyDescent="0.3">
      <c r="C7558" s="109"/>
      <c r="D7558" s="109"/>
      <c r="E7558" s="109"/>
      <c r="F7558" s="110"/>
      <c r="G7558" s="109"/>
    </row>
    <row r="7559" spans="3:7" x14ac:dyDescent="0.3">
      <c r="C7559" s="109"/>
      <c r="D7559" s="109"/>
      <c r="E7559" s="109"/>
      <c r="F7559" s="110"/>
      <c r="G7559" s="109"/>
    </row>
    <row r="7560" spans="3:7" x14ac:dyDescent="0.3">
      <c r="C7560" s="109"/>
      <c r="D7560" s="109"/>
      <c r="E7560" s="109"/>
      <c r="F7560" s="110"/>
      <c r="G7560" s="109"/>
    </row>
    <row r="7561" spans="3:7" x14ac:dyDescent="0.3">
      <c r="C7561" s="109"/>
      <c r="D7561" s="109"/>
      <c r="E7561" s="109"/>
      <c r="F7561" s="110"/>
      <c r="G7561" s="109"/>
    </row>
    <row r="7562" spans="3:7" x14ac:dyDescent="0.3">
      <c r="C7562" s="109"/>
      <c r="D7562" s="109"/>
      <c r="E7562" s="109"/>
      <c r="F7562" s="110"/>
      <c r="G7562" s="109"/>
    </row>
    <row r="7563" spans="3:7" x14ac:dyDescent="0.3">
      <c r="C7563" s="109"/>
      <c r="D7563" s="109"/>
      <c r="E7563" s="109"/>
      <c r="F7563" s="110"/>
      <c r="G7563" s="109"/>
    </row>
    <row r="7564" spans="3:7" x14ac:dyDescent="0.3">
      <c r="C7564" s="109"/>
      <c r="D7564" s="109"/>
      <c r="E7564" s="109"/>
      <c r="F7564" s="110"/>
      <c r="G7564" s="109"/>
    </row>
    <row r="7565" spans="3:7" x14ac:dyDescent="0.3">
      <c r="C7565" s="109"/>
      <c r="D7565" s="109"/>
      <c r="E7565" s="109"/>
      <c r="F7565" s="110"/>
      <c r="G7565" s="109"/>
    </row>
    <row r="7566" spans="3:7" x14ac:dyDescent="0.3">
      <c r="C7566" s="109"/>
      <c r="D7566" s="109"/>
      <c r="E7566" s="109"/>
      <c r="F7566" s="110"/>
      <c r="G7566" s="109"/>
    </row>
    <row r="7567" spans="3:7" x14ac:dyDescent="0.3">
      <c r="C7567" s="109"/>
      <c r="D7567" s="109"/>
      <c r="E7567" s="109"/>
      <c r="F7567" s="110"/>
      <c r="G7567" s="109"/>
    </row>
    <row r="7568" spans="3:7" x14ac:dyDescent="0.3">
      <c r="C7568" s="109"/>
      <c r="D7568" s="109"/>
      <c r="E7568" s="109"/>
      <c r="F7568" s="110"/>
      <c r="G7568" s="109"/>
    </row>
    <row r="7569" spans="3:7" x14ac:dyDescent="0.3">
      <c r="C7569" s="109"/>
      <c r="D7569" s="109"/>
      <c r="E7569" s="109"/>
      <c r="F7569" s="110"/>
      <c r="G7569" s="109"/>
    </row>
    <row r="7570" spans="3:7" x14ac:dyDescent="0.3">
      <c r="C7570" s="109"/>
      <c r="D7570" s="109"/>
      <c r="E7570" s="109"/>
      <c r="F7570" s="110"/>
      <c r="G7570" s="109"/>
    </row>
    <row r="7571" spans="3:7" x14ac:dyDescent="0.3">
      <c r="C7571" s="109"/>
      <c r="D7571" s="109"/>
      <c r="E7571" s="109"/>
      <c r="F7571" s="110"/>
      <c r="G7571" s="109"/>
    </row>
    <row r="7572" spans="3:7" x14ac:dyDescent="0.3">
      <c r="C7572" s="109"/>
      <c r="D7572" s="109"/>
      <c r="E7572" s="109"/>
      <c r="F7572" s="110"/>
      <c r="G7572" s="109"/>
    </row>
    <row r="7573" spans="3:7" x14ac:dyDescent="0.3">
      <c r="C7573" s="109"/>
      <c r="D7573" s="109"/>
      <c r="E7573" s="109"/>
      <c r="F7573" s="110"/>
      <c r="G7573" s="109"/>
    </row>
    <row r="7574" spans="3:7" x14ac:dyDescent="0.3">
      <c r="C7574" s="109"/>
      <c r="D7574" s="109"/>
      <c r="E7574" s="109"/>
      <c r="F7574" s="110"/>
      <c r="G7574" s="109"/>
    </row>
    <row r="7575" spans="3:7" x14ac:dyDescent="0.3">
      <c r="C7575" s="109"/>
      <c r="D7575" s="109"/>
      <c r="E7575" s="109"/>
      <c r="F7575" s="110"/>
      <c r="G7575" s="109"/>
    </row>
    <row r="7576" spans="3:7" x14ac:dyDescent="0.3">
      <c r="C7576" s="109"/>
      <c r="D7576" s="109"/>
      <c r="E7576" s="109"/>
      <c r="F7576" s="110"/>
      <c r="G7576" s="109"/>
    </row>
    <row r="7577" spans="3:7" x14ac:dyDescent="0.3">
      <c r="C7577" s="109"/>
      <c r="D7577" s="109"/>
      <c r="E7577" s="109"/>
      <c r="F7577" s="110"/>
      <c r="G7577" s="109"/>
    </row>
    <row r="7578" spans="3:7" x14ac:dyDescent="0.3">
      <c r="C7578" s="109"/>
      <c r="D7578" s="109"/>
      <c r="E7578" s="109"/>
      <c r="F7578" s="110"/>
      <c r="G7578" s="109"/>
    </row>
    <row r="7579" spans="3:7" x14ac:dyDescent="0.3">
      <c r="C7579" s="109"/>
      <c r="D7579" s="109"/>
      <c r="E7579" s="109"/>
      <c r="F7579" s="110"/>
      <c r="G7579" s="109"/>
    </row>
    <row r="7580" spans="3:7" x14ac:dyDescent="0.3">
      <c r="C7580" s="109"/>
      <c r="D7580" s="109"/>
      <c r="E7580" s="109"/>
      <c r="F7580" s="110"/>
      <c r="G7580" s="109"/>
    </row>
    <row r="7581" spans="3:7" x14ac:dyDescent="0.3">
      <c r="C7581" s="109"/>
      <c r="D7581" s="109"/>
      <c r="E7581" s="109"/>
      <c r="F7581" s="110"/>
      <c r="G7581" s="109"/>
    </row>
    <row r="7582" spans="3:7" x14ac:dyDescent="0.3">
      <c r="C7582" s="109"/>
      <c r="D7582" s="109"/>
      <c r="E7582" s="109"/>
      <c r="F7582" s="110"/>
      <c r="G7582" s="109"/>
    </row>
    <row r="7583" spans="3:7" x14ac:dyDescent="0.3">
      <c r="C7583" s="109"/>
      <c r="D7583" s="109"/>
      <c r="E7583" s="109"/>
      <c r="F7583" s="110"/>
      <c r="G7583" s="109"/>
    </row>
    <row r="7584" spans="3:7" x14ac:dyDescent="0.3">
      <c r="C7584" s="109"/>
      <c r="D7584" s="109"/>
      <c r="E7584" s="109"/>
      <c r="F7584" s="110"/>
      <c r="G7584" s="109"/>
    </row>
    <row r="7585" spans="3:7" x14ac:dyDescent="0.3">
      <c r="C7585" s="109"/>
      <c r="D7585" s="109"/>
      <c r="E7585" s="109"/>
      <c r="F7585" s="110"/>
      <c r="G7585" s="109"/>
    </row>
    <row r="7586" spans="3:7" x14ac:dyDescent="0.3">
      <c r="C7586" s="109"/>
      <c r="D7586" s="109"/>
      <c r="E7586" s="109"/>
      <c r="F7586" s="110"/>
      <c r="G7586" s="109"/>
    </row>
    <row r="7587" spans="3:7" x14ac:dyDescent="0.3">
      <c r="C7587" s="109"/>
      <c r="D7587" s="109"/>
      <c r="E7587" s="109"/>
      <c r="F7587" s="110"/>
      <c r="G7587" s="109"/>
    </row>
    <row r="7588" spans="3:7" x14ac:dyDescent="0.3">
      <c r="C7588" s="109"/>
      <c r="D7588" s="109"/>
      <c r="E7588" s="109"/>
      <c r="F7588" s="110"/>
      <c r="G7588" s="109"/>
    </row>
    <row r="7589" spans="3:7" x14ac:dyDescent="0.3">
      <c r="C7589" s="109"/>
      <c r="D7589" s="109"/>
      <c r="E7589" s="109"/>
      <c r="F7589" s="110"/>
      <c r="G7589" s="109"/>
    </row>
    <row r="7590" spans="3:7" x14ac:dyDescent="0.3">
      <c r="C7590" s="109"/>
      <c r="D7590" s="109"/>
      <c r="E7590" s="109"/>
      <c r="F7590" s="110"/>
      <c r="G7590" s="109"/>
    </row>
    <row r="7591" spans="3:7" x14ac:dyDescent="0.3">
      <c r="C7591" s="109"/>
      <c r="D7591" s="109"/>
      <c r="E7591" s="109"/>
      <c r="F7591" s="110"/>
      <c r="G7591" s="109"/>
    </row>
    <row r="7592" spans="3:7" x14ac:dyDescent="0.3">
      <c r="C7592" s="109"/>
      <c r="D7592" s="109"/>
      <c r="E7592" s="109"/>
      <c r="F7592" s="110"/>
      <c r="G7592" s="109"/>
    </row>
    <row r="7593" spans="3:7" x14ac:dyDescent="0.3">
      <c r="C7593" s="109"/>
      <c r="D7593" s="109"/>
      <c r="E7593" s="109"/>
      <c r="F7593" s="110"/>
      <c r="G7593" s="109"/>
    </row>
    <row r="7594" spans="3:7" x14ac:dyDescent="0.3">
      <c r="C7594" s="109"/>
      <c r="D7594" s="109"/>
      <c r="E7594" s="109"/>
      <c r="F7594" s="110"/>
      <c r="G7594" s="109"/>
    </row>
    <row r="7595" spans="3:7" x14ac:dyDescent="0.3">
      <c r="C7595" s="109"/>
      <c r="D7595" s="109"/>
      <c r="E7595" s="109"/>
      <c r="F7595" s="110"/>
      <c r="G7595" s="109"/>
    </row>
    <row r="7596" spans="3:7" x14ac:dyDescent="0.3">
      <c r="C7596" s="109"/>
      <c r="D7596" s="109"/>
      <c r="E7596" s="109"/>
      <c r="F7596" s="110"/>
      <c r="G7596" s="109"/>
    </row>
    <row r="7597" spans="3:7" x14ac:dyDescent="0.3">
      <c r="C7597" s="109"/>
      <c r="D7597" s="109"/>
      <c r="E7597" s="109"/>
      <c r="F7597" s="110"/>
      <c r="G7597" s="109"/>
    </row>
    <row r="7598" spans="3:7" x14ac:dyDescent="0.3">
      <c r="C7598" s="109"/>
      <c r="D7598" s="109"/>
      <c r="E7598" s="109"/>
      <c r="F7598" s="110"/>
      <c r="G7598" s="109"/>
    </row>
    <row r="7599" spans="3:7" x14ac:dyDescent="0.3">
      <c r="C7599" s="109"/>
      <c r="D7599" s="109"/>
      <c r="E7599" s="109"/>
      <c r="F7599" s="110"/>
      <c r="G7599" s="109"/>
    </row>
    <row r="7600" spans="3:7" x14ac:dyDescent="0.3">
      <c r="C7600" s="109"/>
      <c r="D7600" s="109"/>
      <c r="E7600" s="109"/>
      <c r="F7600" s="110"/>
      <c r="G7600" s="109"/>
    </row>
    <row r="7601" spans="3:7" x14ac:dyDescent="0.3">
      <c r="C7601" s="109"/>
      <c r="D7601" s="109"/>
      <c r="E7601" s="109"/>
      <c r="F7601" s="110"/>
      <c r="G7601" s="109"/>
    </row>
    <row r="7602" spans="3:7" x14ac:dyDescent="0.3">
      <c r="C7602" s="109"/>
      <c r="D7602" s="109"/>
      <c r="E7602" s="109"/>
      <c r="F7602" s="110"/>
      <c r="G7602" s="109"/>
    </row>
    <row r="7603" spans="3:7" x14ac:dyDescent="0.3">
      <c r="C7603" s="109"/>
      <c r="D7603" s="109"/>
      <c r="E7603" s="109"/>
      <c r="F7603" s="110"/>
      <c r="G7603" s="109"/>
    </row>
    <row r="7604" spans="3:7" x14ac:dyDescent="0.3">
      <c r="C7604" s="109"/>
      <c r="D7604" s="109"/>
      <c r="E7604" s="109"/>
      <c r="F7604" s="110"/>
      <c r="G7604" s="109"/>
    </row>
    <row r="7605" spans="3:7" x14ac:dyDescent="0.3">
      <c r="C7605" s="109"/>
      <c r="D7605" s="109"/>
      <c r="E7605" s="109"/>
      <c r="F7605" s="110"/>
      <c r="G7605" s="109"/>
    </row>
    <row r="7606" spans="3:7" x14ac:dyDescent="0.3">
      <c r="C7606" s="109"/>
      <c r="D7606" s="109"/>
      <c r="E7606" s="109"/>
      <c r="F7606" s="110"/>
      <c r="G7606" s="109"/>
    </row>
    <row r="7607" spans="3:7" x14ac:dyDescent="0.3">
      <c r="C7607" s="109"/>
      <c r="D7607" s="109"/>
      <c r="E7607" s="109"/>
      <c r="F7607" s="110"/>
      <c r="G7607" s="109"/>
    </row>
    <row r="7608" spans="3:7" x14ac:dyDescent="0.3">
      <c r="C7608" s="109"/>
      <c r="D7608" s="109"/>
      <c r="E7608" s="109"/>
      <c r="F7608" s="110"/>
      <c r="G7608" s="109"/>
    </row>
    <row r="7609" spans="3:7" x14ac:dyDescent="0.3">
      <c r="C7609" s="109"/>
      <c r="D7609" s="109"/>
      <c r="E7609" s="109"/>
      <c r="F7609" s="110"/>
      <c r="G7609" s="109"/>
    </row>
    <row r="7610" spans="3:7" x14ac:dyDescent="0.3">
      <c r="C7610" s="109"/>
      <c r="D7610" s="109"/>
      <c r="E7610" s="109"/>
      <c r="F7610" s="110"/>
      <c r="G7610" s="109"/>
    </row>
    <row r="7611" spans="3:7" x14ac:dyDescent="0.3">
      <c r="C7611" s="109"/>
      <c r="D7611" s="109"/>
      <c r="E7611" s="109"/>
      <c r="F7611" s="110"/>
      <c r="G7611" s="109"/>
    </row>
    <row r="7612" spans="3:7" x14ac:dyDescent="0.3">
      <c r="C7612" s="109"/>
      <c r="D7612" s="109"/>
      <c r="E7612" s="109"/>
      <c r="F7612" s="110"/>
      <c r="G7612" s="109"/>
    </row>
    <row r="7613" spans="3:7" x14ac:dyDescent="0.3">
      <c r="C7613" s="109"/>
      <c r="D7613" s="109"/>
      <c r="E7613" s="109"/>
      <c r="F7613" s="110"/>
      <c r="G7613" s="109"/>
    </row>
    <row r="7614" spans="3:7" x14ac:dyDescent="0.3">
      <c r="C7614" s="109"/>
      <c r="D7614" s="109"/>
      <c r="E7614" s="109"/>
      <c r="F7614" s="110"/>
      <c r="G7614" s="109"/>
    </row>
    <row r="7615" spans="3:7" x14ac:dyDescent="0.3">
      <c r="C7615" s="109"/>
      <c r="D7615" s="109"/>
      <c r="E7615" s="109"/>
      <c r="F7615" s="110"/>
      <c r="G7615" s="109"/>
    </row>
    <row r="7616" spans="3:7" x14ac:dyDescent="0.3">
      <c r="C7616" s="109"/>
      <c r="D7616" s="109"/>
      <c r="E7616" s="109"/>
      <c r="F7616" s="110"/>
      <c r="G7616" s="109"/>
    </row>
    <row r="7617" spans="3:7" x14ac:dyDescent="0.3">
      <c r="C7617" s="109"/>
      <c r="D7617" s="109"/>
      <c r="E7617" s="109"/>
      <c r="F7617" s="110"/>
      <c r="G7617" s="109"/>
    </row>
    <row r="7618" spans="3:7" x14ac:dyDescent="0.3">
      <c r="C7618" s="109"/>
      <c r="D7618" s="109"/>
      <c r="E7618" s="109"/>
      <c r="F7618" s="110"/>
      <c r="G7618" s="109"/>
    </row>
    <row r="7619" spans="3:7" x14ac:dyDescent="0.3">
      <c r="C7619" s="109"/>
      <c r="D7619" s="109"/>
      <c r="E7619" s="109"/>
      <c r="F7619" s="110"/>
      <c r="G7619" s="109"/>
    </row>
    <row r="7620" spans="3:7" x14ac:dyDescent="0.3">
      <c r="C7620" s="109"/>
      <c r="D7620" s="109"/>
      <c r="E7620" s="109"/>
      <c r="F7620" s="110"/>
      <c r="G7620" s="109"/>
    </row>
    <row r="7621" spans="3:7" x14ac:dyDescent="0.3">
      <c r="C7621" s="109"/>
      <c r="D7621" s="109"/>
      <c r="E7621" s="109"/>
      <c r="F7621" s="110"/>
      <c r="G7621" s="109"/>
    </row>
    <row r="7622" spans="3:7" x14ac:dyDescent="0.3">
      <c r="C7622" s="109"/>
      <c r="D7622" s="109"/>
      <c r="E7622" s="109"/>
      <c r="F7622" s="110"/>
      <c r="G7622" s="109"/>
    </row>
    <row r="7623" spans="3:7" x14ac:dyDescent="0.3">
      <c r="C7623" s="109"/>
      <c r="D7623" s="109"/>
      <c r="E7623" s="109"/>
      <c r="F7623" s="110"/>
      <c r="G7623" s="109"/>
    </row>
    <row r="7624" spans="3:7" x14ac:dyDescent="0.3">
      <c r="C7624" s="109"/>
      <c r="D7624" s="109"/>
      <c r="E7624" s="109"/>
      <c r="F7624" s="110"/>
      <c r="G7624" s="109"/>
    </row>
    <row r="7625" spans="3:7" x14ac:dyDescent="0.3">
      <c r="C7625" s="109"/>
      <c r="D7625" s="109"/>
      <c r="E7625" s="109"/>
      <c r="F7625" s="110"/>
      <c r="G7625" s="109"/>
    </row>
    <row r="7626" spans="3:7" x14ac:dyDescent="0.3">
      <c r="C7626" s="109"/>
      <c r="D7626" s="109"/>
      <c r="E7626" s="109"/>
      <c r="F7626" s="110"/>
      <c r="G7626" s="109"/>
    </row>
    <row r="7627" spans="3:7" x14ac:dyDescent="0.3">
      <c r="C7627" s="109"/>
      <c r="D7627" s="109"/>
      <c r="E7627" s="109"/>
      <c r="F7627" s="110"/>
      <c r="G7627" s="109"/>
    </row>
    <row r="7628" spans="3:7" x14ac:dyDescent="0.3">
      <c r="C7628" s="109"/>
      <c r="D7628" s="109"/>
      <c r="E7628" s="109"/>
      <c r="F7628" s="110"/>
      <c r="G7628" s="109"/>
    </row>
    <row r="7629" spans="3:7" x14ac:dyDescent="0.3">
      <c r="C7629" s="109"/>
      <c r="D7629" s="109"/>
      <c r="E7629" s="109"/>
      <c r="F7629" s="110"/>
      <c r="G7629" s="109"/>
    </row>
    <row r="7630" spans="3:7" x14ac:dyDescent="0.3">
      <c r="C7630" s="109"/>
      <c r="D7630" s="109"/>
      <c r="E7630" s="109"/>
      <c r="F7630" s="110"/>
      <c r="G7630" s="109"/>
    </row>
    <row r="7631" spans="3:7" x14ac:dyDescent="0.3">
      <c r="C7631" s="109"/>
      <c r="D7631" s="109"/>
      <c r="E7631" s="109"/>
      <c r="F7631" s="110"/>
      <c r="G7631" s="109"/>
    </row>
    <row r="7632" spans="3:7" x14ac:dyDescent="0.3">
      <c r="C7632" s="109"/>
      <c r="D7632" s="109"/>
      <c r="E7632" s="109"/>
      <c r="F7632" s="110"/>
      <c r="G7632" s="109"/>
    </row>
    <row r="7633" spans="3:7" x14ac:dyDescent="0.3">
      <c r="C7633" s="109"/>
      <c r="D7633" s="109"/>
      <c r="E7633" s="109"/>
      <c r="F7633" s="110"/>
      <c r="G7633" s="109"/>
    </row>
    <row r="7634" spans="3:7" x14ac:dyDescent="0.3">
      <c r="C7634" s="109"/>
      <c r="D7634" s="109"/>
      <c r="E7634" s="109"/>
      <c r="F7634" s="110"/>
      <c r="G7634" s="109"/>
    </row>
    <row r="7635" spans="3:7" x14ac:dyDescent="0.3">
      <c r="C7635" s="109"/>
      <c r="D7635" s="109"/>
      <c r="E7635" s="109"/>
      <c r="F7635" s="110"/>
      <c r="G7635" s="109"/>
    </row>
    <row r="7636" spans="3:7" x14ac:dyDescent="0.3">
      <c r="C7636" s="109"/>
      <c r="D7636" s="109"/>
      <c r="E7636" s="109"/>
      <c r="F7636" s="110"/>
      <c r="G7636" s="109"/>
    </row>
    <row r="7637" spans="3:7" x14ac:dyDescent="0.3">
      <c r="C7637" s="109"/>
      <c r="D7637" s="109"/>
      <c r="E7637" s="109"/>
      <c r="F7637" s="110"/>
      <c r="G7637" s="109"/>
    </row>
    <row r="7638" spans="3:7" x14ac:dyDescent="0.3">
      <c r="C7638" s="109"/>
      <c r="D7638" s="109"/>
      <c r="E7638" s="109"/>
      <c r="F7638" s="110"/>
      <c r="G7638" s="109"/>
    </row>
    <row r="7639" spans="3:7" x14ac:dyDescent="0.3">
      <c r="C7639" s="109"/>
      <c r="D7639" s="109"/>
      <c r="E7639" s="109"/>
      <c r="F7639" s="110"/>
      <c r="G7639" s="109"/>
    </row>
    <row r="7640" spans="3:7" x14ac:dyDescent="0.3">
      <c r="C7640" s="109"/>
      <c r="D7640" s="109"/>
      <c r="E7640" s="109"/>
      <c r="F7640" s="110"/>
      <c r="G7640" s="109"/>
    </row>
    <row r="7641" spans="3:7" x14ac:dyDescent="0.3">
      <c r="C7641" s="109"/>
      <c r="D7641" s="109"/>
      <c r="E7641" s="109"/>
      <c r="F7641" s="110"/>
      <c r="G7641" s="109"/>
    </row>
    <row r="7642" spans="3:7" x14ac:dyDescent="0.3">
      <c r="C7642" s="109"/>
      <c r="D7642" s="109"/>
      <c r="E7642" s="109"/>
      <c r="F7642" s="110"/>
      <c r="G7642" s="109"/>
    </row>
    <row r="7643" spans="3:7" x14ac:dyDescent="0.3">
      <c r="C7643" s="109"/>
      <c r="D7643" s="109"/>
      <c r="E7643" s="109"/>
      <c r="F7643" s="110"/>
      <c r="G7643" s="109"/>
    </row>
    <row r="7644" spans="3:7" x14ac:dyDescent="0.3">
      <c r="C7644" s="109"/>
      <c r="D7644" s="109"/>
      <c r="E7644" s="109"/>
      <c r="F7644" s="110"/>
      <c r="G7644" s="109"/>
    </row>
    <row r="7645" spans="3:7" x14ac:dyDescent="0.3">
      <c r="C7645" s="109"/>
      <c r="D7645" s="109"/>
      <c r="E7645" s="109"/>
      <c r="F7645" s="110"/>
      <c r="G7645" s="109"/>
    </row>
    <row r="7646" spans="3:7" x14ac:dyDescent="0.3">
      <c r="C7646" s="109"/>
      <c r="D7646" s="109"/>
      <c r="E7646" s="109"/>
      <c r="F7646" s="110"/>
      <c r="G7646" s="109"/>
    </row>
    <row r="7647" spans="3:7" x14ac:dyDescent="0.3">
      <c r="C7647" s="109"/>
      <c r="D7647" s="109"/>
      <c r="E7647" s="109"/>
      <c r="F7647" s="110"/>
      <c r="G7647" s="109"/>
    </row>
    <row r="7648" spans="3:7" x14ac:dyDescent="0.3">
      <c r="C7648" s="109"/>
      <c r="D7648" s="109"/>
      <c r="E7648" s="109"/>
      <c r="F7648" s="110"/>
      <c r="G7648" s="109"/>
    </row>
    <row r="7649" spans="3:7" x14ac:dyDescent="0.3">
      <c r="C7649" s="109"/>
      <c r="D7649" s="109"/>
      <c r="E7649" s="109"/>
      <c r="F7649" s="110"/>
      <c r="G7649" s="109"/>
    </row>
    <row r="7650" spans="3:7" x14ac:dyDescent="0.3">
      <c r="C7650" s="109"/>
      <c r="D7650" s="109"/>
      <c r="E7650" s="109"/>
      <c r="F7650" s="110"/>
      <c r="G7650" s="109"/>
    </row>
    <row r="7651" spans="3:7" x14ac:dyDescent="0.3">
      <c r="C7651" s="109"/>
      <c r="D7651" s="109"/>
      <c r="E7651" s="109"/>
      <c r="F7651" s="110"/>
      <c r="G7651" s="109"/>
    </row>
    <row r="7652" spans="3:7" x14ac:dyDescent="0.3">
      <c r="C7652" s="109"/>
      <c r="D7652" s="109"/>
      <c r="E7652" s="109"/>
      <c r="F7652" s="110"/>
      <c r="G7652" s="109"/>
    </row>
    <row r="7653" spans="3:7" x14ac:dyDescent="0.3">
      <c r="C7653" s="109"/>
      <c r="D7653" s="109"/>
      <c r="E7653" s="109"/>
      <c r="F7653" s="110"/>
      <c r="G7653" s="109"/>
    </row>
    <row r="7654" spans="3:7" x14ac:dyDescent="0.3">
      <c r="C7654" s="109"/>
      <c r="D7654" s="109"/>
      <c r="E7654" s="109"/>
      <c r="F7654" s="110"/>
      <c r="G7654" s="109"/>
    </row>
    <row r="7655" spans="3:7" x14ac:dyDescent="0.3">
      <c r="C7655" s="109"/>
      <c r="D7655" s="109"/>
      <c r="E7655" s="109"/>
      <c r="F7655" s="110"/>
      <c r="G7655" s="109"/>
    </row>
    <row r="7656" spans="3:7" x14ac:dyDescent="0.3">
      <c r="C7656" s="109"/>
      <c r="D7656" s="109"/>
      <c r="E7656" s="109"/>
      <c r="F7656" s="110"/>
      <c r="G7656" s="109"/>
    </row>
    <row r="7657" spans="3:7" x14ac:dyDescent="0.3">
      <c r="C7657" s="109"/>
      <c r="D7657" s="109"/>
      <c r="E7657" s="109"/>
      <c r="F7657" s="110"/>
      <c r="G7657" s="109"/>
    </row>
    <row r="7658" spans="3:7" x14ac:dyDescent="0.3">
      <c r="C7658" s="109"/>
      <c r="D7658" s="109"/>
      <c r="E7658" s="109"/>
      <c r="F7658" s="110"/>
      <c r="G7658" s="109"/>
    </row>
    <row r="7659" spans="3:7" x14ac:dyDescent="0.3">
      <c r="C7659" s="109"/>
      <c r="D7659" s="109"/>
      <c r="E7659" s="109"/>
      <c r="F7659" s="110"/>
      <c r="G7659" s="109"/>
    </row>
    <row r="7660" spans="3:7" x14ac:dyDescent="0.3">
      <c r="C7660" s="109"/>
      <c r="D7660" s="109"/>
      <c r="E7660" s="109"/>
      <c r="F7660" s="110"/>
      <c r="G7660" s="109"/>
    </row>
    <row r="7661" spans="3:7" x14ac:dyDescent="0.3">
      <c r="C7661" s="109"/>
      <c r="D7661" s="109"/>
      <c r="E7661" s="109"/>
      <c r="F7661" s="110"/>
      <c r="G7661" s="109"/>
    </row>
    <row r="7662" spans="3:7" x14ac:dyDescent="0.3">
      <c r="C7662" s="109"/>
      <c r="D7662" s="109"/>
      <c r="E7662" s="109"/>
      <c r="F7662" s="110"/>
      <c r="G7662" s="109"/>
    </row>
    <row r="7663" spans="3:7" x14ac:dyDescent="0.3">
      <c r="C7663" s="109"/>
      <c r="D7663" s="109"/>
      <c r="E7663" s="109"/>
      <c r="F7663" s="110"/>
      <c r="G7663" s="109"/>
    </row>
    <row r="7664" spans="3:7" x14ac:dyDescent="0.3">
      <c r="C7664" s="109"/>
      <c r="D7664" s="109"/>
      <c r="E7664" s="109"/>
      <c r="F7664" s="110"/>
      <c r="G7664" s="109"/>
    </row>
    <row r="7665" spans="3:7" x14ac:dyDescent="0.3">
      <c r="C7665" s="109"/>
      <c r="D7665" s="109"/>
      <c r="E7665" s="109"/>
      <c r="F7665" s="110"/>
      <c r="G7665" s="109"/>
    </row>
    <row r="7666" spans="3:7" x14ac:dyDescent="0.3">
      <c r="C7666" s="109"/>
      <c r="D7666" s="109"/>
      <c r="E7666" s="109"/>
      <c r="F7666" s="110"/>
      <c r="G7666" s="109"/>
    </row>
    <row r="7667" spans="3:7" x14ac:dyDescent="0.3">
      <c r="C7667" s="109"/>
      <c r="D7667" s="109"/>
      <c r="E7667" s="109"/>
      <c r="F7667" s="110"/>
      <c r="G7667" s="109"/>
    </row>
    <row r="7668" spans="3:7" x14ac:dyDescent="0.3">
      <c r="C7668" s="109"/>
      <c r="D7668" s="109"/>
      <c r="E7668" s="109"/>
      <c r="F7668" s="110"/>
      <c r="G7668" s="109"/>
    </row>
    <row r="7669" spans="3:7" x14ac:dyDescent="0.3">
      <c r="C7669" s="109"/>
      <c r="D7669" s="109"/>
      <c r="E7669" s="109"/>
      <c r="F7669" s="110"/>
      <c r="G7669" s="109"/>
    </row>
    <row r="7670" spans="3:7" x14ac:dyDescent="0.3">
      <c r="C7670" s="109"/>
      <c r="D7670" s="109"/>
      <c r="E7670" s="109"/>
      <c r="F7670" s="110"/>
      <c r="G7670" s="109"/>
    </row>
    <row r="7671" spans="3:7" x14ac:dyDescent="0.3">
      <c r="C7671" s="109"/>
      <c r="D7671" s="109"/>
      <c r="E7671" s="109"/>
      <c r="F7671" s="110"/>
      <c r="G7671" s="109"/>
    </row>
    <row r="7672" spans="3:7" x14ac:dyDescent="0.3">
      <c r="C7672" s="109"/>
      <c r="D7672" s="109"/>
      <c r="E7672" s="109"/>
      <c r="F7672" s="110"/>
      <c r="G7672" s="109"/>
    </row>
    <row r="7673" spans="3:7" x14ac:dyDescent="0.3">
      <c r="C7673" s="109"/>
      <c r="D7673" s="109"/>
      <c r="E7673" s="109"/>
      <c r="F7673" s="110"/>
      <c r="G7673" s="109"/>
    </row>
    <row r="7674" spans="3:7" x14ac:dyDescent="0.3">
      <c r="C7674" s="109"/>
      <c r="D7674" s="109"/>
      <c r="E7674" s="109"/>
      <c r="F7674" s="110"/>
      <c r="G7674" s="109"/>
    </row>
    <row r="7675" spans="3:7" x14ac:dyDescent="0.3">
      <c r="C7675" s="109"/>
      <c r="D7675" s="109"/>
      <c r="E7675" s="109"/>
      <c r="F7675" s="110"/>
      <c r="G7675" s="109"/>
    </row>
    <row r="7676" spans="3:7" x14ac:dyDescent="0.3">
      <c r="C7676" s="109"/>
      <c r="D7676" s="109"/>
      <c r="E7676" s="109"/>
      <c r="F7676" s="110"/>
      <c r="G7676" s="109"/>
    </row>
    <row r="7677" spans="3:7" x14ac:dyDescent="0.3">
      <c r="C7677" s="109"/>
      <c r="D7677" s="109"/>
      <c r="E7677" s="109"/>
      <c r="F7677" s="110"/>
      <c r="G7677" s="109"/>
    </row>
    <row r="7678" spans="3:7" x14ac:dyDescent="0.3">
      <c r="C7678" s="109"/>
      <c r="D7678" s="109"/>
      <c r="E7678" s="109"/>
      <c r="F7678" s="110"/>
      <c r="G7678" s="109"/>
    </row>
    <row r="7679" spans="3:7" x14ac:dyDescent="0.3">
      <c r="C7679" s="109"/>
      <c r="D7679" s="109"/>
      <c r="E7679" s="109"/>
      <c r="F7679" s="110"/>
      <c r="G7679" s="109"/>
    </row>
    <row r="7680" spans="3:7" x14ac:dyDescent="0.3">
      <c r="C7680" s="109"/>
      <c r="D7680" s="109"/>
      <c r="E7680" s="109"/>
      <c r="F7680" s="110"/>
      <c r="G7680" s="109"/>
    </row>
    <row r="7681" spans="3:7" x14ac:dyDescent="0.3">
      <c r="C7681" s="109"/>
      <c r="D7681" s="109"/>
      <c r="E7681" s="109"/>
      <c r="F7681" s="110"/>
      <c r="G7681" s="109"/>
    </row>
    <row r="7682" spans="3:7" x14ac:dyDescent="0.3">
      <c r="C7682" s="109"/>
      <c r="D7682" s="109"/>
      <c r="E7682" s="109"/>
      <c r="F7682" s="110"/>
      <c r="G7682" s="109"/>
    </row>
    <row r="7683" spans="3:7" x14ac:dyDescent="0.3">
      <c r="C7683" s="109"/>
      <c r="D7683" s="109"/>
      <c r="E7683" s="109"/>
      <c r="F7683" s="110"/>
      <c r="G7683" s="109"/>
    </row>
    <row r="7684" spans="3:7" x14ac:dyDescent="0.3">
      <c r="C7684" s="109"/>
      <c r="D7684" s="109"/>
      <c r="E7684" s="109"/>
      <c r="F7684" s="110"/>
      <c r="G7684" s="109"/>
    </row>
    <row r="7685" spans="3:7" x14ac:dyDescent="0.3">
      <c r="C7685" s="109"/>
      <c r="D7685" s="109"/>
      <c r="E7685" s="109"/>
      <c r="F7685" s="110"/>
      <c r="G7685" s="109"/>
    </row>
    <row r="7686" spans="3:7" x14ac:dyDescent="0.3">
      <c r="C7686" s="109"/>
      <c r="D7686" s="109"/>
      <c r="E7686" s="109"/>
      <c r="F7686" s="110"/>
      <c r="G7686" s="109"/>
    </row>
    <row r="7687" spans="3:7" x14ac:dyDescent="0.3">
      <c r="C7687" s="109"/>
      <c r="D7687" s="109"/>
      <c r="E7687" s="109"/>
      <c r="F7687" s="110"/>
      <c r="G7687" s="109"/>
    </row>
    <row r="7688" spans="3:7" x14ac:dyDescent="0.3">
      <c r="C7688" s="109"/>
      <c r="D7688" s="109"/>
      <c r="E7688" s="109"/>
      <c r="F7688" s="110"/>
      <c r="G7688" s="109"/>
    </row>
    <row r="7689" spans="3:7" x14ac:dyDescent="0.3">
      <c r="C7689" s="109"/>
      <c r="D7689" s="109"/>
      <c r="E7689" s="109"/>
      <c r="F7689" s="110"/>
      <c r="G7689" s="109"/>
    </row>
    <row r="7690" spans="3:7" x14ac:dyDescent="0.3">
      <c r="C7690" s="109"/>
      <c r="D7690" s="109"/>
      <c r="E7690" s="109"/>
      <c r="F7690" s="110"/>
      <c r="G7690" s="109"/>
    </row>
    <row r="7691" spans="3:7" x14ac:dyDescent="0.3">
      <c r="C7691" s="109"/>
      <c r="D7691" s="109"/>
      <c r="E7691" s="109"/>
      <c r="F7691" s="110"/>
      <c r="G7691" s="109"/>
    </row>
    <row r="7692" spans="3:7" x14ac:dyDescent="0.3">
      <c r="C7692" s="109"/>
      <c r="D7692" s="109"/>
      <c r="E7692" s="109"/>
      <c r="F7692" s="110"/>
      <c r="G7692" s="109"/>
    </row>
    <row r="7693" spans="3:7" x14ac:dyDescent="0.3">
      <c r="C7693" s="109"/>
      <c r="D7693" s="109"/>
      <c r="E7693" s="109"/>
      <c r="F7693" s="110"/>
      <c r="G7693" s="109"/>
    </row>
    <row r="7694" spans="3:7" x14ac:dyDescent="0.3">
      <c r="C7694" s="109"/>
      <c r="D7694" s="109"/>
      <c r="E7694" s="109"/>
      <c r="F7694" s="110"/>
      <c r="G7694" s="109"/>
    </row>
    <row r="7695" spans="3:7" x14ac:dyDescent="0.3">
      <c r="C7695" s="109"/>
      <c r="D7695" s="109"/>
      <c r="E7695" s="109"/>
      <c r="F7695" s="110"/>
      <c r="G7695" s="109"/>
    </row>
    <row r="7696" spans="3:7" x14ac:dyDescent="0.3">
      <c r="C7696" s="109"/>
      <c r="D7696" s="109"/>
      <c r="E7696" s="109"/>
      <c r="F7696" s="110"/>
      <c r="G7696" s="109"/>
    </row>
    <row r="7697" spans="3:7" x14ac:dyDescent="0.3">
      <c r="C7697" s="109"/>
      <c r="D7697" s="109"/>
      <c r="E7697" s="109"/>
      <c r="F7697" s="110"/>
      <c r="G7697" s="109"/>
    </row>
    <row r="7698" spans="3:7" x14ac:dyDescent="0.3">
      <c r="C7698" s="109"/>
      <c r="D7698" s="109"/>
      <c r="E7698" s="109"/>
      <c r="F7698" s="110"/>
      <c r="G7698" s="109"/>
    </row>
    <row r="7699" spans="3:7" x14ac:dyDescent="0.3">
      <c r="C7699" s="109"/>
      <c r="D7699" s="109"/>
      <c r="E7699" s="109"/>
      <c r="F7699" s="110"/>
      <c r="G7699" s="109"/>
    </row>
    <row r="7700" spans="3:7" x14ac:dyDescent="0.3">
      <c r="C7700" s="109"/>
      <c r="D7700" s="109"/>
      <c r="E7700" s="109"/>
      <c r="F7700" s="110"/>
      <c r="G7700" s="109"/>
    </row>
    <row r="7701" spans="3:7" x14ac:dyDescent="0.3">
      <c r="C7701" s="109"/>
      <c r="D7701" s="109"/>
      <c r="E7701" s="109"/>
      <c r="F7701" s="110"/>
      <c r="G7701" s="109"/>
    </row>
    <row r="7702" spans="3:7" x14ac:dyDescent="0.3">
      <c r="C7702" s="109"/>
      <c r="D7702" s="109"/>
      <c r="E7702" s="109"/>
      <c r="F7702" s="110"/>
      <c r="G7702" s="109"/>
    </row>
    <row r="7703" spans="3:7" x14ac:dyDescent="0.3">
      <c r="C7703" s="109"/>
      <c r="D7703" s="109"/>
      <c r="E7703" s="109"/>
      <c r="F7703" s="110"/>
      <c r="G7703" s="109"/>
    </row>
    <row r="7704" spans="3:7" x14ac:dyDescent="0.3">
      <c r="C7704" s="109"/>
      <c r="D7704" s="109"/>
      <c r="E7704" s="109"/>
      <c r="F7704" s="110"/>
      <c r="G7704" s="109"/>
    </row>
    <row r="7705" spans="3:7" x14ac:dyDescent="0.3">
      <c r="C7705" s="109"/>
      <c r="D7705" s="109"/>
      <c r="E7705" s="109"/>
      <c r="F7705" s="110"/>
      <c r="G7705" s="109"/>
    </row>
    <row r="7706" spans="3:7" x14ac:dyDescent="0.3">
      <c r="C7706" s="109"/>
      <c r="D7706" s="109"/>
      <c r="E7706" s="109"/>
      <c r="F7706" s="110"/>
      <c r="G7706" s="109"/>
    </row>
    <row r="7707" spans="3:7" x14ac:dyDescent="0.3">
      <c r="C7707" s="109"/>
      <c r="D7707" s="109"/>
      <c r="E7707" s="109"/>
      <c r="F7707" s="110"/>
      <c r="G7707" s="109"/>
    </row>
    <row r="7708" spans="3:7" x14ac:dyDescent="0.3">
      <c r="C7708" s="109"/>
      <c r="D7708" s="109"/>
      <c r="E7708" s="109"/>
      <c r="F7708" s="110"/>
      <c r="G7708" s="109"/>
    </row>
    <row r="7709" spans="3:7" x14ac:dyDescent="0.3">
      <c r="C7709" s="109"/>
      <c r="D7709" s="109"/>
      <c r="E7709" s="109"/>
      <c r="F7709" s="110"/>
      <c r="G7709" s="109"/>
    </row>
    <row r="7710" spans="3:7" x14ac:dyDescent="0.3">
      <c r="C7710" s="109"/>
      <c r="D7710" s="109"/>
      <c r="E7710" s="109"/>
      <c r="F7710" s="110"/>
      <c r="G7710" s="109"/>
    </row>
    <row r="7711" spans="3:7" x14ac:dyDescent="0.3">
      <c r="C7711" s="109"/>
      <c r="D7711" s="109"/>
      <c r="E7711" s="109"/>
      <c r="F7711" s="110"/>
      <c r="G7711" s="109"/>
    </row>
    <row r="7712" spans="3:7" x14ac:dyDescent="0.3">
      <c r="C7712" s="109"/>
      <c r="D7712" s="109"/>
      <c r="E7712" s="109"/>
      <c r="F7712" s="110"/>
      <c r="G7712" s="109"/>
    </row>
    <row r="7713" spans="3:7" x14ac:dyDescent="0.3">
      <c r="C7713" s="109"/>
      <c r="D7713" s="109"/>
      <c r="E7713" s="109"/>
      <c r="F7713" s="110"/>
      <c r="G7713" s="109"/>
    </row>
    <row r="7714" spans="3:7" x14ac:dyDescent="0.3">
      <c r="C7714" s="109"/>
      <c r="D7714" s="109"/>
      <c r="E7714" s="109"/>
      <c r="F7714" s="110"/>
      <c r="G7714" s="109"/>
    </row>
    <row r="7715" spans="3:7" x14ac:dyDescent="0.3">
      <c r="C7715" s="109"/>
      <c r="D7715" s="109"/>
      <c r="E7715" s="109"/>
      <c r="F7715" s="110"/>
      <c r="G7715" s="109"/>
    </row>
    <row r="7716" spans="3:7" x14ac:dyDescent="0.3">
      <c r="C7716" s="109"/>
      <c r="D7716" s="109"/>
      <c r="E7716" s="109"/>
      <c r="F7716" s="110"/>
      <c r="G7716" s="109"/>
    </row>
    <row r="7717" spans="3:7" x14ac:dyDescent="0.3">
      <c r="C7717" s="109"/>
      <c r="D7717" s="109"/>
      <c r="E7717" s="109"/>
      <c r="F7717" s="110"/>
      <c r="G7717" s="109"/>
    </row>
    <row r="7718" spans="3:7" x14ac:dyDescent="0.3">
      <c r="C7718" s="109"/>
      <c r="D7718" s="109"/>
      <c r="E7718" s="109"/>
      <c r="F7718" s="110"/>
      <c r="G7718" s="109"/>
    </row>
    <row r="7719" spans="3:7" x14ac:dyDescent="0.3">
      <c r="C7719" s="109"/>
      <c r="D7719" s="109"/>
      <c r="E7719" s="109"/>
      <c r="F7719" s="110"/>
      <c r="G7719" s="109"/>
    </row>
    <row r="7720" spans="3:7" x14ac:dyDescent="0.3">
      <c r="C7720" s="109"/>
      <c r="D7720" s="109"/>
      <c r="E7720" s="109"/>
      <c r="F7720" s="110"/>
      <c r="G7720" s="109"/>
    </row>
    <row r="7721" spans="3:7" x14ac:dyDescent="0.3">
      <c r="C7721" s="109"/>
      <c r="D7721" s="109"/>
      <c r="E7721" s="109"/>
      <c r="F7721" s="110"/>
      <c r="G7721" s="109"/>
    </row>
    <row r="7722" spans="3:7" x14ac:dyDescent="0.3">
      <c r="C7722" s="109"/>
      <c r="D7722" s="109"/>
      <c r="E7722" s="109"/>
      <c r="F7722" s="110"/>
      <c r="G7722" s="109"/>
    </row>
    <row r="7723" spans="3:7" x14ac:dyDescent="0.3">
      <c r="C7723" s="109"/>
      <c r="D7723" s="109"/>
      <c r="E7723" s="109"/>
      <c r="F7723" s="110"/>
      <c r="G7723" s="109"/>
    </row>
    <row r="7724" spans="3:7" x14ac:dyDescent="0.3">
      <c r="C7724" s="109"/>
      <c r="D7724" s="109"/>
      <c r="E7724" s="109"/>
      <c r="F7724" s="110"/>
      <c r="G7724" s="109"/>
    </row>
    <row r="7725" spans="3:7" x14ac:dyDescent="0.3">
      <c r="C7725" s="109"/>
      <c r="D7725" s="109"/>
      <c r="E7725" s="109"/>
      <c r="F7725" s="110"/>
      <c r="G7725" s="109"/>
    </row>
    <row r="7726" spans="3:7" x14ac:dyDescent="0.3">
      <c r="C7726" s="109"/>
      <c r="D7726" s="109"/>
      <c r="E7726" s="109"/>
      <c r="F7726" s="110"/>
      <c r="G7726" s="109"/>
    </row>
    <row r="7727" spans="3:7" x14ac:dyDescent="0.3">
      <c r="C7727" s="109"/>
      <c r="D7727" s="109"/>
      <c r="E7727" s="109"/>
      <c r="F7727" s="110"/>
      <c r="G7727" s="109"/>
    </row>
    <row r="7728" spans="3:7" x14ac:dyDescent="0.3">
      <c r="C7728" s="109"/>
      <c r="D7728" s="109"/>
      <c r="E7728" s="109"/>
      <c r="F7728" s="110"/>
      <c r="G7728" s="109"/>
    </row>
    <row r="7729" spans="3:7" x14ac:dyDescent="0.3">
      <c r="C7729" s="109"/>
      <c r="D7729" s="109"/>
      <c r="E7729" s="109"/>
      <c r="F7729" s="110"/>
      <c r="G7729" s="109"/>
    </row>
    <row r="7730" spans="3:7" x14ac:dyDescent="0.3">
      <c r="C7730" s="109"/>
      <c r="D7730" s="109"/>
      <c r="E7730" s="109"/>
      <c r="F7730" s="110"/>
      <c r="G7730" s="109"/>
    </row>
    <row r="7731" spans="3:7" x14ac:dyDescent="0.3">
      <c r="C7731" s="109"/>
      <c r="D7731" s="109"/>
      <c r="E7731" s="109"/>
      <c r="F7731" s="110"/>
      <c r="G7731" s="109"/>
    </row>
    <row r="7732" spans="3:7" x14ac:dyDescent="0.3">
      <c r="C7732" s="109"/>
      <c r="D7732" s="109"/>
      <c r="E7732" s="109"/>
      <c r="F7732" s="110"/>
      <c r="G7732" s="109"/>
    </row>
    <row r="7733" spans="3:7" x14ac:dyDescent="0.3">
      <c r="C7733" s="109"/>
      <c r="D7733" s="109"/>
      <c r="E7733" s="109"/>
      <c r="F7733" s="110"/>
      <c r="G7733" s="109"/>
    </row>
    <row r="7734" spans="3:7" x14ac:dyDescent="0.3">
      <c r="C7734" s="109"/>
      <c r="D7734" s="109"/>
      <c r="E7734" s="109"/>
      <c r="F7734" s="110"/>
      <c r="G7734" s="109"/>
    </row>
    <row r="7735" spans="3:7" x14ac:dyDescent="0.3">
      <c r="C7735" s="109"/>
      <c r="D7735" s="109"/>
      <c r="E7735" s="109"/>
      <c r="F7735" s="110"/>
      <c r="G7735" s="109"/>
    </row>
    <row r="7736" spans="3:7" x14ac:dyDescent="0.3">
      <c r="C7736" s="109"/>
      <c r="D7736" s="109"/>
      <c r="E7736" s="109"/>
      <c r="F7736" s="110"/>
      <c r="G7736" s="109"/>
    </row>
    <row r="7737" spans="3:7" x14ac:dyDescent="0.3">
      <c r="C7737" s="109"/>
      <c r="D7737" s="109"/>
      <c r="E7737" s="109"/>
      <c r="F7737" s="110"/>
      <c r="G7737" s="109"/>
    </row>
    <row r="7738" spans="3:7" x14ac:dyDescent="0.3">
      <c r="C7738" s="109"/>
      <c r="D7738" s="109"/>
      <c r="E7738" s="109"/>
      <c r="F7738" s="110"/>
      <c r="G7738" s="109"/>
    </row>
    <row r="7739" spans="3:7" x14ac:dyDescent="0.3">
      <c r="C7739" s="109"/>
      <c r="D7739" s="109"/>
      <c r="E7739" s="109"/>
      <c r="F7739" s="110"/>
      <c r="G7739" s="109"/>
    </row>
    <row r="7740" spans="3:7" x14ac:dyDescent="0.3">
      <c r="C7740" s="109"/>
      <c r="D7740" s="109"/>
      <c r="E7740" s="109"/>
      <c r="F7740" s="110"/>
      <c r="G7740" s="109"/>
    </row>
    <row r="7741" spans="3:7" x14ac:dyDescent="0.3">
      <c r="C7741" s="109"/>
      <c r="D7741" s="109"/>
      <c r="E7741" s="109"/>
      <c r="F7741" s="110"/>
      <c r="G7741" s="109"/>
    </row>
    <row r="7742" spans="3:7" x14ac:dyDescent="0.3">
      <c r="C7742" s="109"/>
      <c r="D7742" s="109"/>
      <c r="E7742" s="109"/>
      <c r="F7742" s="110"/>
      <c r="G7742" s="109"/>
    </row>
    <row r="7743" spans="3:7" x14ac:dyDescent="0.3">
      <c r="C7743" s="109"/>
      <c r="D7743" s="109"/>
      <c r="E7743" s="109"/>
      <c r="F7743" s="110"/>
      <c r="G7743" s="109"/>
    </row>
    <row r="7744" spans="3:7" x14ac:dyDescent="0.3">
      <c r="C7744" s="109"/>
      <c r="D7744" s="109"/>
      <c r="E7744" s="109"/>
      <c r="F7744" s="110"/>
      <c r="G7744" s="109"/>
    </row>
    <row r="7745" spans="3:7" x14ac:dyDescent="0.3">
      <c r="C7745" s="109"/>
      <c r="D7745" s="109"/>
      <c r="E7745" s="109"/>
      <c r="F7745" s="110"/>
      <c r="G7745" s="109"/>
    </row>
    <row r="7746" spans="3:7" x14ac:dyDescent="0.3">
      <c r="C7746" s="109"/>
      <c r="D7746" s="109"/>
      <c r="E7746" s="109"/>
      <c r="F7746" s="110"/>
      <c r="G7746" s="109"/>
    </row>
    <row r="7747" spans="3:7" x14ac:dyDescent="0.3">
      <c r="C7747" s="109"/>
      <c r="D7747" s="109"/>
      <c r="E7747" s="109"/>
      <c r="F7747" s="110"/>
      <c r="G7747" s="109"/>
    </row>
    <row r="7748" spans="3:7" x14ac:dyDescent="0.3">
      <c r="C7748" s="109"/>
      <c r="D7748" s="109"/>
      <c r="E7748" s="109"/>
      <c r="F7748" s="110"/>
      <c r="G7748" s="109"/>
    </row>
    <row r="7749" spans="3:7" x14ac:dyDescent="0.3">
      <c r="C7749" s="109"/>
      <c r="D7749" s="109"/>
      <c r="E7749" s="109"/>
      <c r="F7749" s="110"/>
      <c r="G7749" s="109"/>
    </row>
    <row r="7750" spans="3:7" x14ac:dyDescent="0.3">
      <c r="C7750" s="109"/>
      <c r="D7750" s="109"/>
      <c r="E7750" s="109"/>
      <c r="F7750" s="110"/>
      <c r="G7750" s="109"/>
    </row>
    <row r="7751" spans="3:7" x14ac:dyDescent="0.3">
      <c r="C7751" s="109"/>
      <c r="D7751" s="109"/>
      <c r="E7751" s="109"/>
      <c r="F7751" s="110"/>
      <c r="G7751" s="109"/>
    </row>
    <row r="7752" spans="3:7" x14ac:dyDescent="0.3">
      <c r="C7752" s="109"/>
      <c r="D7752" s="109"/>
      <c r="E7752" s="109"/>
      <c r="F7752" s="110"/>
      <c r="G7752" s="109"/>
    </row>
    <row r="7753" spans="3:7" x14ac:dyDescent="0.3">
      <c r="C7753" s="109"/>
      <c r="D7753" s="109"/>
      <c r="E7753" s="109"/>
      <c r="F7753" s="110"/>
      <c r="G7753" s="109"/>
    </row>
    <row r="7754" spans="3:7" x14ac:dyDescent="0.3">
      <c r="C7754" s="109"/>
      <c r="D7754" s="109"/>
      <c r="E7754" s="109"/>
      <c r="F7754" s="110"/>
      <c r="G7754" s="109"/>
    </row>
    <row r="7755" spans="3:7" x14ac:dyDescent="0.3">
      <c r="C7755" s="109"/>
      <c r="D7755" s="109"/>
      <c r="E7755" s="109"/>
      <c r="F7755" s="110"/>
      <c r="G7755" s="109"/>
    </row>
    <row r="7756" spans="3:7" x14ac:dyDescent="0.3">
      <c r="C7756" s="109"/>
      <c r="D7756" s="109"/>
      <c r="E7756" s="109"/>
      <c r="F7756" s="110"/>
      <c r="G7756" s="109"/>
    </row>
    <row r="7757" spans="3:7" x14ac:dyDescent="0.3">
      <c r="C7757" s="109"/>
      <c r="D7757" s="109"/>
      <c r="E7757" s="109"/>
      <c r="F7757" s="110"/>
      <c r="G7757" s="109"/>
    </row>
    <row r="7758" spans="3:7" x14ac:dyDescent="0.3">
      <c r="C7758" s="109"/>
      <c r="D7758" s="109"/>
      <c r="E7758" s="109"/>
      <c r="F7758" s="110"/>
      <c r="G7758" s="109"/>
    </row>
    <row r="7759" spans="3:7" x14ac:dyDescent="0.3">
      <c r="C7759" s="109"/>
      <c r="D7759" s="109"/>
      <c r="E7759" s="109"/>
      <c r="F7759" s="110"/>
      <c r="G7759" s="109"/>
    </row>
    <row r="7760" spans="3:7" x14ac:dyDescent="0.3">
      <c r="C7760" s="109"/>
      <c r="D7760" s="109"/>
      <c r="E7760" s="109"/>
      <c r="F7760" s="110"/>
      <c r="G7760" s="109"/>
    </row>
    <row r="7761" spans="3:7" x14ac:dyDescent="0.3">
      <c r="C7761" s="109"/>
      <c r="D7761" s="109"/>
      <c r="E7761" s="109"/>
      <c r="F7761" s="110"/>
      <c r="G7761" s="109"/>
    </row>
    <row r="7762" spans="3:7" x14ac:dyDescent="0.3">
      <c r="C7762" s="109"/>
      <c r="D7762" s="109"/>
      <c r="E7762" s="109"/>
      <c r="F7762" s="110"/>
      <c r="G7762" s="109"/>
    </row>
    <row r="7763" spans="3:7" x14ac:dyDescent="0.3">
      <c r="C7763" s="109"/>
      <c r="D7763" s="109"/>
      <c r="E7763" s="109"/>
      <c r="F7763" s="110"/>
      <c r="G7763" s="109"/>
    </row>
    <row r="7764" spans="3:7" x14ac:dyDescent="0.3">
      <c r="C7764" s="109"/>
      <c r="D7764" s="109"/>
      <c r="E7764" s="109"/>
      <c r="F7764" s="110"/>
      <c r="G7764" s="109"/>
    </row>
    <row r="7765" spans="3:7" x14ac:dyDescent="0.3">
      <c r="C7765" s="109"/>
      <c r="D7765" s="109"/>
      <c r="E7765" s="109"/>
      <c r="F7765" s="110"/>
      <c r="G7765" s="109"/>
    </row>
    <row r="7766" spans="3:7" x14ac:dyDescent="0.3">
      <c r="C7766" s="109"/>
      <c r="D7766" s="109"/>
      <c r="E7766" s="109"/>
      <c r="F7766" s="110"/>
      <c r="G7766" s="109"/>
    </row>
    <row r="7767" spans="3:7" x14ac:dyDescent="0.3">
      <c r="C7767" s="109"/>
      <c r="D7767" s="109"/>
      <c r="E7767" s="109"/>
      <c r="F7767" s="110"/>
      <c r="G7767" s="109"/>
    </row>
    <row r="7768" spans="3:7" x14ac:dyDescent="0.3">
      <c r="C7768" s="109"/>
      <c r="D7768" s="109"/>
      <c r="E7768" s="109"/>
      <c r="F7768" s="110"/>
      <c r="G7768" s="109"/>
    </row>
    <row r="7769" spans="3:7" x14ac:dyDescent="0.3">
      <c r="C7769" s="109"/>
      <c r="D7769" s="109"/>
      <c r="E7769" s="109"/>
      <c r="F7769" s="110"/>
      <c r="G7769" s="109"/>
    </row>
    <row r="7770" spans="3:7" x14ac:dyDescent="0.3">
      <c r="C7770" s="109"/>
      <c r="D7770" s="109"/>
      <c r="E7770" s="109"/>
      <c r="F7770" s="110"/>
      <c r="G7770" s="109"/>
    </row>
    <row r="7771" spans="3:7" x14ac:dyDescent="0.3">
      <c r="C7771" s="109"/>
      <c r="D7771" s="109"/>
      <c r="E7771" s="109"/>
      <c r="F7771" s="110"/>
      <c r="G7771" s="109"/>
    </row>
    <row r="7772" spans="3:7" x14ac:dyDescent="0.3">
      <c r="C7772" s="109"/>
      <c r="D7772" s="109"/>
      <c r="E7772" s="109"/>
      <c r="F7772" s="110"/>
      <c r="G7772" s="109"/>
    </row>
    <row r="7773" spans="3:7" x14ac:dyDescent="0.3">
      <c r="C7773" s="109"/>
      <c r="D7773" s="109"/>
      <c r="E7773" s="109"/>
      <c r="F7773" s="110"/>
      <c r="G7773" s="109"/>
    </row>
    <row r="7774" spans="3:7" x14ac:dyDescent="0.3">
      <c r="C7774" s="109"/>
      <c r="D7774" s="109"/>
      <c r="E7774" s="109"/>
      <c r="F7774" s="110"/>
      <c r="G7774" s="109"/>
    </row>
    <row r="7775" spans="3:7" x14ac:dyDescent="0.3">
      <c r="C7775" s="109"/>
      <c r="D7775" s="109"/>
      <c r="E7775" s="109"/>
      <c r="F7775" s="110"/>
      <c r="G7775" s="109"/>
    </row>
    <row r="7776" spans="3:7" x14ac:dyDescent="0.3">
      <c r="C7776" s="109"/>
      <c r="D7776" s="109"/>
      <c r="E7776" s="109"/>
      <c r="F7776" s="110"/>
      <c r="G7776" s="109"/>
    </row>
    <row r="7777" spans="3:7" x14ac:dyDescent="0.3">
      <c r="C7777" s="109"/>
      <c r="D7777" s="109"/>
      <c r="E7777" s="109"/>
      <c r="F7777" s="110"/>
      <c r="G7777" s="109"/>
    </row>
    <row r="7778" spans="3:7" x14ac:dyDescent="0.3">
      <c r="C7778" s="109"/>
      <c r="D7778" s="109"/>
      <c r="E7778" s="109"/>
      <c r="F7778" s="110"/>
      <c r="G7778" s="109"/>
    </row>
    <row r="7779" spans="3:7" x14ac:dyDescent="0.3">
      <c r="C7779" s="109"/>
      <c r="D7779" s="109"/>
      <c r="E7779" s="109"/>
      <c r="F7779" s="110"/>
      <c r="G7779" s="109"/>
    </row>
    <row r="7780" spans="3:7" x14ac:dyDescent="0.3">
      <c r="C7780" s="109"/>
      <c r="D7780" s="109"/>
      <c r="E7780" s="109"/>
      <c r="F7780" s="110"/>
      <c r="G7780" s="109"/>
    </row>
    <row r="7781" spans="3:7" x14ac:dyDescent="0.3">
      <c r="C7781" s="109"/>
      <c r="D7781" s="109"/>
      <c r="E7781" s="109"/>
      <c r="F7781" s="110"/>
      <c r="G7781" s="109"/>
    </row>
    <row r="7782" spans="3:7" x14ac:dyDescent="0.3">
      <c r="C7782" s="109"/>
      <c r="D7782" s="109"/>
      <c r="E7782" s="109"/>
      <c r="F7782" s="110"/>
      <c r="G7782" s="109"/>
    </row>
    <row r="7783" spans="3:7" x14ac:dyDescent="0.3">
      <c r="C7783" s="109"/>
      <c r="D7783" s="109"/>
      <c r="E7783" s="109"/>
      <c r="F7783" s="110"/>
      <c r="G7783" s="109"/>
    </row>
    <row r="7784" spans="3:7" x14ac:dyDescent="0.3">
      <c r="C7784" s="109"/>
      <c r="D7784" s="109"/>
      <c r="E7784" s="109"/>
      <c r="F7784" s="110"/>
      <c r="G7784" s="109"/>
    </row>
    <row r="7785" spans="3:7" x14ac:dyDescent="0.3">
      <c r="C7785" s="109"/>
      <c r="D7785" s="109"/>
      <c r="E7785" s="109"/>
      <c r="F7785" s="110"/>
      <c r="G7785" s="109"/>
    </row>
    <row r="7786" spans="3:7" x14ac:dyDescent="0.3">
      <c r="C7786" s="109"/>
      <c r="D7786" s="109"/>
      <c r="E7786" s="109"/>
      <c r="F7786" s="110"/>
      <c r="G7786" s="109"/>
    </row>
    <row r="7787" spans="3:7" x14ac:dyDescent="0.3">
      <c r="C7787" s="109"/>
      <c r="D7787" s="109"/>
      <c r="E7787" s="109"/>
      <c r="F7787" s="110"/>
      <c r="G7787" s="109"/>
    </row>
    <row r="7788" spans="3:7" x14ac:dyDescent="0.3">
      <c r="C7788" s="109"/>
      <c r="D7788" s="109"/>
      <c r="E7788" s="109"/>
      <c r="F7788" s="110"/>
      <c r="G7788" s="109"/>
    </row>
    <row r="7789" spans="3:7" x14ac:dyDescent="0.3">
      <c r="C7789" s="109"/>
      <c r="D7789" s="109"/>
      <c r="E7789" s="109"/>
      <c r="F7789" s="110"/>
      <c r="G7789" s="109"/>
    </row>
    <row r="7790" spans="3:7" x14ac:dyDescent="0.3">
      <c r="C7790" s="109"/>
      <c r="D7790" s="109"/>
      <c r="E7790" s="109"/>
      <c r="F7790" s="110"/>
      <c r="G7790" s="109"/>
    </row>
    <row r="7791" spans="3:7" x14ac:dyDescent="0.3">
      <c r="C7791" s="109"/>
      <c r="D7791" s="109"/>
      <c r="E7791" s="109"/>
      <c r="F7791" s="110"/>
      <c r="G7791" s="109"/>
    </row>
    <row r="7792" spans="3:7" x14ac:dyDescent="0.3">
      <c r="C7792" s="109"/>
      <c r="D7792" s="109"/>
      <c r="E7792" s="109"/>
      <c r="F7792" s="110"/>
      <c r="G7792" s="109"/>
    </row>
    <row r="7793" spans="3:7" x14ac:dyDescent="0.3">
      <c r="C7793" s="109"/>
      <c r="D7793" s="109"/>
      <c r="E7793" s="109"/>
      <c r="F7793" s="110"/>
      <c r="G7793" s="109"/>
    </row>
    <row r="7794" spans="3:7" x14ac:dyDescent="0.3">
      <c r="C7794" s="109"/>
      <c r="D7794" s="109"/>
      <c r="E7794" s="109"/>
      <c r="F7794" s="110"/>
      <c r="G7794" s="109"/>
    </row>
    <row r="7795" spans="3:7" x14ac:dyDescent="0.3">
      <c r="C7795" s="109"/>
      <c r="D7795" s="109"/>
      <c r="E7795" s="109"/>
      <c r="F7795" s="110"/>
      <c r="G7795" s="109"/>
    </row>
    <row r="7796" spans="3:7" x14ac:dyDescent="0.3">
      <c r="C7796" s="109"/>
      <c r="D7796" s="109"/>
      <c r="E7796" s="109"/>
      <c r="F7796" s="110"/>
      <c r="G7796" s="109"/>
    </row>
    <row r="7797" spans="3:7" x14ac:dyDescent="0.3">
      <c r="C7797" s="109"/>
      <c r="D7797" s="109"/>
      <c r="E7797" s="109"/>
      <c r="F7797" s="110"/>
      <c r="G7797" s="109"/>
    </row>
    <row r="7798" spans="3:7" x14ac:dyDescent="0.3">
      <c r="C7798" s="109"/>
      <c r="D7798" s="109"/>
      <c r="E7798" s="109"/>
      <c r="F7798" s="110"/>
      <c r="G7798" s="109"/>
    </row>
    <row r="7799" spans="3:7" x14ac:dyDescent="0.3">
      <c r="C7799" s="109"/>
      <c r="D7799" s="109"/>
      <c r="E7799" s="109"/>
      <c r="F7799" s="110"/>
      <c r="G7799" s="109"/>
    </row>
    <row r="7800" spans="3:7" x14ac:dyDescent="0.3">
      <c r="C7800" s="109"/>
      <c r="D7800" s="109"/>
      <c r="E7800" s="109"/>
      <c r="F7800" s="110"/>
      <c r="G7800" s="109"/>
    </row>
    <row r="7801" spans="3:7" x14ac:dyDescent="0.3">
      <c r="C7801" s="109"/>
      <c r="D7801" s="109"/>
      <c r="E7801" s="109"/>
      <c r="F7801" s="110"/>
      <c r="G7801" s="109"/>
    </row>
    <row r="7802" spans="3:7" x14ac:dyDescent="0.3">
      <c r="C7802" s="109"/>
      <c r="D7802" s="109"/>
      <c r="E7802" s="109"/>
      <c r="F7802" s="110"/>
      <c r="G7802" s="109"/>
    </row>
    <row r="7803" spans="3:7" x14ac:dyDescent="0.3">
      <c r="C7803" s="109"/>
      <c r="D7803" s="109"/>
      <c r="E7803" s="109"/>
      <c r="F7803" s="110"/>
      <c r="G7803" s="109"/>
    </row>
    <row r="7804" spans="3:7" x14ac:dyDescent="0.3">
      <c r="C7804" s="109"/>
      <c r="D7804" s="109"/>
      <c r="E7804" s="109"/>
      <c r="F7804" s="110"/>
      <c r="G7804" s="109"/>
    </row>
    <row r="7805" spans="3:7" x14ac:dyDescent="0.3">
      <c r="C7805" s="109"/>
      <c r="D7805" s="109"/>
      <c r="E7805" s="109"/>
      <c r="F7805" s="110"/>
      <c r="G7805" s="109"/>
    </row>
    <row r="7806" spans="3:7" x14ac:dyDescent="0.3">
      <c r="C7806" s="109"/>
      <c r="D7806" s="109"/>
      <c r="E7806" s="109"/>
      <c r="F7806" s="110"/>
      <c r="G7806" s="109"/>
    </row>
    <row r="7807" spans="3:7" x14ac:dyDescent="0.3">
      <c r="C7807" s="109"/>
      <c r="D7807" s="109"/>
      <c r="E7807" s="109"/>
      <c r="F7807" s="110"/>
      <c r="G7807" s="109"/>
    </row>
    <row r="7808" spans="3:7" x14ac:dyDescent="0.3">
      <c r="C7808" s="109"/>
      <c r="D7808" s="109"/>
      <c r="E7808" s="109"/>
      <c r="F7808" s="110"/>
      <c r="G7808" s="109"/>
    </row>
    <row r="7809" spans="3:7" x14ac:dyDescent="0.3">
      <c r="C7809" s="109"/>
      <c r="D7809" s="109"/>
      <c r="E7809" s="109"/>
      <c r="F7809" s="110"/>
      <c r="G7809" s="109"/>
    </row>
    <row r="7810" spans="3:7" x14ac:dyDescent="0.3">
      <c r="C7810" s="109"/>
      <c r="D7810" s="109"/>
      <c r="E7810" s="109"/>
      <c r="F7810" s="110"/>
      <c r="G7810" s="109"/>
    </row>
    <row r="7811" spans="3:7" x14ac:dyDescent="0.3">
      <c r="C7811" s="109"/>
      <c r="D7811" s="109"/>
      <c r="E7811" s="109"/>
      <c r="F7811" s="110"/>
      <c r="G7811" s="109"/>
    </row>
    <row r="7812" spans="3:7" x14ac:dyDescent="0.3">
      <c r="C7812" s="109"/>
      <c r="D7812" s="109"/>
      <c r="E7812" s="109"/>
      <c r="F7812" s="110"/>
      <c r="G7812" s="109"/>
    </row>
    <row r="7813" spans="3:7" x14ac:dyDescent="0.3">
      <c r="C7813" s="109"/>
      <c r="D7813" s="109"/>
      <c r="E7813" s="109"/>
      <c r="F7813" s="110"/>
      <c r="G7813" s="109"/>
    </row>
    <row r="7814" spans="3:7" x14ac:dyDescent="0.3">
      <c r="C7814" s="109"/>
      <c r="D7814" s="109"/>
      <c r="E7814" s="109"/>
      <c r="F7814" s="110"/>
      <c r="G7814" s="109"/>
    </row>
    <row r="7815" spans="3:7" x14ac:dyDescent="0.3">
      <c r="C7815" s="109"/>
      <c r="D7815" s="109"/>
      <c r="E7815" s="109"/>
      <c r="F7815" s="110"/>
      <c r="G7815" s="109"/>
    </row>
    <row r="7816" spans="3:7" x14ac:dyDescent="0.3">
      <c r="C7816" s="109"/>
      <c r="D7816" s="109"/>
      <c r="E7816" s="109"/>
      <c r="F7816" s="110"/>
      <c r="G7816" s="109"/>
    </row>
    <row r="7817" spans="3:7" x14ac:dyDescent="0.3">
      <c r="C7817" s="109"/>
      <c r="D7817" s="109"/>
      <c r="E7817" s="109"/>
      <c r="F7817" s="110"/>
      <c r="G7817" s="109"/>
    </row>
    <row r="7818" spans="3:7" x14ac:dyDescent="0.3">
      <c r="C7818" s="109"/>
      <c r="D7818" s="109"/>
      <c r="E7818" s="109"/>
      <c r="F7818" s="110"/>
      <c r="G7818" s="109"/>
    </row>
    <row r="7819" spans="3:7" x14ac:dyDescent="0.3">
      <c r="C7819" s="109"/>
      <c r="D7819" s="109"/>
      <c r="E7819" s="109"/>
      <c r="F7819" s="110"/>
      <c r="G7819" s="109"/>
    </row>
    <row r="7820" spans="3:7" x14ac:dyDescent="0.3">
      <c r="C7820" s="109"/>
      <c r="D7820" s="109"/>
      <c r="E7820" s="109"/>
      <c r="F7820" s="110"/>
      <c r="G7820" s="109"/>
    </row>
    <row r="7821" spans="3:7" x14ac:dyDescent="0.3">
      <c r="C7821" s="109"/>
      <c r="D7821" s="109"/>
      <c r="E7821" s="109"/>
      <c r="F7821" s="110"/>
      <c r="G7821" s="109"/>
    </row>
    <row r="7822" spans="3:7" x14ac:dyDescent="0.3">
      <c r="C7822" s="109"/>
      <c r="D7822" s="109"/>
      <c r="E7822" s="109"/>
      <c r="F7822" s="110"/>
      <c r="G7822" s="109"/>
    </row>
    <row r="7823" spans="3:7" x14ac:dyDescent="0.3">
      <c r="C7823" s="109"/>
      <c r="D7823" s="109"/>
      <c r="E7823" s="109"/>
      <c r="F7823" s="110"/>
      <c r="G7823" s="109"/>
    </row>
    <row r="7824" spans="3:7" x14ac:dyDescent="0.3">
      <c r="C7824" s="109"/>
      <c r="D7824" s="109"/>
      <c r="E7824" s="109"/>
      <c r="F7824" s="110"/>
      <c r="G7824" s="109"/>
    </row>
    <row r="7825" spans="3:7" x14ac:dyDescent="0.3">
      <c r="C7825" s="109"/>
      <c r="D7825" s="109"/>
      <c r="E7825" s="109"/>
      <c r="F7825" s="110"/>
      <c r="G7825" s="109"/>
    </row>
    <row r="7826" spans="3:7" x14ac:dyDescent="0.3">
      <c r="C7826" s="109"/>
      <c r="D7826" s="109"/>
      <c r="E7826" s="109"/>
      <c r="F7826" s="110"/>
      <c r="G7826" s="109"/>
    </row>
    <row r="7827" spans="3:7" x14ac:dyDescent="0.3">
      <c r="C7827" s="109"/>
      <c r="D7827" s="109"/>
      <c r="E7827" s="109"/>
      <c r="F7827" s="110"/>
      <c r="G7827" s="109"/>
    </row>
    <row r="7828" spans="3:7" x14ac:dyDescent="0.3">
      <c r="C7828" s="109"/>
      <c r="D7828" s="109"/>
      <c r="E7828" s="109"/>
      <c r="F7828" s="110"/>
      <c r="G7828" s="109"/>
    </row>
    <row r="7829" spans="3:7" x14ac:dyDescent="0.3">
      <c r="C7829" s="109"/>
      <c r="D7829" s="109"/>
      <c r="E7829" s="109"/>
      <c r="F7829" s="110"/>
      <c r="G7829" s="109"/>
    </row>
    <row r="7830" spans="3:7" x14ac:dyDescent="0.3">
      <c r="C7830" s="109"/>
      <c r="D7830" s="109"/>
      <c r="E7830" s="109"/>
      <c r="F7830" s="110"/>
      <c r="G7830" s="109"/>
    </row>
    <row r="7831" spans="3:7" x14ac:dyDescent="0.3">
      <c r="C7831" s="109"/>
      <c r="D7831" s="109"/>
      <c r="E7831" s="109"/>
      <c r="F7831" s="110"/>
      <c r="G7831" s="109"/>
    </row>
    <row r="7832" spans="3:7" x14ac:dyDescent="0.3">
      <c r="C7832" s="109"/>
      <c r="D7832" s="109"/>
      <c r="E7832" s="109"/>
      <c r="F7832" s="110"/>
      <c r="G7832" s="109"/>
    </row>
    <row r="7833" spans="3:7" x14ac:dyDescent="0.3">
      <c r="C7833" s="109"/>
      <c r="D7833" s="109"/>
      <c r="E7833" s="109"/>
      <c r="F7833" s="110"/>
      <c r="G7833" s="109"/>
    </row>
    <row r="7834" spans="3:7" x14ac:dyDescent="0.3">
      <c r="C7834" s="109"/>
      <c r="D7834" s="109"/>
      <c r="E7834" s="109"/>
      <c r="F7834" s="110"/>
      <c r="G7834" s="109"/>
    </row>
    <row r="7835" spans="3:7" x14ac:dyDescent="0.3">
      <c r="C7835" s="109"/>
      <c r="D7835" s="109"/>
      <c r="E7835" s="109"/>
      <c r="F7835" s="110"/>
      <c r="G7835" s="109"/>
    </row>
    <row r="7836" spans="3:7" x14ac:dyDescent="0.3">
      <c r="C7836" s="109"/>
      <c r="D7836" s="109"/>
      <c r="E7836" s="109"/>
      <c r="F7836" s="110"/>
      <c r="G7836" s="109"/>
    </row>
    <row r="7837" spans="3:7" x14ac:dyDescent="0.3">
      <c r="C7837" s="109"/>
      <c r="D7837" s="109"/>
      <c r="E7837" s="109"/>
      <c r="F7837" s="110"/>
      <c r="G7837" s="109"/>
    </row>
    <row r="7838" spans="3:7" x14ac:dyDescent="0.3">
      <c r="C7838" s="109"/>
      <c r="D7838" s="109"/>
      <c r="E7838" s="109"/>
      <c r="F7838" s="110"/>
      <c r="G7838" s="109"/>
    </row>
    <row r="7839" spans="3:7" x14ac:dyDescent="0.3">
      <c r="C7839" s="109"/>
      <c r="D7839" s="109"/>
      <c r="E7839" s="109"/>
      <c r="F7839" s="110"/>
      <c r="G7839" s="109"/>
    </row>
    <row r="7840" spans="3:7" x14ac:dyDescent="0.3">
      <c r="C7840" s="109"/>
      <c r="D7840" s="109"/>
      <c r="E7840" s="109"/>
      <c r="F7840" s="110"/>
      <c r="G7840" s="109"/>
    </row>
    <row r="7841" spans="3:7" x14ac:dyDescent="0.3">
      <c r="C7841" s="109"/>
      <c r="D7841" s="109"/>
      <c r="E7841" s="109"/>
      <c r="F7841" s="110"/>
      <c r="G7841" s="109"/>
    </row>
    <row r="7842" spans="3:7" x14ac:dyDescent="0.3">
      <c r="C7842" s="109"/>
      <c r="D7842" s="109"/>
      <c r="E7842" s="109"/>
      <c r="F7842" s="110"/>
      <c r="G7842" s="109"/>
    </row>
    <row r="7843" spans="3:7" x14ac:dyDescent="0.3">
      <c r="C7843" s="109"/>
      <c r="D7843" s="109"/>
      <c r="E7843" s="109"/>
      <c r="F7843" s="110"/>
      <c r="G7843" s="109"/>
    </row>
    <row r="7844" spans="3:7" x14ac:dyDescent="0.3">
      <c r="C7844" s="109"/>
      <c r="D7844" s="109"/>
      <c r="E7844" s="109"/>
      <c r="F7844" s="110"/>
      <c r="G7844" s="109"/>
    </row>
    <row r="7845" spans="3:7" x14ac:dyDescent="0.3">
      <c r="C7845" s="109"/>
      <c r="D7845" s="109"/>
      <c r="E7845" s="109"/>
      <c r="F7845" s="110"/>
      <c r="G7845" s="109"/>
    </row>
    <row r="7846" spans="3:7" x14ac:dyDescent="0.3">
      <c r="C7846" s="109"/>
      <c r="D7846" s="109"/>
      <c r="E7846" s="109"/>
      <c r="F7846" s="110"/>
      <c r="G7846" s="109"/>
    </row>
    <row r="7847" spans="3:7" x14ac:dyDescent="0.3">
      <c r="C7847" s="109"/>
      <c r="D7847" s="109"/>
      <c r="E7847" s="109"/>
      <c r="F7847" s="110"/>
      <c r="G7847" s="109"/>
    </row>
    <row r="7848" spans="3:7" x14ac:dyDescent="0.3">
      <c r="C7848" s="109"/>
      <c r="D7848" s="109"/>
      <c r="E7848" s="109"/>
      <c r="F7848" s="110"/>
      <c r="G7848" s="109"/>
    </row>
    <row r="7849" spans="3:7" x14ac:dyDescent="0.3">
      <c r="C7849" s="109"/>
      <c r="D7849" s="109"/>
      <c r="E7849" s="109"/>
      <c r="F7849" s="110"/>
      <c r="G7849" s="109"/>
    </row>
    <row r="7850" spans="3:7" x14ac:dyDescent="0.3">
      <c r="C7850" s="109"/>
      <c r="D7850" s="109"/>
      <c r="E7850" s="109"/>
      <c r="F7850" s="110"/>
      <c r="G7850" s="109"/>
    </row>
    <row r="7851" spans="3:7" x14ac:dyDescent="0.3">
      <c r="C7851" s="109"/>
      <c r="D7851" s="109"/>
      <c r="E7851" s="109"/>
      <c r="F7851" s="110"/>
      <c r="G7851" s="109"/>
    </row>
    <row r="7852" spans="3:7" x14ac:dyDescent="0.3">
      <c r="C7852" s="109"/>
      <c r="D7852" s="109"/>
      <c r="E7852" s="109"/>
      <c r="F7852" s="110"/>
      <c r="G7852" s="109"/>
    </row>
    <row r="7853" spans="3:7" x14ac:dyDescent="0.3">
      <c r="C7853" s="109"/>
      <c r="D7853" s="109"/>
      <c r="E7853" s="109"/>
      <c r="F7853" s="110"/>
      <c r="G7853" s="109"/>
    </row>
    <row r="7854" spans="3:7" x14ac:dyDescent="0.3">
      <c r="C7854" s="109"/>
      <c r="D7854" s="109"/>
      <c r="E7854" s="109"/>
      <c r="F7854" s="110"/>
      <c r="G7854" s="109"/>
    </row>
    <row r="7855" spans="3:7" x14ac:dyDescent="0.3">
      <c r="C7855" s="109"/>
      <c r="D7855" s="109"/>
      <c r="E7855" s="109"/>
      <c r="F7855" s="110"/>
      <c r="G7855" s="109"/>
    </row>
    <row r="7856" spans="3:7" x14ac:dyDescent="0.3">
      <c r="C7856" s="109"/>
      <c r="D7856" s="109"/>
      <c r="E7856" s="109"/>
      <c r="F7856" s="110"/>
      <c r="G7856" s="109"/>
    </row>
    <row r="7857" spans="3:7" x14ac:dyDescent="0.3">
      <c r="C7857" s="109"/>
      <c r="D7857" s="109"/>
      <c r="E7857" s="109"/>
      <c r="F7857" s="110"/>
      <c r="G7857" s="109"/>
    </row>
    <row r="7858" spans="3:7" x14ac:dyDescent="0.3">
      <c r="C7858" s="109"/>
      <c r="D7858" s="109"/>
      <c r="E7858" s="109"/>
      <c r="F7858" s="110"/>
      <c r="G7858" s="109"/>
    </row>
    <row r="7859" spans="3:7" x14ac:dyDescent="0.3">
      <c r="C7859" s="109"/>
      <c r="D7859" s="109"/>
      <c r="E7859" s="109"/>
      <c r="F7859" s="110"/>
      <c r="G7859" s="109"/>
    </row>
    <row r="7860" spans="3:7" x14ac:dyDescent="0.3">
      <c r="C7860" s="109"/>
      <c r="D7860" s="109"/>
      <c r="E7860" s="109"/>
      <c r="F7860" s="110"/>
      <c r="G7860" s="109"/>
    </row>
    <row r="7861" spans="3:7" x14ac:dyDescent="0.3">
      <c r="C7861" s="109"/>
      <c r="D7861" s="109"/>
      <c r="E7861" s="109"/>
      <c r="F7861" s="110"/>
      <c r="G7861" s="109"/>
    </row>
    <row r="7862" spans="3:7" x14ac:dyDescent="0.3">
      <c r="C7862" s="109"/>
      <c r="D7862" s="109"/>
      <c r="E7862" s="109"/>
      <c r="F7862" s="110"/>
      <c r="G7862" s="109"/>
    </row>
    <row r="7863" spans="3:7" x14ac:dyDescent="0.3">
      <c r="C7863" s="109"/>
      <c r="D7863" s="109"/>
      <c r="E7863" s="109"/>
      <c r="F7863" s="110"/>
      <c r="G7863" s="109"/>
    </row>
    <row r="7864" spans="3:7" x14ac:dyDescent="0.3">
      <c r="C7864" s="109"/>
      <c r="D7864" s="109"/>
      <c r="E7864" s="109"/>
      <c r="F7864" s="110"/>
      <c r="G7864" s="109"/>
    </row>
    <row r="7865" spans="3:7" x14ac:dyDescent="0.3">
      <c r="C7865" s="109"/>
      <c r="D7865" s="109"/>
      <c r="E7865" s="109"/>
      <c r="F7865" s="110"/>
      <c r="G7865" s="109"/>
    </row>
    <row r="7866" spans="3:7" x14ac:dyDescent="0.3">
      <c r="C7866" s="109"/>
      <c r="D7866" s="109"/>
      <c r="E7866" s="109"/>
      <c r="F7866" s="110"/>
      <c r="G7866" s="109"/>
    </row>
    <row r="7867" spans="3:7" x14ac:dyDescent="0.3">
      <c r="C7867" s="109"/>
      <c r="D7867" s="109"/>
      <c r="E7867" s="109"/>
      <c r="F7867" s="110"/>
      <c r="G7867" s="109"/>
    </row>
    <row r="7868" spans="3:7" x14ac:dyDescent="0.3">
      <c r="C7868" s="109"/>
      <c r="D7868" s="109"/>
      <c r="E7868" s="109"/>
      <c r="F7868" s="110"/>
      <c r="G7868" s="109"/>
    </row>
    <row r="7869" spans="3:7" x14ac:dyDescent="0.3">
      <c r="C7869" s="109"/>
      <c r="D7869" s="109"/>
      <c r="E7869" s="109"/>
      <c r="F7869" s="110"/>
      <c r="G7869" s="109"/>
    </row>
    <row r="7870" spans="3:7" x14ac:dyDescent="0.3">
      <c r="C7870" s="109"/>
      <c r="D7870" s="109"/>
      <c r="E7870" s="109"/>
      <c r="F7870" s="110"/>
      <c r="G7870" s="109"/>
    </row>
    <row r="7871" spans="3:7" x14ac:dyDescent="0.3">
      <c r="C7871" s="109"/>
      <c r="D7871" s="109"/>
      <c r="E7871" s="109"/>
      <c r="F7871" s="110"/>
      <c r="G7871" s="109"/>
    </row>
    <row r="7872" spans="3:7" x14ac:dyDescent="0.3">
      <c r="C7872" s="109"/>
      <c r="D7872" s="109"/>
      <c r="E7872" s="109"/>
      <c r="F7872" s="110"/>
      <c r="G7872" s="109"/>
    </row>
    <row r="7873" spans="3:7" x14ac:dyDescent="0.3">
      <c r="C7873" s="109"/>
      <c r="D7873" s="109"/>
      <c r="E7873" s="109"/>
      <c r="F7873" s="110"/>
      <c r="G7873" s="109"/>
    </row>
    <row r="7874" spans="3:7" x14ac:dyDescent="0.3">
      <c r="C7874" s="109"/>
      <c r="D7874" s="109"/>
      <c r="E7874" s="109"/>
      <c r="F7874" s="110"/>
      <c r="G7874" s="109"/>
    </row>
    <row r="7875" spans="3:7" x14ac:dyDescent="0.3">
      <c r="C7875" s="109"/>
      <c r="D7875" s="109"/>
      <c r="E7875" s="109"/>
      <c r="F7875" s="110"/>
      <c r="G7875" s="109"/>
    </row>
    <row r="7876" spans="3:7" x14ac:dyDescent="0.3">
      <c r="C7876" s="109"/>
      <c r="D7876" s="109"/>
      <c r="E7876" s="109"/>
      <c r="F7876" s="110"/>
      <c r="G7876" s="109"/>
    </row>
    <row r="7877" spans="3:7" x14ac:dyDescent="0.3">
      <c r="C7877" s="109"/>
      <c r="D7877" s="109"/>
      <c r="E7877" s="109"/>
      <c r="F7877" s="110"/>
      <c r="G7877" s="109"/>
    </row>
    <row r="7878" spans="3:7" x14ac:dyDescent="0.3">
      <c r="C7878" s="109"/>
      <c r="D7878" s="109"/>
      <c r="E7878" s="109"/>
      <c r="F7878" s="110"/>
      <c r="G7878" s="109"/>
    </row>
    <row r="7879" spans="3:7" x14ac:dyDescent="0.3">
      <c r="C7879" s="109"/>
      <c r="D7879" s="109"/>
      <c r="E7879" s="109"/>
      <c r="F7879" s="110"/>
      <c r="G7879" s="109"/>
    </row>
    <row r="7880" spans="3:7" x14ac:dyDescent="0.3">
      <c r="C7880" s="109"/>
      <c r="D7880" s="109"/>
      <c r="E7880" s="109"/>
      <c r="F7880" s="110"/>
      <c r="G7880" s="109"/>
    </row>
    <row r="7881" spans="3:7" x14ac:dyDescent="0.3">
      <c r="C7881" s="109"/>
      <c r="D7881" s="109"/>
      <c r="E7881" s="109"/>
      <c r="F7881" s="110"/>
      <c r="G7881" s="109"/>
    </row>
    <row r="7882" spans="3:7" x14ac:dyDescent="0.3">
      <c r="C7882" s="109"/>
      <c r="D7882" s="109"/>
      <c r="E7882" s="109"/>
      <c r="F7882" s="110"/>
      <c r="G7882" s="109"/>
    </row>
    <row r="7883" spans="3:7" x14ac:dyDescent="0.3">
      <c r="C7883" s="109"/>
      <c r="D7883" s="109"/>
      <c r="E7883" s="109"/>
      <c r="F7883" s="110"/>
      <c r="G7883" s="109"/>
    </row>
    <row r="7884" spans="3:7" x14ac:dyDescent="0.3">
      <c r="C7884" s="109"/>
      <c r="D7884" s="109"/>
      <c r="E7884" s="109"/>
      <c r="F7884" s="110"/>
      <c r="G7884" s="109"/>
    </row>
    <row r="7885" spans="3:7" x14ac:dyDescent="0.3">
      <c r="C7885" s="109"/>
      <c r="D7885" s="109"/>
      <c r="E7885" s="109"/>
      <c r="F7885" s="110"/>
      <c r="G7885" s="109"/>
    </row>
    <row r="7886" spans="3:7" x14ac:dyDescent="0.3">
      <c r="C7886" s="109"/>
      <c r="D7886" s="109"/>
      <c r="E7886" s="109"/>
      <c r="F7886" s="110"/>
      <c r="G7886" s="109"/>
    </row>
    <row r="7887" spans="3:7" x14ac:dyDescent="0.3">
      <c r="C7887" s="109"/>
      <c r="D7887" s="109"/>
      <c r="E7887" s="109"/>
      <c r="F7887" s="110"/>
      <c r="G7887" s="109"/>
    </row>
    <row r="7888" spans="3:7" x14ac:dyDescent="0.3">
      <c r="C7888" s="109"/>
      <c r="D7888" s="109"/>
      <c r="E7888" s="109"/>
      <c r="F7888" s="110"/>
      <c r="G7888" s="109"/>
    </row>
    <row r="7889" spans="3:7" x14ac:dyDescent="0.3">
      <c r="C7889" s="109"/>
      <c r="D7889" s="109"/>
      <c r="E7889" s="109"/>
      <c r="F7889" s="110"/>
      <c r="G7889" s="109"/>
    </row>
    <row r="7890" spans="3:7" x14ac:dyDescent="0.3">
      <c r="C7890" s="109"/>
      <c r="D7890" s="109"/>
      <c r="E7890" s="109"/>
      <c r="F7890" s="110"/>
      <c r="G7890" s="109"/>
    </row>
    <row r="7891" spans="3:7" x14ac:dyDescent="0.3">
      <c r="C7891" s="109"/>
      <c r="D7891" s="109"/>
      <c r="E7891" s="109"/>
      <c r="F7891" s="110"/>
      <c r="G7891" s="109"/>
    </row>
    <row r="7892" spans="3:7" x14ac:dyDescent="0.3">
      <c r="C7892" s="109"/>
      <c r="D7892" s="109"/>
      <c r="E7892" s="109"/>
      <c r="F7892" s="110"/>
      <c r="G7892" s="109"/>
    </row>
    <row r="7893" spans="3:7" x14ac:dyDescent="0.3">
      <c r="C7893" s="109"/>
      <c r="D7893" s="109"/>
      <c r="E7893" s="109"/>
      <c r="F7893" s="110"/>
      <c r="G7893" s="109"/>
    </row>
    <row r="7894" spans="3:7" x14ac:dyDescent="0.3">
      <c r="C7894" s="109"/>
      <c r="D7894" s="109"/>
      <c r="E7894" s="109"/>
      <c r="F7894" s="110"/>
      <c r="G7894" s="109"/>
    </row>
    <row r="7895" spans="3:7" x14ac:dyDescent="0.3">
      <c r="C7895" s="109"/>
      <c r="D7895" s="109"/>
      <c r="E7895" s="109"/>
      <c r="F7895" s="110"/>
      <c r="G7895" s="109"/>
    </row>
    <row r="7896" spans="3:7" x14ac:dyDescent="0.3">
      <c r="C7896" s="109"/>
      <c r="D7896" s="109"/>
      <c r="E7896" s="109"/>
      <c r="F7896" s="110"/>
      <c r="G7896" s="109"/>
    </row>
    <row r="7897" spans="3:7" x14ac:dyDescent="0.3">
      <c r="C7897" s="109"/>
      <c r="D7897" s="109"/>
      <c r="E7897" s="109"/>
      <c r="F7897" s="110"/>
      <c r="G7897" s="109"/>
    </row>
    <row r="7898" spans="3:7" x14ac:dyDescent="0.3">
      <c r="C7898" s="109"/>
      <c r="D7898" s="109"/>
      <c r="E7898" s="109"/>
      <c r="F7898" s="110"/>
      <c r="G7898" s="109"/>
    </row>
    <row r="7899" spans="3:7" x14ac:dyDescent="0.3">
      <c r="C7899" s="109"/>
      <c r="D7899" s="109"/>
      <c r="E7899" s="109"/>
      <c r="F7899" s="110"/>
      <c r="G7899" s="109"/>
    </row>
    <row r="7900" spans="3:7" x14ac:dyDescent="0.3">
      <c r="C7900" s="109"/>
      <c r="D7900" s="109"/>
      <c r="E7900" s="109"/>
      <c r="F7900" s="110"/>
      <c r="G7900" s="109"/>
    </row>
    <row r="7901" spans="3:7" x14ac:dyDescent="0.3">
      <c r="C7901" s="109"/>
      <c r="D7901" s="109"/>
      <c r="E7901" s="109"/>
      <c r="F7901" s="110"/>
      <c r="G7901" s="109"/>
    </row>
    <row r="7902" spans="3:7" x14ac:dyDescent="0.3">
      <c r="C7902" s="109"/>
      <c r="D7902" s="109"/>
      <c r="E7902" s="109"/>
      <c r="F7902" s="110"/>
      <c r="G7902" s="109"/>
    </row>
    <row r="7903" spans="3:7" x14ac:dyDescent="0.3">
      <c r="C7903" s="109"/>
      <c r="D7903" s="109"/>
      <c r="E7903" s="109"/>
      <c r="F7903" s="110"/>
      <c r="G7903" s="109"/>
    </row>
    <row r="7904" spans="3:7" x14ac:dyDescent="0.3">
      <c r="C7904" s="109"/>
      <c r="D7904" s="109"/>
      <c r="E7904" s="109"/>
      <c r="F7904" s="110"/>
      <c r="G7904" s="109"/>
    </row>
    <row r="7905" spans="3:7" x14ac:dyDescent="0.3">
      <c r="C7905" s="109"/>
      <c r="D7905" s="109"/>
      <c r="E7905" s="109"/>
      <c r="F7905" s="110"/>
      <c r="G7905" s="109"/>
    </row>
    <row r="7906" spans="3:7" x14ac:dyDescent="0.3">
      <c r="C7906" s="109"/>
      <c r="D7906" s="109"/>
      <c r="E7906" s="109"/>
      <c r="F7906" s="110"/>
      <c r="G7906" s="109"/>
    </row>
    <row r="7907" spans="3:7" x14ac:dyDescent="0.3">
      <c r="C7907" s="109"/>
      <c r="D7907" s="109"/>
      <c r="E7907" s="109"/>
      <c r="F7907" s="110"/>
      <c r="G7907" s="109"/>
    </row>
    <row r="7908" spans="3:7" x14ac:dyDescent="0.3">
      <c r="C7908" s="109"/>
      <c r="D7908" s="109"/>
      <c r="E7908" s="109"/>
      <c r="F7908" s="110"/>
      <c r="G7908" s="109"/>
    </row>
    <row r="7909" spans="3:7" x14ac:dyDescent="0.3">
      <c r="C7909" s="109"/>
      <c r="D7909" s="109"/>
      <c r="E7909" s="109"/>
      <c r="F7909" s="110"/>
      <c r="G7909" s="109"/>
    </row>
    <row r="7910" spans="3:7" x14ac:dyDescent="0.3">
      <c r="C7910" s="109"/>
      <c r="D7910" s="109"/>
      <c r="E7910" s="109"/>
      <c r="F7910" s="110"/>
      <c r="G7910" s="109"/>
    </row>
    <row r="7911" spans="3:7" x14ac:dyDescent="0.3">
      <c r="C7911" s="109"/>
      <c r="D7911" s="109"/>
      <c r="E7911" s="109"/>
      <c r="F7911" s="110"/>
      <c r="G7911" s="109"/>
    </row>
    <row r="7912" spans="3:7" x14ac:dyDescent="0.3">
      <c r="C7912" s="109"/>
      <c r="D7912" s="109"/>
      <c r="E7912" s="109"/>
      <c r="F7912" s="110"/>
      <c r="G7912" s="109"/>
    </row>
    <row r="7913" spans="3:7" x14ac:dyDescent="0.3">
      <c r="C7913" s="109"/>
      <c r="D7913" s="109"/>
      <c r="E7913" s="109"/>
      <c r="F7913" s="110"/>
      <c r="G7913" s="109"/>
    </row>
    <row r="7914" spans="3:7" x14ac:dyDescent="0.3">
      <c r="C7914" s="109"/>
      <c r="D7914" s="109"/>
      <c r="E7914" s="109"/>
      <c r="F7914" s="110"/>
      <c r="G7914" s="109"/>
    </row>
    <row r="7915" spans="3:7" x14ac:dyDescent="0.3">
      <c r="C7915" s="109"/>
      <c r="D7915" s="109"/>
      <c r="E7915" s="109"/>
      <c r="F7915" s="110"/>
      <c r="G7915" s="109"/>
    </row>
    <row r="7916" spans="3:7" x14ac:dyDescent="0.3">
      <c r="C7916" s="109"/>
      <c r="D7916" s="109"/>
      <c r="E7916" s="109"/>
      <c r="F7916" s="110"/>
      <c r="G7916" s="109"/>
    </row>
    <row r="7917" spans="3:7" x14ac:dyDescent="0.3">
      <c r="C7917" s="109"/>
      <c r="D7917" s="109"/>
      <c r="E7917" s="109"/>
      <c r="F7917" s="110"/>
      <c r="G7917" s="109"/>
    </row>
    <row r="7918" spans="3:7" x14ac:dyDescent="0.3">
      <c r="C7918" s="109"/>
      <c r="D7918" s="109"/>
      <c r="E7918" s="109"/>
      <c r="F7918" s="110"/>
      <c r="G7918" s="109"/>
    </row>
    <row r="7919" spans="3:7" x14ac:dyDescent="0.3">
      <c r="C7919" s="109"/>
      <c r="D7919" s="109"/>
      <c r="E7919" s="109"/>
      <c r="F7919" s="110"/>
      <c r="G7919" s="109"/>
    </row>
    <row r="7920" spans="3:7" x14ac:dyDescent="0.3">
      <c r="C7920" s="109"/>
      <c r="D7920" s="109"/>
      <c r="E7920" s="109"/>
      <c r="F7920" s="110"/>
      <c r="G7920" s="109"/>
    </row>
    <row r="7921" spans="3:7" x14ac:dyDescent="0.3">
      <c r="C7921" s="109"/>
      <c r="D7921" s="109"/>
      <c r="E7921" s="109"/>
      <c r="F7921" s="110"/>
      <c r="G7921" s="109"/>
    </row>
    <row r="7922" spans="3:7" x14ac:dyDescent="0.3">
      <c r="C7922" s="109"/>
      <c r="D7922" s="109"/>
      <c r="E7922" s="109"/>
      <c r="F7922" s="110"/>
      <c r="G7922" s="109"/>
    </row>
    <row r="7923" spans="3:7" x14ac:dyDescent="0.3">
      <c r="C7923" s="109"/>
      <c r="D7923" s="109"/>
      <c r="E7923" s="109"/>
      <c r="F7923" s="110"/>
      <c r="G7923" s="109"/>
    </row>
    <row r="7924" spans="3:7" x14ac:dyDescent="0.3">
      <c r="C7924" s="109"/>
      <c r="D7924" s="109"/>
      <c r="E7924" s="109"/>
      <c r="F7924" s="110"/>
      <c r="G7924" s="109"/>
    </row>
    <row r="7925" spans="3:7" x14ac:dyDescent="0.3">
      <c r="C7925" s="109"/>
      <c r="D7925" s="109"/>
      <c r="E7925" s="109"/>
      <c r="F7925" s="110"/>
      <c r="G7925" s="109"/>
    </row>
    <row r="7926" spans="3:7" x14ac:dyDescent="0.3">
      <c r="C7926" s="109"/>
      <c r="D7926" s="109"/>
      <c r="E7926" s="109"/>
      <c r="F7926" s="110"/>
      <c r="G7926" s="109"/>
    </row>
    <row r="7927" spans="3:7" x14ac:dyDescent="0.3">
      <c r="C7927" s="109"/>
      <c r="D7927" s="109"/>
      <c r="E7927" s="109"/>
      <c r="F7927" s="110"/>
      <c r="G7927" s="109"/>
    </row>
    <row r="7928" spans="3:7" x14ac:dyDescent="0.3">
      <c r="C7928" s="109"/>
      <c r="D7928" s="109"/>
      <c r="E7928" s="109"/>
      <c r="F7928" s="110"/>
      <c r="G7928" s="109"/>
    </row>
    <row r="7929" spans="3:7" x14ac:dyDescent="0.3">
      <c r="C7929" s="109"/>
      <c r="D7929" s="109"/>
      <c r="E7929" s="109"/>
      <c r="F7929" s="110"/>
      <c r="G7929" s="109"/>
    </row>
    <row r="7930" spans="3:7" x14ac:dyDescent="0.3">
      <c r="C7930" s="109"/>
      <c r="D7930" s="109"/>
      <c r="E7930" s="109"/>
      <c r="F7930" s="110"/>
      <c r="G7930" s="109"/>
    </row>
    <row r="7931" spans="3:7" x14ac:dyDescent="0.3">
      <c r="C7931" s="109"/>
      <c r="D7931" s="109"/>
      <c r="E7931" s="109"/>
      <c r="F7931" s="110"/>
      <c r="G7931" s="109"/>
    </row>
    <row r="7932" spans="3:7" x14ac:dyDescent="0.3">
      <c r="C7932" s="109"/>
      <c r="D7932" s="109"/>
      <c r="E7932" s="109"/>
      <c r="F7932" s="110"/>
      <c r="G7932" s="109"/>
    </row>
    <row r="7933" spans="3:7" x14ac:dyDescent="0.3">
      <c r="C7933" s="109"/>
      <c r="D7933" s="109"/>
      <c r="E7933" s="109"/>
      <c r="F7933" s="110"/>
      <c r="G7933" s="109"/>
    </row>
    <row r="7934" spans="3:7" x14ac:dyDescent="0.3">
      <c r="C7934" s="109"/>
      <c r="D7934" s="109"/>
      <c r="E7934" s="109"/>
      <c r="F7934" s="110"/>
      <c r="G7934" s="109"/>
    </row>
    <row r="7935" spans="3:7" x14ac:dyDescent="0.3">
      <c r="C7935" s="109"/>
      <c r="D7935" s="109"/>
      <c r="E7935" s="109"/>
      <c r="F7935" s="110"/>
      <c r="G7935" s="109"/>
    </row>
    <row r="7936" spans="3:7" x14ac:dyDescent="0.3">
      <c r="C7936" s="109"/>
      <c r="D7936" s="109"/>
      <c r="E7936" s="109"/>
      <c r="F7936" s="110"/>
      <c r="G7936" s="109"/>
    </row>
    <row r="7937" spans="3:7" x14ac:dyDescent="0.3">
      <c r="C7937" s="109"/>
      <c r="D7937" s="109"/>
      <c r="E7937" s="109"/>
      <c r="F7937" s="110"/>
      <c r="G7937" s="109"/>
    </row>
    <row r="7938" spans="3:7" x14ac:dyDescent="0.3">
      <c r="C7938" s="109"/>
      <c r="D7938" s="109"/>
      <c r="E7938" s="109"/>
      <c r="F7938" s="110"/>
      <c r="G7938" s="109"/>
    </row>
    <row r="7939" spans="3:7" x14ac:dyDescent="0.3">
      <c r="C7939" s="109"/>
      <c r="D7939" s="109"/>
      <c r="E7939" s="109"/>
      <c r="F7939" s="110"/>
      <c r="G7939" s="109"/>
    </row>
    <row r="7940" spans="3:7" x14ac:dyDescent="0.3">
      <c r="C7940" s="109"/>
      <c r="D7940" s="109"/>
      <c r="E7940" s="109"/>
      <c r="F7940" s="110"/>
      <c r="G7940" s="109"/>
    </row>
    <row r="7941" spans="3:7" x14ac:dyDescent="0.3">
      <c r="C7941" s="109"/>
      <c r="D7941" s="109"/>
      <c r="E7941" s="109"/>
      <c r="F7941" s="110"/>
      <c r="G7941" s="109"/>
    </row>
    <row r="7942" spans="3:7" x14ac:dyDescent="0.3">
      <c r="C7942" s="109"/>
      <c r="D7942" s="109"/>
      <c r="E7942" s="109"/>
      <c r="F7942" s="110"/>
      <c r="G7942" s="109"/>
    </row>
    <row r="7943" spans="3:7" x14ac:dyDescent="0.3">
      <c r="C7943" s="109"/>
      <c r="D7943" s="109"/>
      <c r="E7943" s="109"/>
      <c r="F7943" s="110"/>
      <c r="G7943" s="109"/>
    </row>
    <row r="7944" spans="3:7" x14ac:dyDescent="0.3">
      <c r="C7944" s="109"/>
      <c r="D7944" s="109"/>
      <c r="E7944" s="109"/>
      <c r="F7944" s="110"/>
      <c r="G7944" s="109"/>
    </row>
    <row r="7945" spans="3:7" x14ac:dyDescent="0.3">
      <c r="C7945" s="109"/>
      <c r="D7945" s="109"/>
      <c r="E7945" s="109"/>
      <c r="F7945" s="110"/>
      <c r="G7945" s="109"/>
    </row>
    <row r="7946" spans="3:7" x14ac:dyDescent="0.3">
      <c r="C7946" s="109"/>
      <c r="D7946" s="109"/>
      <c r="E7946" s="109"/>
      <c r="F7946" s="110"/>
      <c r="G7946" s="109"/>
    </row>
    <row r="7947" spans="3:7" x14ac:dyDescent="0.3">
      <c r="C7947" s="109"/>
      <c r="D7947" s="109"/>
      <c r="E7947" s="109"/>
      <c r="F7947" s="110"/>
      <c r="G7947" s="109"/>
    </row>
    <row r="7948" spans="3:7" x14ac:dyDescent="0.3">
      <c r="C7948" s="109"/>
      <c r="D7948" s="109"/>
      <c r="E7948" s="109"/>
      <c r="F7948" s="110"/>
      <c r="G7948" s="109"/>
    </row>
    <row r="7949" spans="3:7" x14ac:dyDescent="0.3">
      <c r="C7949" s="109"/>
      <c r="D7949" s="109"/>
      <c r="E7949" s="109"/>
      <c r="F7949" s="110"/>
      <c r="G7949" s="109"/>
    </row>
    <row r="7950" spans="3:7" x14ac:dyDescent="0.3">
      <c r="C7950" s="109"/>
      <c r="D7950" s="109"/>
      <c r="E7950" s="109"/>
      <c r="F7950" s="110"/>
      <c r="G7950" s="109"/>
    </row>
    <row r="7951" spans="3:7" x14ac:dyDescent="0.3">
      <c r="C7951" s="109"/>
      <c r="D7951" s="109"/>
      <c r="E7951" s="109"/>
      <c r="F7951" s="110"/>
      <c r="G7951" s="109"/>
    </row>
    <row r="7952" spans="3:7" x14ac:dyDescent="0.3">
      <c r="C7952" s="109"/>
      <c r="D7952" s="109"/>
      <c r="E7952" s="109"/>
      <c r="F7952" s="110"/>
      <c r="G7952" s="109"/>
    </row>
    <row r="7953" spans="3:7" x14ac:dyDescent="0.3">
      <c r="C7953" s="109"/>
      <c r="D7953" s="109"/>
      <c r="E7953" s="109"/>
      <c r="F7953" s="110"/>
      <c r="G7953" s="109"/>
    </row>
    <row r="7954" spans="3:7" x14ac:dyDescent="0.3">
      <c r="C7954" s="109"/>
      <c r="D7954" s="109"/>
      <c r="E7954" s="109"/>
      <c r="F7954" s="110"/>
      <c r="G7954" s="109"/>
    </row>
    <row r="7955" spans="3:7" x14ac:dyDescent="0.3">
      <c r="C7955" s="109"/>
      <c r="D7955" s="109"/>
      <c r="E7955" s="109"/>
      <c r="F7955" s="110"/>
      <c r="G7955" s="109"/>
    </row>
    <row r="7956" spans="3:7" x14ac:dyDescent="0.3">
      <c r="C7956" s="109"/>
      <c r="D7956" s="109"/>
      <c r="E7956" s="109"/>
      <c r="F7956" s="110"/>
      <c r="G7956" s="109"/>
    </row>
    <row r="7957" spans="3:7" x14ac:dyDescent="0.3">
      <c r="C7957" s="109"/>
      <c r="D7957" s="109"/>
      <c r="E7957" s="109"/>
      <c r="F7957" s="110"/>
      <c r="G7957" s="109"/>
    </row>
    <row r="7958" spans="3:7" x14ac:dyDescent="0.3">
      <c r="C7958" s="109"/>
      <c r="D7958" s="109"/>
      <c r="E7958" s="109"/>
      <c r="F7958" s="110"/>
      <c r="G7958" s="109"/>
    </row>
    <row r="7959" spans="3:7" x14ac:dyDescent="0.3">
      <c r="C7959" s="109"/>
      <c r="D7959" s="109"/>
      <c r="E7959" s="109"/>
      <c r="F7959" s="110"/>
      <c r="G7959" s="109"/>
    </row>
    <row r="7960" spans="3:7" x14ac:dyDescent="0.3">
      <c r="C7960" s="109"/>
      <c r="D7960" s="109"/>
      <c r="E7960" s="109"/>
      <c r="F7960" s="110"/>
      <c r="G7960" s="109"/>
    </row>
    <row r="7961" spans="3:7" x14ac:dyDescent="0.3">
      <c r="C7961" s="109"/>
      <c r="D7961" s="109"/>
      <c r="E7961" s="109"/>
      <c r="F7961" s="110"/>
      <c r="G7961" s="109"/>
    </row>
    <row r="7962" spans="3:7" x14ac:dyDescent="0.3">
      <c r="C7962" s="109"/>
      <c r="D7962" s="109"/>
      <c r="E7962" s="109"/>
      <c r="F7962" s="110"/>
      <c r="G7962" s="109"/>
    </row>
    <row r="7963" spans="3:7" x14ac:dyDescent="0.3">
      <c r="C7963" s="109"/>
      <c r="D7963" s="109"/>
      <c r="E7963" s="109"/>
      <c r="F7963" s="110"/>
      <c r="G7963" s="109"/>
    </row>
    <row r="7964" spans="3:7" x14ac:dyDescent="0.3">
      <c r="C7964" s="109"/>
      <c r="D7964" s="109"/>
      <c r="E7964" s="109"/>
      <c r="F7964" s="110"/>
      <c r="G7964" s="109"/>
    </row>
    <row r="7965" spans="3:7" x14ac:dyDescent="0.3">
      <c r="C7965" s="109"/>
      <c r="D7965" s="109"/>
      <c r="E7965" s="109"/>
      <c r="F7965" s="110"/>
      <c r="G7965" s="109"/>
    </row>
    <row r="7966" spans="3:7" x14ac:dyDescent="0.3">
      <c r="C7966" s="109"/>
      <c r="D7966" s="109"/>
      <c r="E7966" s="109"/>
      <c r="F7966" s="110"/>
      <c r="G7966" s="109"/>
    </row>
    <row r="7967" spans="3:7" x14ac:dyDescent="0.3">
      <c r="C7967" s="109"/>
      <c r="D7967" s="109"/>
      <c r="E7967" s="109"/>
      <c r="F7967" s="110"/>
      <c r="G7967" s="109"/>
    </row>
    <row r="7968" spans="3:7" x14ac:dyDescent="0.3">
      <c r="C7968" s="109"/>
      <c r="D7968" s="109"/>
      <c r="E7968" s="109"/>
      <c r="F7968" s="110"/>
      <c r="G7968" s="109"/>
    </row>
    <row r="7969" spans="3:7" x14ac:dyDescent="0.3">
      <c r="C7969" s="109"/>
      <c r="D7969" s="109"/>
      <c r="E7969" s="109"/>
      <c r="F7969" s="110"/>
      <c r="G7969" s="109"/>
    </row>
    <row r="7970" spans="3:7" x14ac:dyDescent="0.3">
      <c r="C7970" s="109"/>
      <c r="D7970" s="109"/>
      <c r="E7970" s="109"/>
      <c r="F7970" s="110"/>
      <c r="G7970" s="109"/>
    </row>
    <row r="7971" spans="3:7" x14ac:dyDescent="0.3">
      <c r="C7971" s="109"/>
      <c r="D7971" s="109"/>
      <c r="E7971" s="109"/>
      <c r="F7971" s="110"/>
      <c r="G7971" s="109"/>
    </row>
    <row r="7972" spans="3:7" x14ac:dyDescent="0.3">
      <c r="C7972" s="109"/>
      <c r="D7972" s="109"/>
      <c r="E7972" s="109"/>
      <c r="F7972" s="110"/>
      <c r="G7972" s="109"/>
    </row>
    <row r="7973" spans="3:7" x14ac:dyDescent="0.3">
      <c r="C7973" s="109"/>
      <c r="D7973" s="109"/>
      <c r="E7973" s="109"/>
      <c r="F7973" s="110"/>
      <c r="G7973" s="109"/>
    </row>
    <row r="7974" spans="3:7" x14ac:dyDescent="0.3">
      <c r="C7974" s="109"/>
      <c r="D7974" s="109"/>
      <c r="E7974" s="109"/>
      <c r="F7974" s="110"/>
      <c r="G7974" s="109"/>
    </row>
    <row r="7975" spans="3:7" x14ac:dyDescent="0.3">
      <c r="C7975" s="109"/>
      <c r="D7975" s="109"/>
      <c r="E7975" s="109"/>
      <c r="F7975" s="110"/>
      <c r="G7975" s="109"/>
    </row>
    <row r="7976" spans="3:7" x14ac:dyDescent="0.3">
      <c r="C7976" s="109"/>
      <c r="D7976" s="109"/>
      <c r="E7976" s="109"/>
      <c r="F7976" s="110"/>
      <c r="G7976" s="109"/>
    </row>
    <row r="7977" spans="3:7" x14ac:dyDescent="0.3">
      <c r="C7977" s="109"/>
      <c r="D7977" s="109"/>
      <c r="E7977" s="109"/>
      <c r="F7977" s="110"/>
      <c r="G7977" s="109"/>
    </row>
    <row r="7978" spans="3:7" x14ac:dyDescent="0.3">
      <c r="C7978" s="109"/>
      <c r="D7978" s="109"/>
      <c r="E7978" s="109"/>
      <c r="F7978" s="110"/>
      <c r="G7978" s="109"/>
    </row>
    <row r="7979" spans="3:7" x14ac:dyDescent="0.3">
      <c r="C7979" s="109"/>
      <c r="D7979" s="109"/>
      <c r="E7979" s="109"/>
      <c r="F7979" s="110"/>
      <c r="G7979" s="109"/>
    </row>
    <row r="7980" spans="3:7" x14ac:dyDescent="0.3">
      <c r="C7980" s="109"/>
      <c r="D7980" s="109"/>
      <c r="E7980" s="109"/>
      <c r="F7980" s="110"/>
      <c r="G7980" s="109"/>
    </row>
    <row r="7981" spans="3:7" x14ac:dyDescent="0.3">
      <c r="C7981" s="109"/>
      <c r="D7981" s="109"/>
      <c r="E7981" s="109"/>
      <c r="F7981" s="110"/>
      <c r="G7981" s="109"/>
    </row>
    <row r="7982" spans="3:7" x14ac:dyDescent="0.3">
      <c r="C7982" s="109"/>
      <c r="D7982" s="109"/>
      <c r="E7982" s="109"/>
      <c r="F7982" s="110"/>
      <c r="G7982" s="109"/>
    </row>
    <row r="7983" spans="3:7" x14ac:dyDescent="0.3">
      <c r="C7983" s="109"/>
      <c r="D7983" s="109"/>
      <c r="E7983" s="109"/>
      <c r="F7983" s="110"/>
      <c r="G7983" s="109"/>
    </row>
    <row r="7984" spans="3:7" x14ac:dyDescent="0.3">
      <c r="C7984" s="109"/>
      <c r="D7984" s="109"/>
      <c r="E7984" s="109"/>
      <c r="F7984" s="110"/>
      <c r="G7984" s="109"/>
    </row>
    <row r="7985" spans="3:7" x14ac:dyDescent="0.3">
      <c r="C7985" s="109"/>
      <c r="D7985" s="109"/>
      <c r="E7985" s="109"/>
      <c r="F7985" s="110"/>
      <c r="G7985" s="109"/>
    </row>
    <row r="7986" spans="3:7" x14ac:dyDescent="0.3">
      <c r="C7986" s="109"/>
      <c r="D7986" s="109"/>
      <c r="E7986" s="109"/>
      <c r="F7986" s="110"/>
      <c r="G7986" s="109"/>
    </row>
    <row r="7987" spans="3:7" x14ac:dyDescent="0.3">
      <c r="C7987" s="109"/>
      <c r="D7987" s="109"/>
      <c r="E7987" s="109"/>
      <c r="F7987" s="110"/>
      <c r="G7987" s="109"/>
    </row>
    <row r="7988" spans="3:7" x14ac:dyDescent="0.3">
      <c r="C7988" s="109"/>
      <c r="D7988" s="109"/>
      <c r="E7988" s="109"/>
      <c r="F7988" s="110"/>
      <c r="G7988" s="109"/>
    </row>
    <row r="7989" spans="3:7" x14ac:dyDescent="0.3">
      <c r="C7989" s="109"/>
      <c r="D7989" s="109"/>
      <c r="E7989" s="109"/>
      <c r="F7989" s="110"/>
      <c r="G7989" s="109"/>
    </row>
    <row r="7990" spans="3:7" x14ac:dyDescent="0.3">
      <c r="C7990" s="109"/>
      <c r="D7990" s="109"/>
      <c r="E7990" s="109"/>
      <c r="F7990" s="110"/>
      <c r="G7990" s="109"/>
    </row>
    <row r="7991" spans="3:7" x14ac:dyDescent="0.3">
      <c r="C7991" s="109"/>
      <c r="D7991" s="109"/>
      <c r="E7991" s="109"/>
      <c r="F7991" s="110"/>
      <c r="G7991" s="109"/>
    </row>
    <row r="7992" spans="3:7" x14ac:dyDescent="0.3">
      <c r="C7992" s="109"/>
      <c r="D7992" s="109"/>
      <c r="E7992" s="109"/>
      <c r="F7992" s="110"/>
      <c r="G7992" s="109"/>
    </row>
    <row r="7993" spans="3:7" x14ac:dyDescent="0.3">
      <c r="C7993" s="109"/>
      <c r="D7993" s="109"/>
      <c r="E7993" s="109"/>
      <c r="F7993" s="110"/>
      <c r="G7993" s="109"/>
    </row>
    <row r="7994" spans="3:7" x14ac:dyDescent="0.3">
      <c r="C7994" s="109"/>
      <c r="D7994" s="109"/>
      <c r="E7994" s="109"/>
      <c r="F7994" s="110"/>
      <c r="G7994" s="109"/>
    </row>
    <row r="7995" spans="3:7" x14ac:dyDescent="0.3">
      <c r="C7995" s="109"/>
      <c r="D7995" s="109"/>
      <c r="E7995" s="109"/>
      <c r="F7995" s="110"/>
      <c r="G7995" s="109"/>
    </row>
    <row r="7996" spans="3:7" x14ac:dyDescent="0.3">
      <c r="C7996" s="109"/>
      <c r="D7996" s="109"/>
      <c r="E7996" s="109"/>
      <c r="F7996" s="110"/>
      <c r="G7996" s="109"/>
    </row>
    <row r="7997" spans="3:7" x14ac:dyDescent="0.3">
      <c r="C7997" s="109"/>
      <c r="D7997" s="109"/>
      <c r="E7997" s="109"/>
      <c r="F7997" s="110"/>
      <c r="G7997" s="109"/>
    </row>
    <row r="7998" spans="3:7" x14ac:dyDescent="0.3">
      <c r="C7998" s="109"/>
      <c r="D7998" s="109"/>
      <c r="E7998" s="109"/>
      <c r="F7998" s="110"/>
      <c r="G7998" s="109"/>
    </row>
    <row r="7999" spans="3:7" x14ac:dyDescent="0.3">
      <c r="C7999" s="109"/>
      <c r="D7999" s="109"/>
      <c r="E7999" s="109"/>
      <c r="F7999" s="110"/>
      <c r="G7999" s="109"/>
    </row>
    <row r="8000" spans="3:7" x14ac:dyDescent="0.3">
      <c r="C8000" s="109"/>
      <c r="D8000" s="109"/>
      <c r="E8000" s="109"/>
      <c r="F8000" s="110"/>
      <c r="G8000" s="109"/>
    </row>
    <row r="8001" spans="3:7" x14ac:dyDescent="0.3">
      <c r="C8001" s="109"/>
      <c r="D8001" s="109"/>
      <c r="E8001" s="109"/>
      <c r="F8001" s="110"/>
      <c r="G8001" s="109"/>
    </row>
    <row r="8002" spans="3:7" x14ac:dyDescent="0.3">
      <c r="C8002" s="109"/>
      <c r="D8002" s="109"/>
      <c r="E8002" s="109"/>
      <c r="F8002" s="110"/>
      <c r="G8002" s="109"/>
    </row>
    <row r="8003" spans="3:7" x14ac:dyDescent="0.3">
      <c r="C8003" s="109"/>
      <c r="D8003" s="109"/>
      <c r="E8003" s="109"/>
      <c r="F8003" s="110"/>
      <c r="G8003" s="109"/>
    </row>
    <row r="8004" spans="3:7" x14ac:dyDescent="0.3">
      <c r="C8004" s="109"/>
      <c r="D8004" s="109"/>
      <c r="E8004" s="109"/>
      <c r="F8004" s="110"/>
      <c r="G8004" s="109"/>
    </row>
    <row r="8005" spans="3:7" x14ac:dyDescent="0.3">
      <c r="C8005" s="109"/>
      <c r="D8005" s="109"/>
      <c r="E8005" s="109"/>
      <c r="F8005" s="110"/>
      <c r="G8005" s="109"/>
    </row>
    <row r="8006" spans="3:7" x14ac:dyDescent="0.3">
      <c r="C8006" s="109"/>
      <c r="D8006" s="109"/>
      <c r="E8006" s="109"/>
      <c r="F8006" s="110"/>
      <c r="G8006" s="109"/>
    </row>
    <row r="8007" spans="3:7" x14ac:dyDescent="0.3">
      <c r="C8007" s="109"/>
      <c r="D8007" s="109"/>
      <c r="E8007" s="109"/>
      <c r="F8007" s="110"/>
      <c r="G8007" s="109"/>
    </row>
    <row r="8008" spans="3:7" x14ac:dyDescent="0.3">
      <c r="C8008" s="109"/>
      <c r="D8008" s="109"/>
      <c r="E8008" s="109"/>
      <c r="F8008" s="110"/>
      <c r="G8008" s="109"/>
    </row>
    <row r="8009" spans="3:7" x14ac:dyDescent="0.3">
      <c r="C8009" s="109"/>
      <c r="D8009" s="109"/>
      <c r="E8009" s="109"/>
      <c r="F8009" s="110"/>
      <c r="G8009" s="109"/>
    </row>
    <row r="8010" spans="3:7" x14ac:dyDescent="0.3">
      <c r="C8010" s="109"/>
      <c r="D8010" s="109"/>
      <c r="E8010" s="109"/>
      <c r="F8010" s="110"/>
      <c r="G8010" s="109"/>
    </row>
    <row r="8011" spans="3:7" x14ac:dyDescent="0.3">
      <c r="C8011" s="109"/>
      <c r="D8011" s="109"/>
      <c r="E8011" s="109"/>
      <c r="F8011" s="110"/>
      <c r="G8011" s="109"/>
    </row>
    <row r="8012" spans="3:7" x14ac:dyDescent="0.3">
      <c r="C8012" s="109"/>
      <c r="D8012" s="109"/>
      <c r="E8012" s="109"/>
      <c r="F8012" s="110"/>
      <c r="G8012" s="109"/>
    </row>
    <row r="8013" spans="3:7" x14ac:dyDescent="0.3">
      <c r="C8013" s="109"/>
      <c r="D8013" s="109"/>
      <c r="E8013" s="109"/>
      <c r="F8013" s="110"/>
      <c r="G8013" s="109"/>
    </row>
    <row r="8014" spans="3:7" x14ac:dyDescent="0.3">
      <c r="C8014" s="109"/>
      <c r="D8014" s="109"/>
      <c r="E8014" s="109"/>
      <c r="F8014" s="110"/>
      <c r="G8014" s="109"/>
    </row>
    <row r="8015" spans="3:7" x14ac:dyDescent="0.3">
      <c r="C8015" s="109"/>
      <c r="D8015" s="109"/>
      <c r="E8015" s="109"/>
      <c r="F8015" s="110"/>
      <c r="G8015" s="109"/>
    </row>
    <row r="8016" spans="3:7" x14ac:dyDescent="0.3">
      <c r="C8016" s="109"/>
      <c r="D8016" s="109"/>
      <c r="E8016" s="109"/>
      <c r="F8016" s="110"/>
      <c r="G8016" s="109"/>
    </row>
    <row r="8017" spans="3:7" x14ac:dyDescent="0.3">
      <c r="C8017" s="109"/>
      <c r="D8017" s="109"/>
      <c r="E8017" s="109"/>
      <c r="F8017" s="110"/>
      <c r="G8017" s="109"/>
    </row>
    <row r="8018" spans="3:7" x14ac:dyDescent="0.3">
      <c r="C8018" s="109"/>
      <c r="D8018" s="109"/>
      <c r="E8018" s="109"/>
      <c r="F8018" s="110"/>
      <c r="G8018" s="109"/>
    </row>
    <row r="8019" spans="3:7" x14ac:dyDescent="0.3">
      <c r="C8019" s="109"/>
      <c r="D8019" s="109"/>
      <c r="E8019" s="109"/>
      <c r="F8019" s="110"/>
      <c r="G8019" s="109"/>
    </row>
    <row r="8020" spans="3:7" x14ac:dyDescent="0.3">
      <c r="C8020" s="109"/>
      <c r="D8020" s="109"/>
      <c r="E8020" s="109"/>
      <c r="F8020" s="110"/>
      <c r="G8020" s="109"/>
    </row>
    <row r="8021" spans="3:7" x14ac:dyDescent="0.3">
      <c r="C8021" s="109"/>
      <c r="D8021" s="109"/>
      <c r="E8021" s="109"/>
      <c r="F8021" s="110"/>
      <c r="G8021" s="109"/>
    </row>
    <row r="8022" spans="3:7" x14ac:dyDescent="0.3">
      <c r="C8022" s="109"/>
      <c r="D8022" s="109"/>
      <c r="E8022" s="109"/>
      <c r="F8022" s="110"/>
      <c r="G8022" s="109"/>
    </row>
    <row r="8023" spans="3:7" x14ac:dyDescent="0.3">
      <c r="C8023" s="109"/>
      <c r="D8023" s="109"/>
      <c r="E8023" s="109"/>
      <c r="F8023" s="110"/>
      <c r="G8023" s="109"/>
    </row>
    <row r="8024" spans="3:7" x14ac:dyDescent="0.3">
      <c r="C8024" s="109"/>
      <c r="D8024" s="109"/>
      <c r="E8024" s="109"/>
      <c r="F8024" s="110"/>
      <c r="G8024" s="109"/>
    </row>
    <row r="8025" spans="3:7" x14ac:dyDescent="0.3">
      <c r="C8025" s="109"/>
      <c r="D8025" s="109"/>
      <c r="E8025" s="109"/>
      <c r="F8025" s="110"/>
      <c r="G8025" s="109"/>
    </row>
    <row r="8026" spans="3:7" x14ac:dyDescent="0.3">
      <c r="C8026" s="109"/>
      <c r="D8026" s="109"/>
      <c r="E8026" s="109"/>
      <c r="F8026" s="110"/>
      <c r="G8026" s="109"/>
    </row>
    <row r="8027" spans="3:7" x14ac:dyDescent="0.3">
      <c r="C8027" s="109"/>
      <c r="D8027" s="109"/>
      <c r="E8027" s="109"/>
      <c r="F8027" s="110"/>
      <c r="G8027" s="109"/>
    </row>
    <row r="8028" spans="3:7" x14ac:dyDescent="0.3">
      <c r="C8028" s="109"/>
      <c r="D8028" s="109"/>
      <c r="E8028" s="109"/>
      <c r="F8028" s="110"/>
      <c r="G8028" s="109"/>
    </row>
    <row r="8029" spans="3:7" x14ac:dyDescent="0.3">
      <c r="C8029" s="109"/>
      <c r="D8029" s="109"/>
      <c r="E8029" s="109"/>
      <c r="F8029" s="110"/>
      <c r="G8029" s="109"/>
    </row>
    <row r="8030" spans="3:7" x14ac:dyDescent="0.3">
      <c r="C8030" s="109"/>
      <c r="D8030" s="109"/>
      <c r="E8030" s="109"/>
      <c r="F8030" s="110"/>
      <c r="G8030" s="109"/>
    </row>
    <row r="8031" spans="3:7" x14ac:dyDescent="0.3">
      <c r="C8031" s="109"/>
      <c r="D8031" s="109"/>
      <c r="E8031" s="109"/>
      <c r="F8031" s="110"/>
      <c r="G8031" s="109"/>
    </row>
    <row r="8032" spans="3:7" x14ac:dyDescent="0.3">
      <c r="C8032" s="109"/>
      <c r="D8032" s="109"/>
      <c r="E8032" s="109"/>
      <c r="F8032" s="110"/>
      <c r="G8032" s="109"/>
    </row>
    <row r="8033" spans="3:7" x14ac:dyDescent="0.3">
      <c r="C8033" s="109"/>
      <c r="D8033" s="109"/>
      <c r="E8033" s="109"/>
      <c r="F8033" s="110"/>
      <c r="G8033" s="109"/>
    </row>
    <row r="8034" spans="3:7" x14ac:dyDescent="0.3">
      <c r="C8034" s="109"/>
      <c r="D8034" s="109"/>
      <c r="E8034" s="109"/>
      <c r="F8034" s="110"/>
      <c r="G8034" s="109"/>
    </row>
    <row r="8035" spans="3:7" x14ac:dyDescent="0.3">
      <c r="C8035" s="109"/>
      <c r="D8035" s="109"/>
      <c r="E8035" s="109"/>
      <c r="F8035" s="110"/>
      <c r="G8035" s="109"/>
    </row>
    <row r="8036" spans="3:7" x14ac:dyDescent="0.3">
      <c r="C8036" s="109"/>
      <c r="D8036" s="109"/>
      <c r="E8036" s="109"/>
      <c r="F8036" s="110"/>
      <c r="G8036" s="109"/>
    </row>
    <row r="8037" spans="3:7" x14ac:dyDescent="0.3">
      <c r="C8037" s="109"/>
      <c r="D8037" s="109"/>
      <c r="E8037" s="109"/>
      <c r="F8037" s="110"/>
      <c r="G8037" s="109"/>
    </row>
    <row r="8038" spans="3:7" x14ac:dyDescent="0.3">
      <c r="C8038" s="109"/>
      <c r="D8038" s="109"/>
      <c r="E8038" s="109"/>
      <c r="F8038" s="110"/>
      <c r="G8038" s="109"/>
    </row>
    <row r="8039" spans="3:7" x14ac:dyDescent="0.3">
      <c r="C8039" s="109"/>
      <c r="D8039" s="109"/>
      <c r="E8039" s="109"/>
      <c r="F8039" s="110"/>
      <c r="G8039" s="109"/>
    </row>
    <row r="8040" spans="3:7" x14ac:dyDescent="0.3">
      <c r="C8040" s="109"/>
      <c r="D8040" s="109"/>
      <c r="E8040" s="109"/>
      <c r="F8040" s="110"/>
      <c r="G8040" s="109"/>
    </row>
    <row r="8041" spans="3:7" x14ac:dyDescent="0.3">
      <c r="C8041" s="109"/>
      <c r="D8041" s="109"/>
      <c r="E8041" s="109"/>
      <c r="F8041" s="110"/>
      <c r="G8041" s="109"/>
    </row>
    <row r="8042" spans="3:7" x14ac:dyDescent="0.3">
      <c r="C8042" s="109"/>
      <c r="D8042" s="109"/>
      <c r="E8042" s="109"/>
      <c r="F8042" s="110"/>
      <c r="G8042" s="109"/>
    </row>
    <row r="8043" spans="3:7" x14ac:dyDescent="0.3">
      <c r="C8043" s="109"/>
      <c r="D8043" s="109"/>
      <c r="E8043" s="109"/>
      <c r="F8043" s="110"/>
      <c r="G8043" s="109"/>
    </row>
    <row r="8044" spans="3:7" x14ac:dyDescent="0.3">
      <c r="C8044" s="109"/>
      <c r="D8044" s="109"/>
      <c r="E8044" s="109"/>
      <c r="F8044" s="110"/>
      <c r="G8044" s="109"/>
    </row>
    <row r="8045" spans="3:7" x14ac:dyDescent="0.3">
      <c r="C8045" s="109"/>
      <c r="D8045" s="109"/>
      <c r="E8045" s="109"/>
      <c r="F8045" s="110"/>
      <c r="G8045" s="109"/>
    </row>
    <row r="8046" spans="3:7" x14ac:dyDescent="0.3">
      <c r="C8046" s="109"/>
      <c r="D8046" s="109"/>
      <c r="E8046" s="109"/>
      <c r="F8046" s="110"/>
      <c r="G8046" s="109"/>
    </row>
    <row r="8047" spans="3:7" x14ac:dyDescent="0.3">
      <c r="C8047" s="109"/>
      <c r="D8047" s="109"/>
      <c r="E8047" s="109"/>
      <c r="F8047" s="110"/>
      <c r="G8047" s="109"/>
    </row>
    <row r="8048" spans="3:7" x14ac:dyDescent="0.3">
      <c r="C8048" s="109"/>
      <c r="D8048" s="109"/>
      <c r="E8048" s="109"/>
      <c r="F8048" s="110"/>
      <c r="G8048" s="109"/>
    </row>
    <row r="8049" spans="3:7" x14ac:dyDescent="0.3">
      <c r="C8049" s="109"/>
      <c r="D8049" s="109"/>
      <c r="E8049" s="109"/>
      <c r="F8049" s="110"/>
      <c r="G8049" s="109"/>
    </row>
    <row r="8050" spans="3:7" x14ac:dyDescent="0.3">
      <c r="C8050" s="109"/>
      <c r="D8050" s="109"/>
      <c r="E8050" s="109"/>
      <c r="F8050" s="110"/>
      <c r="G8050" s="109"/>
    </row>
    <row r="8051" spans="3:7" x14ac:dyDescent="0.3">
      <c r="C8051" s="109"/>
      <c r="D8051" s="109"/>
      <c r="E8051" s="109"/>
      <c r="F8051" s="110"/>
      <c r="G8051" s="109"/>
    </row>
    <row r="8052" spans="3:7" x14ac:dyDescent="0.3">
      <c r="C8052" s="109"/>
      <c r="D8052" s="109"/>
      <c r="E8052" s="109"/>
      <c r="F8052" s="110"/>
      <c r="G8052" s="109"/>
    </row>
    <row r="8053" spans="3:7" x14ac:dyDescent="0.3">
      <c r="C8053" s="109"/>
      <c r="D8053" s="109"/>
      <c r="E8053" s="109"/>
      <c r="F8053" s="110"/>
      <c r="G8053" s="109"/>
    </row>
    <row r="8054" spans="3:7" x14ac:dyDescent="0.3">
      <c r="C8054" s="109"/>
      <c r="D8054" s="109"/>
      <c r="E8054" s="109"/>
      <c r="F8054" s="110"/>
      <c r="G8054" s="109"/>
    </row>
    <row r="8055" spans="3:7" x14ac:dyDescent="0.3">
      <c r="C8055" s="109"/>
      <c r="D8055" s="109"/>
      <c r="E8055" s="109"/>
      <c r="F8055" s="110"/>
      <c r="G8055" s="109"/>
    </row>
    <row r="8056" spans="3:7" x14ac:dyDescent="0.3">
      <c r="C8056" s="109"/>
      <c r="D8056" s="109"/>
      <c r="E8056" s="109"/>
      <c r="F8056" s="110"/>
      <c r="G8056" s="109"/>
    </row>
    <row r="8057" spans="3:7" x14ac:dyDescent="0.3">
      <c r="C8057" s="109"/>
      <c r="D8057" s="109"/>
      <c r="E8057" s="109"/>
      <c r="F8057" s="110"/>
      <c r="G8057" s="109"/>
    </row>
    <row r="8058" spans="3:7" x14ac:dyDescent="0.3">
      <c r="C8058" s="109"/>
      <c r="D8058" s="109"/>
      <c r="E8058" s="109"/>
      <c r="F8058" s="110"/>
      <c r="G8058" s="109"/>
    </row>
    <row r="8059" spans="3:7" x14ac:dyDescent="0.3">
      <c r="C8059" s="109"/>
      <c r="D8059" s="109"/>
      <c r="E8059" s="109"/>
      <c r="F8059" s="110"/>
      <c r="G8059" s="109"/>
    </row>
    <row r="8060" spans="3:7" x14ac:dyDescent="0.3">
      <c r="C8060" s="109"/>
      <c r="D8060" s="109"/>
      <c r="E8060" s="109"/>
      <c r="F8060" s="110"/>
      <c r="G8060" s="109"/>
    </row>
    <row r="8061" spans="3:7" x14ac:dyDescent="0.3">
      <c r="C8061" s="109"/>
      <c r="D8061" s="109"/>
      <c r="E8061" s="109"/>
      <c r="F8061" s="110"/>
      <c r="G8061" s="109"/>
    </row>
    <row r="8062" spans="3:7" x14ac:dyDescent="0.3">
      <c r="C8062" s="109"/>
      <c r="D8062" s="109"/>
      <c r="E8062" s="109"/>
      <c r="F8062" s="110"/>
      <c r="G8062" s="109"/>
    </row>
    <row r="8063" spans="3:7" x14ac:dyDescent="0.3">
      <c r="C8063" s="109"/>
      <c r="D8063" s="109"/>
      <c r="E8063" s="109"/>
      <c r="F8063" s="110"/>
      <c r="G8063" s="109"/>
    </row>
    <row r="8064" spans="3:7" x14ac:dyDescent="0.3">
      <c r="C8064" s="109"/>
      <c r="D8064" s="109"/>
      <c r="E8064" s="109"/>
      <c r="F8064" s="110"/>
      <c r="G8064" s="109"/>
    </row>
    <row r="8065" spans="3:7" x14ac:dyDescent="0.3">
      <c r="C8065" s="109"/>
      <c r="D8065" s="109"/>
      <c r="E8065" s="109"/>
      <c r="F8065" s="110"/>
      <c r="G8065" s="109"/>
    </row>
    <row r="8066" spans="3:7" x14ac:dyDescent="0.3">
      <c r="C8066" s="109"/>
      <c r="D8066" s="109"/>
      <c r="E8066" s="109"/>
      <c r="F8066" s="110"/>
      <c r="G8066" s="109"/>
    </row>
    <row r="8067" spans="3:7" x14ac:dyDescent="0.3">
      <c r="C8067" s="109"/>
      <c r="D8067" s="109"/>
      <c r="E8067" s="109"/>
      <c r="F8067" s="110"/>
      <c r="G8067" s="109"/>
    </row>
    <row r="8068" spans="3:7" x14ac:dyDescent="0.3">
      <c r="C8068" s="109"/>
      <c r="D8068" s="109"/>
      <c r="E8068" s="109"/>
      <c r="F8068" s="110"/>
      <c r="G8068" s="109"/>
    </row>
    <row r="8069" spans="3:7" x14ac:dyDescent="0.3">
      <c r="C8069" s="109"/>
      <c r="D8069" s="109"/>
      <c r="E8069" s="109"/>
      <c r="F8069" s="110"/>
      <c r="G8069" s="109"/>
    </row>
    <row r="8070" spans="3:7" x14ac:dyDescent="0.3">
      <c r="C8070" s="109"/>
      <c r="D8070" s="109"/>
      <c r="E8070" s="109"/>
      <c r="F8070" s="110"/>
      <c r="G8070" s="109"/>
    </row>
    <row r="8071" spans="3:7" x14ac:dyDescent="0.3">
      <c r="C8071" s="109"/>
      <c r="D8071" s="109"/>
      <c r="E8071" s="109"/>
      <c r="F8071" s="110"/>
      <c r="G8071" s="109"/>
    </row>
    <row r="8072" spans="3:7" x14ac:dyDescent="0.3">
      <c r="C8072" s="109"/>
      <c r="D8072" s="109"/>
      <c r="E8072" s="109"/>
      <c r="F8072" s="110"/>
      <c r="G8072" s="109"/>
    </row>
    <row r="8073" spans="3:7" x14ac:dyDescent="0.3">
      <c r="C8073" s="109"/>
      <c r="D8073" s="109"/>
      <c r="E8073" s="109"/>
      <c r="F8073" s="110"/>
      <c r="G8073" s="109"/>
    </row>
    <row r="8074" spans="3:7" x14ac:dyDescent="0.3">
      <c r="C8074" s="109"/>
      <c r="D8074" s="109"/>
      <c r="E8074" s="109"/>
      <c r="F8074" s="110"/>
      <c r="G8074" s="109"/>
    </row>
    <row r="8075" spans="3:7" x14ac:dyDescent="0.3">
      <c r="C8075" s="109"/>
      <c r="D8075" s="109"/>
      <c r="E8075" s="109"/>
      <c r="F8075" s="110"/>
      <c r="G8075" s="109"/>
    </row>
    <row r="8076" spans="3:7" x14ac:dyDescent="0.3">
      <c r="C8076" s="109"/>
      <c r="D8076" s="109"/>
      <c r="E8076" s="109"/>
      <c r="F8076" s="110"/>
      <c r="G8076" s="109"/>
    </row>
    <row r="8077" spans="3:7" x14ac:dyDescent="0.3">
      <c r="C8077" s="109"/>
      <c r="D8077" s="109"/>
      <c r="E8077" s="109"/>
      <c r="F8077" s="110"/>
      <c r="G8077" s="109"/>
    </row>
    <row r="8078" spans="3:7" x14ac:dyDescent="0.3">
      <c r="C8078" s="109"/>
      <c r="D8078" s="109"/>
      <c r="E8078" s="109"/>
      <c r="F8078" s="110"/>
      <c r="G8078" s="109"/>
    </row>
    <row r="8079" spans="3:7" x14ac:dyDescent="0.3">
      <c r="C8079" s="109"/>
      <c r="D8079" s="109"/>
      <c r="E8079" s="109"/>
      <c r="F8079" s="110"/>
      <c r="G8079" s="109"/>
    </row>
    <row r="8080" spans="3:7" x14ac:dyDescent="0.3">
      <c r="C8080" s="109"/>
      <c r="D8080" s="109"/>
      <c r="E8080" s="109"/>
      <c r="F8080" s="110"/>
      <c r="G8080" s="109"/>
    </row>
    <row r="8081" spans="3:7" x14ac:dyDescent="0.3">
      <c r="C8081" s="109"/>
      <c r="D8081" s="109"/>
      <c r="E8081" s="109"/>
      <c r="F8081" s="110"/>
      <c r="G8081" s="109"/>
    </row>
    <row r="8082" spans="3:7" x14ac:dyDescent="0.3">
      <c r="C8082" s="109"/>
      <c r="D8082" s="109"/>
      <c r="E8082" s="109"/>
      <c r="F8082" s="110"/>
      <c r="G8082" s="109"/>
    </row>
    <row r="8083" spans="3:7" x14ac:dyDescent="0.3">
      <c r="C8083" s="109"/>
      <c r="D8083" s="109"/>
      <c r="E8083" s="109"/>
      <c r="F8083" s="110"/>
      <c r="G8083" s="109"/>
    </row>
    <row r="8084" spans="3:7" x14ac:dyDescent="0.3">
      <c r="C8084" s="109"/>
      <c r="D8084" s="109"/>
      <c r="E8084" s="109"/>
      <c r="F8084" s="110"/>
      <c r="G8084" s="109"/>
    </row>
    <row r="8085" spans="3:7" x14ac:dyDescent="0.3">
      <c r="C8085" s="109"/>
      <c r="D8085" s="109"/>
      <c r="E8085" s="109"/>
      <c r="F8085" s="110"/>
      <c r="G8085" s="109"/>
    </row>
    <row r="8086" spans="3:7" x14ac:dyDescent="0.3">
      <c r="C8086" s="109"/>
      <c r="D8086" s="109"/>
      <c r="E8086" s="109"/>
      <c r="F8086" s="110"/>
      <c r="G8086" s="109"/>
    </row>
    <row r="8087" spans="3:7" x14ac:dyDescent="0.3">
      <c r="C8087" s="109"/>
      <c r="D8087" s="109"/>
      <c r="E8087" s="109"/>
      <c r="F8087" s="110"/>
      <c r="G8087" s="109"/>
    </row>
    <row r="8088" spans="3:7" x14ac:dyDescent="0.3">
      <c r="C8088" s="109"/>
      <c r="D8088" s="109"/>
      <c r="E8088" s="109"/>
      <c r="F8088" s="110"/>
      <c r="G8088" s="109"/>
    </row>
    <row r="8089" spans="3:7" x14ac:dyDescent="0.3">
      <c r="C8089" s="109"/>
      <c r="D8089" s="109"/>
      <c r="E8089" s="109"/>
      <c r="F8089" s="110"/>
      <c r="G8089" s="109"/>
    </row>
    <row r="8090" spans="3:7" x14ac:dyDescent="0.3">
      <c r="C8090" s="109"/>
      <c r="D8090" s="109"/>
      <c r="E8090" s="109"/>
      <c r="F8090" s="110"/>
      <c r="G8090" s="109"/>
    </row>
    <row r="8091" spans="3:7" x14ac:dyDescent="0.3">
      <c r="C8091" s="109"/>
      <c r="D8091" s="109"/>
      <c r="E8091" s="109"/>
      <c r="F8091" s="110"/>
      <c r="G8091" s="109"/>
    </row>
    <row r="8092" spans="3:7" x14ac:dyDescent="0.3">
      <c r="C8092" s="109"/>
      <c r="D8092" s="109"/>
      <c r="E8092" s="109"/>
      <c r="F8092" s="110"/>
      <c r="G8092" s="109"/>
    </row>
    <row r="8093" spans="3:7" x14ac:dyDescent="0.3">
      <c r="C8093" s="109"/>
      <c r="D8093" s="109"/>
      <c r="E8093" s="109"/>
      <c r="F8093" s="110"/>
      <c r="G8093" s="109"/>
    </row>
    <row r="8094" spans="3:7" x14ac:dyDescent="0.3">
      <c r="C8094" s="109"/>
      <c r="D8094" s="109"/>
      <c r="E8094" s="109"/>
      <c r="F8094" s="110"/>
      <c r="G8094" s="109"/>
    </row>
    <row r="8095" spans="3:7" x14ac:dyDescent="0.3">
      <c r="C8095" s="109"/>
      <c r="D8095" s="109"/>
      <c r="E8095" s="109"/>
      <c r="F8095" s="110"/>
      <c r="G8095" s="109"/>
    </row>
    <row r="8096" spans="3:7" x14ac:dyDescent="0.3">
      <c r="C8096" s="109"/>
      <c r="D8096" s="109"/>
      <c r="E8096" s="109"/>
      <c r="F8096" s="110"/>
      <c r="G8096" s="109"/>
    </row>
    <row r="8097" spans="3:7" x14ac:dyDescent="0.3">
      <c r="C8097" s="109"/>
      <c r="D8097" s="109"/>
      <c r="E8097" s="109"/>
      <c r="F8097" s="110"/>
      <c r="G8097" s="109"/>
    </row>
    <row r="8098" spans="3:7" x14ac:dyDescent="0.3">
      <c r="C8098" s="109"/>
      <c r="D8098" s="109"/>
      <c r="E8098" s="109"/>
      <c r="F8098" s="110"/>
      <c r="G8098" s="109"/>
    </row>
    <row r="8099" spans="3:7" x14ac:dyDescent="0.3">
      <c r="C8099" s="109"/>
      <c r="D8099" s="109"/>
      <c r="E8099" s="109"/>
      <c r="F8099" s="110"/>
      <c r="G8099" s="109"/>
    </row>
    <row r="8100" spans="3:7" x14ac:dyDescent="0.3">
      <c r="C8100" s="109"/>
      <c r="D8100" s="109"/>
      <c r="E8100" s="109"/>
      <c r="F8100" s="110"/>
      <c r="G8100" s="109"/>
    </row>
    <row r="8101" spans="3:7" x14ac:dyDescent="0.3">
      <c r="C8101" s="109"/>
      <c r="D8101" s="109"/>
      <c r="E8101" s="109"/>
      <c r="F8101" s="110"/>
      <c r="G8101" s="109"/>
    </row>
    <row r="8102" spans="3:7" x14ac:dyDescent="0.3">
      <c r="C8102" s="109"/>
      <c r="D8102" s="109"/>
      <c r="E8102" s="109"/>
      <c r="F8102" s="110"/>
      <c r="G8102" s="109"/>
    </row>
    <row r="8103" spans="3:7" x14ac:dyDescent="0.3">
      <c r="C8103" s="109"/>
      <c r="D8103" s="109"/>
      <c r="E8103" s="109"/>
      <c r="F8103" s="110"/>
      <c r="G8103" s="109"/>
    </row>
    <row r="8104" spans="3:7" x14ac:dyDescent="0.3">
      <c r="C8104" s="109"/>
      <c r="D8104" s="109"/>
      <c r="E8104" s="109"/>
      <c r="F8104" s="110"/>
      <c r="G8104" s="109"/>
    </row>
    <row r="8105" spans="3:7" x14ac:dyDescent="0.3">
      <c r="C8105" s="109"/>
      <c r="D8105" s="109"/>
      <c r="E8105" s="109"/>
      <c r="F8105" s="110"/>
      <c r="G8105" s="109"/>
    </row>
    <row r="8106" spans="3:7" x14ac:dyDescent="0.3">
      <c r="C8106" s="109"/>
      <c r="D8106" s="109"/>
      <c r="E8106" s="109"/>
      <c r="F8106" s="110"/>
      <c r="G8106" s="109"/>
    </row>
    <row r="8107" spans="3:7" x14ac:dyDescent="0.3">
      <c r="C8107" s="109"/>
      <c r="D8107" s="109"/>
      <c r="E8107" s="109"/>
      <c r="F8107" s="110"/>
      <c r="G8107" s="109"/>
    </row>
    <row r="8108" spans="3:7" x14ac:dyDescent="0.3">
      <c r="C8108" s="109"/>
      <c r="D8108" s="109"/>
      <c r="E8108" s="109"/>
      <c r="F8108" s="110"/>
      <c r="G8108" s="109"/>
    </row>
    <row r="8109" spans="3:7" x14ac:dyDescent="0.3">
      <c r="C8109" s="109"/>
      <c r="D8109" s="109"/>
      <c r="E8109" s="109"/>
      <c r="F8109" s="110"/>
      <c r="G8109" s="109"/>
    </row>
    <row r="8110" spans="3:7" x14ac:dyDescent="0.3">
      <c r="C8110" s="109"/>
      <c r="D8110" s="109"/>
      <c r="E8110" s="109"/>
      <c r="F8110" s="110"/>
      <c r="G8110" s="109"/>
    </row>
    <row r="8111" spans="3:7" x14ac:dyDescent="0.3">
      <c r="C8111" s="109"/>
      <c r="D8111" s="109"/>
      <c r="E8111" s="109"/>
      <c r="F8111" s="110"/>
      <c r="G8111" s="109"/>
    </row>
    <row r="8112" spans="3:7" x14ac:dyDescent="0.3">
      <c r="C8112" s="109"/>
      <c r="D8112" s="109"/>
      <c r="E8112" s="109"/>
      <c r="F8112" s="110"/>
      <c r="G8112" s="109"/>
    </row>
    <row r="8113" spans="3:7" x14ac:dyDescent="0.3">
      <c r="C8113" s="109"/>
      <c r="D8113" s="109"/>
      <c r="E8113" s="109"/>
      <c r="F8113" s="110"/>
      <c r="G8113" s="109"/>
    </row>
    <row r="8114" spans="3:7" x14ac:dyDescent="0.3">
      <c r="C8114" s="109"/>
      <c r="D8114" s="109"/>
      <c r="E8114" s="109"/>
      <c r="F8114" s="110"/>
      <c r="G8114" s="109"/>
    </row>
    <row r="8115" spans="3:7" x14ac:dyDescent="0.3">
      <c r="C8115" s="109"/>
      <c r="D8115" s="109"/>
      <c r="E8115" s="109"/>
      <c r="F8115" s="110"/>
      <c r="G8115" s="109"/>
    </row>
    <row r="8116" spans="3:7" x14ac:dyDescent="0.3">
      <c r="C8116" s="109"/>
      <c r="D8116" s="109"/>
      <c r="E8116" s="109"/>
      <c r="F8116" s="110"/>
      <c r="G8116" s="109"/>
    </row>
    <row r="8117" spans="3:7" x14ac:dyDescent="0.3">
      <c r="C8117" s="109"/>
      <c r="D8117" s="109"/>
      <c r="E8117" s="109"/>
      <c r="F8117" s="110"/>
      <c r="G8117" s="109"/>
    </row>
    <row r="8118" spans="3:7" x14ac:dyDescent="0.3">
      <c r="C8118" s="109"/>
      <c r="D8118" s="109"/>
      <c r="E8118" s="109"/>
      <c r="F8118" s="110"/>
      <c r="G8118" s="109"/>
    </row>
    <row r="8119" spans="3:7" x14ac:dyDescent="0.3">
      <c r="C8119" s="109"/>
      <c r="D8119" s="109"/>
      <c r="E8119" s="109"/>
      <c r="F8119" s="110"/>
      <c r="G8119" s="109"/>
    </row>
    <row r="8120" spans="3:7" x14ac:dyDescent="0.3">
      <c r="C8120" s="109"/>
      <c r="D8120" s="109"/>
      <c r="E8120" s="109"/>
      <c r="F8120" s="110"/>
      <c r="G8120" s="109"/>
    </row>
    <row r="8121" spans="3:7" x14ac:dyDescent="0.3">
      <c r="C8121" s="109"/>
      <c r="D8121" s="109"/>
      <c r="E8121" s="109"/>
      <c r="F8121" s="110"/>
      <c r="G8121" s="109"/>
    </row>
    <row r="8122" spans="3:7" x14ac:dyDescent="0.3">
      <c r="C8122" s="109"/>
      <c r="D8122" s="109"/>
      <c r="E8122" s="109"/>
      <c r="F8122" s="110"/>
      <c r="G8122" s="109"/>
    </row>
    <row r="8123" spans="3:7" x14ac:dyDescent="0.3">
      <c r="C8123" s="109"/>
      <c r="D8123" s="109"/>
      <c r="E8123" s="109"/>
      <c r="F8123" s="110"/>
      <c r="G8123" s="109"/>
    </row>
    <row r="8124" spans="3:7" x14ac:dyDescent="0.3">
      <c r="C8124" s="109"/>
      <c r="D8124" s="109"/>
      <c r="E8124" s="109"/>
      <c r="F8124" s="110"/>
      <c r="G8124" s="109"/>
    </row>
    <row r="8125" spans="3:7" x14ac:dyDescent="0.3">
      <c r="C8125" s="109"/>
      <c r="D8125" s="109"/>
      <c r="E8125" s="109"/>
      <c r="F8125" s="110"/>
      <c r="G8125" s="109"/>
    </row>
    <row r="8126" spans="3:7" x14ac:dyDescent="0.3">
      <c r="C8126" s="109"/>
      <c r="D8126" s="109"/>
      <c r="E8126" s="109"/>
      <c r="F8126" s="110"/>
      <c r="G8126" s="109"/>
    </row>
    <row r="8127" spans="3:7" x14ac:dyDescent="0.3">
      <c r="C8127" s="109"/>
      <c r="D8127" s="109"/>
      <c r="E8127" s="109"/>
      <c r="F8127" s="110"/>
      <c r="G8127" s="109"/>
    </row>
    <row r="8128" spans="3:7" x14ac:dyDescent="0.3">
      <c r="C8128" s="109"/>
      <c r="D8128" s="109"/>
      <c r="E8128" s="109"/>
      <c r="F8128" s="110"/>
      <c r="G8128" s="109"/>
    </row>
    <row r="8129" spans="3:7" x14ac:dyDescent="0.3">
      <c r="C8129" s="109"/>
      <c r="D8129" s="109"/>
      <c r="E8129" s="109"/>
      <c r="F8129" s="110"/>
      <c r="G8129" s="109"/>
    </row>
    <row r="8130" spans="3:7" x14ac:dyDescent="0.3">
      <c r="C8130" s="109"/>
      <c r="D8130" s="109"/>
      <c r="E8130" s="109"/>
      <c r="F8130" s="110"/>
      <c r="G8130" s="109"/>
    </row>
    <row r="8131" spans="3:7" x14ac:dyDescent="0.3">
      <c r="C8131" s="109"/>
      <c r="D8131" s="109"/>
      <c r="E8131" s="109"/>
      <c r="F8131" s="110"/>
      <c r="G8131" s="109"/>
    </row>
    <row r="8132" spans="3:7" x14ac:dyDescent="0.3">
      <c r="C8132" s="109"/>
      <c r="D8132" s="109"/>
      <c r="E8132" s="109"/>
      <c r="F8132" s="110"/>
      <c r="G8132" s="109"/>
    </row>
    <row r="8133" spans="3:7" x14ac:dyDescent="0.3">
      <c r="C8133" s="109"/>
      <c r="D8133" s="109"/>
      <c r="E8133" s="109"/>
      <c r="F8133" s="110"/>
      <c r="G8133" s="109"/>
    </row>
    <row r="8134" spans="3:7" x14ac:dyDescent="0.3">
      <c r="C8134" s="109"/>
      <c r="D8134" s="109"/>
      <c r="E8134" s="109"/>
      <c r="F8134" s="110"/>
      <c r="G8134" s="109"/>
    </row>
    <row r="8135" spans="3:7" x14ac:dyDescent="0.3">
      <c r="C8135" s="109"/>
      <c r="D8135" s="109"/>
      <c r="E8135" s="109"/>
      <c r="F8135" s="110"/>
      <c r="G8135" s="109"/>
    </row>
    <row r="8136" spans="3:7" x14ac:dyDescent="0.3">
      <c r="C8136" s="109"/>
      <c r="D8136" s="109"/>
      <c r="E8136" s="109"/>
      <c r="F8136" s="110"/>
      <c r="G8136" s="109"/>
    </row>
    <row r="8137" spans="3:7" x14ac:dyDescent="0.3">
      <c r="C8137" s="109"/>
      <c r="D8137" s="109"/>
      <c r="E8137" s="109"/>
      <c r="F8137" s="110"/>
      <c r="G8137" s="109"/>
    </row>
    <row r="8138" spans="3:7" x14ac:dyDescent="0.3">
      <c r="C8138" s="109"/>
      <c r="D8138" s="109"/>
      <c r="E8138" s="109"/>
      <c r="F8138" s="110"/>
      <c r="G8138" s="109"/>
    </row>
    <row r="8139" spans="3:7" x14ac:dyDescent="0.3">
      <c r="C8139" s="109"/>
      <c r="D8139" s="109"/>
      <c r="E8139" s="109"/>
      <c r="F8139" s="110"/>
      <c r="G8139" s="109"/>
    </row>
    <row r="8140" spans="3:7" x14ac:dyDescent="0.3">
      <c r="C8140" s="109"/>
      <c r="D8140" s="109"/>
      <c r="E8140" s="109"/>
      <c r="F8140" s="110"/>
      <c r="G8140" s="109"/>
    </row>
    <row r="8141" spans="3:7" x14ac:dyDescent="0.3">
      <c r="C8141" s="109"/>
      <c r="D8141" s="109"/>
      <c r="E8141" s="109"/>
      <c r="F8141" s="110"/>
      <c r="G8141" s="109"/>
    </row>
    <row r="8142" spans="3:7" x14ac:dyDescent="0.3">
      <c r="C8142" s="109"/>
      <c r="D8142" s="109"/>
      <c r="E8142" s="109"/>
      <c r="F8142" s="110"/>
      <c r="G8142" s="109"/>
    </row>
    <row r="8143" spans="3:7" x14ac:dyDescent="0.3">
      <c r="C8143" s="109"/>
      <c r="D8143" s="109"/>
      <c r="E8143" s="109"/>
      <c r="F8143" s="110"/>
      <c r="G8143" s="109"/>
    </row>
    <row r="8144" spans="3:7" x14ac:dyDescent="0.3">
      <c r="C8144" s="109"/>
      <c r="D8144" s="109"/>
      <c r="E8144" s="109"/>
      <c r="F8144" s="110"/>
      <c r="G8144" s="109"/>
    </row>
    <row r="8145" spans="3:7" x14ac:dyDescent="0.3">
      <c r="C8145" s="109"/>
      <c r="D8145" s="109"/>
      <c r="E8145" s="109"/>
      <c r="F8145" s="110"/>
      <c r="G8145" s="109"/>
    </row>
    <row r="8146" spans="3:7" x14ac:dyDescent="0.3">
      <c r="C8146" s="109"/>
      <c r="D8146" s="109"/>
      <c r="E8146" s="109"/>
      <c r="F8146" s="110"/>
      <c r="G8146" s="109"/>
    </row>
    <row r="8147" spans="3:7" x14ac:dyDescent="0.3">
      <c r="C8147" s="109"/>
      <c r="D8147" s="109"/>
      <c r="E8147" s="109"/>
      <c r="F8147" s="110"/>
      <c r="G8147" s="109"/>
    </row>
    <row r="8148" spans="3:7" x14ac:dyDescent="0.3">
      <c r="C8148" s="109"/>
      <c r="D8148" s="109"/>
      <c r="E8148" s="109"/>
      <c r="F8148" s="110"/>
      <c r="G8148" s="109"/>
    </row>
    <row r="8149" spans="3:7" x14ac:dyDescent="0.3">
      <c r="C8149" s="109"/>
      <c r="D8149" s="109"/>
      <c r="E8149" s="109"/>
      <c r="F8149" s="110"/>
      <c r="G8149" s="109"/>
    </row>
    <row r="8150" spans="3:7" x14ac:dyDescent="0.3">
      <c r="C8150" s="109"/>
      <c r="D8150" s="109"/>
      <c r="E8150" s="109"/>
      <c r="F8150" s="110"/>
      <c r="G8150" s="109"/>
    </row>
    <row r="8151" spans="3:7" x14ac:dyDescent="0.3">
      <c r="C8151" s="109"/>
      <c r="D8151" s="109"/>
      <c r="E8151" s="109"/>
      <c r="F8151" s="110"/>
      <c r="G8151" s="109"/>
    </row>
    <row r="8152" spans="3:7" x14ac:dyDescent="0.3">
      <c r="C8152" s="109"/>
      <c r="D8152" s="109"/>
      <c r="E8152" s="109"/>
      <c r="F8152" s="110"/>
      <c r="G8152" s="109"/>
    </row>
    <row r="8153" spans="3:7" x14ac:dyDescent="0.3">
      <c r="C8153" s="109"/>
      <c r="D8153" s="109"/>
      <c r="E8153" s="109"/>
      <c r="F8153" s="110"/>
      <c r="G8153" s="109"/>
    </row>
    <row r="8154" spans="3:7" x14ac:dyDescent="0.3">
      <c r="C8154" s="109"/>
      <c r="D8154" s="109"/>
      <c r="E8154" s="109"/>
      <c r="F8154" s="110"/>
      <c r="G8154" s="109"/>
    </row>
    <row r="8155" spans="3:7" x14ac:dyDescent="0.3">
      <c r="C8155" s="109"/>
      <c r="D8155" s="109"/>
      <c r="E8155" s="109"/>
      <c r="F8155" s="110"/>
      <c r="G8155" s="109"/>
    </row>
    <row r="8156" spans="3:7" x14ac:dyDescent="0.3">
      <c r="C8156" s="109"/>
      <c r="D8156" s="109"/>
      <c r="E8156" s="109"/>
      <c r="F8156" s="110"/>
      <c r="G8156" s="109"/>
    </row>
    <row r="8157" spans="3:7" x14ac:dyDescent="0.3">
      <c r="C8157" s="109"/>
      <c r="D8157" s="109"/>
      <c r="E8157" s="109"/>
      <c r="F8157" s="110"/>
      <c r="G8157" s="109"/>
    </row>
    <row r="8158" spans="3:7" x14ac:dyDescent="0.3">
      <c r="C8158" s="109"/>
      <c r="D8158" s="109"/>
      <c r="E8158" s="109"/>
      <c r="F8158" s="110"/>
      <c r="G8158" s="109"/>
    </row>
    <row r="8159" spans="3:7" x14ac:dyDescent="0.3">
      <c r="C8159" s="109"/>
      <c r="D8159" s="109"/>
      <c r="E8159" s="109"/>
      <c r="F8159" s="110"/>
      <c r="G8159" s="109"/>
    </row>
    <row r="8160" spans="3:7" x14ac:dyDescent="0.3">
      <c r="C8160" s="109"/>
      <c r="D8160" s="109"/>
      <c r="E8160" s="109"/>
      <c r="F8160" s="110"/>
      <c r="G8160" s="109"/>
    </row>
    <row r="8161" spans="3:7" x14ac:dyDescent="0.3">
      <c r="C8161" s="109"/>
      <c r="D8161" s="109"/>
      <c r="E8161" s="109"/>
      <c r="F8161" s="110"/>
      <c r="G8161" s="109"/>
    </row>
    <row r="8162" spans="3:7" x14ac:dyDescent="0.3">
      <c r="C8162" s="109"/>
      <c r="D8162" s="109"/>
      <c r="E8162" s="109"/>
      <c r="F8162" s="110"/>
      <c r="G8162" s="109"/>
    </row>
    <row r="8163" spans="3:7" x14ac:dyDescent="0.3">
      <c r="C8163" s="109"/>
      <c r="D8163" s="109"/>
      <c r="E8163" s="109"/>
      <c r="F8163" s="110"/>
      <c r="G8163" s="109"/>
    </row>
    <row r="8164" spans="3:7" x14ac:dyDescent="0.3">
      <c r="C8164" s="109"/>
      <c r="D8164" s="109"/>
      <c r="E8164" s="109"/>
      <c r="F8164" s="110"/>
      <c r="G8164" s="109"/>
    </row>
    <row r="8165" spans="3:7" x14ac:dyDescent="0.3">
      <c r="C8165" s="109"/>
      <c r="D8165" s="109"/>
      <c r="E8165" s="109"/>
      <c r="F8165" s="110"/>
      <c r="G8165" s="109"/>
    </row>
    <row r="8166" spans="3:7" x14ac:dyDescent="0.3">
      <c r="C8166" s="109"/>
      <c r="D8166" s="109"/>
      <c r="E8166" s="109"/>
      <c r="F8166" s="110"/>
      <c r="G8166" s="109"/>
    </row>
    <row r="8167" spans="3:7" x14ac:dyDescent="0.3">
      <c r="C8167" s="109"/>
      <c r="D8167" s="109"/>
      <c r="E8167" s="109"/>
      <c r="F8167" s="110"/>
      <c r="G8167" s="109"/>
    </row>
    <row r="8168" spans="3:7" x14ac:dyDescent="0.3">
      <c r="C8168" s="109"/>
      <c r="D8168" s="109"/>
      <c r="E8168" s="109"/>
      <c r="F8168" s="110"/>
      <c r="G8168" s="109"/>
    </row>
    <row r="8169" spans="3:7" x14ac:dyDescent="0.3">
      <c r="C8169" s="109"/>
      <c r="D8169" s="109"/>
      <c r="E8169" s="109"/>
      <c r="F8169" s="110"/>
      <c r="G8169" s="109"/>
    </row>
    <row r="8170" spans="3:7" x14ac:dyDescent="0.3">
      <c r="C8170" s="109"/>
      <c r="D8170" s="109"/>
      <c r="E8170" s="109"/>
      <c r="F8170" s="110"/>
      <c r="G8170" s="109"/>
    </row>
    <row r="8171" spans="3:7" x14ac:dyDescent="0.3">
      <c r="C8171" s="109"/>
      <c r="D8171" s="109"/>
      <c r="E8171" s="109"/>
      <c r="F8171" s="110"/>
      <c r="G8171" s="109"/>
    </row>
    <row r="8172" spans="3:7" x14ac:dyDescent="0.3">
      <c r="C8172" s="109"/>
      <c r="D8172" s="109"/>
      <c r="E8172" s="109"/>
      <c r="F8172" s="110"/>
      <c r="G8172" s="109"/>
    </row>
    <row r="8173" spans="3:7" x14ac:dyDescent="0.3">
      <c r="C8173" s="109"/>
      <c r="D8173" s="109"/>
      <c r="E8173" s="109"/>
      <c r="F8173" s="110"/>
      <c r="G8173" s="109"/>
    </row>
    <row r="8174" spans="3:7" x14ac:dyDescent="0.3">
      <c r="C8174" s="109"/>
      <c r="D8174" s="109"/>
      <c r="E8174" s="109"/>
      <c r="F8174" s="110"/>
      <c r="G8174" s="109"/>
    </row>
    <row r="8175" spans="3:7" x14ac:dyDescent="0.3">
      <c r="C8175" s="109"/>
      <c r="D8175" s="109"/>
      <c r="E8175" s="109"/>
      <c r="F8175" s="110"/>
      <c r="G8175" s="109"/>
    </row>
    <row r="8176" spans="3:7" x14ac:dyDescent="0.3">
      <c r="C8176" s="109"/>
      <c r="D8176" s="109"/>
      <c r="E8176" s="109"/>
      <c r="F8176" s="110"/>
      <c r="G8176" s="109"/>
    </row>
    <row r="8177" spans="3:7" x14ac:dyDescent="0.3">
      <c r="C8177" s="109"/>
      <c r="D8177" s="109"/>
      <c r="E8177" s="109"/>
      <c r="F8177" s="110"/>
      <c r="G8177" s="109"/>
    </row>
    <row r="8178" spans="3:7" x14ac:dyDescent="0.3">
      <c r="C8178" s="109"/>
      <c r="D8178" s="109"/>
      <c r="E8178" s="109"/>
      <c r="F8178" s="110"/>
      <c r="G8178" s="109"/>
    </row>
    <row r="8179" spans="3:7" x14ac:dyDescent="0.3">
      <c r="C8179" s="109"/>
      <c r="D8179" s="109"/>
      <c r="E8179" s="109"/>
      <c r="F8179" s="110"/>
      <c r="G8179" s="109"/>
    </row>
    <row r="8180" spans="3:7" x14ac:dyDescent="0.3">
      <c r="C8180" s="109"/>
      <c r="D8180" s="109"/>
      <c r="E8180" s="109"/>
      <c r="F8180" s="110"/>
      <c r="G8180" s="109"/>
    </row>
    <row r="8181" spans="3:7" x14ac:dyDescent="0.3">
      <c r="C8181" s="109"/>
      <c r="D8181" s="109"/>
      <c r="E8181" s="109"/>
      <c r="F8181" s="110"/>
      <c r="G8181" s="109"/>
    </row>
    <row r="8182" spans="3:7" x14ac:dyDescent="0.3">
      <c r="C8182" s="109"/>
      <c r="D8182" s="109"/>
      <c r="E8182" s="109"/>
      <c r="F8182" s="110"/>
      <c r="G8182" s="109"/>
    </row>
    <row r="8183" spans="3:7" x14ac:dyDescent="0.3">
      <c r="C8183" s="109"/>
      <c r="D8183" s="109"/>
      <c r="E8183" s="109"/>
      <c r="F8183" s="110"/>
      <c r="G8183" s="109"/>
    </row>
    <row r="8184" spans="3:7" x14ac:dyDescent="0.3">
      <c r="C8184" s="109"/>
      <c r="D8184" s="109"/>
      <c r="E8184" s="109"/>
      <c r="F8184" s="110"/>
      <c r="G8184" s="109"/>
    </row>
    <row r="8185" spans="3:7" x14ac:dyDescent="0.3">
      <c r="C8185" s="109"/>
      <c r="D8185" s="109"/>
      <c r="E8185" s="109"/>
      <c r="F8185" s="110"/>
      <c r="G8185" s="109"/>
    </row>
    <row r="8186" spans="3:7" x14ac:dyDescent="0.3">
      <c r="C8186" s="109"/>
      <c r="D8186" s="109"/>
      <c r="E8186" s="109"/>
      <c r="F8186" s="110"/>
      <c r="G8186" s="109"/>
    </row>
    <row r="8187" spans="3:7" x14ac:dyDescent="0.3">
      <c r="C8187" s="109"/>
      <c r="D8187" s="109"/>
      <c r="E8187" s="109"/>
      <c r="F8187" s="110"/>
      <c r="G8187" s="109"/>
    </row>
    <row r="8188" spans="3:7" x14ac:dyDescent="0.3">
      <c r="C8188" s="109"/>
      <c r="D8188" s="109"/>
      <c r="E8188" s="109"/>
      <c r="F8188" s="110"/>
      <c r="G8188" s="109"/>
    </row>
    <row r="8189" spans="3:7" x14ac:dyDescent="0.3">
      <c r="C8189" s="109"/>
      <c r="D8189" s="109"/>
      <c r="E8189" s="109"/>
      <c r="F8189" s="110"/>
      <c r="G8189" s="109"/>
    </row>
    <row r="8190" spans="3:7" x14ac:dyDescent="0.3">
      <c r="C8190" s="109"/>
      <c r="D8190" s="109"/>
      <c r="E8190" s="109"/>
      <c r="F8190" s="110"/>
      <c r="G8190" s="109"/>
    </row>
    <row r="8191" spans="3:7" x14ac:dyDescent="0.3">
      <c r="C8191" s="109"/>
      <c r="D8191" s="109"/>
      <c r="E8191" s="109"/>
      <c r="F8191" s="110"/>
      <c r="G8191" s="109"/>
    </row>
    <row r="8192" spans="3:7" x14ac:dyDescent="0.3">
      <c r="C8192" s="109"/>
      <c r="D8192" s="109"/>
      <c r="E8192" s="109"/>
      <c r="F8192" s="110"/>
      <c r="G8192" s="109"/>
    </row>
    <row r="8193" spans="3:7" x14ac:dyDescent="0.3">
      <c r="C8193" s="109"/>
      <c r="D8193" s="109"/>
      <c r="E8193" s="109"/>
      <c r="F8193" s="110"/>
      <c r="G8193" s="109"/>
    </row>
    <row r="8194" spans="3:7" x14ac:dyDescent="0.3">
      <c r="C8194" s="109"/>
      <c r="D8194" s="109"/>
      <c r="E8194" s="109"/>
      <c r="F8194" s="110"/>
      <c r="G8194" s="109"/>
    </row>
    <row r="8195" spans="3:7" x14ac:dyDescent="0.3">
      <c r="C8195" s="109"/>
      <c r="D8195" s="109"/>
      <c r="E8195" s="109"/>
      <c r="F8195" s="110"/>
      <c r="G8195" s="109"/>
    </row>
    <row r="8196" spans="3:7" x14ac:dyDescent="0.3">
      <c r="C8196" s="109"/>
      <c r="D8196" s="109"/>
      <c r="E8196" s="109"/>
      <c r="F8196" s="110"/>
      <c r="G8196" s="109"/>
    </row>
    <row r="8197" spans="3:7" x14ac:dyDescent="0.3">
      <c r="C8197" s="109"/>
      <c r="D8197" s="109"/>
      <c r="E8197" s="109"/>
      <c r="F8197" s="110"/>
      <c r="G8197" s="109"/>
    </row>
    <row r="8198" spans="3:7" x14ac:dyDescent="0.3">
      <c r="C8198" s="109"/>
      <c r="D8198" s="109"/>
      <c r="E8198" s="109"/>
      <c r="F8198" s="110"/>
      <c r="G8198" s="109"/>
    </row>
    <row r="8199" spans="3:7" x14ac:dyDescent="0.3">
      <c r="C8199" s="109"/>
      <c r="D8199" s="109"/>
      <c r="E8199" s="109"/>
      <c r="F8199" s="110"/>
      <c r="G8199" s="109"/>
    </row>
    <row r="8200" spans="3:7" x14ac:dyDescent="0.3">
      <c r="C8200" s="109"/>
      <c r="D8200" s="109"/>
      <c r="E8200" s="109"/>
      <c r="F8200" s="110"/>
      <c r="G8200" s="109"/>
    </row>
    <row r="8201" spans="3:7" x14ac:dyDescent="0.3">
      <c r="C8201" s="109"/>
      <c r="D8201" s="109"/>
      <c r="E8201" s="109"/>
      <c r="F8201" s="110"/>
      <c r="G8201" s="109"/>
    </row>
    <row r="8202" spans="3:7" x14ac:dyDescent="0.3">
      <c r="C8202" s="109"/>
      <c r="D8202" s="109"/>
      <c r="E8202" s="109"/>
      <c r="F8202" s="110"/>
      <c r="G8202" s="109"/>
    </row>
    <row r="8203" spans="3:7" x14ac:dyDescent="0.3">
      <c r="C8203" s="109"/>
      <c r="D8203" s="109"/>
      <c r="E8203" s="109"/>
      <c r="F8203" s="110"/>
      <c r="G8203" s="109"/>
    </row>
    <row r="8204" spans="3:7" x14ac:dyDescent="0.3">
      <c r="C8204" s="109"/>
      <c r="D8204" s="109"/>
      <c r="E8204" s="109"/>
      <c r="F8204" s="110"/>
      <c r="G8204" s="109"/>
    </row>
    <row r="8205" spans="3:7" x14ac:dyDescent="0.3">
      <c r="C8205" s="109"/>
      <c r="D8205" s="109"/>
      <c r="E8205" s="109"/>
      <c r="F8205" s="110"/>
      <c r="G8205" s="109"/>
    </row>
    <row r="8206" spans="3:7" x14ac:dyDescent="0.3">
      <c r="C8206" s="109"/>
      <c r="D8206" s="109"/>
      <c r="E8206" s="109"/>
      <c r="F8206" s="110"/>
      <c r="G8206" s="109"/>
    </row>
    <row r="8207" spans="3:7" x14ac:dyDescent="0.3">
      <c r="C8207" s="109"/>
      <c r="D8207" s="109"/>
      <c r="E8207" s="109"/>
      <c r="F8207" s="110"/>
      <c r="G8207" s="109"/>
    </row>
    <row r="8208" spans="3:7" x14ac:dyDescent="0.3">
      <c r="C8208" s="109"/>
      <c r="D8208" s="109"/>
      <c r="E8208" s="109"/>
      <c r="F8208" s="110"/>
      <c r="G8208" s="109"/>
    </row>
    <row r="8209" spans="3:7" x14ac:dyDescent="0.3">
      <c r="C8209" s="109"/>
      <c r="D8209" s="109"/>
      <c r="E8209" s="109"/>
      <c r="F8209" s="110"/>
      <c r="G8209" s="109"/>
    </row>
    <row r="8210" spans="3:7" x14ac:dyDescent="0.3">
      <c r="C8210" s="109"/>
      <c r="D8210" s="109"/>
      <c r="E8210" s="109"/>
      <c r="F8210" s="110"/>
      <c r="G8210" s="109"/>
    </row>
    <row r="8211" spans="3:7" x14ac:dyDescent="0.3">
      <c r="C8211" s="109"/>
      <c r="D8211" s="109"/>
      <c r="E8211" s="109"/>
      <c r="F8211" s="110"/>
      <c r="G8211" s="109"/>
    </row>
    <row r="8212" spans="3:7" x14ac:dyDescent="0.3">
      <c r="C8212" s="109"/>
      <c r="D8212" s="109"/>
      <c r="E8212" s="109"/>
      <c r="F8212" s="110"/>
      <c r="G8212" s="109"/>
    </row>
    <row r="8213" spans="3:7" x14ac:dyDescent="0.3">
      <c r="C8213" s="109"/>
      <c r="D8213" s="109"/>
      <c r="E8213" s="109"/>
      <c r="F8213" s="110"/>
      <c r="G8213" s="109"/>
    </row>
    <row r="8214" spans="3:7" x14ac:dyDescent="0.3">
      <c r="C8214" s="109"/>
      <c r="D8214" s="109"/>
      <c r="E8214" s="109"/>
      <c r="F8214" s="110"/>
      <c r="G8214" s="109"/>
    </row>
    <row r="8215" spans="3:7" x14ac:dyDescent="0.3">
      <c r="C8215" s="109"/>
      <c r="D8215" s="109"/>
      <c r="E8215" s="109"/>
      <c r="F8215" s="110"/>
      <c r="G8215" s="109"/>
    </row>
    <row r="8216" spans="3:7" x14ac:dyDescent="0.3">
      <c r="C8216" s="109"/>
      <c r="D8216" s="109"/>
      <c r="E8216" s="109"/>
      <c r="F8216" s="110"/>
      <c r="G8216" s="109"/>
    </row>
    <row r="8217" spans="3:7" x14ac:dyDescent="0.3">
      <c r="C8217" s="109"/>
      <c r="D8217" s="109"/>
      <c r="E8217" s="109"/>
      <c r="F8217" s="110"/>
      <c r="G8217" s="109"/>
    </row>
    <row r="8218" spans="3:7" x14ac:dyDescent="0.3">
      <c r="C8218" s="109"/>
      <c r="D8218" s="109"/>
      <c r="E8218" s="109"/>
      <c r="F8218" s="110"/>
      <c r="G8218" s="109"/>
    </row>
    <row r="8219" spans="3:7" x14ac:dyDescent="0.3">
      <c r="C8219" s="109"/>
      <c r="D8219" s="109"/>
      <c r="E8219" s="109"/>
      <c r="F8219" s="110"/>
      <c r="G8219" s="109"/>
    </row>
    <row r="8220" spans="3:7" x14ac:dyDescent="0.3">
      <c r="C8220" s="109"/>
      <c r="D8220" s="109"/>
      <c r="E8220" s="109"/>
      <c r="F8220" s="110"/>
      <c r="G8220" s="109"/>
    </row>
    <row r="8221" spans="3:7" x14ac:dyDescent="0.3">
      <c r="C8221" s="109"/>
      <c r="D8221" s="109"/>
      <c r="E8221" s="109"/>
      <c r="F8221" s="110"/>
      <c r="G8221" s="109"/>
    </row>
    <row r="8222" spans="3:7" x14ac:dyDescent="0.3">
      <c r="C8222" s="109"/>
      <c r="D8222" s="109"/>
      <c r="E8222" s="109"/>
      <c r="F8222" s="110"/>
      <c r="G8222" s="109"/>
    </row>
    <row r="8223" spans="3:7" x14ac:dyDescent="0.3">
      <c r="C8223" s="109"/>
      <c r="D8223" s="109"/>
      <c r="E8223" s="109"/>
      <c r="F8223" s="110"/>
      <c r="G8223" s="109"/>
    </row>
    <row r="8224" spans="3:7" x14ac:dyDescent="0.3">
      <c r="C8224" s="109"/>
      <c r="D8224" s="109"/>
      <c r="E8224" s="109"/>
      <c r="F8224" s="110"/>
      <c r="G8224" s="109"/>
    </row>
    <row r="8225" spans="3:7" x14ac:dyDescent="0.3">
      <c r="C8225" s="109"/>
      <c r="D8225" s="109"/>
      <c r="E8225" s="109"/>
      <c r="F8225" s="110"/>
      <c r="G8225" s="109"/>
    </row>
    <row r="8226" spans="3:7" x14ac:dyDescent="0.3">
      <c r="C8226" s="109"/>
      <c r="D8226" s="109"/>
      <c r="E8226" s="109"/>
      <c r="F8226" s="110"/>
      <c r="G8226" s="109"/>
    </row>
    <row r="8227" spans="3:7" x14ac:dyDescent="0.3">
      <c r="C8227" s="109"/>
      <c r="D8227" s="109"/>
      <c r="E8227" s="109"/>
      <c r="F8227" s="110"/>
      <c r="G8227" s="109"/>
    </row>
    <row r="8228" spans="3:7" x14ac:dyDescent="0.3">
      <c r="C8228" s="109"/>
      <c r="D8228" s="109"/>
      <c r="E8228" s="109"/>
      <c r="F8228" s="110"/>
      <c r="G8228" s="109"/>
    </row>
    <row r="8229" spans="3:7" x14ac:dyDescent="0.3">
      <c r="C8229" s="109"/>
      <c r="D8229" s="109"/>
      <c r="E8229" s="109"/>
      <c r="F8229" s="110"/>
      <c r="G8229" s="109"/>
    </row>
    <row r="8230" spans="3:7" x14ac:dyDescent="0.3">
      <c r="C8230" s="109"/>
      <c r="D8230" s="109"/>
      <c r="E8230" s="109"/>
      <c r="F8230" s="110"/>
      <c r="G8230" s="109"/>
    </row>
    <row r="8231" spans="3:7" x14ac:dyDescent="0.3">
      <c r="C8231" s="109"/>
      <c r="D8231" s="109"/>
      <c r="E8231" s="109"/>
      <c r="F8231" s="110"/>
      <c r="G8231" s="109"/>
    </row>
    <row r="8232" spans="3:7" x14ac:dyDescent="0.3">
      <c r="C8232" s="109"/>
      <c r="D8232" s="109"/>
      <c r="E8232" s="109"/>
      <c r="F8232" s="110"/>
      <c r="G8232" s="109"/>
    </row>
    <row r="8233" spans="3:7" x14ac:dyDescent="0.3">
      <c r="C8233" s="109"/>
      <c r="D8233" s="109"/>
      <c r="E8233" s="109"/>
      <c r="F8233" s="110"/>
      <c r="G8233" s="109"/>
    </row>
    <row r="8234" spans="3:7" x14ac:dyDescent="0.3">
      <c r="C8234" s="109"/>
      <c r="D8234" s="109"/>
      <c r="E8234" s="109"/>
      <c r="F8234" s="110"/>
      <c r="G8234" s="109"/>
    </row>
    <row r="8235" spans="3:7" x14ac:dyDescent="0.3">
      <c r="C8235" s="109"/>
      <c r="D8235" s="109"/>
      <c r="E8235" s="109"/>
      <c r="F8235" s="110"/>
      <c r="G8235" s="109"/>
    </row>
    <row r="8236" spans="3:7" x14ac:dyDescent="0.3">
      <c r="C8236" s="109"/>
      <c r="D8236" s="109"/>
      <c r="E8236" s="109"/>
      <c r="F8236" s="110"/>
      <c r="G8236" s="109"/>
    </row>
    <row r="8237" spans="3:7" x14ac:dyDescent="0.3">
      <c r="C8237" s="109"/>
      <c r="D8237" s="109"/>
      <c r="E8237" s="109"/>
      <c r="F8237" s="110"/>
      <c r="G8237" s="109"/>
    </row>
    <row r="8238" spans="3:7" x14ac:dyDescent="0.3">
      <c r="C8238" s="109"/>
      <c r="D8238" s="109"/>
      <c r="E8238" s="109"/>
      <c r="F8238" s="110"/>
      <c r="G8238" s="109"/>
    </row>
    <row r="8239" spans="3:7" x14ac:dyDescent="0.3">
      <c r="C8239" s="109"/>
      <c r="D8239" s="109"/>
      <c r="E8239" s="109"/>
      <c r="F8239" s="110"/>
      <c r="G8239" s="109"/>
    </row>
    <row r="8240" spans="3:7" x14ac:dyDescent="0.3">
      <c r="C8240" s="109"/>
      <c r="D8240" s="109"/>
      <c r="E8240" s="109"/>
      <c r="F8240" s="110"/>
      <c r="G8240" s="109"/>
    </row>
    <row r="8241" spans="3:7" x14ac:dyDescent="0.3">
      <c r="C8241" s="109"/>
      <c r="D8241" s="109"/>
      <c r="E8241" s="109"/>
      <c r="F8241" s="110"/>
      <c r="G8241" s="109"/>
    </row>
    <row r="8242" spans="3:7" x14ac:dyDescent="0.3">
      <c r="C8242" s="109"/>
      <c r="D8242" s="109"/>
      <c r="E8242" s="109"/>
      <c r="F8242" s="110"/>
      <c r="G8242" s="109"/>
    </row>
    <row r="8243" spans="3:7" x14ac:dyDescent="0.3">
      <c r="C8243" s="109"/>
      <c r="D8243" s="109"/>
      <c r="E8243" s="109"/>
      <c r="F8243" s="110"/>
      <c r="G8243" s="109"/>
    </row>
    <row r="8244" spans="3:7" x14ac:dyDescent="0.3">
      <c r="C8244" s="109"/>
      <c r="D8244" s="109"/>
      <c r="E8244" s="109"/>
      <c r="F8244" s="110"/>
      <c r="G8244" s="109"/>
    </row>
    <row r="8245" spans="3:7" x14ac:dyDescent="0.3">
      <c r="C8245" s="109"/>
      <c r="D8245" s="109"/>
      <c r="E8245" s="109"/>
      <c r="F8245" s="110"/>
      <c r="G8245" s="109"/>
    </row>
    <row r="8246" spans="3:7" x14ac:dyDescent="0.3">
      <c r="C8246" s="109"/>
      <c r="D8246" s="109"/>
      <c r="E8246" s="109"/>
      <c r="F8246" s="110"/>
      <c r="G8246" s="109"/>
    </row>
    <row r="8247" spans="3:7" x14ac:dyDescent="0.3">
      <c r="C8247" s="109"/>
      <c r="D8247" s="109"/>
      <c r="E8247" s="109"/>
      <c r="F8247" s="110"/>
      <c r="G8247" s="109"/>
    </row>
    <row r="8248" spans="3:7" x14ac:dyDescent="0.3">
      <c r="C8248" s="109"/>
      <c r="D8248" s="109"/>
      <c r="E8248" s="109"/>
      <c r="F8248" s="110"/>
      <c r="G8248" s="109"/>
    </row>
    <row r="8249" spans="3:7" x14ac:dyDescent="0.3">
      <c r="C8249" s="109"/>
      <c r="D8249" s="109"/>
      <c r="E8249" s="109"/>
      <c r="F8249" s="110"/>
      <c r="G8249" s="109"/>
    </row>
    <row r="8250" spans="3:7" x14ac:dyDescent="0.3">
      <c r="C8250" s="109"/>
      <c r="D8250" s="109"/>
      <c r="E8250" s="109"/>
      <c r="F8250" s="110"/>
      <c r="G8250" s="109"/>
    </row>
    <row r="8251" spans="3:7" x14ac:dyDescent="0.3">
      <c r="C8251" s="109"/>
      <c r="D8251" s="109"/>
      <c r="E8251" s="109"/>
      <c r="F8251" s="110"/>
      <c r="G8251" s="109"/>
    </row>
    <row r="8252" spans="3:7" x14ac:dyDescent="0.3">
      <c r="C8252" s="109"/>
      <c r="D8252" s="109"/>
      <c r="E8252" s="109"/>
      <c r="F8252" s="110"/>
      <c r="G8252" s="109"/>
    </row>
    <row r="8253" spans="3:7" x14ac:dyDescent="0.3">
      <c r="C8253" s="109"/>
      <c r="D8253" s="109"/>
      <c r="E8253" s="109"/>
      <c r="F8253" s="110"/>
      <c r="G8253" s="109"/>
    </row>
    <row r="8254" spans="3:7" x14ac:dyDescent="0.3">
      <c r="C8254" s="109"/>
      <c r="D8254" s="109"/>
      <c r="E8254" s="109"/>
      <c r="F8254" s="110"/>
      <c r="G8254" s="109"/>
    </row>
    <row r="8255" spans="3:7" x14ac:dyDescent="0.3">
      <c r="C8255" s="109"/>
      <c r="D8255" s="109"/>
      <c r="E8255" s="109"/>
      <c r="F8255" s="110"/>
      <c r="G8255" s="109"/>
    </row>
    <row r="8256" spans="3:7" x14ac:dyDescent="0.3">
      <c r="C8256" s="109"/>
      <c r="D8256" s="109"/>
      <c r="E8256" s="109"/>
      <c r="F8256" s="110"/>
      <c r="G8256" s="109"/>
    </row>
    <row r="8257" spans="3:7" x14ac:dyDescent="0.3">
      <c r="C8257" s="109"/>
      <c r="D8257" s="109"/>
      <c r="E8257" s="109"/>
      <c r="F8257" s="110"/>
      <c r="G8257" s="109"/>
    </row>
    <row r="8258" spans="3:7" x14ac:dyDescent="0.3">
      <c r="C8258" s="109"/>
      <c r="D8258" s="109"/>
      <c r="E8258" s="109"/>
      <c r="F8258" s="110"/>
      <c r="G8258" s="109"/>
    </row>
    <row r="8259" spans="3:7" x14ac:dyDescent="0.3">
      <c r="C8259" s="109"/>
      <c r="D8259" s="109"/>
      <c r="E8259" s="109"/>
      <c r="F8259" s="110"/>
      <c r="G8259" s="109"/>
    </row>
    <row r="8260" spans="3:7" x14ac:dyDescent="0.3">
      <c r="C8260" s="109"/>
      <c r="D8260" s="109"/>
      <c r="E8260" s="109"/>
      <c r="F8260" s="110"/>
      <c r="G8260" s="109"/>
    </row>
    <row r="8261" spans="3:7" x14ac:dyDescent="0.3">
      <c r="C8261" s="109"/>
      <c r="D8261" s="109"/>
      <c r="E8261" s="109"/>
      <c r="F8261" s="110"/>
      <c r="G8261" s="109"/>
    </row>
    <row r="8262" spans="3:7" x14ac:dyDescent="0.3">
      <c r="C8262" s="109"/>
      <c r="D8262" s="109"/>
      <c r="E8262" s="109"/>
      <c r="F8262" s="110"/>
      <c r="G8262" s="109"/>
    </row>
    <row r="8263" spans="3:7" x14ac:dyDescent="0.3">
      <c r="C8263" s="109"/>
      <c r="D8263" s="109"/>
      <c r="E8263" s="109"/>
      <c r="F8263" s="110"/>
      <c r="G8263" s="109"/>
    </row>
    <row r="8264" spans="3:7" x14ac:dyDescent="0.3">
      <c r="C8264" s="109"/>
      <c r="D8264" s="109"/>
      <c r="E8264" s="109"/>
      <c r="F8264" s="110"/>
      <c r="G8264" s="109"/>
    </row>
    <row r="8265" spans="3:7" x14ac:dyDescent="0.3">
      <c r="C8265" s="109"/>
      <c r="D8265" s="109"/>
      <c r="E8265" s="109"/>
      <c r="F8265" s="110"/>
      <c r="G8265" s="109"/>
    </row>
    <row r="8266" spans="3:7" x14ac:dyDescent="0.3">
      <c r="C8266" s="109"/>
      <c r="D8266" s="109"/>
      <c r="E8266" s="109"/>
      <c r="F8266" s="110"/>
      <c r="G8266" s="109"/>
    </row>
    <row r="8267" spans="3:7" x14ac:dyDescent="0.3">
      <c r="C8267" s="109"/>
      <c r="D8267" s="109"/>
      <c r="E8267" s="109"/>
      <c r="F8267" s="110"/>
      <c r="G8267" s="109"/>
    </row>
    <row r="8268" spans="3:7" x14ac:dyDescent="0.3">
      <c r="C8268" s="109"/>
      <c r="D8268" s="109"/>
      <c r="E8268" s="109"/>
      <c r="F8268" s="110"/>
      <c r="G8268" s="109"/>
    </row>
    <row r="8269" spans="3:7" x14ac:dyDescent="0.3">
      <c r="C8269" s="109"/>
      <c r="D8269" s="109"/>
      <c r="E8269" s="109"/>
      <c r="F8269" s="110"/>
      <c r="G8269" s="109"/>
    </row>
    <row r="8270" spans="3:7" x14ac:dyDescent="0.3">
      <c r="C8270" s="109"/>
      <c r="D8270" s="109"/>
      <c r="E8270" s="109"/>
      <c r="F8270" s="110"/>
      <c r="G8270" s="109"/>
    </row>
    <row r="8271" spans="3:7" x14ac:dyDescent="0.3">
      <c r="C8271" s="109"/>
      <c r="D8271" s="109"/>
      <c r="E8271" s="109"/>
      <c r="F8271" s="110"/>
      <c r="G8271" s="109"/>
    </row>
    <row r="8272" spans="3:7" x14ac:dyDescent="0.3">
      <c r="C8272" s="109"/>
      <c r="D8272" s="109"/>
      <c r="E8272" s="109"/>
      <c r="F8272" s="110"/>
      <c r="G8272" s="109"/>
    </row>
    <row r="8273" spans="3:7" x14ac:dyDescent="0.3">
      <c r="C8273" s="109"/>
      <c r="D8273" s="109"/>
      <c r="E8273" s="109"/>
      <c r="F8273" s="110"/>
      <c r="G8273" s="109"/>
    </row>
    <row r="8274" spans="3:7" x14ac:dyDescent="0.3">
      <c r="C8274" s="109"/>
      <c r="D8274" s="109"/>
      <c r="E8274" s="109"/>
      <c r="F8274" s="110"/>
      <c r="G8274" s="109"/>
    </row>
    <row r="8275" spans="3:7" x14ac:dyDescent="0.3">
      <c r="C8275" s="109"/>
      <c r="D8275" s="109"/>
      <c r="E8275" s="109"/>
      <c r="F8275" s="110"/>
      <c r="G8275" s="109"/>
    </row>
    <row r="8276" spans="3:7" x14ac:dyDescent="0.3">
      <c r="C8276" s="109"/>
      <c r="D8276" s="109"/>
      <c r="E8276" s="109"/>
      <c r="F8276" s="110"/>
      <c r="G8276" s="109"/>
    </row>
    <row r="8277" spans="3:7" x14ac:dyDescent="0.3">
      <c r="C8277" s="109"/>
      <c r="D8277" s="109"/>
      <c r="E8277" s="109"/>
      <c r="F8277" s="110"/>
      <c r="G8277" s="109"/>
    </row>
    <row r="8278" spans="3:7" x14ac:dyDescent="0.3">
      <c r="C8278" s="109"/>
      <c r="D8278" s="109"/>
      <c r="E8278" s="109"/>
      <c r="F8278" s="110"/>
      <c r="G8278" s="109"/>
    </row>
    <row r="8279" spans="3:7" x14ac:dyDescent="0.3">
      <c r="C8279" s="109"/>
      <c r="D8279" s="109"/>
      <c r="E8279" s="109"/>
      <c r="F8279" s="110"/>
      <c r="G8279" s="109"/>
    </row>
    <row r="8280" spans="3:7" x14ac:dyDescent="0.3">
      <c r="C8280" s="109"/>
      <c r="D8280" s="109"/>
      <c r="E8280" s="109"/>
      <c r="F8280" s="110"/>
      <c r="G8280" s="109"/>
    </row>
    <row r="8281" spans="3:7" x14ac:dyDescent="0.3">
      <c r="C8281" s="109"/>
      <c r="D8281" s="109"/>
      <c r="E8281" s="109"/>
      <c r="F8281" s="110"/>
      <c r="G8281" s="109"/>
    </row>
    <row r="8282" spans="3:7" x14ac:dyDescent="0.3">
      <c r="C8282" s="109"/>
      <c r="D8282" s="109"/>
      <c r="E8282" s="109"/>
      <c r="F8282" s="110"/>
      <c r="G8282" s="109"/>
    </row>
    <row r="8283" spans="3:7" x14ac:dyDescent="0.3">
      <c r="C8283" s="109"/>
      <c r="D8283" s="109"/>
      <c r="E8283" s="109"/>
      <c r="F8283" s="110"/>
      <c r="G8283" s="109"/>
    </row>
    <row r="8284" spans="3:7" x14ac:dyDescent="0.3">
      <c r="C8284" s="109"/>
      <c r="D8284" s="109"/>
      <c r="E8284" s="109"/>
      <c r="F8284" s="110"/>
      <c r="G8284" s="109"/>
    </row>
    <row r="8285" spans="3:7" x14ac:dyDescent="0.3">
      <c r="C8285" s="109"/>
      <c r="D8285" s="109"/>
      <c r="E8285" s="109"/>
      <c r="F8285" s="110"/>
      <c r="G8285" s="109"/>
    </row>
    <row r="8286" spans="3:7" x14ac:dyDescent="0.3">
      <c r="C8286" s="109"/>
      <c r="D8286" s="109"/>
      <c r="E8286" s="109"/>
      <c r="F8286" s="110"/>
      <c r="G8286" s="109"/>
    </row>
    <row r="8287" spans="3:7" x14ac:dyDescent="0.3">
      <c r="C8287" s="109"/>
      <c r="D8287" s="109"/>
      <c r="E8287" s="109"/>
      <c r="F8287" s="110"/>
      <c r="G8287" s="109"/>
    </row>
    <row r="8288" spans="3:7" x14ac:dyDescent="0.3">
      <c r="C8288" s="109"/>
      <c r="D8288" s="109"/>
      <c r="E8288" s="109"/>
      <c r="F8288" s="110"/>
      <c r="G8288" s="109"/>
    </row>
    <row r="8289" spans="3:7" x14ac:dyDescent="0.3">
      <c r="C8289" s="109"/>
      <c r="D8289" s="109"/>
      <c r="E8289" s="109"/>
      <c r="F8289" s="110"/>
      <c r="G8289" s="109"/>
    </row>
    <row r="8290" spans="3:7" x14ac:dyDescent="0.3">
      <c r="C8290" s="109"/>
      <c r="D8290" s="109"/>
      <c r="E8290" s="109"/>
      <c r="F8290" s="110"/>
      <c r="G8290" s="109"/>
    </row>
    <row r="8291" spans="3:7" x14ac:dyDescent="0.3">
      <c r="C8291" s="109"/>
      <c r="D8291" s="109"/>
      <c r="E8291" s="109"/>
      <c r="F8291" s="110"/>
      <c r="G8291" s="109"/>
    </row>
    <row r="8292" spans="3:7" x14ac:dyDescent="0.3">
      <c r="C8292" s="109"/>
      <c r="D8292" s="109"/>
      <c r="E8292" s="109"/>
      <c r="F8292" s="110"/>
      <c r="G8292" s="109"/>
    </row>
    <row r="8293" spans="3:7" x14ac:dyDescent="0.3">
      <c r="C8293" s="109"/>
      <c r="D8293" s="109"/>
      <c r="E8293" s="109"/>
      <c r="F8293" s="110"/>
      <c r="G8293" s="109"/>
    </row>
    <row r="8294" spans="3:7" x14ac:dyDescent="0.3">
      <c r="C8294" s="109"/>
      <c r="D8294" s="109"/>
      <c r="E8294" s="109"/>
      <c r="F8294" s="110"/>
      <c r="G8294" s="109"/>
    </row>
    <row r="8295" spans="3:7" x14ac:dyDescent="0.3">
      <c r="C8295" s="109"/>
      <c r="D8295" s="109"/>
      <c r="E8295" s="109"/>
      <c r="F8295" s="110"/>
      <c r="G8295" s="109"/>
    </row>
    <row r="8296" spans="3:7" x14ac:dyDescent="0.3">
      <c r="C8296" s="109"/>
      <c r="D8296" s="109"/>
      <c r="E8296" s="109"/>
      <c r="F8296" s="110"/>
      <c r="G8296" s="109"/>
    </row>
    <row r="8297" spans="3:7" x14ac:dyDescent="0.3">
      <c r="C8297" s="109"/>
      <c r="D8297" s="109"/>
      <c r="E8297" s="109"/>
      <c r="F8297" s="110"/>
      <c r="G8297" s="109"/>
    </row>
    <row r="8298" spans="3:7" x14ac:dyDescent="0.3">
      <c r="C8298" s="109"/>
      <c r="D8298" s="109"/>
      <c r="E8298" s="109"/>
      <c r="F8298" s="110"/>
      <c r="G8298" s="109"/>
    </row>
    <row r="8299" spans="3:7" x14ac:dyDescent="0.3">
      <c r="C8299" s="109"/>
      <c r="D8299" s="109"/>
      <c r="E8299" s="109"/>
      <c r="F8299" s="110"/>
      <c r="G8299" s="109"/>
    </row>
    <row r="8300" spans="3:7" x14ac:dyDescent="0.3">
      <c r="C8300" s="109"/>
      <c r="D8300" s="109"/>
      <c r="E8300" s="109"/>
      <c r="F8300" s="110"/>
      <c r="G8300" s="109"/>
    </row>
    <row r="8301" spans="3:7" x14ac:dyDescent="0.3">
      <c r="C8301" s="109"/>
      <c r="D8301" s="109"/>
      <c r="E8301" s="109"/>
      <c r="F8301" s="110"/>
      <c r="G8301" s="109"/>
    </row>
    <row r="8302" spans="3:7" x14ac:dyDescent="0.3">
      <c r="C8302" s="109"/>
      <c r="D8302" s="109"/>
      <c r="E8302" s="109"/>
      <c r="F8302" s="110"/>
      <c r="G8302" s="109"/>
    </row>
    <row r="8303" spans="3:7" x14ac:dyDescent="0.3">
      <c r="C8303" s="109"/>
      <c r="D8303" s="109"/>
      <c r="E8303" s="109"/>
      <c r="F8303" s="110"/>
      <c r="G8303" s="109"/>
    </row>
    <row r="8304" spans="3:7" x14ac:dyDescent="0.3">
      <c r="C8304" s="109"/>
      <c r="D8304" s="109"/>
      <c r="E8304" s="109"/>
      <c r="F8304" s="110"/>
      <c r="G8304" s="109"/>
    </row>
    <row r="8305" spans="3:7" x14ac:dyDescent="0.3">
      <c r="C8305" s="109"/>
      <c r="D8305" s="109"/>
      <c r="E8305" s="109"/>
      <c r="F8305" s="110"/>
      <c r="G8305" s="109"/>
    </row>
    <row r="8306" spans="3:7" x14ac:dyDescent="0.3">
      <c r="C8306" s="109"/>
      <c r="D8306" s="109"/>
      <c r="E8306" s="109"/>
      <c r="F8306" s="110"/>
      <c r="G8306" s="109"/>
    </row>
    <row r="8307" spans="3:7" x14ac:dyDescent="0.3">
      <c r="C8307" s="109"/>
      <c r="D8307" s="109"/>
      <c r="E8307" s="109"/>
      <c r="F8307" s="110"/>
      <c r="G8307" s="109"/>
    </row>
    <row r="8308" spans="3:7" x14ac:dyDescent="0.3">
      <c r="C8308" s="109"/>
      <c r="D8308" s="109"/>
      <c r="E8308" s="109"/>
      <c r="F8308" s="110"/>
      <c r="G8308" s="109"/>
    </row>
    <row r="8309" spans="3:7" x14ac:dyDescent="0.3">
      <c r="C8309" s="109"/>
      <c r="D8309" s="109"/>
      <c r="E8309" s="109"/>
      <c r="F8309" s="110"/>
      <c r="G8309" s="109"/>
    </row>
    <row r="8310" spans="3:7" x14ac:dyDescent="0.3">
      <c r="C8310" s="109"/>
      <c r="D8310" s="109"/>
      <c r="E8310" s="109"/>
      <c r="F8310" s="110"/>
      <c r="G8310" s="109"/>
    </row>
    <row r="8311" spans="3:7" x14ac:dyDescent="0.3">
      <c r="C8311" s="109"/>
      <c r="D8311" s="109"/>
      <c r="E8311" s="109"/>
      <c r="F8311" s="110"/>
      <c r="G8311" s="109"/>
    </row>
    <row r="8312" spans="3:7" x14ac:dyDescent="0.3">
      <c r="C8312" s="109"/>
      <c r="D8312" s="109"/>
      <c r="E8312" s="109"/>
      <c r="F8312" s="110"/>
      <c r="G8312" s="109"/>
    </row>
    <row r="8313" spans="3:7" x14ac:dyDescent="0.3">
      <c r="C8313" s="109"/>
      <c r="D8313" s="109"/>
      <c r="E8313" s="109"/>
      <c r="F8313" s="110"/>
      <c r="G8313" s="109"/>
    </row>
    <row r="8314" spans="3:7" x14ac:dyDescent="0.3">
      <c r="C8314" s="109"/>
      <c r="D8314" s="109"/>
      <c r="E8314" s="109"/>
      <c r="F8314" s="110"/>
      <c r="G8314" s="109"/>
    </row>
    <row r="8315" spans="3:7" x14ac:dyDescent="0.3">
      <c r="C8315" s="109"/>
      <c r="D8315" s="109"/>
      <c r="E8315" s="109"/>
      <c r="F8315" s="110"/>
      <c r="G8315" s="109"/>
    </row>
    <row r="8316" spans="3:7" x14ac:dyDescent="0.3">
      <c r="C8316" s="109"/>
      <c r="D8316" s="109"/>
      <c r="E8316" s="109"/>
      <c r="F8316" s="110"/>
      <c r="G8316" s="109"/>
    </row>
    <row r="8317" spans="3:7" x14ac:dyDescent="0.3">
      <c r="C8317" s="109"/>
      <c r="D8317" s="109"/>
      <c r="E8317" s="109"/>
      <c r="F8317" s="110"/>
      <c r="G8317" s="109"/>
    </row>
    <row r="8318" spans="3:7" x14ac:dyDescent="0.3">
      <c r="C8318" s="109"/>
      <c r="D8318" s="109"/>
      <c r="E8318" s="109"/>
      <c r="F8318" s="110"/>
      <c r="G8318" s="109"/>
    </row>
    <row r="8319" spans="3:7" x14ac:dyDescent="0.3">
      <c r="C8319" s="109"/>
      <c r="D8319" s="109"/>
      <c r="E8319" s="109"/>
      <c r="F8319" s="110"/>
      <c r="G8319" s="109"/>
    </row>
    <row r="8320" spans="3:7" x14ac:dyDescent="0.3">
      <c r="C8320" s="109"/>
      <c r="D8320" s="109"/>
      <c r="E8320" s="109"/>
      <c r="F8320" s="110"/>
      <c r="G8320" s="109"/>
    </row>
    <row r="8321" spans="3:7" x14ac:dyDescent="0.3">
      <c r="C8321" s="109"/>
      <c r="D8321" s="109"/>
      <c r="E8321" s="109"/>
      <c r="F8321" s="110"/>
      <c r="G8321" s="109"/>
    </row>
    <row r="8322" spans="3:7" x14ac:dyDescent="0.3">
      <c r="C8322" s="109"/>
      <c r="D8322" s="109"/>
      <c r="E8322" s="109"/>
      <c r="F8322" s="110"/>
      <c r="G8322" s="109"/>
    </row>
    <row r="8323" spans="3:7" x14ac:dyDescent="0.3">
      <c r="C8323" s="109"/>
      <c r="D8323" s="109"/>
      <c r="E8323" s="109"/>
      <c r="F8323" s="110"/>
      <c r="G8323" s="109"/>
    </row>
    <row r="8324" spans="3:7" x14ac:dyDescent="0.3">
      <c r="C8324" s="109"/>
      <c r="D8324" s="109"/>
      <c r="E8324" s="109"/>
      <c r="F8324" s="110"/>
      <c r="G8324" s="109"/>
    </row>
    <row r="8325" spans="3:7" x14ac:dyDescent="0.3">
      <c r="C8325" s="109"/>
      <c r="D8325" s="109"/>
      <c r="E8325" s="109"/>
      <c r="F8325" s="110"/>
      <c r="G8325" s="109"/>
    </row>
    <row r="8326" spans="3:7" x14ac:dyDescent="0.3">
      <c r="C8326" s="109"/>
      <c r="D8326" s="109"/>
      <c r="E8326" s="109"/>
      <c r="F8326" s="110"/>
      <c r="G8326" s="109"/>
    </row>
    <row r="8327" spans="3:7" x14ac:dyDescent="0.3">
      <c r="C8327" s="109"/>
      <c r="D8327" s="109"/>
      <c r="E8327" s="109"/>
      <c r="F8327" s="110"/>
      <c r="G8327" s="109"/>
    </row>
    <row r="8328" spans="3:7" x14ac:dyDescent="0.3">
      <c r="C8328" s="109"/>
      <c r="D8328" s="109"/>
      <c r="E8328" s="109"/>
      <c r="F8328" s="110"/>
      <c r="G8328" s="109"/>
    </row>
    <row r="8329" spans="3:7" x14ac:dyDescent="0.3">
      <c r="C8329" s="109"/>
      <c r="D8329" s="109"/>
      <c r="E8329" s="109"/>
      <c r="F8329" s="110"/>
      <c r="G8329" s="109"/>
    </row>
    <row r="8330" spans="3:7" x14ac:dyDescent="0.3">
      <c r="C8330" s="109"/>
      <c r="D8330" s="109"/>
      <c r="E8330" s="109"/>
      <c r="F8330" s="110"/>
      <c r="G8330" s="109"/>
    </row>
    <row r="8331" spans="3:7" x14ac:dyDescent="0.3">
      <c r="C8331" s="109"/>
      <c r="D8331" s="109"/>
      <c r="E8331" s="109"/>
      <c r="F8331" s="110"/>
      <c r="G8331" s="109"/>
    </row>
    <row r="8332" spans="3:7" x14ac:dyDescent="0.3">
      <c r="C8332" s="109"/>
      <c r="D8332" s="109"/>
      <c r="E8332" s="109"/>
      <c r="F8332" s="110"/>
      <c r="G8332" s="109"/>
    </row>
    <row r="8333" spans="3:7" x14ac:dyDescent="0.3">
      <c r="C8333" s="109"/>
      <c r="D8333" s="109"/>
      <c r="E8333" s="109"/>
      <c r="F8333" s="110"/>
      <c r="G8333" s="109"/>
    </row>
    <row r="8334" spans="3:7" x14ac:dyDescent="0.3">
      <c r="C8334" s="109"/>
      <c r="D8334" s="109"/>
      <c r="E8334" s="109"/>
      <c r="F8334" s="110"/>
      <c r="G8334" s="109"/>
    </row>
    <row r="8335" spans="3:7" x14ac:dyDescent="0.3">
      <c r="C8335" s="109"/>
      <c r="D8335" s="109"/>
      <c r="E8335" s="109"/>
      <c r="F8335" s="110"/>
      <c r="G8335" s="109"/>
    </row>
    <row r="8336" spans="3:7" x14ac:dyDescent="0.3">
      <c r="C8336" s="109"/>
      <c r="D8336" s="109"/>
      <c r="E8336" s="109"/>
      <c r="F8336" s="110"/>
      <c r="G8336" s="109"/>
    </row>
    <row r="8337" spans="3:7" x14ac:dyDescent="0.3">
      <c r="C8337" s="109"/>
      <c r="D8337" s="109"/>
      <c r="E8337" s="109"/>
      <c r="F8337" s="110"/>
      <c r="G8337" s="109"/>
    </row>
    <row r="8338" spans="3:7" x14ac:dyDescent="0.3">
      <c r="C8338" s="109"/>
      <c r="D8338" s="109"/>
      <c r="E8338" s="109"/>
      <c r="F8338" s="110"/>
      <c r="G8338" s="109"/>
    </row>
    <row r="8339" spans="3:7" x14ac:dyDescent="0.3">
      <c r="C8339" s="109"/>
      <c r="D8339" s="109"/>
      <c r="E8339" s="109"/>
      <c r="F8339" s="110"/>
      <c r="G8339" s="109"/>
    </row>
    <row r="8340" spans="3:7" x14ac:dyDescent="0.3">
      <c r="C8340" s="109"/>
      <c r="D8340" s="109"/>
      <c r="E8340" s="109"/>
      <c r="F8340" s="110"/>
      <c r="G8340" s="109"/>
    </row>
    <row r="8341" spans="3:7" x14ac:dyDescent="0.3">
      <c r="C8341" s="109"/>
      <c r="D8341" s="109"/>
      <c r="E8341" s="109"/>
      <c r="F8341" s="110"/>
      <c r="G8341" s="109"/>
    </row>
    <row r="8342" spans="3:7" x14ac:dyDescent="0.3">
      <c r="C8342" s="109"/>
      <c r="D8342" s="109"/>
      <c r="E8342" s="109"/>
      <c r="F8342" s="110"/>
      <c r="G8342" s="109"/>
    </row>
    <row r="8343" spans="3:7" x14ac:dyDescent="0.3">
      <c r="C8343" s="109"/>
      <c r="D8343" s="109"/>
      <c r="E8343" s="109"/>
      <c r="F8343" s="110"/>
      <c r="G8343" s="109"/>
    </row>
    <row r="8344" spans="3:7" x14ac:dyDescent="0.3">
      <c r="C8344" s="109"/>
      <c r="D8344" s="109"/>
      <c r="E8344" s="109"/>
      <c r="F8344" s="110"/>
      <c r="G8344" s="109"/>
    </row>
    <row r="8345" spans="3:7" x14ac:dyDescent="0.3">
      <c r="C8345" s="109"/>
      <c r="D8345" s="109"/>
      <c r="E8345" s="109"/>
      <c r="F8345" s="110"/>
      <c r="G8345" s="109"/>
    </row>
    <row r="8346" spans="3:7" x14ac:dyDescent="0.3">
      <c r="C8346" s="109"/>
      <c r="D8346" s="109"/>
      <c r="E8346" s="109"/>
      <c r="F8346" s="110"/>
      <c r="G8346" s="109"/>
    </row>
    <row r="8347" spans="3:7" x14ac:dyDescent="0.3">
      <c r="C8347" s="109"/>
      <c r="D8347" s="109"/>
      <c r="E8347" s="109"/>
      <c r="F8347" s="110"/>
      <c r="G8347" s="109"/>
    </row>
    <row r="8348" spans="3:7" x14ac:dyDescent="0.3">
      <c r="C8348" s="109"/>
      <c r="D8348" s="109"/>
      <c r="E8348" s="109"/>
      <c r="F8348" s="110"/>
      <c r="G8348" s="109"/>
    </row>
    <row r="8349" spans="3:7" x14ac:dyDescent="0.3">
      <c r="C8349" s="109"/>
      <c r="D8349" s="109"/>
      <c r="E8349" s="109"/>
      <c r="F8349" s="110"/>
      <c r="G8349" s="109"/>
    </row>
    <row r="8350" spans="3:7" x14ac:dyDescent="0.3">
      <c r="C8350" s="109"/>
      <c r="D8350" s="109"/>
      <c r="E8350" s="109"/>
      <c r="F8350" s="110"/>
      <c r="G8350" s="109"/>
    </row>
    <row r="8351" spans="3:7" x14ac:dyDescent="0.3">
      <c r="C8351" s="109"/>
      <c r="D8351" s="109"/>
      <c r="E8351" s="109"/>
      <c r="F8351" s="110"/>
      <c r="G8351" s="109"/>
    </row>
    <row r="8352" spans="3:7" x14ac:dyDescent="0.3">
      <c r="C8352" s="109"/>
      <c r="D8352" s="109"/>
      <c r="E8352" s="109"/>
      <c r="F8352" s="110"/>
      <c r="G8352" s="109"/>
    </row>
    <row r="8353" spans="3:7" x14ac:dyDescent="0.3">
      <c r="C8353" s="109"/>
      <c r="D8353" s="109"/>
      <c r="E8353" s="109"/>
      <c r="F8353" s="110"/>
      <c r="G8353" s="109"/>
    </row>
    <row r="8354" spans="3:7" x14ac:dyDescent="0.3">
      <c r="C8354" s="109"/>
      <c r="D8354" s="109"/>
      <c r="E8354" s="109"/>
      <c r="F8354" s="110"/>
      <c r="G8354" s="109"/>
    </row>
    <row r="8355" spans="3:7" x14ac:dyDescent="0.3">
      <c r="C8355" s="109"/>
      <c r="D8355" s="109"/>
      <c r="E8355" s="109"/>
      <c r="F8355" s="110"/>
      <c r="G8355" s="109"/>
    </row>
    <row r="8356" spans="3:7" x14ac:dyDescent="0.3">
      <c r="C8356" s="109"/>
      <c r="D8356" s="109"/>
      <c r="E8356" s="109"/>
      <c r="F8356" s="110"/>
      <c r="G8356" s="109"/>
    </row>
    <row r="8357" spans="3:7" x14ac:dyDescent="0.3">
      <c r="C8357" s="109"/>
      <c r="D8357" s="109"/>
      <c r="E8357" s="109"/>
      <c r="F8357" s="110"/>
      <c r="G8357" s="109"/>
    </row>
    <row r="8358" spans="3:7" x14ac:dyDescent="0.3">
      <c r="C8358" s="109"/>
      <c r="D8358" s="109"/>
      <c r="E8358" s="109"/>
      <c r="F8358" s="110"/>
      <c r="G8358" s="109"/>
    </row>
    <row r="8359" spans="3:7" x14ac:dyDescent="0.3">
      <c r="C8359" s="109"/>
      <c r="D8359" s="109"/>
      <c r="E8359" s="109"/>
      <c r="F8359" s="110"/>
      <c r="G8359" s="109"/>
    </row>
    <row r="8360" spans="3:7" x14ac:dyDescent="0.3">
      <c r="C8360" s="109"/>
      <c r="D8360" s="109"/>
      <c r="E8360" s="109"/>
      <c r="F8360" s="110"/>
      <c r="G8360" s="109"/>
    </row>
    <row r="8361" spans="3:7" x14ac:dyDescent="0.3">
      <c r="C8361" s="109"/>
      <c r="D8361" s="109"/>
      <c r="E8361" s="109"/>
      <c r="F8361" s="110"/>
      <c r="G8361" s="109"/>
    </row>
    <row r="8362" spans="3:7" x14ac:dyDescent="0.3">
      <c r="C8362" s="109"/>
      <c r="D8362" s="109"/>
      <c r="E8362" s="109"/>
      <c r="F8362" s="110"/>
      <c r="G8362" s="109"/>
    </row>
    <row r="8363" spans="3:7" x14ac:dyDescent="0.3">
      <c r="C8363" s="109"/>
      <c r="D8363" s="109"/>
      <c r="E8363" s="109"/>
      <c r="F8363" s="110"/>
      <c r="G8363" s="109"/>
    </row>
    <row r="8364" spans="3:7" x14ac:dyDescent="0.3">
      <c r="C8364" s="109"/>
      <c r="D8364" s="109"/>
      <c r="E8364" s="109"/>
      <c r="F8364" s="110"/>
      <c r="G8364" s="109"/>
    </row>
    <row r="8365" spans="3:7" x14ac:dyDescent="0.3">
      <c r="C8365" s="109"/>
      <c r="D8365" s="109"/>
      <c r="E8365" s="109"/>
      <c r="F8365" s="110"/>
      <c r="G8365" s="109"/>
    </row>
    <row r="8366" spans="3:7" x14ac:dyDescent="0.3">
      <c r="C8366" s="109"/>
      <c r="D8366" s="109"/>
      <c r="E8366" s="109"/>
      <c r="F8366" s="110"/>
      <c r="G8366" s="109"/>
    </row>
    <row r="8367" spans="3:7" x14ac:dyDescent="0.3">
      <c r="C8367" s="109"/>
      <c r="D8367" s="109"/>
      <c r="E8367" s="109"/>
      <c r="F8367" s="110"/>
      <c r="G8367" s="109"/>
    </row>
    <row r="8368" spans="3:7" x14ac:dyDescent="0.3">
      <c r="C8368" s="109"/>
      <c r="D8368" s="109"/>
      <c r="E8368" s="109"/>
      <c r="F8368" s="110"/>
      <c r="G8368" s="109"/>
    </row>
    <row r="8369" spans="3:7" x14ac:dyDescent="0.3">
      <c r="C8369" s="109"/>
      <c r="D8369" s="109"/>
      <c r="E8369" s="109"/>
      <c r="F8369" s="110"/>
      <c r="G8369" s="109"/>
    </row>
    <row r="8370" spans="3:7" x14ac:dyDescent="0.3">
      <c r="C8370" s="109"/>
      <c r="D8370" s="109"/>
      <c r="E8370" s="109"/>
      <c r="F8370" s="110"/>
      <c r="G8370" s="109"/>
    </row>
    <row r="8371" spans="3:7" x14ac:dyDescent="0.3">
      <c r="C8371" s="109"/>
      <c r="D8371" s="109"/>
      <c r="E8371" s="109"/>
      <c r="F8371" s="110"/>
      <c r="G8371" s="109"/>
    </row>
    <row r="8372" spans="3:7" x14ac:dyDescent="0.3">
      <c r="C8372" s="109"/>
      <c r="D8372" s="109"/>
      <c r="E8372" s="109"/>
      <c r="F8372" s="110"/>
      <c r="G8372" s="109"/>
    </row>
    <row r="8373" spans="3:7" x14ac:dyDescent="0.3">
      <c r="C8373" s="109"/>
      <c r="D8373" s="109"/>
      <c r="E8373" s="109"/>
      <c r="F8373" s="110"/>
      <c r="G8373" s="109"/>
    </row>
    <row r="8374" spans="3:7" x14ac:dyDescent="0.3">
      <c r="C8374" s="109"/>
      <c r="D8374" s="109"/>
      <c r="E8374" s="109"/>
      <c r="F8374" s="110"/>
      <c r="G8374" s="109"/>
    </row>
    <row r="8375" spans="3:7" x14ac:dyDescent="0.3">
      <c r="C8375" s="109"/>
      <c r="D8375" s="109"/>
      <c r="E8375" s="109"/>
      <c r="F8375" s="110"/>
      <c r="G8375" s="109"/>
    </row>
    <row r="8376" spans="3:7" x14ac:dyDescent="0.3">
      <c r="C8376" s="109"/>
      <c r="D8376" s="109"/>
      <c r="E8376" s="109"/>
      <c r="F8376" s="110"/>
      <c r="G8376" s="109"/>
    </row>
    <row r="8377" spans="3:7" x14ac:dyDescent="0.3">
      <c r="C8377" s="109"/>
      <c r="D8377" s="109"/>
      <c r="E8377" s="109"/>
      <c r="F8377" s="110"/>
      <c r="G8377" s="109"/>
    </row>
    <row r="8378" spans="3:7" x14ac:dyDescent="0.3">
      <c r="C8378" s="109"/>
      <c r="D8378" s="109"/>
      <c r="E8378" s="109"/>
      <c r="F8378" s="110"/>
      <c r="G8378" s="109"/>
    </row>
    <row r="8379" spans="3:7" x14ac:dyDescent="0.3">
      <c r="C8379" s="109"/>
      <c r="D8379" s="109"/>
      <c r="E8379" s="109"/>
      <c r="F8379" s="110"/>
      <c r="G8379" s="109"/>
    </row>
    <row r="8380" spans="3:7" x14ac:dyDescent="0.3">
      <c r="C8380" s="109"/>
      <c r="D8380" s="109"/>
      <c r="E8380" s="109"/>
      <c r="F8380" s="110"/>
      <c r="G8380" s="109"/>
    </row>
    <row r="8381" spans="3:7" x14ac:dyDescent="0.3">
      <c r="C8381" s="109"/>
      <c r="D8381" s="109"/>
      <c r="E8381" s="109"/>
      <c r="F8381" s="110"/>
      <c r="G8381" s="109"/>
    </row>
    <row r="8382" spans="3:7" x14ac:dyDescent="0.3">
      <c r="C8382" s="109"/>
      <c r="D8382" s="109"/>
      <c r="E8382" s="109"/>
      <c r="F8382" s="110"/>
      <c r="G8382" s="109"/>
    </row>
    <row r="8383" spans="3:7" x14ac:dyDescent="0.3">
      <c r="C8383" s="109"/>
      <c r="D8383" s="109"/>
      <c r="E8383" s="109"/>
      <c r="F8383" s="110"/>
      <c r="G8383" s="109"/>
    </row>
    <row r="8384" spans="3:7" x14ac:dyDescent="0.3">
      <c r="C8384" s="109"/>
      <c r="D8384" s="109"/>
      <c r="E8384" s="109"/>
      <c r="F8384" s="110"/>
      <c r="G8384" s="109"/>
    </row>
    <row r="8385" spans="3:7" x14ac:dyDescent="0.3">
      <c r="C8385" s="109"/>
      <c r="D8385" s="109"/>
      <c r="E8385" s="109"/>
      <c r="F8385" s="110"/>
      <c r="G8385" s="109"/>
    </row>
    <row r="8386" spans="3:7" x14ac:dyDescent="0.3">
      <c r="C8386" s="109"/>
      <c r="D8386" s="109"/>
      <c r="E8386" s="109"/>
      <c r="F8386" s="110"/>
      <c r="G8386" s="109"/>
    </row>
    <row r="8387" spans="3:7" x14ac:dyDescent="0.3">
      <c r="C8387" s="109"/>
      <c r="D8387" s="109"/>
      <c r="E8387" s="109"/>
      <c r="F8387" s="110"/>
      <c r="G8387" s="109"/>
    </row>
    <row r="8388" spans="3:7" x14ac:dyDescent="0.3">
      <c r="C8388" s="109"/>
      <c r="D8388" s="109"/>
      <c r="E8388" s="109"/>
      <c r="F8388" s="110"/>
      <c r="G8388" s="109"/>
    </row>
    <row r="8389" spans="3:7" x14ac:dyDescent="0.3">
      <c r="C8389" s="109"/>
      <c r="D8389" s="109"/>
      <c r="E8389" s="109"/>
      <c r="F8389" s="110"/>
      <c r="G8389" s="109"/>
    </row>
    <row r="8390" spans="3:7" x14ac:dyDescent="0.3">
      <c r="C8390" s="109"/>
      <c r="D8390" s="109"/>
      <c r="E8390" s="109"/>
      <c r="F8390" s="110"/>
      <c r="G8390" s="109"/>
    </row>
    <row r="8391" spans="3:7" x14ac:dyDescent="0.3">
      <c r="C8391" s="109"/>
      <c r="D8391" s="109"/>
      <c r="E8391" s="109"/>
      <c r="F8391" s="110"/>
      <c r="G8391" s="109"/>
    </row>
    <row r="8392" spans="3:7" x14ac:dyDescent="0.3">
      <c r="C8392" s="109"/>
      <c r="D8392" s="109"/>
      <c r="E8392" s="109"/>
      <c r="F8392" s="110"/>
      <c r="G8392" s="109"/>
    </row>
    <row r="8393" spans="3:7" x14ac:dyDescent="0.3">
      <c r="C8393" s="109"/>
      <c r="D8393" s="109"/>
      <c r="E8393" s="109"/>
      <c r="F8393" s="110"/>
      <c r="G8393" s="109"/>
    </row>
    <row r="8394" spans="3:7" x14ac:dyDescent="0.3">
      <c r="C8394" s="109"/>
      <c r="D8394" s="109"/>
      <c r="E8394" s="109"/>
      <c r="F8394" s="110"/>
      <c r="G8394" s="109"/>
    </row>
    <row r="8395" spans="3:7" x14ac:dyDescent="0.3">
      <c r="C8395" s="109"/>
      <c r="D8395" s="109"/>
      <c r="E8395" s="109"/>
      <c r="F8395" s="110"/>
      <c r="G8395" s="109"/>
    </row>
    <row r="8396" spans="3:7" x14ac:dyDescent="0.3">
      <c r="C8396" s="109"/>
      <c r="D8396" s="109"/>
      <c r="E8396" s="109"/>
      <c r="F8396" s="110"/>
      <c r="G8396" s="109"/>
    </row>
    <row r="8397" spans="3:7" x14ac:dyDescent="0.3">
      <c r="C8397" s="109"/>
      <c r="D8397" s="109"/>
      <c r="E8397" s="109"/>
      <c r="F8397" s="110"/>
      <c r="G8397" s="109"/>
    </row>
    <row r="8398" spans="3:7" x14ac:dyDescent="0.3">
      <c r="C8398" s="109"/>
      <c r="D8398" s="109"/>
      <c r="E8398" s="109"/>
      <c r="F8398" s="110"/>
      <c r="G8398" s="109"/>
    </row>
    <row r="8399" spans="3:7" x14ac:dyDescent="0.3">
      <c r="C8399" s="109"/>
      <c r="D8399" s="109"/>
      <c r="E8399" s="109"/>
      <c r="F8399" s="110"/>
      <c r="G8399" s="109"/>
    </row>
    <row r="8400" spans="3:7" x14ac:dyDescent="0.3">
      <c r="C8400" s="109"/>
      <c r="D8400" s="109"/>
      <c r="E8400" s="109"/>
      <c r="F8400" s="110"/>
      <c r="G8400" s="109"/>
    </row>
    <row r="8401" spans="3:7" x14ac:dyDescent="0.3">
      <c r="C8401" s="109"/>
      <c r="D8401" s="109"/>
      <c r="E8401" s="109"/>
      <c r="F8401" s="110"/>
      <c r="G8401" s="109"/>
    </row>
    <row r="8402" spans="3:7" x14ac:dyDescent="0.3">
      <c r="C8402" s="109"/>
      <c r="D8402" s="109"/>
      <c r="E8402" s="109"/>
      <c r="F8402" s="110"/>
      <c r="G8402" s="109"/>
    </row>
    <row r="8403" spans="3:7" x14ac:dyDescent="0.3">
      <c r="C8403" s="109"/>
      <c r="D8403" s="109"/>
      <c r="E8403" s="109"/>
      <c r="F8403" s="110"/>
      <c r="G8403" s="109"/>
    </row>
    <row r="8404" spans="3:7" x14ac:dyDescent="0.3">
      <c r="C8404" s="109"/>
      <c r="D8404" s="109"/>
      <c r="E8404" s="109"/>
      <c r="F8404" s="110"/>
      <c r="G8404" s="109"/>
    </row>
    <row r="8405" spans="3:7" x14ac:dyDescent="0.3">
      <c r="C8405" s="109"/>
      <c r="D8405" s="109"/>
      <c r="E8405" s="109"/>
      <c r="F8405" s="110"/>
      <c r="G8405" s="109"/>
    </row>
    <row r="8406" spans="3:7" x14ac:dyDescent="0.3">
      <c r="C8406" s="109"/>
      <c r="D8406" s="109"/>
      <c r="E8406" s="109"/>
      <c r="F8406" s="110"/>
      <c r="G8406" s="109"/>
    </row>
    <row r="8407" spans="3:7" x14ac:dyDescent="0.3">
      <c r="C8407" s="109"/>
      <c r="D8407" s="109"/>
      <c r="E8407" s="109"/>
      <c r="F8407" s="110"/>
      <c r="G8407" s="109"/>
    </row>
    <row r="8408" spans="3:7" x14ac:dyDescent="0.3">
      <c r="C8408" s="109"/>
      <c r="D8408" s="109"/>
      <c r="E8408" s="109"/>
      <c r="F8408" s="110"/>
      <c r="G8408" s="109"/>
    </row>
    <row r="8409" spans="3:7" x14ac:dyDescent="0.3">
      <c r="C8409" s="109"/>
      <c r="D8409" s="109"/>
      <c r="E8409" s="109"/>
      <c r="F8409" s="110"/>
      <c r="G8409" s="109"/>
    </row>
    <row r="8410" spans="3:7" x14ac:dyDescent="0.3">
      <c r="C8410" s="109"/>
      <c r="D8410" s="109"/>
      <c r="E8410" s="109"/>
      <c r="F8410" s="110"/>
      <c r="G8410" s="109"/>
    </row>
    <row r="8411" spans="3:7" x14ac:dyDescent="0.3">
      <c r="C8411" s="109"/>
      <c r="D8411" s="109"/>
      <c r="E8411" s="109"/>
      <c r="F8411" s="110"/>
      <c r="G8411" s="109"/>
    </row>
    <row r="8412" spans="3:7" x14ac:dyDescent="0.3">
      <c r="C8412" s="109"/>
      <c r="D8412" s="109"/>
      <c r="E8412" s="109"/>
      <c r="F8412" s="110"/>
      <c r="G8412" s="109"/>
    </row>
    <row r="8413" spans="3:7" x14ac:dyDescent="0.3">
      <c r="C8413" s="109"/>
      <c r="D8413" s="109"/>
      <c r="E8413" s="109"/>
      <c r="F8413" s="110"/>
      <c r="G8413" s="109"/>
    </row>
    <row r="8414" spans="3:7" x14ac:dyDescent="0.3">
      <c r="C8414" s="109"/>
      <c r="D8414" s="109"/>
      <c r="E8414" s="109"/>
      <c r="F8414" s="110"/>
      <c r="G8414" s="109"/>
    </row>
    <row r="8415" spans="3:7" x14ac:dyDescent="0.3">
      <c r="C8415" s="109"/>
      <c r="D8415" s="109"/>
      <c r="E8415" s="109"/>
      <c r="F8415" s="110"/>
      <c r="G8415" s="109"/>
    </row>
    <row r="8416" spans="3:7" x14ac:dyDescent="0.3">
      <c r="C8416" s="109"/>
      <c r="D8416" s="109"/>
      <c r="E8416" s="109"/>
      <c r="F8416" s="110"/>
      <c r="G8416" s="109"/>
    </row>
    <row r="8417" spans="3:7" x14ac:dyDescent="0.3">
      <c r="C8417" s="109"/>
      <c r="D8417" s="109"/>
      <c r="E8417" s="109"/>
      <c r="F8417" s="110"/>
      <c r="G8417" s="109"/>
    </row>
    <row r="8418" spans="3:7" x14ac:dyDescent="0.3">
      <c r="C8418" s="109"/>
      <c r="D8418" s="109"/>
      <c r="E8418" s="109"/>
      <c r="F8418" s="110"/>
      <c r="G8418" s="109"/>
    </row>
    <row r="8419" spans="3:7" x14ac:dyDescent="0.3">
      <c r="C8419" s="109"/>
      <c r="D8419" s="109"/>
      <c r="E8419" s="109"/>
      <c r="F8419" s="110"/>
      <c r="G8419" s="109"/>
    </row>
    <row r="8420" spans="3:7" x14ac:dyDescent="0.3">
      <c r="C8420" s="109"/>
      <c r="D8420" s="109"/>
      <c r="E8420" s="109"/>
      <c r="F8420" s="110"/>
      <c r="G8420" s="109"/>
    </row>
    <row r="8421" spans="3:7" x14ac:dyDescent="0.3">
      <c r="C8421" s="109"/>
      <c r="D8421" s="109"/>
      <c r="E8421" s="109"/>
      <c r="F8421" s="110"/>
      <c r="G8421" s="109"/>
    </row>
    <row r="8422" spans="3:7" x14ac:dyDescent="0.3">
      <c r="C8422" s="109"/>
      <c r="D8422" s="109"/>
      <c r="E8422" s="109"/>
      <c r="F8422" s="110"/>
      <c r="G8422" s="109"/>
    </row>
    <row r="8423" spans="3:7" x14ac:dyDescent="0.3">
      <c r="C8423" s="109"/>
      <c r="D8423" s="109"/>
      <c r="E8423" s="109"/>
      <c r="F8423" s="110"/>
      <c r="G8423" s="109"/>
    </row>
    <row r="8424" spans="3:7" x14ac:dyDescent="0.3">
      <c r="C8424" s="109"/>
      <c r="D8424" s="109"/>
      <c r="E8424" s="109"/>
      <c r="F8424" s="110"/>
      <c r="G8424" s="109"/>
    </row>
    <row r="8425" spans="3:7" x14ac:dyDescent="0.3">
      <c r="C8425" s="109"/>
      <c r="D8425" s="109"/>
      <c r="E8425" s="109"/>
      <c r="F8425" s="110"/>
      <c r="G8425" s="109"/>
    </row>
    <row r="8426" spans="3:7" x14ac:dyDescent="0.3">
      <c r="C8426" s="109"/>
      <c r="D8426" s="109"/>
      <c r="E8426" s="109"/>
      <c r="F8426" s="110"/>
      <c r="G8426" s="109"/>
    </row>
    <row r="8427" spans="3:7" x14ac:dyDescent="0.3">
      <c r="C8427" s="109"/>
      <c r="D8427" s="109"/>
      <c r="E8427" s="109"/>
      <c r="F8427" s="110"/>
      <c r="G8427" s="109"/>
    </row>
    <row r="8428" spans="3:7" x14ac:dyDescent="0.3">
      <c r="C8428" s="109"/>
      <c r="D8428" s="109"/>
      <c r="E8428" s="109"/>
      <c r="F8428" s="110"/>
      <c r="G8428" s="109"/>
    </row>
    <row r="8429" spans="3:7" x14ac:dyDescent="0.3">
      <c r="C8429" s="109"/>
      <c r="D8429" s="109"/>
      <c r="E8429" s="109"/>
      <c r="F8429" s="110"/>
      <c r="G8429" s="109"/>
    </row>
    <row r="8430" spans="3:7" x14ac:dyDescent="0.3">
      <c r="C8430" s="109"/>
      <c r="D8430" s="109"/>
      <c r="E8430" s="109"/>
      <c r="F8430" s="110"/>
      <c r="G8430" s="109"/>
    </row>
    <row r="8431" spans="3:7" x14ac:dyDescent="0.3">
      <c r="C8431" s="109"/>
      <c r="D8431" s="109"/>
      <c r="E8431" s="109"/>
      <c r="F8431" s="110"/>
      <c r="G8431" s="109"/>
    </row>
    <row r="8432" spans="3:7" x14ac:dyDescent="0.3">
      <c r="C8432" s="109"/>
      <c r="D8432" s="109"/>
      <c r="E8432" s="109"/>
      <c r="F8432" s="110"/>
      <c r="G8432" s="109"/>
    </row>
    <row r="8433" spans="3:7" x14ac:dyDescent="0.3">
      <c r="C8433" s="109"/>
      <c r="D8433" s="109"/>
      <c r="E8433" s="109"/>
      <c r="F8433" s="110"/>
      <c r="G8433" s="109"/>
    </row>
    <row r="8434" spans="3:7" x14ac:dyDescent="0.3">
      <c r="C8434" s="109"/>
      <c r="D8434" s="109"/>
      <c r="E8434" s="109"/>
      <c r="F8434" s="110"/>
      <c r="G8434" s="109"/>
    </row>
    <row r="8435" spans="3:7" x14ac:dyDescent="0.3">
      <c r="C8435" s="109"/>
      <c r="D8435" s="109"/>
      <c r="E8435" s="109"/>
      <c r="F8435" s="110"/>
      <c r="G8435" s="109"/>
    </row>
    <row r="8436" spans="3:7" x14ac:dyDescent="0.3">
      <c r="C8436" s="109"/>
      <c r="D8436" s="109"/>
      <c r="E8436" s="109"/>
      <c r="F8436" s="110"/>
      <c r="G8436" s="109"/>
    </row>
    <row r="8437" spans="3:7" x14ac:dyDescent="0.3">
      <c r="C8437" s="109"/>
      <c r="D8437" s="109"/>
      <c r="E8437" s="109"/>
      <c r="F8437" s="110"/>
      <c r="G8437" s="109"/>
    </row>
    <row r="8438" spans="3:7" x14ac:dyDescent="0.3">
      <c r="C8438" s="109"/>
      <c r="D8438" s="109"/>
      <c r="E8438" s="109"/>
      <c r="F8438" s="110"/>
      <c r="G8438" s="109"/>
    </row>
    <row r="8439" spans="3:7" x14ac:dyDescent="0.3">
      <c r="C8439" s="109"/>
      <c r="D8439" s="109"/>
      <c r="E8439" s="109"/>
      <c r="F8439" s="110"/>
      <c r="G8439" s="109"/>
    </row>
    <row r="8440" spans="3:7" x14ac:dyDescent="0.3">
      <c r="C8440" s="109"/>
      <c r="D8440" s="109"/>
      <c r="E8440" s="109"/>
      <c r="F8440" s="110"/>
      <c r="G8440" s="109"/>
    </row>
    <row r="8441" spans="3:7" x14ac:dyDescent="0.3">
      <c r="C8441" s="109"/>
      <c r="D8441" s="109"/>
      <c r="E8441" s="109"/>
      <c r="F8441" s="110"/>
      <c r="G8441" s="109"/>
    </row>
    <row r="8442" spans="3:7" x14ac:dyDescent="0.3">
      <c r="C8442" s="109"/>
      <c r="D8442" s="109"/>
      <c r="E8442" s="109"/>
      <c r="F8442" s="110"/>
      <c r="G8442" s="109"/>
    </row>
    <row r="8443" spans="3:7" x14ac:dyDescent="0.3">
      <c r="C8443" s="109"/>
      <c r="D8443" s="109"/>
      <c r="E8443" s="109"/>
      <c r="F8443" s="110"/>
      <c r="G8443" s="109"/>
    </row>
    <row r="8444" spans="3:7" x14ac:dyDescent="0.3">
      <c r="C8444" s="109"/>
      <c r="D8444" s="109"/>
      <c r="E8444" s="109"/>
      <c r="F8444" s="110"/>
      <c r="G8444" s="109"/>
    </row>
    <row r="8445" spans="3:7" x14ac:dyDescent="0.3">
      <c r="C8445" s="109"/>
      <c r="D8445" s="109"/>
      <c r="E8445" s="109"/>
      <c r="F8445" s="110"/>
      <c r="G8445" s="109"/>
    </row>
    <row r="8446" spans="3:7" x14ac:dyDescent="0.3">
      <c r="C8446" s="109"/>
      <c r="D8446" s="109"/>
      <c r="E8446" s="109"/>
      <c r="F8446" s="110"/>
      <c r="G8446" s="109"/>
    </row>
    <row r="8447" spans="3:7" x14ac:dyDescent="0.3">
      <c r="C8447" s="109"/>
      <c r="D8447" s="109"/>
      <c r="E8447" s="109"/>
      <c r="F8447" s="110"/>
      <c r="G8447" s="109"/>
    </row>
    <row r="8448" spans="3:7" x14ac:dyDescent="0.3">
      <c r="C8448" s="109"/>
      <c r="D8448" s="109"/>
      <c r="E8448" s="109"/>
      <c r="F8448" s="110"/>
      <c r="G8448" s="109"/>
    </row>
    <row r="8449" spans="3:7" x14ac:dyDescent="0.3">
      <c r="C8449" s="109"/>
      <c r="D8449" s="109"/>
      <c r="E8449" s="109"/>
      <c r="F8449" s="110"/>
      <c r="G8449" s="109"/>
    </row>
    <row r="8450" spans="3:7" x14ac:dyDescent="0.3">
      <c r="C8450" s="109"/>
      <c r="D8450" s="109"/>
      <c r="E8450" s="109"/>
      <c r="F8450" s="110"/>
      <c r="G8450" s="109"/>
    </row>
    <row r="8451" spans="3:7" x14ac:dyDescent="0.3">
      <c r="C8451" s="109"/>
      <c r="D8451" s="109"/>
      <c r="E8451" s="109"/>
      <c r="F8451" s="110"/>
      <c r="G8451" s="109"/>
    </row>
    <row r="8452" spans="3:7" x14ac:dyDescent="0.3">
      <c r="C8452" s="109"/>
      <c r="D8452" s="109"/>
      <c r="E8452" s="109"/>
      <c r="F8452" s="110"/>
      <c r="G8452" s="109"/>
    </row>
    <row r="8453" spans="3:7" x14ac:dyDescent="0.3">
      <c r="C8453" s="109"/>
      <c r="D8453" s="109"/>
      <c r="E8453" s="109"/>
      <c r="F8453" s="110"/>
      <c r="G8453" s="109"/>
    </row>
    <row r="8454" spans="3:7" x14ac:dyDescent="0.3">
      <c r="C8454" s="109"/>
      <c r="D8454" s="109"/>
      <c r="E8454" s="109"/>
      <c r="F8454" s="110"/>
      <c r="G8454" s="109"/>
    </row>
    <row r="8455" spans="3:7" x14ac:dyDescent="0.3">
      <c r="C8455" s="109"/>
      <c r="D8455" s="109"/>
      <c r="E8455" s="109"/>
      <c r="F8455" s="110"/>
      <c r="G8455" s="109"/>
    </row>
    <row r="8456" spans="3:7" x14ac:dyDescent="0.3">
      <c r="C8456" s="109"/>
      <c r="D8456" s="109"/>
      <c r="E8456" s="109"/>
      <c r="F8456" s="110"/>
      <c r="G8456" s="109"/>
    </row>
    <row r="8457" spans="3:7" x14ac:dyDescent="0.3">
      <c r="C8457" s="109"/>
      <c r="D8457" s="109"/>
      <c r="E8457" s="109"/>
      <c r="F8457" s="110"/>
      <c r="G8457" s="109"/>
    </row>
    <row r="8458" spans="3:7" x14ac:dyDescent="0.3">
      <c r="C8458" s="109"/>
      <c r="D8458" s="109"/>
      <c r="E8458" s="109"/>
      <c r="F8458" s="110"/>
      <c r="G8458" s="109"/>
    </row>
    <row r="8459" spans="3:7" x14ac:dyDescent="0.3">
      <c r="C8459" s="109"/>
      <c r="D8459" s="109"/>
      <c r="E8459" s="109"/>
      <c r="F8459" s="110"/>
      <c r="G8459" s="109"/>
    </row>
    <row r="8460" spans="3:7" x14ac:dyDescent="0.3">
      <c r="C8460" s="109"/>
      <c r="D8460" s="109"/>
      <c r="E8460" s="109"/>
      <c r="F8460" s="110"/>
      <c r="G8460" s="109"/>
    </row>
    <row r="8461" spans="3:7" x14ac:dyDescent="0.3">
      <c r="C8461" s="109"/>
      <c r="D8461" s="109"/>
      <c r="E8461" s="109"/>
      <c r="F8461" s="110"/>
      <c r="G8461" s="109"/>
    </row>
    <row r="8462" spans="3:7" x14ac:dyDescent="0.3">
      <c r="C8462" s="109"/>
      <c r="D8462" s="109"/>
      <c r="E8462" s="109"/>
      <c r="F8462" s="110"/>
      <c r="G8462" s="109"/>
    </row>
    <row r="8463" spans="3:7" x14ac:dyDescent="0.3">
      <c r="C8463" s="109"/>
      <c r="D8463" s="109"/>
      <c r="E8463" s="109"/>
      <c r="F8463" s="110"/>
      <c r="G8463" s="109"/>
    </row>
    <row r="8464" spans="3:7" x14ac:dyDescent="0.3">
      <c r="C8464" s="109"/>
      <c r="D8464" s="109"/>
      <c r="E8464" s="109"/>
      <c r="F8464" s="110"/>
      <c r="G8464" s="109"/>
    </row>
    <row r="8465" spans="3:7" x14ac:dyDescent="0.3">
      <c r="C8465" s="109"/>
      <c r="D8465" s="109"/>
      <c r="E8465" s="109"/>
      <c r="F8465" s="110"/>
      <c r="G8465" s="109"/>
    </row>
    <row r="8466" spans="3:7" x14ac:dyDescent="0.3">
      <c r="C8466" s="109"/>
      <c r="D8466" s="109"/>
      <c r="E8466" s="109"/>
      <c r="F8466" s="110"/>
      <c r="G8466" s="109"/>
    </row>
    <row r="8467" spans="3:7" x14ac:dyDescent="0.3">
      <c r="C8467" s="109"/>
      <c r="D8467" s="109"/>
      <c r="E8467" s="109"/>
      <c r="F8467" s="110"/>
      <c r="G8467" s="109"/>
    </row>
    <row r="8468" spans="3:7" x14ac:dyDescent="0.3">
      <c r="C8468" s="109"/>
      <c r="D8468" s="109"/>
      <c r="E8468" s="109"/>
      <c r="F8468" s="110"/>
      <c r="G8468" s="109"/>
    </row>
    <row r="8469" spans="3:7" x14ac:dyDescent="0.3">
      <c r="C8469" s="109"/>
      <c r="D8469" s="109"/>
      <c r="E8469" s="109"/>
      <c r="F8469" s="110"/>
      <c r="G8469" s="109"/>
    </row>
    <row r="8470" spans="3:7" x14ac:dyDescent="0.3">
      <c r="C8470" s="109"/>
      <c r="D8470" s="109"/>
      <c r="E8470" s="109"/>
      <c r="F8470" s="110"/>
      <c r="G8470" s="109"/>
    </row>
    <row r="8471" spans="3:7" x14ac:dyDescent="0.3">
      <c r="C8471" s="109"/>
      <c r="D8471" s="109"/>
      <c r="E8471" s="109"/>
      <c r="F8471" s="110"/>
      <c r="G8471" s="109"/>
    </row>
    <row r="8472" spans="3:7" x14ac:dyDescent="0.3">
      <c r="C8472" s="109"/>
      <c r="D8472" s="109"/>
      <c r="E8472" s="109"/>
      <c r="F8472" s="110"/>
      <c r="G8472" s="109"/>
    </row>
    <row r="8473" spans="3:7" x14ac:dyDescent="0.3">
      <c r="C8473" s="109"/>
      <c r="D8473" s="109"/>
      <c r="E8473" s="109"/>
      <c r="F8473" s="110"/>
      <c r="G8473" s="109"/>
    </row>
    <row r="8474" spans="3:7" x14ac:dyDescent="0.3">
      <c r="C8474" s="109"/>
      <c r="D8474" s="109"/>
      <c r="E8474" s="109"/>
      <c r="F8474" s="110"/>
      <c r="G8474" s="109"/>
    </row>
    <row r="8475" spans="3:7" x14ac:dyDescent="0.3">
      <c r="C8475" s="109"/>
      <c r="D8475" s="109"/>
      <c r="E8475" s="109"/>
      <c r="F8475" s="110"/>
      <c r="G8475" s="109"/>
    </row>
    <row r="8476" spans="3:7" x14ac:dyDescent="0.3">
      <c r="C8476" s="109"/>
      <c r="D8476" s="109"/>
      <c r="E8476" s="109"/>
      <c r="F8476" s="110"/>
      <c r="G8476" s="109"/>
    </row>
    <row r="8477" spans="3:7" x14ac:dyDescent="0.3">
      <c r="C8477" s="109"/>
      <c r="D8477" s="109"/>
      <c r="E8477" s="109"/>
      <c r="F8477" s="110"/>
      <c r="G8477" s="109"/>
    </row>
    <row r="8478" spans="3:7" x14ac:dyDescent="0.3">
      <c r="C8478" s="109"/>
      <c r="D8478" s="109"/>
      <c r="E8478" s="109"/>
      <c r="F8478" s="110"/>
      <c r="G8478" s="109"/>
    </row>
    <row r="8479" spans="3:7" x14ac:dyDescent="0.3">
      <c r="C8479" s="109"/>
      <c r="D8479" s="109"/>
      <c r="E8479" s="109"/>
      <c r="F8479" s="110"/>
      <c r="G8479" s="109"/>
    </row>
    <row r="8480" spans="3:7" x14ac:dyDescent="0.3">
      <c r="C8480" s="109"/>
      <c r="D8480" s="109"/>
      <c r="E8480" s="109"/>
      <c r="F8480" s="110"/>
      <c r="G8480" s="109"/>
    </row>
    <row r="8481" spans="3:7" x14ac:dyDescent="0.3">
      <c r="C8481" s="109"/>
      <c r="D8481" s="109"/>
      <c r="E8481" s="109"/>
      <c r="F8481" s="110"/>
      <c r="G8481" s="109"/>
    </row>
    <row r="8482" spans="3:7" x14ac:dyDescent="0.3">
      <c r="C8482" s="109"/>
      <c r="D8482" s="109"/>
      <c r="E8482" s="109"/>
      <c r="F8482" s="110"/>
      <c r="G8482" s="109"/>
    </row>
    <row r="8483" spans="3:7" x14ac:dyDescent="0.3">
      <c r="C8483" s="109"/>
      <c r="D8483" s="109"/>
      <c r="E8483" s="109"/>
      <c r="F8483" s="110"/>
      <c r="G8483" s="109"/>
    </row>
    <row r="8484" spans="3:7" x14ac:dyDescent="0.3">
      <c r="C8484" s="109"/>
      <c r="D8484" s="109"/>
      <c r="E8484" s="109"/>
      <c r="F8484" s="110"/>
      <c r="G8484" s="109"/>
    </row>
    <row r="8485" spans="3:7" x14ac:dyDescent="0.3">
      <c r="C8485" s="109"/>
      <c r="D8485" s="109"/>
      <c r="E8485" s="109"/>
      <c r="F8485" s="110"/>
      <c r="G8485" s="109"/>
    </row>
    <row r="8486" spans="3:7" x14ac:dyDescent="0.3">
      <c r="C8486" s="109"/>
      <c r="D8486" s="109"/>
      <c r="E8486" s="109"/>
      <c r="F8486" s="110"/>
      <c r="G8486" s="109"/>
    </row>
    <row r="8487" spans="3:7" x14ac:dyDescent="0.3">
      <c r="C8487" s="109"/>
      <c r="D8487" s="109"/>
      <c r="E8487" s="109"/>
      <c r="F8487" s="110"/>
      <c r="G8487" s="109"/>
    </row>
    <row r="8488" spans="3:7" x14ac:dyDescent="0.3">
      <c r="C8488" s="109"/>
      <c r="D8488" s="109"/>
      <c r="E8488" s="109"/>
      <c r="F8488" s="110"/>
      <c r="G8488" s="109"/>
    </row>
    <row r="8489" spans="3:7" x14ac:dyDescent="0.3">
      <c r="C8489" s="109"/>
      <c r="D8489" s="109"/>
      <c r="E8489" s="109"/>
      <c r="F8489" s="110"/>
      <c r="G8489" s="109"/>
    </row>
    <row r="8490" spans="3:7" x14ac:dyDescent="0.3">
      <c r="C8490" s="109"/>
      <c r="D8490" s="109"/>
      <c r="E8490" s="109"/>
      <c r="F8490" s="110"/>
      <c r="G8490" s="109"/>
    </row>
    <row r="8491" spans="3:7" x14ac:dyDescent="0.3">
      <c r="C8491" s="109"/>
      <c r="D8491" s="109"/>
      <c r="E8491" s="109"/>
      <c r="F8491" s="110"/>
      <c r="G8491" s="109"/>
    </row>
    <row r="8492" spans="3:7" x14ac:dyDescent="0.3">
      <c r="C8492" s="109"/>
      <c r="D8492" s="109"/>
      <c r="E8492" s="109"/>
      <c r="F8492" s="110"/>
      <c r="G8492" s="109"/>
    </row>
    <row r="8493" spans="3:7" x14ac:dyDescent="0.3">
      <c r="C8493" s="109"/>
      <c r="D8493" s="109"/>
      <c r="E8493" s="109"/>
      <c r="F8493" s="110"/>
      <c r="G8493" s="109"/>
    </row>
    <row r="8494" spans="3:7" x14ac:dyDescent="0.3">
      <c r="C8494" s="109"/>
      <c r="D8494" s="109"/>
      <c r="E8494" s="109"/>
      <c r="F8494" s="110"/>
      <c r="G8494" s="109"/>
    </row>
    <row r="8495" spans="3:7" x14ac:dyDescent="0.3">
      <c r="C8495" s="109"/>
      <c r="D8495" s="109"/>
      <c r="E8495" s="109"/>
      <c r="F8495" s="110"/>
      <c r="G8495" s="109"/>
    </row>
    <row r="8496" spans="3:7" x14ac:dyDescent="0.3">
      <c r="C8496" s="109"/>
      <c r="D8496" s="109"/>
      <c r="E8496" s="109"/>
      <c r="F8496" s="110"/>
      <c r="G8496" s="109"/>
    </row>
    <row r="8497" spans="3:7" x14ac:dyDescent="0.3">
      <c r="C8497" s="109"/>
      <c r="D8497" s="109"/>
      <c r="E8497" s="109"/>
      <c r="F8497" s="110"/>
      <c r="G8497" s="109"/>
    </row>
    <row r="8498" spans="3:7" x14ac:dyDescent="0.3">
      <c r="C8498" s="109"/>
      <c r="D8498" s="109"/>
      <c r="E8498" s="109"/>
      <c r="F8498" s="110"/>
      <c r="G8498" s="109"/>
    </row>
    <row r="8499" spans="3:7" x14ac:dyDescent="0.3">
      <c r="C8499" s="109"/>
      <c r="D8499" s="109"/>
      <c r="E8499" s="109"/>
      <c r="F8499" s="110"/>
      <c r="G8499" s="109"/>
    </row>
    <row r="8500" spans="3:7" x14ac:dyDescent="0.3">
      <c r="C8500" s="109"/>
      <c r="D8500" s="109"/>
      <c r="E8500" s="109"/>
      <c r="F8500" s="110"/>
      <c r="G8500" s="109"/>
    </row>
    <row r="8501" spans="3:7" x14ac:dyDescent="0.3">
      <c r="C8501" s="109"/>
      <c r="D8501" s="109"/>
      <c r="E8501" s="109"/>
      <c r="F8501" s="110"/>
      <c r="G8501" s="109"/>
    </row>
    <row r="8502" spans="3:7" x14ac:dyDescent="0.3">
      <c r="C8502" s="109"/>
      <c r="D8502" s="109"/>
      <c r="E8502" s="109"/>
      <c r="F8502" s="110"/>
      <c r="G8502" s="109"/>
    </row>
    <row r="8503" spans="3:7" x14ac:dyDescent="0.3">
      <c r="C8503" s="109"/>
      <c r="D8503" s="109"/>
      <c r="E8503" s="109"/>
      <c r="F8503" s="110"/>
      <c r="G8503" s="109"/>
    </row>
    <row r="8504" spans="3:7" x14ac:dyDescent="0.3">
      <c r="C8504" s="109"/>
      <c r="D8504" s="109"/>
      <c r="E8504" s="109"/>
      <c r="F8504" s="110"/>
      <c r="G8504" s="109"/>
    </row>
    <row r="8505" spans="3:7" x14ac:dyDescent="0.3">
      <c r="C8505" s="109"/>
      <c r="D8505" s="109"/>
      <c r="E8505" s="109"/>
      <c r="F8505" s="110"/>
      <c r="G8505" s="109"/>
    </row>
    <row r="8506" spans="3:7" x14ac:dyDescent="0.3">
      <c r="C8506" s="109"/>
      <c r="D8506" s="109"/>
      <c r="E8506" s="109"/>
      <c r="F8506" s="110"/>
      <c r="G8506" s="109"/>
    </row>
    <row r="8507" spans="3:7" x14ac:dyDescent="0.3">
      <c r="C8507" s="109"/>
      <c r="D8507" s="109"/>
      <c r="E8507" s="109"/>
      <c r="F8507" s="110"/>
      <c r="G8507" s="109"/>
    </row>
    <row r="8508" spans="3:7" x14ac:dyDescent="0.3">
      <c r="C8508" s="109"/>
      <c r="D8508" s="109"/>
      <c r="E8508" s="109"/>
      <c r="F8508" s="110"/>
      <c r="G8508" s="109"/>
    </row>
    <row r="8509" spans="3:7" x14ac:dyDescent="0.3">
      <c r="C8509" s="109"/>
      <c r="D8509" s="109"/>
      <c r="E8509" s="109"/>
      <c r="F8509" s="110"/>
      <c r="G8509" s="109"/>
    </row>
    <row r="8510" spans="3:7" x14ac:dyDescent="0.3">
      <c r="C8510" s="109"/>
      <c r="D8510" s="109"/>
      <c r="E8510" s="109"/>
      <c r="F8510" s="110"/>
      <c r="G8510" s="109"/>
    </row>
    <row r="8511" spans="3:7" x14ac:dyDescent="0.3">
      <c r="C8511" s="109"/>
      <c r="D8511" s="109"/>
      <c r="E8511" s="109"/>
      <c r="F8511" s="110"/>
      <c r="G8511" s="109"/>
    </row>
    <row r="8512" spans="3:7" x14ac:dyDescent="0.3">
      <c r="C8512" s="109"/>
      <c r="D8512" s="109"/>
      <c r="E8512" s="109"/>
      <c r="F8512" s="110"/>
      <c r="G8512" s="109"/>
    </row>
    <row r="8513" spans="3:7" x14ac:dyDescent="0.3">
      <c r="C8513" s="109"/>
      <c r="D8513" s="109"/>
      <c r="E8513" s="109"/>
      <c r="F8513" s="110"/>
      <c r="G8513" s="109"/>
    </row>
    <row r="8514" spans="3:7" x14ac:dyDescent="0.3">
      <c r="C8514" s="109"/>
      <c r="D8514" s="109"/>
      <c r="E8514" s="109"/>
      <c r="F8514" s="110"/>
      <c r="G8514" s="109"/>
    </row>
    <row r="8515" spans="3:7" x14ac:dyDescent="0.3">
      <c r="C8515" s="109"/>
      <c r="D8515" s="109"/>
      <c r="E8515" s="109"/>
      <c r="F8515" s="110"/>
      <c r="G8515" s="109"/>
    </row>
    <row r="8516" spans="3:7" x14ac:dyDescent="0.3">
      <c r="C8516" s="109"/>
      <c r="D8516" s="109"/>
      <c r="E8516" s="109"/>
      <c r="F8516" s="110"/>
      <c r="G8516" s="109"/>
    </row>
    <row r="8517" spans="3:7" x14ac:dyDescent="0.3">
      <c r="C8517" s="109"/>
      <c r="D8517" s="109"/>
      <c r="E8517" s="109"/>
      <c r="F8517" s="110"/>
      <c r="G8517" s="109"/>
    </row>
    <row r="8518" spans="3:7" x14ac:dyDescent="0.3">
      <c r="C8518" s="109"/>
      <c r="D8518" s="109"/>
      <c r="E8518" s="109"/>
      <c r="F8518" s="110"/>
      <c r="G8518" s="109"/>
    </row>
    <row r="8519" spans="3:7" x14ac:dyDescent="0.3">
      <c r="C8519" s="109"/>
      <c r="D8519" s="109"/>
      <c r="E8519" s="109"/>
      <c r="F8519" s="110"/>
      <c r="G8519" s="109"/>
    </row>
    <row r="8520" spans="3:7" x14ac:dyDescent="0.3">
      <c r="C8520" s="109"/>
      <c r="D8520" s="109"/>
      <c r="E8520" s="109"/>
      <c r="F8520" s="110"/>
      <c r="G8520" s="109"/>
    </row>
    <row r="8521" spans="3:7" x14ac:dyDescent="0.3">
      <c r="C8521" s="109"/>
      <c r="D8521" s="109"/>
      <c r="E8521" s="109"/>
      <c r="F8521" s="110"/>
      <c r="G8521" s="109"/>
    </row>
    <row r="8522" spans="3:7" x14ac:dyDescent="0.3">
      <c r="C8522" s="109"/>
      <c r="D8522" s="109"/>
      <c r="E8522" s="109"/>
      <c r="F8522" s="110"/>
      <c r="G8522" s="109"/>
    </row>
    <row r="8523" spans="3:7" x14ac:dyDescent="0.3">
      <c r="C8523" s="109"/>
      <c r="D8523" s="109"/>
      <c r="E8523" s="109"/>
      <c r="F8523" s="110"/>
      <c r="G8523" s="109"/>
    </row>
    <row r="8524" spans="3:7" x14ac:dyDescent="0.3">
      <c r="C8524" s="109"/>
      <c r="D8524" s="109"/>
      <c r="E8524" s="109"/>
      <c r="F8524" s="110"/>
      <c r="G8524" s="109"/>
    </row>
    <row r="8525" spans="3:7" x14ac:dyDescent="0.3">
      <c r="C8525" s="109"/>
      <c r="D8525" s="109"/>
      <c r="E8525" s="109"/>
      <c r="F8525" s="110"/>
      <c r="G8525" s="109"/>
    </row>
    <row r="8526" spans="3:7" x14ac:dyDescent="0.3">
      <c r="C8526" s="109"/>
      <c r="D8526" s="109"/>
      <c r="E8526" s="109"/>
      <c r="F8526" s="110"/>
      <c r="G8526" s="109"/>
    </row>
    <row r="8527" spans="3:7" x14ac:dyDescent="0.3">
      <c r="C8527" s="109"/>
      <c r="D8527" s="109"/>
      <c r="E8527" s="109"/>
      <c r="F8527" s="110"/>
      <c r="G8527" s="109"/>
    </row>
    <row r="8528" spans="3:7" x14ac:dyDescent="0.3">
      <c r="C8528" s="109"/>
      <c r="D8528" s="109"/>
      <c r="E8528" s="109"/>
      <c r="F8528" s="110"/>
      <c r="G8528" s="109"/>
    </row>
    <row r="8529" spans="3:7" x14ac:dyDescent="0.3">
      <c r="C8529" s="109"/>
      <c r="D8529" s="109"/>
      <c r="E8529" s="109"/>
      <c r="F8529" s="110"/>
      <c r="G8529" s="109"/>
    </row>
    <row r="8530" spans="3:7" x14ac:dyDescent="0.3">
      <c r="C8530" s="109"/>
      <c r="D8530" s="109"/>
      <c r="E8530" s="109"/>
      <c r="F8530" s="110"/>
      <c r="G8530" s="109"/>
    </row>
    <row r="8531" spans="3:7" x14ac:dyDescent="0.3">
      <c r="C8531" s="109"/>
      <c r="D8531" s="109"/>
      <c r="E8531" s="109"/>
      <c r="F8531" s="110"/>
      <c r="G8531" s="109"/>
    </row>
    <row r="8532" spans="3:7" x14ac:dyDescent="0.3">
      <c r="C8532" s="109"/>
      <c r="D8532" s="109"/>
      <c r="E8532" s="109"/>
      <c r="F8532" s="110"/>
      <c r="G8532" s="109"/>
    </row>
    <row r="8533" spans="3:7" x14ac:dyDescent="0.3">
      <c r="C8533" s="109"/>
      <c r="D8533" s="109"/>
      <c r="E8533" s="109"/>
      <c r="F8533" s="110"/>
      <c r="G8533" s="109"/>
    </row>
    <row r="8534" spans="3:7" x14ac:dyDescent="0.3">
      <c r="C8534" s="109"/>
      <c r="D8534" s="109"/>
      <c r="E8534" s="109"/>
      <c r="F8534" s="110"/>
      <c r="G8534" s="109"/>
    </row>
    <row r="8535" spans="3:7" x14ac:dyDescent="0.3">
      <c r="C8535" s="109"/>
      <c r="D8535" s="109"/>
      <c r="E8535" s="109"/>
      <c r="F8535" s="110"/>
      <c r="G8535" s="109"/>
    </row>
    <row r="8536" spans="3:7" x14ac:dyDescent="0.3">
      <c r="C8536" s="109"/>
      <c r="D8536" s="109"/>
      <c r="E8536" s="109"/>
      <c r="F8536" s="110"/>
      <c r="G8536" s="109"/>
    </row>
    <row r="8537" spans="3:7" x14ac:dyDescent="0.3">
      <c r="C8537" s="109"/>
      <c r="D8537" s="109"/>
      <c r="E8537" s="109"/>
      <c r="F8537" s="110"/>
      <c r="G8537" s="109"/>
    </row>
    <row r="8538" spans="3:7" x14ac:dyDescent="0.3">
      <c r="C8538" s="109"/>
      <c r="D8538" s="109"/>
      <c r="E8538" s="109"/>
      <c r="F8538" s="110"/>
      <c r="G8538" s="109"/>
    </row>
    <row r="8539" spans="3:7" x14ac:dyDescent="0.3">
      <c r="C8539" s="109"/>
      <c r="D8539" s="109"/>
      <c r="E8539" s="109"/>
      <c r="F8539" s="110"/>
      <c r="G8539" s="109"/>
    </row>
    <row r="8540" spans="3:7" x14ac:dyDescent="0.3">
      <c r="C8540" s="109"/>
      <c r="D8540" s="109"/>
      <c r="E8540" s="109"/>
      <c r="F8540" s="110"/>
      <c r="G8540" s="109"/>
    </row>
    <row r="8541" spans="3:7" x14ac:dyDescent="0.3">
      <c r="C8541" s="109"/>
      <c r="D8541" s="109"/>
      <c r="E8541" s="109"/>
      <c r="F8541" s="110"/>
      <c r="G8541" s="109"/>
    </row>
    <row r="8542" spans="3:7" x14ac:dyDescent="0.3">
      <c r="C8542" s="109"/>
      <c r="D8542" s="109"/>
      <c r="E8542" s="109"/>
      <c r="F8542" s="110"/>
      <c r="G8542" s="109"/>
    </row>
    <row r="8543" spans="3:7" x14ac:dyDescent="0.3">
      <c r="C8543" s="109"/>
      <c r="D8543" s="109"/>
      <c r="E8543" s="109"/>
      <c r="F8543" s="110"/>
      <c r="G8543" s="109"/>
    </row>
    <row r="8544" spans="3:7" x14ac:dyDescent="0.3">
      <c r="C8544" s="109"/>
      <c r="D8544" s="109"/>
      <c r="E8544" s="109"/>
      <c r="F8544" s="110"/>
      <c r="G8544" s="109"/>
    </row>
    <row r="8545" spans="3:7" x14ac:dyDescent="0.3">
      <c r="C8545" s="109"/>
      <c r="D8545" s="109"/>
      <c r="E8545" s="109"/>
      <c r="F8545" s="110"/>
      <c r="G8545" s="109"/>
    </row>
    <row r="8546" spans="3:7" x14ac:dyDescent="0.3">
      <c r="C8546" s="109"/>
      <c r="D8546" s="109"/>
      <c r="E8546" s="109"/>
      <c r="F8546" s="110"/>
      <c r="G8546" s="109"/>
    </row>
    <row r="8547" spans="3:7" x14ac:dyDescent="0.3">
      <c r="C8547" s="109"/>
      <c r="D8547" s="109"/>
      <c r="E8547" s="109"/>
      <c r="F8547" s="110"/>
      <c r="G8547" s="109"/>
    </row>
    <row r="8548" spans="3:7" x14ac:dyDescent="0.3">
      <c r="C8548" s="109"/>
      <c r="D8548" s="109"/>
      <c r="E8548" s="109"/>
      <c r="F8548" s="110"/>
      <c r="G8548" s="109"/>
    </row>
    <row r="8549" spans="3:7" x14ac:dyDescent="0.3">
      <c r="C8549" s="109"/>
      <c r="D8549" s="109"/>
      <c r="E8549" s="109"/>
      <c r="F8549" s="110"/>
      <c r="G8549" s="109"/>
    </row>
    <row r="8550" spans="3:7" x14ac:dyDescent="0.3">
      <c r="C8550" s="109"/>
      <c r="D8550" s="109"/>
      <c r="E8550" s="109"/>
      <c r="F8550" s="110"/>
      <c r="G8550" s="109"/>
    </row>
    <row r="8551" spans="3:7" x14ac:dyDescent="0.3">
      <c r="C8551" s="109"/>
      <c r="D8551" s="109"/>
      <c r="E8551" s="109"/>
      <c r="F8551" s="110"/>
      <c r="G8551" s="109"/>
    </row>
    <row r="8552" spans="3:7" x14ac:dyDescent="0.3">
      <c r="C8552" s="109"/>
      <c r="D8552" s="109"/>
      <c r="E8552" s="109"/>
      <c r="F8552" s="110"/>
      <c r="G8552" s="109"/>
    </row>
    <row r="8553" spans="3:7" x14ac:dyDescent="0.3">
      <c r="C8553" s="109"/>
      <c r="D8553" s="109"/>
      <c r="E8553" s="109"/>
      <c r="F8553" s="110"/>
      <c r="G8553" s="109"/>
    </row>
    <row r="8554" spans="3:7" x14ac:dyDescent="0.3">
      <c r="C8554" s="109"/>
      <c r="D8554" s="109"/>
      <c r="E8554" s="109"/>
      <c r="F8554" s="110"/>
      <c r="G8554" s="109"/>
    </row>
    <row r="8555" spans="3:7" x14ac:dyDescent="0.3">
      <c r="C8555" s="109"/>
      <c r="D8555" s="109"/>
      <c r="E8555" s="109"/>
      <c r="F8555" s="110"/>
      <c r="G8555" s="109"/>
    </row>
    <row r="8556" spans="3:7" x14ac:dyDescent="0.3">
      <c r="C8556" s="109"/>
      <c r="D8556" s="109"/>
      <c r="E8556" s="109"/>
      <c r="F8556" s="110"/>
      <c r="G8556" s="109"/>
    </row>
    <row r="8557" spans="3:7" x14ac:dyDescent="0.3">
      <c r="C8557" s="109"/>
      <c r="D8557" s="109"/>
      <c r="E8557" s="109"/>
      <c r="F8557" s="110"/>
      <c r="G8557" s="109"/>
    </row>
    <row r="8558" spans="3:7" x14ac:dyDescent="0.3">
      <c r="C8558" s="109"/>
      <c r="D8558" s="109"/>
      <c r="E8558" s="109"/>
      <c r="F8558" s="110"/>
      <c r="G8558" s="109"/>
    </row>
    <row r="8559" spans="3:7" x14ac:dyDescent="0.3">
      <c r="C8559" s="109"/>
      <c r="D8559" s="109"/>
      <c r="E8559" s="109"/>
      <c r="F8559" s="110"/>
      <c r="G8559" s="109"/>
    </row>
    <row r="8560" spans="3:7" x14ac:dyDescent="0.3">
      <c r="C8560" s="109"/>
      <c r="D8560" s="109"/>
      <c r="E8560" s="109"/>
      <c r="F8560" s="110"/>
      <c r="G8560" s="109"/>
    </row>
    <row r="8561" spans="3:7" x14ac:dyDescent="0.3">
      <c r="C8561" s="109"/>
      <c r="D8561" s="109"/>
      <c r="E8561" s="109"/>
      <c r="F8561" s="110"/>
      <c r="G8561" s="109"/>
    </row>
    <row r="8562" spans="3:7" x14ac:dyDescent="0.3">
      <c r="C8562" s="109"/>
      <c r="D8562" s="109"/>
      <c r="E8562" s="109"/>
      <c r="F8562" s="110"/>
      <c r="G8562" s="109"/>
    </row>
    <row r="8563" spans="3:7" x14ac:dyDescent="0.3">
      <c r="C8563" s="109"/>
      <c r="D8563" s="109"/>
      <c r="E8563" s="109"/>
      <c r="F8563" s="110"/>
      <c r="G8563" s="109"/>
    </row>
    <row r="8564" spans="3:7" x14ac:dyDescent="0.3">
      <c r="C8564" s="109"/>
      <c r="D8564" s="109"/>
      <c r="E8564" s="109"/>
      <c r="F8564" s="110"/>
      <c r="G8564" s="109"/>
    </row>
    <row r="8565" spans="3:7" x14ac:dyDescent="0.3">
      <c r="C8565" s="109"/>
      <c r="D8565" s="109"/>
      <c r="E8565" s="109"/>
      <c r="F8565" s="110"/>
      <c r="G8565" s="109"/>
    </row>
    <row r="8566" spans="3:7" x14ac:dyDescent="0.3">
      <c r="C8566" s="109"/>
      <c r="D8566" s="109"/>
      <c r="E8566" s="109"/>
      <c r="F8566" s="110"/>
      <c r="G8566" s="109"/>
    </row>
    <row r="8567" spans="3:7" x14ac:dyDescent="0.3">
      <c r="C8567" s="109"/>
      <c r="D8567" s="109"/>
      <c r="E8567" s="109"/>
      <c r="F8567" s="110"/>
      <c r="G8567" s="109"/>
    </row>
    <row r="8568" spans="3:7" x14ac:dyDescent="0.3">
      <c r="C8568" s="109"/>
      <c r="D8568" s="109"/>
      <c r="E8568" s="109"/>
      <c r="F8568" s="110"/>
      <c r="G8568" s="109"/>
    </row>
    <row r="8569" spans="3:7" x14ac:dyDescent="0.3">
      <c r="C8569" s="109"/>
      <c r="D8569" s="109"/>
      <c r="E8569" s="109"/>
      <c r="F8569" s="110"/>
      <c r="G8569" s="109"/>
    </row>
    <row r="8570" spans="3:7" x14ac:dyDescent="0.3">
      <c r="C8570" s="109"/>
      <c r="D8570" s="109"/>
      <c r="E8570" s="109"/>
      <c r="F8570" s="110"/>
      <c r="G8570" s="109"/>
    </row>
    <row r="8571" spans="3:7" x14ac:dyDescent="0.3">
      <c r="C8571" s="109"/>
      <c r="D8571" s="109"/>
      <c r="E8571" s="109"/>
      <c r="F8571" s="110"/>
      <c r="G8571" s="109"/>
    </row>
    <row r="8572" spans="3:7" x14ac:dyDescent="0.3">
      <c r="C8572" s="109"/>
      <c r="D8572" s="109"/>
      <c r="E8572" s="109"/>
      <c r="F8572" s="110"/>
      <c r="G8572" s="109"/>
    </row>
    <row r="8573" spans="3:7" x14ac:dyDescent="0.3">
      <c r="C8573" s="109"/>
      <c r="D8573" s="109"/>
      <c r="E8573" s="109"/>
      <c r="F8573" s="110"/>
      <c r="G8573" s="109"/>
    </row>
    <row r="8574" spans="3:7" x14ac:dyDescent="0.3">
      <c r="C8574" s="109"/>
      <c r="D8574" s="109"/>
      <c r="E8574" s="109"/>
      <c r="F8574" s="110"/>
      <c r="G8574" s="109"/>
    </row>
    <row r="8575" spans="3:7" x14ac:dyDescent="0.3">
      <c r="C8575" s="109"/>
      <c r="D8575" s="109"/>
      <c r="E8575" s="109"/>
      <c r="F8575" s="110"/>
      <c r="G8575" s="109"/>
    </row>
    <row r="8576" spans="3:7" x14ac:dyDescent="0.3">
      <c r="C8576" s="109"/>
      <c r="D8576" s="109"/>
      <c r="E8576" s="109"/>
      <c r="F8576" s="110"/>
      <c r="G8576" s="109"/>
    </row>
    <row r="8577" spans="3:7" x14ac:dyDescent="0.3">
      <c r="C8577" s="109"/>
      <c r="D8577" s="109"/>
      <c r="E8577" s="109"/>
      <c r="F8577" s="110"/>
      <c r="G8577" s="109"/>
    </row>
    <row r="8578" spans="3:7" x14ac:dyDescent="0.3">
      <c r="C8578" s="109"/>
      <c r="D8578" s="109"/>
      <c r="E8578" s="109"/>
      <c r="F8578" s="110"/>
      <c r="G8578" s="109"/>
    </row>
    <row r="8579" spans="3:7" x14ac:dyDescent="0.3">
      <c r="C8579" s="109"/>
      <c r="D8579" s="109"/>
      <c r="E8579" s="109"/>
      <c r="F8579" s="110"/>
      <c r="G8579" s="109"/>
    </row>
    <row r="8580" spans="3:7" x14ac:dyDescent="0.3">
      <c r="C8580" s="109"/>
      <c r="D8580" s="109"/>
      <c r="E8580" s="109"/>
      <c r="F8580" s="110"/>
      <c r="G8580" s="109"/>
    </row>
    <row r="8581" spans="3:7" x14ac:dyDescent="0.3">
      <c r="C8581" s="109"/>
      <c r="D8581" s="109"/>
      <c r="E8581" s="109"/>
      <c r="F8581" s="110"/>
      <c r="G8581" s="109"/>
    </row>
    <row r="8582" spans="3:7" x14ac:dyDescent="0.3">
      <c r="C8582" s="109"/>
      <c r="D8582" s="109"/>
      <c r="E8582" s="109"/>
      <c r="F8582" s="110"/>
      <c r="G8582" s="109"/>
    </row>
    <row r="8583" spans="3:7" x14ac:dyDescent="0.3">
      <c r="C8583" s="109"/>
      <c r="D8583" s="109"/>
      <c r="E8583" s="109"/>
      <c r="F8583" s="110"/>
      <c r="G8583" s="109"/>
    </row>
    <row r="8584" spans="3:7" x14ac:dyDescent="0.3">
      <c r="C8584" s="109"/>
      <c r="D8584" s="109"/>
      <c r="E8584" s="109"/>
      <c r="F8584" s="110"/>
      <c r="G8584" s="109"/>
    </row>
    <row r="8585" spans="3:7" x14ac:dyDescent="0.3">
      <c r="C8585" s="109"/>
      <c r="D8585" s="109"/>
      <c r="E8585" s="109"/>
      <c r="F8585" s="110"/>
      <c r="G8585" s="109"/>
    </row>
    <row r="8586" spans="3:7" x14ac:dyDescent="0.3">
      <c r="C8586" s="109"/>
      <c r="D8586" s="109"/>
      <c r="E8586" s="109"/>
      <c r="F8586" s="110"/>
      <c r="G8586" s="109"/>
    </row>
    <row r="8587" spans="3:7" x14ac:dyDescent="0.3">
      <c r="C8587" s="109"/>
      <c r="D8587" s="109"/>
      <c r="E8587" s="109"/>
      <c r="F8587" s="110"/>
      <c r="G8587" s="109"/>
    </row>
    <row r="8588" spans="3:7" x14ac:dyDescent="0.3">
      <c r="C8588" s="109"/>
      <c r="D8588" s="109"/>
      <c r="E8588" s="109"/>
      <c r="F8588" s="110"/>
      <c r="G8588" s="109"/>
    </row>
    <row r="8589" spans="3:7" x14ac:dyDescent="0.3">
      <c r="C8589" s="109"/>
      <c r="D8589" s="109"/>
      <c r="E8589" s="109"/>
      <c r="F8589" s="110"/>
      <c r="G8589" s="109"/>
    </row>
    <row r="8590" spans="3:7" x14ac:dyDescent="0.3">
      <c r="C8590" s="109"/>
      <c r="D8590" s="109"/>
      <c r="E8590" s="109"/>
      <c r="F8590" s="110"/>
      <c r="G8590" s="109"/>
    </row>
    <row r="8591" spans="3:7" x14ac:dyDescent="0.3">
      <c r="C8591" s="109"/>
      <c r="D8591" s="109"/>
      <c r="E8591" s="109"/>
      <c r="F8591" s="110"/>
      <c r="G8591" s="109"/>
    </row>
    <row r="8592" spans="3:7" x14ac:dyDescent="0.3">
      <c r="C8592" s="109"/>
      <c r="D8592" s="109"/>
      <c r="E8592" s="109"/>
      <c r="F8592" s="110"/>
      <c r="G8592" s="109"/>
    </row>
    <row r="8593" spans="3:7" x14ac:dyDescent="0.3">
      <c r="C8593" s="109"/>
      <c r="D8593" s="109"/>
      <c r="E8593" s="109"/>
      <c r="F8593" s="110"/>
      <c r="G8593" s="109"/>
    </row>
    <row r="8594" spans="3:7" x14ac:dyDescent="0.3">
      <c r="C8594" s="109"/>
      <c r="D8594" s="109"/>
      <c r="E8594" s="109"/>
      <c r="F8594" s="110"/>
      <c r="G8594" s="109"/>
    </row>
    <row r="8595" spans="3:7" x14ac:dyDescent="0.3">
      <c r="C8595" s="109"/>
      <c r="D8595" s="109"/>
      <c r="E8595" s="109"/>
      <c r="F8595" s="110"/>
      <c r="G8595" s="109"/>
    </row>
    <row r="8596" spans="3:7" x14ac:dyDescent="0.3">
      <c r="C8596" s="109"/>
      <c r="D8596" s="109"/>
      <c r="E8596" s="109"/>
      <c r="F8596" s="110"/>
      <c r="G8596" s="109"/>
    </row>
    <row r="8597" spans="3:7" x14ac:dyDescent="0.3">
      <c r="C8597" s="109"/>
      <c r="D8597" s="109"/>
      <c r="E8597" s="109"/>
      <c r="F8597" s="110"/>
      <c r="G8597" s="109"/>
    </row>
    <row r="8598" spans="3:7" x14ac:dyDescent="0.3">
      <c r="C8598" s="109"/>
      <c r="D8598" s="109"/>
      <c r="E8598" s="109"/>
      <c r="F8598" s="110"/>
      <c r="G8598" s="109"/>
    </row>
    <row r="8599" spans="3:7" x14ac:dyDescent="0.3">
      <c r="C8599" s="109"/>
      <c r="D8599" s="109"/>
      <c r="E8599" s="109"/>
      <c r="F8599" s="110"/>
      <c r="G8599" s="109"/>
    </row>
    <row r="8600" spans="3:7" x14ac:dyDescent="0.3">
      <c r="C8600" s="109"/>
      <c r="D8600" s="109"/>
      <c r="E8600" s="109"/>
      <c r="F8600" s="110"/>
      <c r="G8600" s="109"/>
    </row>
    <row r="8601" spans="3:7" x14ac:dyDescent="0.3">
      <c r="C8601" s="109"/>
      <c r="D8601" s="109"/>
      <c r="E8601" s="109"/>
      <c r="F8601" s="110"/>
      <c r="G8601" s="109"/>
    </row>
    <row r="8602" spans="3:7" x14ac:dyDescent="0.3">
      <c r="C8602" s="109"/>
      <c r="D8602" s="109"/>
      <c r="E8602" s="109"/>
      <c r="F8602" s="110"/>
      <c r="G8602" s="109"/>
    </row>
    <row r="8603" spans="3:7" x14ac:dyDescent="0.3">
      <c r="C8603" s="109"/>
      <c r="D8603" s="109"/>
      <c r="E8603" s="109"/>
      <c r="F8603" s="110"/>
      <c r="G8603" s="109"/>
    </row>
    <row r="8604" spans="3:7" x14ac:dyDescent="0.3">
      <c r="C8604" s="109"/>
      <c r="D8604" s="109"/>
      <c r="E8604" s="109"/>
      <c r="F8604" s="110"/>
      <c r="G8604" s="109"/>
    </row>
    <row r="8605" spans="3:7" x14ac:dyDescent="0.3">
      <c r="C8605" s="109"/>
      <c r="D8605" s="109"/>
      <c r="E8605" s="109"/>
      <c r="F8605" s="110"/>
      <c r="G8605" s="109"/>
    </row>
    <row r="8606" spans="3:7" x14ac:dyDescent="0.3">
      <c r="C8606" s="109"/>
      <c r="D8606" s="109"/>
      <c r="E8606" s="109"/>
      <c r="F8606" s="110"/>
      <c r="G8606" s="109"/>
    </row>
    <row r="8607" spans="3:7" x14ac:dyDescent="0.3">
      <c r="C8607" s="109"/>
      <c r="D8607" s="109"/>
      <c r="E8607" s="109"/>
      <c r="F8607" s="110"/>
      <c r="G8607" s="109"/>
    </row>
    <row r="8608" spans="3:7" x14ac:dyDescent="0.3">
      <c r="C8608" s="109"/>
      <c r="D8608" s="109"/>
      <c r="E8608" s="109"/>
      <c r="F8608" s="110"/>
      <c r="G8608" s="109"/>
    </row>
    <row r="8609" spans="3:7" x14ac:dyDescent="0.3">
      <c r="C8609" s="109"/>
      <c r="D8609" s="109"/>
      <c r="E8609" s="109"/>
      <c r="F8609" s="110"/>
      <c r="G8609" s="109"/>
    </row>
    <row r="8610" spans="3:7" x14ac:dyDescent="0.3">
      <c r="C8610" s="109"/>
      <c r="D8610" s="109"/>
      <c r="E8610" s="109"/>
      <c r="F8610" s="110"/>
      <c r="G8610" s="109"/>
    </row>
    <row r="8611" spans="3:7" x14ac:dyDescent="0.3">
      <c r="C8611" s="109"/>
      <c r="D8611" s="109"/>
      <c r="E8611" s="109"/>
      <c r="F8611" s="110"/>
      <c r="G8611" s="109"/>
    </row>
    <row r="8612" spans="3:7" x14ac:dyDescent="0.3">
      <c r="C8612" s="109"/>
      <c r="D8612" s="109"/>
      <c r="E8612" s="109"/>
      <c r="F8612" s="110"/>
      <c r="G8612" s="109"/>
    </row>
    <row r="8613" spans="3:7" x14ac:dyDescent="0.3">
      <c r="C8613" s="109"/>
      <c r="D8613" s="109"/>
      <c r="E8613" s="109"/>
      <c r="F8613" s="110"/>
      <c r="G8613" s="109"/>
    </row>
    <row r="8614" spans="3:7" x14ac:dyDescent="0.3">
      <c r="C8614" s="109"/>
      <c r="D8614" s="109"/>
      <c r="E8614" s="109"/>
      <c r="F8614" s="110"/>
      <c r="G8614" s="109"/>
    </row>
    <row r="8615" spans="3:7" x14ac:dyDescent="0.3">
      <c r="C8615" s="109"/>
      <c r="D8615" s="109"/>
      <c r="E8615" s="109"/>
      <c r="F8615" s="110"/>
      <c r="G8615" s="109"/>
    </row>
    <row r="8616" spans="3:7" x14ac:dyDescent="0.3">
      <c r="C8616" s="109"/>
      <c r="D8616" s="109"/>
      <c r="E8616" s="109"/>
      <c r="F8616" s="110"/>
      <c r="G8616" s="109"/>
    </row>
    <row r="8617" spans="3:7" x14ac:dyDescent="0.3">
      <c r="C8617" s="109"/>
      <c r="D8617" s="109"/>
      <c r="E8617" s="109"/>
      <c r="F8617" s="110"/>
      <c r="G8617" s="109"/>
    </row>
    <row r="8618" spans="3:7" x14ac:dyDescent="0.3">
      <c r="C8618" s="109"/>
      <c r="D8618" s="109"/>
      <c r="E8618" s="109"/>
      <c r="F8618" s="110"/>
      <c r="G8618" s="109"/>
    </row>
    <row r="8619" spans="3:7" x14ac:dyDescent="0.3">
      <c r="C8619" s="109"/>
      <c r="D8619" s="109"/>
      <c r="E8619" s="109"/>
      <c r="F8619" s="110"/>
      <c r="G8619" s="109"/>
    </row>
    <row r="8620" spans="3:7" x14ac:dyDescent="0.3">
      <c r="C8620" s="109"/>
      <c r="D8620" s="109"/>
      <c r="E8620" s="109"/>
      <c r="F8620" s="110"/>
      <c r="G8620" s="109"/>
    </row>
    <row r="8621" spans="3:7" x14ac:dyDescent="0.3">
      <c r="C8621" s="109"/>
      <c r="D8621" s="109"/>
      <c r="E8621" s="109"/>
      <c r="F8621" s="110"/>
      <c r="G8621" s="109"/>
    </row>
    <row r="8622" spans="3:7" x14ac:dyDescent="0.3">
      <c r="C8622" s="109"/>
      <c r="D8622" s="109"/>
      <c r="E8622" s="109"/>
      <c r="F8622" s="110"/>
      <c r="G8622" s="109"/>
    </row>
    <row r="8623" spans="3:7" x14ac:dyDescent="0.3">
      <c r="C8623" s="109"/>
      <c r="D8623" s="109"/>
      <c r="E8623" s="109"/>
      <c r="F8623" s="110"/>
      <c r="G8623" s="109"/>
    </row>
    <row r="8624" spans="3:7" x14ac:dyDescent="0.3">
      <c r="C8624" s="109"/>
      <c r="D8624" s="109"/>
      <c r="E8624" s="109"/>
      <c r="F8624" s="110"/>
      <c r="G8624" s="109"/>
    </row>
    <row r="8625" spans="3:7" x14ac:dyDescent="0.3">
      <c r="C8625" s="109"/>
      <c r="D8625" s="109"/>
      <c r="E8625" s="109"/>
      <c r="F8625" s="110"/>
      <c r="G8625" s="109"/>
    </row>
    <row r="8626" spans="3:7" x14ac:dyDescent="0.3">
      <c r="C8626" s="109"/>
      <c r="D8626" s="109"/>
      <c r="E8626" s="109"/>
      <c r="F8626" s="110"/>
      <c r="G8626" s="109"/>
    </row>
    <row r="8627" spans="3:7" x14ac:dyDescent="0.3">
      <c r="C8627" s="109"/>
      <c r="D8627" s="109"/>
      <c r="E8627" s="109"/>
      <c r="F8627" s="110"/>
      <c r="G8627" s="109"/>
    </row>
    <row r="8628" spans="3:7" x14ac:dyDescent="0.3">
      <c r="C8628" s="109"/>
      <c r="D8628" s="109"/>
      <c r="E8628" s="109"/>
      <c r="F8628" s="110"/>
      <c r="G8628" s="109"/>
    </row>
    <row r="8629" spans="3:7" x14ac:dyDescent="0.3">
      <c r="C8629" s="109"/>
      <c r="D8629" s="109"/>
      <c r="E8629" s="109"/>
      <c r="F8629" s="110"/>
      <c r="G8629" s="109"/>
    </row>
    <row r="8630" spans="3:7" x14ac:dyDescent="0.3">
      <c r="C8630" s="109"/>
      <c r="D8630" s="109"/>
      <c r="E8630" s="109"/>
      <c r="F8630" s="110"/>
      <c r="G8630" s="109"/>
    </row>
    <row r="8631" spans="3:7" x14ac:dyDescent="0.3">
      <c r="C8631" s="109"/>
      <c r="D8631" s="109"/>
      <c r="E8631" s="109"/>
      <c r="F8631" s="110"/>
      <c r="G8631" s="109"/>
    </row>
    <row r="8632" spans="3:7" x14ac:dyDescent="0.3">
      <c r="C8632" s="109"/>
      <c r="D8632" s="109"/>
      <c r="E8632" s="109"/>
      <c r="F8632" s="110"/>
      <c r="G8632" s="109"/>
    </row>
    <row r="8633" spans="3:7" x14ac:dyDescent="0.3">
      <c r="C8633" s="109"/>
      <c r="D8633" s="109"/>
      <c r="E8633" s="109"/>
      <c r="F8633" s="110"/>
      <c r="G8633" s="109"/>
    </row>
    <row r="8634" spans="3:7" x14ac:dyDescent="0.3">
      <c r="C8634" s="109"/>
      <c r="D8634" s="109"/>
      <c r="E8634" s="109"/>
      <c r="F8634" s="110"/>
      <c r="G8634" s="109"/>
    </row>
    <row r="8635" spans="3:7" x14ac:dyDescent="0.3">
      <c r="C8635" s="109"/>
      <c r="D8635" s="109"/>
      <c r="E8635" s="109"/>
      <c r="F8635" s="110"/>
      <c r="G8635" s="109"/>
    </row>
    <row r="8636" spans="3:7" x14ac:dyDescent="0.3">
      <c r="C8636" s="109"/>
      <c r="D8636" s="109"/>
      <c r="E8636" s="109"/>
      <c r="F8636" s="110"/>
      <c r="G8636" s="109"/>
    </row>
    <row r="8637" spans="3:7" x14ac:dyDescent="0.3">
      <c r="C8637" s="109"/>
      <c r="D8637" s="109"/>
      <c r="E8637" s="109"/>
      <c r="F8637" s="110"/>
      <c r="G8637" s="109"/>
    </row>
    <row r="8638" spans="3:7" x14ac:dyDescent="0.3">
      <c r="C8638" s="109"/>
      <c r="D8638" s="109"/>
      <c r="E8638" s="109"/>
      <c r="F8638" s="110"/>
      <c r="G8638" s="109"/>
    </row>
    <row r="8639" spans="3:7" x14ac:dyDescent="0.3">
      <c r="C8639" s="109"/>
      <c r="D8639" s="109"/>
      <c r="E8639" s="109"/>
      <c r="F8639" s="110"/>
      <c r="G8639" s="109"/>
    </row>
    <row r="8640" spans="3:7" x14ac:dyDescent="0.3">
      <c r="C8640" s="109"/>
      <c r="D8640" s="109"/>
      <c r="E8640" s="109"/>
      <c r="F8640" s="110"/>
      <c r="G8640" s="109"/>
    </row>
    <row r="8641" spans="3:7" x14ac:dyDescent="0.3">
      <c r="C8641" s="109"/>
      <c r="D8641" s="109"/>
      <c r="E8641" s="109"/>
      <c r="F8641" s="110"/>
      <c r="G8641" s="109"/>
    </row>
    <row r="8642" spans="3:7" x14ac:dyDescent="0.3">
      <c r="C8642" s="109"/>
      <c r="D8642" s="109"/>
      <c r="E8642" s="109"/>
      <c r="F8642" s="110"/>
      <c r="G8642" s="109"/>
    </row>
    <row r="8643" spans="3:7" x14ac:dyDescent="0.3">
      <c r="C8643" s="109"/>
      <c r="D8643" s="109"/>
      <c r="E8643" s="109"/>
      <c r="F8643" s="110"/>
      <c r="G8643" s="109"/>
    </row>
    <row r="8644" spans="3:7" x14ac:dyDescent="0.3">
      <c r="C8644" s="109"/>
      <c r="D8644" s="109"/>
      <c r="E8644" s="109"/>
      <c r="F8644" s="110"/>
      <c r="G8644" s="109"/>
    </row>
    <row r="8645" spans="3:7" x14ac:dyDescent="0.3">
      <c r="C8645" s="109"/>
      <c r="D8645" s="109"/>
      <c r="E8645" s="109"/>
      <c r="F8645" s="110"/>
      <c r="G8645" s="109"/>
    </row>
    <row r="8646" spans="3:7" x14ac:dyDescent="0.3">
      <c r="C8646" s="109"/>
      <c r="D8646" s="109"/>
      <c r="E8646" s="109"/>
      <c r="F8646" s="110"/>
      <c r="G8646" s="109"/>
    </row>
    <row r="8647" spans="3:7" x14ac:dyDescent="0.3">
      <c r="C8647" s="109"/>
      <c r="D8647" s="109"/>
      <c r="E8647" s="109"/>
      <c r="F8647" s="110"/>
      <c r="G8647" s="109"/>
    </row>
    <row r="8648" spans="3:7" x14ac:dyDescent="0.3">
      <c r="C8648" s="109"/>
      <c r="D8648" s="109"/>
      <c r="E8648" s="109"/>
      <c r="F8648" s="110"/>
      <c r="G8648" s="109"/>
    </row>
    <row r="8649" spans="3:7" x14ac:dyDescent="0.3">
      <c r="C8649" s="109"/>
      <c r="D8649" s="109"/>
      <c r="E8649" s="109"/>
      <c r="F8649" s="110"/>
      <c r="G8649" s="109"/>
    </row>
    <row r="8650" spans="3:7" x14ac:dyDescent="0.3">
      <c r="C8650" s="109"/>
      <c r="D8650" s="109"/>
      <c r="E8650" s="109"/>
      <c r="F8650" s="110"/>
      <c r="G8650" s="109"/>
    </row>
    <row r="8651" spans="3:7" x14ac:dyDescent="0.3">
      <c r="C8651" s="109"/>
      <c r="D8651" s="109"/>
      <c r="E8651" s="109"/>
      <c r="F8651" s="110"/>
      <c r="G8651" s="109"/>
    </row>
    <row r="8652" spans="3:7" x14ac:dyDescent="0.3">
      <c r="C8652" s="109"/>
      <c r="D8652" s="109"/>
      <c r="E8652" s="109"/>
      <c r="F8652" s="110"/>
      <c r="G8652" s="109"/>
    </row>
    <row r="8653" spans="3:7" x14ac:dyDescent="0.3">
      <c r="C8653" s="109"/>
      <c r="D8653" s="109"/>
      <c r="E8653" s="109"/>
      <c r="F8653" s="110"/>
      <c r="G8653" s="109"/>
    </row>
    <row r="8654" spans="3:7" x14ac:dyDescent="0.3">
      <c r="C8654" s="109"/>
      <c r="D8654" s="109"/>
      <c r="E8654" s="109"/>
      <c r="F8654" s="110"/>
      <c r="G8654" s="109"/>
    </row>
    <row r="8655" spans="3:7" x14ac:dyDescent="0.3">
      <c r="C8655" s="109"/>
      <c r="D8655" s="109"/>
      <c r="E8655" s="109"/>
      <c r="F8655" s="110"/>
      <c r="G8655" s="109"/>
    </row>
    <row r="8656" spans="3:7" x14ac:dyDescent="0.3">
      <c r="C8656" s="109"/>
      <c r="D8656" s="109"/>
      <c r="E8656" s="109"/>
      <c r="F8656" s="110"/>
      <c r="G8656" s="109"/>
    </row>
    <row r="8657" spans="3:7" x14ac:dyDescent="0.3">
      <c r="C8657" s="109"/>
      <c r="D8657" s="109"/>
      <c r="E8657" s="109"/>
      <c r="F8657" s="110"/>
      <c r="G8657" s="109"/>
    </row>
    <row r="8658" spans="3:7" x14ac:dyDescent="0.3">
      <c r="C8658" s="109"/>
      <c r="D8658" s="109"/>
      <c r="E8658" s="109"/>
      <c r="F8658" s="110"/>
      <c r="G8658" s="109"/>
    </row>
    <row r="8659" spans="3:7" x14ac:dyDescent="0.3">
      <c r="C8659" s="109"/>
      <c r="D8659" s="109"/>
      <c r="E8659" s="109"/>
      <c r="F8659" s="110"/>
      <c r="G8659" s="109"/>
    </row>
    <row r="8660" spans="3:7" x14ac:dyDescent="0.3">
      <c r="C8660" s="109"/>
      <c r="D8660" s="109"/>
      <c r="E8660" s="109"/>
      <c r="F8660" s="110"/>
      <c r="G8660" s="109"/>
    </row>
    <row r="8661" spans="3:7" x14ac:dyDescent="0.3">
      <c r="C8661" s="109"/>
      <c r="D8661" s="109"/>
      <c r="E8661" s="109"/>
      <c r="F8661" s="110"/>
      <c r="G8661" s="109"/>
    </row>
    <row r="8662" spans="3:7" x14ac:dyDescent="0.3">
      <c r="C8662" s="109"/>
      <c r="D8662" s="109"/>
      <c r="E8662" s="109"/>
      <c r="F8662" s="110"/>
      <c r="G8662" s="109"/>
    </row>
    <row r="8663" spans="3:7" x14ac:dyDescent="0.3">
      <c r="C8663" s="109"/>
      <c r="D8663" s="109"/>
      <c r="E8663" s="109"/>
      <c r="F8663" s="110"/>
      <c r="G8663" s="109"/>
    </row>
    <row r="8664" spans="3:7" x14ac:dyDescent="0.3">
      <c r="C8664" s="109"/>
      <c r="D8664" s="109"/>
      <c r="E8664" s="109"/>
      <c r="F8664" s="110"/>
      <c r="G8664" s="109"/>
    </row>
    <row r="8665" spans="3:7" x14ac:dyDescent="0.3">
      <c r="C8665" s="109"/>
      <c r="D8665" s="109"/>
      <c r="E8665" s="109"/>
      <c r="F8665" s="110"/>
      <c r="G8665" s="109"/>
    </row>
    <row r="8666" spans="3:7" x14ac:dyDescent="0.3">
      <c r="C8666" s="109"/>
      <c r="D8666" s="109"/>
      <c r="E8666" s="109"/>
      <c r="F8666" s="110"/>
      <c r="G8666" s="109"/>
    </row>
    <row r="8667" spans="3:7" x14ac:dyDescent="0.3">
      <c r="C8667" s="109"/>
      <c r="D8667" s="109"/>
      <c r="E8667" s="109"/>
      <c r="F8667" s="110"/>
      <c r="G8667" s="109"/>
    </row>
    <row r="8668" spans="3:7" x14ac:dyDescent="0.3">
      <c r="C8668" s="109"/>
      <c r="D8668" s="109"/>
      <c r="E8668" s="109"/>
      <c r="F8668" s="110"/>
      <c r="G8668" s="109"/>
    </row>
    <row r="8669" spans="3:7" x14ac:dyDescent="0.3">
      <c r="C8669" s="109"/>
      <c r="D8669" s="109"/>
      <c r="E8669" s="109"/>
      <c r="F8669" s="110"/>
      <c r="G8669" s="109"/>
    </row>
    <row r="8670" spans="3:7" x14ac:dyDescent="0.3">
      <c r="C8670" s="109"/>
      <c r="D8670" s="109"/>
      <c r="E8670" s="109"/>
      <c r="F8670" s="110"/>
      <c r="G8670" s="109"/>
    </row>
    <row r="8671" spans="3:7" x14ac:dyDescent="0.3">
      <c r="C8671" s="109"/>
      <c r="D8671" s="109"/>
      <c r="E8671" s="109"/>
      <c r="F8671" s="110"/>
      <c r="G8671" s="109"/>
    </row>
    <row r="8672" spans="3:7" x14ac:dyDescent="0.3">
      <c r="C8672" s="109"/>
      <c r="D8672" s="109"/>
      <c r="E8672" s="109"/>
      <c r="F8672" s="110"/>
      <c r="G8672" s="109"/>
    </row>
    <row r="8673" spans="3:7" x14ac:dyDescent="0.3">
      <c r="C8673" s="109"/>
      <c r="D8673" s="109"/>
      <c r="E8673" s="109"/>
      <c r="F8673" s="110"/>
      <c r="G8673" s="109"/>
    </row>
    <row r="8674" spans="3:7" x14ac:dyDescent="0.3">
      <c r="C8674" s="109"/>
      <c r="D8674" s="109"/>
      <c r="E8674" s="109"/>
      <c r="F8674" s="110"/>
      <c r="G8674" s="109"/>
    </row>
    <row r="8675" spans="3:7" x14ac:dyDescent="0.3">
      <c r="C8675" s="109"/>
      <c r="D8675" s="109"/>
      <c r="E8675" s="109"/>
      <c r="F8675" s="110"/>
      <c r="G8675" s="109"/>
    </row>
    <row r="8676" spans="3:7" x14ac:dyDescent="0.3">
      <c r="C8676" s="109"/>
      <c r="D8676" s="109"/>
      <c r="E8676" s="109"/>
      <c r="F8676" s="110"/>
      <c r="G8676" s="109"/>
    </row>
    <row r="8677" spans="3:7" x14ac:dyDescent="0.3">
      <c r="C8677" s="109"/>
      <c r="D8677" s="109"/>
      <c r="E8677" s="109"/>
      <c r="F8677" s="110"/>
      <c r="G8677" s="109"/>
    </row>
    <row r="8678" spans="3:7" x14ac:dyDescent="0.3">
      <c r="C8678" s="109"/>
      <c r="D8678" s="109"/>
      <c r="E8678" s="109"/>
      <c r="F8678" s="110"/>
      <c r="G8678" s="109"/>
    </row>
    <row r="8679" spans="3:7" x14ac:dyDescent="0.3">
      <c r="C8679" s="109"/>
      <c r="D8679" s="109"/>
      <c r="E8679" s="109"/>
      <c r="F8679" s="110"/>
      <c r="G8679" s="109"/>
    </row>
    <row r="8680" spans="3:7" x14ac:dyDescent="0.3">
      <c r="C8680" s="109"/>
      <c r="D8680" s="109"/>
      <c r="E8680" s="109"/>
      <c r="F8680" s="110"/>
      <c r="G8680" s="109"/>
    </row>
    <row r="8681" spans="3:7" x14ac:dyDescent="0.3">
      <c r="C8681" s="109"/>
      <c r="D8681" s="109"/>
      <c r="E8681" s="109"/>
      <c r="F8681" s="110"/>
      <c r="G8681" s="109"/>
    </row>
    <row r="8682" spans="3:7" x14ac:dyDescent="0.3">
      <c r="C8682" s="109"/>
      <c r="D8682" s="109"/>
      <c r="E8682" s="109"/>
      <c r="F8682" s="110"/>
      <c r="G8682" s="109"/>
    </row>
    <row r="8683" spans="3:7" x14ac:dyDescent="0.3">
      <c r="C8683" s="109"/>
      <c r="D8683" s="109"/>
      <c r="E8683" s="109"/>
      <c r="F8683" s="110"/>
      <c r="G8683" s="109"/>
    </row>
    <row r="8684" spans="3:7" x14ac:dyDescent="0.3">
      <c r="C8684" s="109"/>
      <c r="D8684" s="109"/>
      <c r="E8684" s="109"/>
      <c r="F8684" s="110"/>
      <c r="G8684" s="109"/>
    </row>
    <row r="8685" spans="3:7" x14ac:dyDescent="0.3">
      <c r="C8685" s="109"/>
      <c r="D8685" s="109"/>
      <c r="E8685" s="109"/>
      <c r="F8685" s="110"/>
      <c r="G8685" s="109"/>
    </row>
    <row r="8686" spans="3:7" x14ac:dyDescent="0.3">
      <c r="C8686" s="109"/>
      <c r="D8686" s="109"/>
      <c r="E8686" s="109"/>
      <c r="F8686" s="110"/>
      <c r="G8686" s="109"/>
    </row>
    <row r="8687" spans="3:7" x14ac:dyDescent="0.3">
      <c r="C8687" s="109"/>
      <c r="D8687" s="109"/>
      <c r="E8687" s="109"/>
      <c r="F8687" s="110"/>
      <c r="G8687" s="109"/>
    </row>
    <row r="8688" spans="3:7" x14ac:dyDescent="0.3">
      <c r="C8688" s="109"/>
      <c r="D8688" s="109"/>
      <c r="E8688" s="109"/>
      <c r="F8688" s="110"/>
      <c r="G8688" s="109"/>
    </row>
    <row r="8689" spans="3:7" x14ac:dyDescent="0.3">
      <c r="C8689" s="109"/>
      <c r="D8689" s="109"/>
      <c r="E8689" s="109"/>
      <c r="F8689" s="110"/>
      <c r="G8689" s="109"/>
    </row>
    <row r="8690" spans="3:7" x14ac:dyDescent="0.3">
      <c r="C8690" s="109"/>
      <c r="D8690" s="109"/>
      <c r="E8690" s="109"/>
      <c r="F8690" s="110"/>
      <c r="G8690" s="109"/>
    </row>
    <row r="8691" spans="3:7" x14ac:dyDescent="0.3">
      <c r="C8691" s="109"/>
      <c r="D8691" s="109"/>
      <c r="E8691" s="109"/>
      <c r="F8691" s="110"/>
      <c r="G8691" s="109"/>
    </row>
    <row r="8692" spans="3:7" x14ac:dyDescent="0.3">
      <c r="C8692" s="109"/>
      <c r="D8692" s="109"/>
      <c r="E8692" s="109"/>
      <c r="F8692" s="110"/>
      <c r="G8692" s="109"/>
    </row>
    <row r="8693" spans="3:7" x14ac:dyDescent="0.3">
      <c r="C8693" s="109"/>
      <c r="D8693" s="109"/>
      <c r="E8693" s="109"/>
      <c r="F8693" s="110"/>
      <c r="G8693" s="109"/>
    </row>
    <row r="8694" spans="3:7" x14ac:dyDescent="0.3">
      <c r="C8694" s="109"/>
      <c r="D8694" s="109"/>
      <c r="E8694" s="109"/>
      <c r="F8694" s="110"/>
      <c r="G8694" s="109"/>
    </row>
    <row r="8695" spans="3:7" x14ac:dyDescent="0.3">
      <c r="C8695" s="109"/>
      <c r="D8695" s="109"/>
      <c r="E8695" s="109"/>
      <c r="F8695" s="110"/>
      <c r="G8695" s="109"/>
    </row>
    <row r="8696" spans="3:7" x14ac:dyDescent="0.3">
      <c r="C8696" s="109"/>
      <c r="D8696" s="109"/>
      <c r="E8696" s="109"/>
      <c r="F8696" s="110"/>
      <c r="G8696" s="109"/>
    </row>
    <row r="8697" spans="3:7" x14ac:dyDescent="0.3">
      <c r="C8697" s="109"/>
      <c r="D8697" s="109"/>
      <c r="E8697" s="109"/>
      <c r="F8697" s="110"/>
      <c r="G8697" s="109"/>
    </row>
    <row r="8698" spans="3:7" x14ac:dyDescent="0.3">
      <c r="C8698" s="109"/>
      <c r="D8698" s="109"/>
      <c r="E8698" s="109"/>
      <c r="F8698" s="110"/>
      <c r="G8698" s="109"/>
    </row>
    <row r="8699" spans="3:7" x14ac:dyDescent="0.3">
      <c r="C8699" s="109"/>
      <c r="D8699" s="109"/>
      <c r="E8699" s="109"/>
      <c r="F8699" s="110"/>
      <c r="G8699" s="109"/>
    </row>
    <row r="8700" spans="3:7" x14ac:dyDescent="0.3">
      <c r="C8700" s="109"/>
      <c r="D8700" s="109"/>
      <c r="E8700" s="109"/>
      <c r="F8700" s="110"/>
      <c r="G8700" s="109"/>
    </row>
    <row r="8701" spans="3:7" x14ac:dyDescent="0.3">
      <c r="C8701" s="109"/>
      <c r="D8701" s="109"/>
      <c r="E8701" s="109"/>
      <c r="F8701" s="110"/>
      <c r="G8701" s="109"/>
    </row>
    <row r="8702" spans="3:7" x14ac:dyDescent="0.3">
      <c r="C8702" s="109"/>
      <c r="D8702" s="109"/>
      <c r="E8702" s="109"/>
      <c r="F8702" s="110"/>
      <c r="G8702" s="109"/>
    </row>
    <row r="8703" spans="3:7" x14ac:dyDescent="0.3">
      <c r="C8703" s="109"/>
      <c r="D8703" s="109"/>
      <c r="E8703" s="109"/>
      <c r="F8703" s="110"/>
      <c r="G8703" s="109"/>
    </row>
    <row r="8704" spans="3:7" x14ac:dyDescent="0.3">
      <c r="C8704" s="109"/>
      <c r="D8704" s="109"/>
      <c r="E8704" s="109"/>
      <c r="F8704" s="110"/>
      <c r="G8704" s="109"/>
    </row>
    <row r="8705" spans="3:7" x14ac:dyDescent="0.3">
      <c r="C8705" s="109"/>
      <c r="D8705" s="109"/>
      <c r="E8705" s="109"/>
      <c r="F8705" s="110"/>
      <c r="G8705" s="109"/>
    </row>
    <row r="8706" spans="3:7" x14ac:dyDescent="0.3">
      <c r="C8706" s="109"/>
      <c r="D8706" s="109"/>
      <c r="E8706" s="109"/>
      <c r="F8706" s="110"/>
      <c r="G8706" s="109"/>
    </row>
    <row r="8707" spans="3:7" x14ac:dyDescent="0.3">
      <c r="C8707" s="109"/>
      <c r="D8707" s="109"/>
      <c r="E8707" s="109"/>
      <c r="F8707" s="110"/>
      <c r="G8707" s="109"/>
    </row>
    <row r="8708" spans="3:7" x14ac:dyDescent="0.3">
      <c r="C8708" s="109"/>
      <c r="D8708" s="109"/>
      <c r="E8708" s="109"/>
      <c r="F8708" s="110"/>
      <c r="G8708" s="109"/>
    </row>
    <row r="8709" spans="3:7" x14ac:dyDescent="0.3">
      <c r="C8709" s="109"/>
      <c r="D8709" s="109"/>
      <c r="E8709" s="109"/>
      <c r="F8709" s="110"/>
      <c r="G8709" s="109"/>
    </row>
    <row r="8710" spans="3:7" x14ac:dyDescent="0.3">
      <c r="C8710" s="109"/>
      <c r="D8710" s="109"/>
      <c r="E8710" s="109"/>
      <c r="F8710" s="110"/>
      <c r="G8710" s="109"/>
    </row>
    <row r="8711" spans="3:7" x14ac:dyDescent="0.3">
      <c r="C8711" s="109"/>
      <c r="D8711" s="109"/>
      <c r="E8711" s="109"/>
      <c r="F8711" s="110"/>
      <c r="G8711" s="109"/>
    </row>
    <row r="8712" spans="3:7" x14ac:dyDescent="0.3">
      <c r="C8712" s="109"/>
      <c r="D8712" s="109"/>
      <c r="E8712" s="109"/>
      <c r="F8712" s="110"/>
      <c r="G8712" s="109"/>
    </row>
    <row r="8713" spans="3:7" x14ac:dyDescent="0.3">
      <c r="C8713" s="109"/>
      <c r="D8713" s="109"/>
      <c r="E8713" s="109"/>
      <c r="F8713" s="110"/>
      <c r="G8713" s="109"/>
    </row>
    <row r="8714" spans="3:7" x14ac:dyDescent="0.3">
      <c r="C8714" s="109"/>
      <c r="D8714" s="109"/>
      <c r="E8714" s="109"/>
      <c r="F8714" s="110"/>
      <c r="G8714" s="109"/>
    </row>
    <row r="8715" spans="3:7" x14ac:dyDescent="0.3">
      <c r="C8715" s="109"/>
      <c r="D8715" s="109"/>
      <c r="E8715" s="109"/>
      <c r="F8715" s="110"/>
      <c r="G8715" s="109"/>
    </row>
    <row r="8716" spans="3:7" x14ac:dyDescent="0.3">
      <c r="C8716" s="109"/>
      <c r="D8716" s="109"/>
      <c r="E8716" s="109"/>
      <c r="F8716" s="110"/>
      <c r="G8716" s="109"/>
    </row>
    <row r="8717" spans="3:7" x14ac:dyDescent="0.3">
      <c r="C8717" s="109"/>
      <c r="D8717" s="109"/>
      <c r="E8717" s="109"/>
      <c r="F8717" s="110"/>
      <c r="G8717" s="109"/>
    </row>
    <row r="8718" spans="3:7" x14ac:dyDescent="0.3">
      <c r="C8718" s="109"/>
      <c r="D8718" s="109"/>
      <c r="E8718" s="109"/>
      <c r="F8718" s="110"/>
      <c r="G8718" s="109"/>
    </row>
    <row r="8719" spans="3:7" x14ac:dyDescent="0.3">
      <c r="C8719" s="109"/>
      <c r="D8719" s="109"/>
      <c r="E8719" s="109"/>
      <c r="F8719" s="110"/>
      <c r="G8719" s="109"/>
    </row>
    <row r="8720" spans="3:7" x14ac:dyDescent="0.3">
      <c r="C8720" s="109"/>
      <c r="D8720" s="109"/>
      <c r="E8720" s="109"/>
      <c r="F8720" s="110"/>
      <c r="G8720" s="109"/>
    </row>
    <row r="8721" spans="3:7" x14ac:dyDescent="0.3">
      <c r="C8721" s="109"/>
      <c r="D8721" s="109"/>
      <c r="E8721" s="109"/>
      <c r="F8721" s="110"/>
      <c r="G8721" s="109"/>
    </row>
    <row r="8722" spans="3:7" x14ac:dyDescent="0.3">
      <c r="C8722" s="109"/>
      <c r="D8722" s="109"/>
      <c r="E8722" s="109"/>
      <c r="F8722" s="110"/>
      <c r="G8722" s="109"/>
    </row>
    <row r="8723" spans="3:7" x14ac:dyDescent="0.3">
      <c r="C8723" s="109"/>
      <c r="D8723" s="109"/>
      <c r="E8723" s="109"/>
      <c r="F8723" s="110"/>
      <c r="G8723" s="109"/>
    </row>
    <row r="8724" spans="3:7" x14ac:dyDescent="0.3">
      <c r="C8724" s="109"/>
      <c r="D8724" s="109"/>
      <c r="E8724" s="109"/>
      <c r="F8724" s="110"/>
      <c r="G8724" s="109"/>
    </row>
    <row r="8725" spans="3:7" x14ac:dyDescent="0.3">
      <c r="C8725" s="109"/>
      <c r="D8725" s="109"/>
      <c r="E8725" s="109"/>
      <c r="F8725" s="110"/>
      <c r="G8725" s="109"/>
    </row>
    <row r="8726" spans="3:7" x14ac:dyDescent="0.3">
      <c r="C8726" s="109"/>
      <c r="D8726" s="109"/>
      <c r="E8726" s="109"/>
      <c r="F8726" s="110"/>
      <c r="G8726" s="109"/>
    </row>
    <row r="8727" spans="3:7" x14ac:dyDescent="0.3">
      <c r="C8727" s="109"/>
      <c r="D8727" s="109"/>
      <c r="E8727" s="109"/>
      <c r="F8727" s="110"/>
      <c r="G8727" s="109"/>
    </row>
    <row r="8728" spans="3:7" x14ac:dyDescent="0.3">
      <c r="C8728" s="109"/>
      <c r="D8728" s="109"/>
      <c r="E8728" s="109"/>
      <c r="F8728" s="110"/>
      <c r="G8728" s="109"/>
    </row>
    <row r="8729" spans="3:7" x14ac:dyDescent="0.3">
      <c r="C8729" s="109"/>
      <c r="D8729" s="109"/>
      <c r="E8729" s="109"/>
      <c r="F8729" s="110"/>
      <c r="G8729" s="109"/>
    </row>
    <row r="8730" spans="3:7" x14ac:dyDescent="0.3">
      <c r="C8730" s="109"/>
      <c r="D8730" s="109"/>
      <c r="E8730" s="109"/>
      <c r="F8730" s="110"/>
      <c r="G8730" s="109"/>
    </row>
    <row r="8731" spans="3:7" x14ac:dyDescent="0.3">
      <c r="C8731" s="109"/>
      <c r="D8731" s="109"/>
      <c r="E8731" s="109"/>
      <c r="F8731" s="110"/>
      <c r="G8731" s="109"/>
    </row>
    <row r="8732" spans="3:7" x14ac:dyDescent="0.3">
      <c r="C8732" s="109"/>
      <c r="D8732" s="109"/>
      <c r="E8732" s="109"/>
      <c r="F8732" s="110"/>
      <c r="G8732" s="109"/>
    </row>
    <row r="8733" spans="3:7" x14ac:dyDescent="0.3">
      <c r="C8733" s="109"/>
      <c r="D8733" s="109"/>
      <c r="E8733" s="109"/>
      <c r="F8733" s="110"/>
      <c r="G8733" s="109"/>
    </row>
    <row r="8734" spans="3:7" x14ac:dyDescent="0.3">
      <c r="C8734" s="109"/>
      <c r="D8734" s="109"/>
      <c r="E8734" s="109"/>
      <c r="F8734" s="110"/>
      <c r="G8734" s="109"/>
    </row>
    <row r="8735" spans="3:7" x14ac:dyDescent="0.3">
      <c r="C8735" s="109"/>
      <c r="D8735" s="109"/>
      <c r="E8735" s="109"/>
      <c r="F8735" s="110"/>
      <c r="G8735" s="109"/>
    </row>
    <row r="8736" spans="3:7" x14ac:dyDescent="0.3">
      <c r="C8736" s="109"/>
      <c r="D8736" s="109"/>
      <c r="E8736" s="109"/>
      <c r="F8736" s="110"/>
      <c r="G8736" s="109"/>
    </row>
    <row r="8737" spans="3:7" x14ac:dyDescent="0.3">
      <c r="C8737" s="109"/>
      <c r="D8737" s="109"/>
      <c r="E8737" s="109"/>
      <c r="F8737" s="110"/>
      <c r="G8737" s="109"/>
    </row>
    <row r="8738" spans="3:7" x14ac:dyDescent="0.3">
      <c r="C8738" s="109"/>
      <c r="D8738" s="109"/>
      <c r="E8738" s="109"/>
      <c r="F8738" s="110"/>
      <c r="G8738" s="109"/>
    </row>
    <row r="8739" spans="3:7" x14ac:dyDescent="0.3">
      <c r="C8739" s="109"/>
      <c r="D8739" s="109"/>
      <c r="E8739" s="109"/>
      <c r="F8739" s="110"/>
      <c r="G8739" s="109"/>
    </row>
    <row r="8740" spans="3:7" x14ac:dyDescent="0.3">
      <c r="C8740" s="109"/>
      <c r="D8740" s="109"/>
      <c r="E8740" s="109"/>
      <c r="F8740" s="110"/>
      <c r="G8740" s="109"/>
    </row>
    <row r="8741" spans="3:7" x14ac:dyDescent="0.3">
      <c r="C8741" s="109"/>
      <c r="D8741" s="109"/>
      <c r="E8741" s="109"/>
      <c r="F8741" s="110"/>
      <c r="G8741" s="109"/>
    </row>
    <row r="8742" spans="3:7" x14ac:dyDescent="0.3">
      <c r="C8742" s="109"/>
      <c r="D8742" s="109"/>
      <c r="E8742" s="109"/>
      <c r="F8742" s="110"/>
      <c r="G8742" s="109"/>
    </row>
    <row r="8743" spans="3:7" x14ac:dyDescent="0.3">
      <c r="C8743" s="109"/>
      <c r="D8743" s="109"/>
      <c r="E8743" s="109"/>
      <c r="F8743" s="110"/>
      <c r="G8743" s="109"/>
    </row>
    <row r="8744" spans="3:7" x14ac:dyDescent="0.3">
      <c r="C8744" s="109"/>
      <c r="D8744" s="109"/>
      <c r="E8744" s="109"/>
      <c r="F8744" s="110"/>
      <c r="G8744" s="109"/>
    </row>
    <row r="8745" spans="3:7" x14ac:dyDescent="0.3">
      <c r="C8745" s="109"/>
      <c r="D8745" s="109"/>
      <c r="E8745" s="109"/>
      <c r="F8745" s="110"/>
      <c r="G8745" s="109"/>
    </row>
    <row r="8746" spans="3:7" x14ac:dyDescent="0.3">
      <c r="C8746" s="109"/>
      <c r="D8746" s="109"/>
      <c r="E8746" s="109"/>
      <c r="F8746" s="110"/>
      <c r="G8746" s="109"/>
    </row>
    <row r="8747" spans="3:7" x14ac:dyDescent="0.3">
      <c r="C8747" s="109"/>
      <c r="D8747" s="109"/>
      <c r="E8747" s="109"/>
      <c r="F8747" s="110"/>
      <c r="G8747" s="109"/>
    </row>
    <row r="8748" spans="3:7" x14ac:dyDescent="0.3">
      <c r="C8748" s="109"/>
      <c r="D8748" s="109"/>
      <c r="E8748" s="109"/>
      <c r="F8748" s="110"/>
      <c r="G8748" s="109"/>
    </row>
    <row r="8749" spans="3:7" x14ac:dyDescent="0.3">
      <c r="C8749" s="109"/>
      <c r="D8749" s="109"/>
      <c r="E8749" s="109"/>
      <c r="F8749" s="110"/>
      <c r="G8749" s="109"/>
    </row>
    <row r="8750" spans="3:7" x14ac:dyDescent="0.3">
      <c r="C8750" s="109"/>
      <c r="D8750" s="109"/>
      <c r="E8750" s="109"/>
      <c r="F8750" s="110"/>
      <c r="G8750" s="109"/>
    </row>
    <row r="8751" spans="3:7" x14ac:dyDescent="0.3">
      <c r="C8751" s="109"/>
      <c r="D8751" s="109"/>
      <c r="E8751" s="109"/>
      <c r="F8751" s="110"/>
      <c r="G8751" s="109"/>
    </row>
    <row r="8752" spans="3:7" x14ac:dyDescent="0.3">
      <c r="C8752" s="109"/>
      <c r="D8752" s="109"/>
      <c r="E8752" s="109"/>
      <c r="F8752" s="110"/>
      <c r="G8752" s="109"/>
    </row>
    <row r="8753" spans="3:7" x14ac:dyDescent="0.3">
      <c r="C8753" s="109"/>
      <c r="D8753" s="109"/>
      <c r="E8753" s="109"/>
      <c r="F8753" s="110"/>
      <c r="G8753" s="109"/>
    </row>
    <row r="8754" spans="3:7" x14ac:dyDescent="0.3">
      <c r="C8754" s="109"/>
      <c r="D8754" s="109"/>
      <c r="E8754" s="109"/>
      <c r="F8754" s="110"/>
      <c r="G8754" s="109"/>
    </row>
    <row r="8755" spans="3:7" x14ac:dyDescent="0.3">
      <c r="C8755" s="109"/>
      <c r="D8755" s="109"/>
      <c r="E8755" s="109"/>
      <c r="F8755" s="110"/>
      <c r="G8755" s="109"/>
    </row>
    <row r="8756" spans="3:7" x14ac:dyDescent="0.3">
      <c r="C8756" s="109"/>
      <c r="D8756" s="109"/>
      <c r="E8756" s="109"/>
      <c r="F8756" s="110"/>
      <c r="G8756" s="109"/>
    </row>
    <row r="8757" spans="3:7" x14ac:dyDescent="0.3">
      <c r="C8757" s="109"/>
      <c r="D8757" s="109"/>
      <c r="E8757" s="109"/>
      <c r="F8757" s="110"/>
      <c r="G8757" s="109"/>
    </row>
    <row r="8758" spans="3:7" x14ac:dyDescent="0.3">
      <c r="C8758" s="109"/>
      <c r="D8758" s="109"/>
      <c r="E8758" s="109"/>
      <c r="F8758" s="110"/>
      <c r="G8758" s="109"/>
    </row>
    <row r="8759" spans="3:7" x14ac:dyDescent="0.3">
      <c r="C8759" s="109"/>
      <c r="D8759" s="109"/>
      <c r="E8759" s="109"/>
      <c r="F8759" s="110"/>
      <c r="G8759" s="109"/>
    </row>
    <row r="8760" spans="3:7" x14ac:dyDescent="0.3">
      <c r="C8760" s="109"/>
      <c r="D8760" s="109"/>
      <c r="E8760" s="109"/>
      <c r="F8760" s="110"/>
      <c r="G8760" s="109"/>
    </row>
    <row r="8761" spans="3:7" x14ac:dyDescent="0.3">
      <c r="C8761" s="109"/>
      <c r="D8761" s="109"/>
      <c r="E8761" s="109"/>
      <c r="F8761" s="110"/>
      <c r="G8761" s="109"/>
    </row>
    <row r="8762" spans="3:7" x14ac:dyDescent="0.3">
      <c r="C8762" s="109"/>
      <c r="D8762" s="109"/>
      <c r="E8762" s="109"/>
      <c r="F8762" s="110"/>
      <c r="G8762" s="109"/>
    </row>
    <row r="8763" spans="3:7" x14ac:dyDescent="0.3">
      <c r="C8763" s="109"/>
      <c r="D8763" s="109"/>
      <c r="E8763" s="109"/>
      <c r="F8763" s="110"/>
      <c r="G8763" s="109"/>
    </row>
    <row r="8764" spans="3:7" x14ac:dyDescent="0.3">
      <c r="C8764" s="109"/>
      <c r="D8764" s="109"/>
      <c r="E8764" s="109"/>
      <c r="F8764" s="110"/>
      <c r="G8764" s="109"/>
    </row>
    <row r="8765" spans="3:7" x14ac:dyDescent="0.3">
      <c r="C8765" s="109"/>
      <c r="D8765" s="109"/>
      <c r="E8765" s="109"/>
      <c r="F8765" s="110"/>
      <c r="G8765" s="109"/>
    </row>
    <row r="8766" spans="3:7" x14ac:dyDescent="0.3">
      <c r="C8766" s="109"/>
      <c r="D8766" s="109"/>
      <c r="E8766" s="109"/>
      <c r="F8766" s="110"/>
      <c r="G8766" s="109"/>
    </row>
    <row r="8767" spans="3:7" x14ac:dyDescent="0.3">
      <c r="C8767" s="109"/>
      <c r="D8767" s="109"/>
      <c r="E8767" s="109"/>
      <c r="F8767" s="110"/>
      <c r="G8767" s="109"/>
    </row>
    <row r="8768" spans="3:7" x14ac:dyDescent="0.3">
      <c r="C8768" s="109"/>
      <c r="D8768" s="109"/>
      <c r="E8768" s="109"/>
      <c r="F8768" s="110"/>
      <c r="G8768" s="109"/>
    </row>
    <row r="8769" spans="3:7" x14ac:dyDescent="0.3">
      <c r="C8769" s="109"/>
      <c r="D8769" s="109"/>
      <c r="E8769" s="109"/>
      <c r="F8769" s="110"/>
      <c r="G8769" s="109"/>
    </row>
    <row r="8770" spans="3:7" x14ac:dyDescent="0.3">
      <c r="C8770" s="109"/>
      <c r="D8770" s="109"/>
      <c r="E8770" s="109"/>
      <c r="F8770" s="110"/>
      <c r="G8770" s="109"/>
    </row>
    <row r="8771" spans="3:7" x14ac:dyDescent="0.3">
      <c r="C8771" s="109"/>
      <c r="D8771" s="109"/>
      <c r="E8771" s="109"/>
      <c r="F8771" s="110"/>
      <c r="G8771" s="109"/>
    </row>
    <row r="8772" spans="3:7" x14ac:dyDescent="0.3">
      <c r="C8772" s="109"/>
      <c r="D8772" s="109"/>
      <c r="E8772" s="109"/>
      <c r="F8772" s="110"/>
      <c r="G8772" s="109"/>
    </row>
    <row r="8773" spans="3:7" x14ac:dyDescent="0.3">
      <c r="C8773" s="109"/>
      <c r="D8773" s="109"/>
      <c r="E8773" s="109"/>
      <c r="F8773" s="110"/>
      <c r="G8773" s="109"/>
    </row>
    <row r="8774" spans="3:7" x14ac:dyDescent="0.3">
      <c r="C8774" s="109"/>
      <c r="D8774" s="109"/>
      <c r="E8774" s="109"/>
      <c r="F8774" s="110"/>
      <c r="G8774" s="109"/>
    </row>
    <row r="8775" spans="3:7" x14ac:dyDescent="0.3">
      <c r="C8775" s="109"/>
      <c r="D8775" s="109"/>
      <c r="E8775" s="109"/>
      <c r="F8775" s="110"/>
      <c r="G8775" s="109"/>
    </row>
    <row r="8776" spans="3:7" x14ac:dyDescent="0.3">
      <c r="C8776" s="109"/>
      <c r="D8776" s="109"/>
      <c r="E8776" s="109"/>
      <c r="F8776" s="110"/>
      <c r="G8776" s="109"/>
    </row>
    <row r="8777" spans="3:7" x14ac:dyDescent="0.3">
      <c r="C8777" s="109"/>
      <c r="D8777" s="109"/>
      <c r="E8777" s="109"/>
      <c r="F8777" s="110"/>
      <c r="G8777" s="109"/>
    </row>
    <row r="8778" spans="3:7" x14ac:dyDescent="0.3">
      <c r="C8778" s="109"/>
      <c r="D8778" s="109"/>
      <c r="E8778" s="109"/>
      <c r="F8778" s="110"/>
      <c r="G8778" s="109"/>
    </row>
    <row r="8779" spans="3:7" x14ac:dyDescent="0.3">
      <c r="C8779" s="109"/>
      <c r="D8779" s="109"/>
      <c r="E8779" s="109"/>
      <c r="F8779" s="110"/>
      <c r="G8779" s="109"/>
    </row>
    <row r="8780" spans="3:7" x14ac:dyDescent="0.3">
      <c r="C8780" s="109"/>
      <c r="D8780" s="109"/>
      <c r="E8780" s="109"/>
      <c r="F8780" s="110"/>
      <c r="G8780" s="109"/>
    </row>
    <row r="8781" spans="3:7" x14ac:dyDescent="0.3">
      <c r="C8781" s="109"/>
      <c r="D8781" s="109"/>
      <c r="E8781" s="109"/>
      <c r="F8781" s="110"/>
      <c r="G8781" s="109"/>
    </row>
    <row r="8782" spans="3:7" x14ac:dyDescent="0.3">
      <c r="C8782" s="109"/>
      <c r="D8782" s="109"/>
      <c r="E8782" s="109"/>
      <c r="F8782" s="110"/>
      <c r="G8782" s="109"/>
    </row>
    <row r="8783" spans="3:7" x14ac:dyDescent="0.3">
      <c r="C8783" s="109"/>
      <c r="D8783" s="109"/>
      <c r="E8783" s="109"/>
      <c r="F8783" s="110"/>
      <c r="G8783" s="109"/>
    </row>
    <row r="8784" spans="3:7" x14ac:dyDescent="0.3">
      <c r="C8784" s="109"/>
      <c r="D8784" s="109"/>
      <c r="E8784" s="109"/>
      <c r="F8784" s="110"/>
      <c r="G8784" s="109"/>
    </row>
    <row r="8785" spans="3:7" x14ac:dyDescent="0.3">
      <c r="C8785" s="109"/>
      <c r="D8785" s="109"/>
      <c r="E8785" s="109"/>
      <c r="F8785" s="110"/>
      <c r="G8785" s="109"/>
    </row>
    <row r="8786" spans="3:7" x14ac:dyDescent="0.3">
      <c r="C8786" s="109"/>
      <c r="D8786" s="109"/>
      <c r="E8786" s="109"/>
      <c r="F8786" s="110"/>
      <c r="G8786" s="109"/>
    </row>
    <row r="8787" spans="3:7" x14ac:dyDescent="0.3">
      <c r="C8787" s="109"/>
      <c r="D8787" s="109"/>
      <c r="E8787" s="109"/>
      <c r="F8787" s="110"/>
      <c r="G8787" s="109"/>
    </row>
    <row r="8788" spans="3:7" x14ac:dyDescent="0.3">
      <c r="C8788" s="109"/>
      <c r="D8788" s="109"/>
      <c r="E8788" s="109"/>
      <c r="F8788" s="110"/>
      <c r="G8788" s="109"/>
    </row>
    <row r="8789" spans="3:7" x14ac:dyDescent="0.3">
      <c r="C8789" s="109"/>
      <c r="D8789" s="109"/>
      <c r="E8789" s="109"/>
      <c r="F8789" s="110"/>
      <c r="G8789" s="109"/>
    </row>
    <row r="8790" spans="3:7" x14ac:dyDescent="0.3">
      <c r="C8790" s="109"/>
      <c r="D8790" s="109"/>
      <c r="E8790" s="109"/>
      <c r="F8790" s="110"/>
      <c r="G8790" s="109"/>
    </row>
    <row r="8791" spans="3:7" x14ac:dyDescent="0.3">
      <c r="C8791" s="109"/>
      <c r="D8791" s="109"/>
      <c r="E8791" s="109"/>
      <c r="F8791" s="110"/>
      <c r="G8791" s="109"/>
    </row>
    <row r="8792" spans="3:7" x14ac:dyDescent="0.3">
      <c r="C8792" s="109"/>
      <c r="D8792" s="109"/>
      <c r="E8792" s="109"/>
      <c r="F8792" s="110"/>
      <c r="G8792" s="109"/>
    </row>
    <row r="8793" spans="3:7" x14ac:dyDescent="0.3">
      <c r="C8793" s="109"/>
      <c r="D8793" s="109"/>
      <c r="E8793" s="109"/>
      <c r="F8793" s="110"/>
      <c r="G8793" s="109"/>
    </row>
    <row r="8794" spans="3:7" x14ac:dyDescent="0.3">
      <c r="C8794" s="109"/>
      <c r="D8794" s="109"/>
      <c r="E8794" s="109"/>
      <c r="F8794" s="110"/>
      <c r="G8794" s="109"/>
    </row>
    <row r="8795" spans="3:7" x14ac:dyDescent="0.3">
      <c r="C8795" s="109"/>
      <c r="D8795" s="109"/>
      <c r="E8795" s="109"/>
      <c r="F8795" s="110"/>
      <c r="G8795" s="109"/>
    </row>
    <row r="8796" spans="3:7" x14ac:dyDescent="0.3">
      <c r="C8796" s="109"/>
      <c r="D8796" s="109"/>
      <c r="E8796" s="109"/>
      <c r="F8796" s="110"/>
      <c r="G8796" s="109"/>
    </row>
    <row r="8797" spans="3:7" x14ac:dyDescent="0.3">
      <c r="C8797" s="109"/>
      <c r="D8797" s="109"/>
      <c r="E8797" s="109"/>
      <c r="F8797" s="110"/>
      <c r="G8797" s="109"/>
    </row>
    <row r="8798" spans="3:7" x14ac:dyDescent="0.3">
      <c r="C8798" s="109"/>
      <c r="D8798" s="109"/>
      <c r="E8798" s="109"/>
      <c r="F8798" s="110"/>
      <c r="G8798" s="109"/>
    </row>
    <row r="8799" spans="3:7" x14ac:dyDescent="0.3">
      <c r="C8799" s="109"/>
      <c r="D8799" s="109"/>
      <c r="E8799" s="109"/>
      <c r="F8799" s="110"/>
      <c r="G8799" s="109"/>
    </row>
    <row r="8800" spans="3:7" x14ac:dyDescent="0.3">
      <c r="C8800" s="109"/>
      <c r="D8800" s="109"/>
      <c r="E8800" s="109"/>
      <c r="F8800" s="110"/>
      <c r="G8800" s="109"/>
    </row>
    <row r="8801" spans="3:7" x14ac:dyDescent="0.3">
      <c r="C8801" s="109"/>
      <c r="D8801" s="109"/>
      <c r="E8801" s="109"/>
      <c r="F8801" s="110"/>
      <c r="G8801" s="109"/>
    </row>
    <row r="8802" spans="3:7" x14ac:dyDescent="0.3">
      <c r="C8802" s="109"/>
      <c r="D8802" s="109"/>
      <c r="E8802" s="109"/>
      <c r="F8802" s="110"/>
      <c r="G8802" s="109"/>
    </row>
    <row r="8803" spans="3:7" x14ac:dyDescent="0.3">
      <c r="C8803" s="109"/>
      <c r="D8803" s="109"/>
      <c r="E8803" s="109"/>
      <c r="F8803" s="110"/>
      <c r="G8803" s="109"/>
    </row>
    <row r="8804" spans="3:7" x14ac:dyDescent="0.3">
      <c r="C8804" s="109"/>
      <c r="D8804" s="109"/>
      <c r="E8804" s="109"/>
      <c r="F8804" s="110"/>
      <c r="G8804" s="109"/>
    </row>
    <row r="8805" spans="3:7" x14ac:dyDescent="0.3">
      <c r="C8805" s="109"/>
      <c r="D8805" s="109"/>
      <c r="E8805" s="109"/>
      <c r="F8805" s="110"/>
      <c r="G8805" s="109"/>
    </row>
    <row r="8806" spans="3:7" x14ac:dyDescent="0.3">
      <c r="C8806" s="109"/>
      <c r="D8806" s="109"/>
      <c r="E8806" s="109"/>
      <c r="F8806" s="110"/>
      <c r="G8806" s="109"/>
    </row>
    <row r="8807" spans="3:7" x14ac:dyDescent="0.3">
      <c r="C8807" s="109"/>
      <c r="D8807" s="109"/>
      <c r="E8807" s="109"/>
      <c r="F8807" s="110"/>
      <c r="G8807" s="109"/>
    </row>
    <row r="8808" spans="3:7" x14ac:dyDescent="0.3">
      <c r="C8808" s="109"/>
      <c r="D8808" s="109"/>
      <c r="E8808" s="109"/>
      <c r="F8808" s="110"/>
      <c r="G8808" s="109"/>
    </row>
    <row r="8809" spans="3:7" x14ac:dyDescent="0.3">
      <c r="C8809" s="109"/>
      <c r="D8809" s="109"/>
      <c r="E8809" s="109"/>
      <c r="F8809" s="110"/>
      <c r="G8809" s="109"/>
    </row>
    <row r="8810" spans="3:7" x14ac:dyDescent="0.3">
      <c r="C8810" s="109"/>
      <c r="D8810" s="109"/>
      <c r="E8810" s="109"/>
      <c r="F8810" s="110"/>
      <c r="G8810" s="109"/>
    </row>
    <row r="8811" spans="3:7" x14ac:dyDescent="0.3">
      <c r="C8811" s="109"/>
      <c r="D8811" s="109"/>
      <c r="E8811" s="109"/>
      <c r="F8811" s="110"/>
      <c r="G8811" s="109"/>
    </row>
    <row r="8812" spans="3:7" x14ac:dyDescent="0.3">
      <c r="C8812" s="109"/>
      <c r="D8812" s="109"/>
      <c r="E8812" s="109"/>
      <c r="F8812" s="110"/>
      <c r="G8812" s="109"/>
    </row>
    <row r="8813" spans="3:7" x14ac:dyDescent="0.3">
      <c r="C8813" s="109"/>
      <c r="D8813" s="109"/>
      <c r="E8813" s="109"/>
      <c r="F8813" s="110"/>
      <c r="G8813" s="109"/>
    </row>
    <row r="8814" spans="3:7" x14ac:dyDescent="0.3">
      <c r="C8814" s="109"/>
      <c r="D8814" s="109"/>
      <c r="E8814" s="109"/>
      <c r="F8814" s="110"/>
      <c r="G8814" s="109"/>
    </row>
    <row r="8815" spans="3:7" x14ac:dyDescent="0.3">
      <c r="C8815" s="109"/>
      <c r="D8815" s="109"/>
      <c r="E8815" s="109"/>
      <c r="F8815" s="110"/>
      <c r="G8815" s="109"/>
    </row>
    <row r="8816" spans="3:7" x14ac:dyDescent="0.3">
      <c r="C8816" s="109"/>
      <c r="D8816" s="109"/>
      <c r="E8816" s="109"/>
      <c r="F8816" s="110"/>
      <c r="G8816" s="109"/>
    </row>
    <row r="8817" spans="3:7" x14ac:dyDescent="0.3">
      <c r="C8817" s="109"/>
      <c r="D8817" s="109"/>
      <c r="E8817" s="109"/>
      <c r="F8817" s="110"/>
      <c r="G8817" s="109"/>
    </row>
    <row r="8818" spans="3:7" x14ac:dyDescent="0.3">
      <c r="C8818" s="109"/>
      <c r="D8818" s="109"/>
      <c r="E8818" s="109"/>
      <c r="F8818" s="110"/>
      <c r="G8818" s="109"/>
    </row>
    <row r="8819" spans="3:7" x14ac:dyDescent="0.3">
      <c r="C8819" s="109"/>
      <c r="D8819" s="109"/>
      <c r="E8819" s="109"/>
      <c r="F8819" s="110"/>
      <c r="G8819" s="109"/>
    </row>
    <row r="8820" spans="3:7" x14ac:dyDescent="0.3">
      <c r="C8820" s="109"/>
      <c r="D8820" s="109"/>
      <c r="E8820" s="109"/>
      <c r="F8820" s="110"/>
      <c r="G8820" s="109"/>
    </row>
    <row r="8821" spans="3:7" x14ac:dyDescent="0.3">
      <c r="C8821" s="109"/>
      <c r="D8821" s="109"/>
      <c r="E8821" s="109"/>
      <c r="F8821" s="110"/>
      <c r="G8821" s="109"/>
    </row>
    <row r="8822" spans="3:7" x14ac:dyDescent="0.3">
      <c r="C8822" s="109"/>
      <c r="D8822" s="109"/>
      <c r="E8822" s="109"/>
      <c r="F8822" s="110"/>
      <c r="G8822" s="109"/>
    </row>
    <row r="8823" spans="3:7" x14ac:dyDescent="0.3">
      <c r="C8823" s="109"/>
      <c r="D8823" s="109"/>
      <c r="E8823" s="109"/>
      <c r="F8823" s="110"/>
      <c r="G8823" s="109"/>
    </row>
    <row r="8824" spans="3:7" x14ac:dyDescent="0.3">
      <c r="C8824" s="109"/>
      <c r="D8824" s="109"/>
      <c r="E8824" s="109"/>
      <c r="F8824" s="110"/>
      <c r="G8824" s="109"/>
    </row>
    <row r="8825" spans="3:7" x14ac:dyDescent="0.3">
      <c r="C8825" s="109"/>
      <c r="D8825" s="109"/>
      <c r="E8825" s="109"/>
      <c r="F8825" s="110"/>
      <c r="G8825" s="109"/>
    </row>
    <row r="8826" spans="3:7" x14ac:dyDescent="0.3">
      <c r="C8826" s="109"/>
      <c r="D8826" s="109"/>
      <c r="E8826" s="109"/>
      <c r="F8826" s="110"/>
      <c r="G8826" s="109"/>
    </row>
    <row r="8827" spans="3:7" x14ac:dyDescent="0.3">
      <c r="C8827" s="109"/>
      <c r="D8827" s="109"/>
      <c r="E8827" s="109"/>
      <c r="F8827" s="110"/>
      <c r="G8827" s="109"/>
    </row>
    <row r="8828" spans="3:7" x14ac:dyDescent="0.3">
      <c r="C8828" s="109"/>
      <c r="D8828" s="109"/>
      <c r="E8828" s="109"/>
      <c r="F8828" s="110"/>
      <c r="G8828" s="109"/>
    </row>
    <row r="8829" spans="3:7" x14ac:dyDescent="0.3">
      <c r="C8829" s="109"/>
      <c r="D8829" s="109"/>
      <c r="E8829" s="109"/>
      <c r="F8829" s="110"/>
      <c r="G8829" s="109"/>
    </row>
    <row r="8830" spans="3:7" x14ac:dyDescent="0.3">
      <c r="C8830" s="109"/>
      <c r="D8830" s="109"/>
      <c r="E8830" s="109"/>
      <c r="F8830" s="110"/>
      <c r="G8830" s="109"/>
    </row>
    <row r="8831" spans="3:7" x14ac:dyDescent="0.3">
      <c r="C8831" s="109"/>
      <c r="D8831" s="109"/>
      <c r="E8831" s="109"/>
      <c r="F8831" s="110"/>
      <c r="G8831" s="109"/>
    </row>
    <row r="8832" spans="3:7" x14ac:dyDescent="0.3">
      <c r="C8832" s="109"/>
      <c r="D8832" s="109"/>
      <c r="E8832" s="109"/>
      <c r="F8832" s="110"/>
      <c r="G8832" s="109"/>
    </row>
    <row r="8833" spans="3:7" x14ac:dyDescent="0.3">
      <c r="C8833" s="109"/>
      <c r="D8833" s="109"/>
      <c r="E8833" s="109"/>
      <c r="F8833" s="110"/>
      <c r="G8833" s="109"/>
    </row>
    <row r="8834" spans="3:7" x14ac:dyDescent="0.3">
      <c r="C8834" s="109"/>
      <c r="D8834" s="109"/>
      <c r="E8834" s="109"/>
      <c r="F8834" s="110"/>
      <c r="G8834" s="109"/>
    </row>
    <row r="8835" spans="3:7" x14ac:dyDescent="0.3">
      <c r="C8835" s="109"/>
      <c r="D8835" s="109"/>
      <c r="E8835" s="109"/>
      <c r="F8835" s="110"/>
      <c r="G8835" s="109"/>
    </row>
    <row r="8836" spans="3:7" x14ac:dyDescent="0.3">
      <c r="C8836" s="109"/>
      <c r="D8836" s="109"/>
      <c r="E8836" s="109"/>
      <c r="F8836" s="110"/>
      <c r="G8836" s="109"/>
    </row>
    <row r="8837" spans="3:7" x14ac:dyDescent="0.3">
      <c r="C8837" s="109"/>
      <c r="D8837" s="109"/>
      <c r="E8837" s="109"/>
      <c r="F8837" s="110"/>
      <c r="G8837" s="109"/>
    </row>
    <row r="8838" spans="3:7" x14ac:dyDescent="0.3">
      <c r="C8838" s="109"/>
      <c r="D8838" s="109"/>
      <c r="E8838" s="109"/>
      <c r="F8838" s="110"/>
      <c r="G8838" s="109"/>
    </row>
    <row r="8839" spans="3:7" x14ac:dyDescent="0.3">
      <c r="C8839" s="109"/>
      <c r="D8839" s="109"/>
      <c r="E8839" s="109"/>
      <c r="F8839" s="110"/>
      <c r="G8839" s="109"/>
    </row>
    <row r="8840" spans="3:7" x14ac:dyDescent="0.3">
      <c r="C8840" s="109"/>
      <c r="D8840" s="109"/>
      <c r="E8840" s="109"/>
      <c r="F8840" s="110"/>
      <c r="G8840" s="109"/>
    </row>
    <row r="8841" spans="3:7" x14ac:dyDescent="0.3">
      <c r="C8841" s="109"/>
      <c r="D8841" s="109"/>
      <c r="E8841" s="109"/>
      <c r="F8841" s="110"/>
      <c r="G8841" s="109"/>
    </row>
    <row r="8842" spans="3:7" x14ac:dyDescent="0.3">
      <c r="C8842" s="109"/>
      <c r="D8842" s="109"/>
      <c r="E8842" s="109"/>
      <c r="F8842" s="110"/>
      <c r="G8842" s="109"/>
    </row>
    <row r="8843" spans="3:7" x14ac:dyDescent="0.3">
      <c r="C8843" s="109"/>
      <c r="D8843" s="109"/>
      <c r="E8843" s="109"/>
      <c r="F8843" s="110"/>
      <c r="G8843" s="109"/>
    </row>
    <row r="8844" spans="3:7" x14ac:dyDescent="0.3">
      <c r="C8844" s="109"/>
      <c r="D8844" s="109"/>
      <c r="E8844" s="109"/>
      <c r="F8844" s="110"/>
      <c r="G8844" s="109"/>
    </row>
    <row r="8845" spans="3:7" x14ac:dyDescent="0.3">
      <c r="C8845" s="109"/>
      <c r="D8845" s="109"/>
      <c r="E8845" s="109"/>
      <c r="F8845" s="110"/>
      <c r="G8845" s="109"/>
    </row>
    <row r="8846" spans="3:7" x14ac:dyDescent="0.3">
      <c r="C8846" s="109"/>
      <c r="D8846" s="109"/>
      <c r="E8846" s="109"/>
      <c r="F8846" s="110"/>
      <c r="G8846" s="109"/>
    </row>
    <row r="8847" spans="3:7" x14ac:dyDescent="0.3">
      <c r="C8847" s="109"/>
      <c r="D8847" s="109"/>
      <c r="E8847" s="109"/>
      <c r="F8847" s="110"/>
      <c r="G8847" s="109"/>
    </row>
    <row r="8848" spans="3:7" x14ac:dyDescent="0.3">
      <c r="C8848" s="109"/>
      <c r="D8848" s="109"/>
      <c r="E8848" s="109"/>
      <c r="F8848" s="110"/>
      <c r="G8848" s="109"/>
    </row>
    <row r="8849" spans="3:7" x14ac:dyDescent="0.3">
      <c r="C8849" s="109"/>
      <c r="D8849" s="109"/>
      <c r="E8849" s="109"/>
      <c r="F8849" s="110"/>
      <c r="G8849" s="109"/>
    </row>
    <row r="8850" spans="3:7" x14ac:dyDescent="0.3">
      <c r="C8850" s="109"/>
      <c r="D8850" s="109"/>
      <c r="E8850" s="109"/>
      <c r="F8850" s="110"/>
      <c r="G8850" s="109"/>
    </row>
    <row r="8851" spans="3:7" x14ac:dyDescent="0.3">
      <c r="C8851" s="109"/>
      <c r="D8851" s="109"/>
      <c r="E8851" s="109"/>
      <c r="F8851" s="110"/>
      <c r="G8851" s="109"/>
    </row>
    <row r="8852" spans="3:7" x14ac:dyDescent="0.3">
      <c r="C8852" s="109"/>
      <c r="D8852" s="109"/>
      <c r="E8852" s="109"/>
      <c r="F8852" s="110"/>
      <c r="G8852" s="109"/>
    </row>
    <row r="8853" spans="3:7" x14ac:dyDescent="0.3">
      <c r="C8853" s="109"/>
      <c r="D8853" s="109"/>
      <c r="E8853" s="109"/>
      <c r="F8853" s="110"/>
      <c r="G8853" s="109"/>
    </row>
    <row r="8854" spans="3:7" x14ac:dyDescent="0.3">
      <c r="C8854" s="109"/>
      <c r="D8854" s="109"/>
      <c r="E8854" s="109"/>
      <c r="F8854" s="110"/>
      <c r="G8854" s="109"/>
    </row>
    <row r="8855" spans="3:7" x14ac:dyDescent="0.3">
      <c r="C8855" s="109"/>
      <c r="D8855" s="109"/>
      <c r="E8855" s="109"/>
      <c r="F8855" s="110"/>
      <c r="G8855" s="109"/>
    </row>
    <row r="8856" spans="3:7" x14ac:dyDescent="0.3">
      <c r="C8856" s="109"/>
      <c r="D8856" s="109"/>
      <c r="E8856" s="109"/>
      <c r="F8856" s="110"/>
      <c r="G8856" s="109"/>
    </row>
    <row r="8857" spans="3:7" x14ac:dyDescent="0.3">
      <c r="C8857" s="109"/>
      <c r="D8857" s="109"/>
      <c r="E8857" s="109"/>
      <c r="F8857" s="110"/>
      <c r="G8857" s="109"/>
    </row>
    <row r="8858" spans="3:7" x14ac:dyDescent="0.3">
      <c r="C8858" s="109"/>
      <c r="D8858" s="109"/>
      <c r="E8858" s="109"/>
      <c r="F8858" s="110"/>
      <c r="G8858" s="109"/>
    </row>
    <row r="8859" spans="3:7" x14ac:dyDescent="0.3">
      <c r="C8859" s="109"/>
      <c r="D8859" s="109"/>
      <c r="E8859" s="109"/>
      <c r="F8859" s="110"/>
      <c r="G8859" s="109"/>
    </row>
    <row r="8860" spans="3:7" x14ac:dyDescent="0.3">
      <c r="C8860" s="109"/>
      <c r="D8860" s="109"/>
      <c r="E8860" s="109"/>
      <c r="F8860" s="110"/>
      <c r="G8860" s="109"/>
    </row>
    <row r="8861" spans="3:7" x14ac:dyDescent="0.3">
      <c r="C8861" s="109"/>
      <c r="D8861" s="109"/>
      <c r="E8861" s="109"/>
      <c r="F8861" s="110"/>
      <c r="G8861" s="109"/>
    </row>
    <row r="8862" spans="3:7" x14ac:dyDescent="0.3">
      <c r="C8862" s="109"/>
      <c r="D8862" s="109"/>
      <c r="E8862" s="109"/>
      <c r="F8862" s="110"/>
      <c r="G8862" s="109"/>
    </row>
    <row r="8863" spans="3:7" x14ac:dyDescent="0.3">
      <c r="C8863" s="109"/>
      <c r="D8863" s="109"/>
      <c r="E8863" s="109"/>
      <c r="F8863" s="110"/>
      <c r="G8863" s="109"/>
    </row>
    <row r="8864" spans="3:7" x14ac:dyDescent="0.3">
      <c r="C8864" s="109"/>
      <c r="D8864" s="109"/>
      <c r="E8864" s="109"/>
      <c r="F8864" s="110"/>
      <c r="G8864" s="109"/>
    </row>
    <row r="8865" spans="3:7" x14ac:dyDescent="0.3">
      <c r="C8865" s="109"/>
      <c r="D8865" s="109"/>
      <c r="E8865" s="109"/>
      <c r="F8865" s="110"/>
      <c r="G8865" s="109"/>
    </row>
    <row r="8866" spans="3:7" x14ac:dyDescent="0.3">
      <c r="C8866" s="109"/>
      <c r="D8866" s="109"/>
      <c r="E8866" s="109"/>
      <c r="F8866" s="110"/>
      <c r="G8866" s="109"/>
    </row>
    <row r="8867" spans="3:7" x14ac:dyDescent="0.3">
      <c r="C8867" s="109"/>
      <c r="D8867" s="109"/>
      <c r="E8867" s="109"/>
      <c r="F8867" s="110"/>
      <c r="G8867" s="109"/>
    </row>
    <row r="8868" spans="3:7" x14ac:dyDescent="0.3">
      <c r="C8868" s="109"/>
      <c r="D8868" s="109"/>
      <c r="E8868" s="109"/>
      <c r="F8868" s="110"/>
      <c r="G8868" s="109"/>
    </row>
    <row r="8869" spans="3:7" x14ac:dyDescent="0.3">
      <c r="C8869" s="109"/>
      <c r="D8869" s="109"/>
      <c r="E8869" s="109"/>
      <c r="F8869" s="110"/>
      <c r="G8869" s="109"/>
    </row>
    <row r="8870" spans="3:7" x14ac:dyDescent="0.3">
      <c r="C8870" s="109"/>
      <c r="D8870" s="109"/>
      <c r="E8870" s="109"/>
      <c r="F8870" s="110"/>
      <c r="G8870" s="109"/>
    </row>
    <row r="8871" spans="3:7" x14ac:dyDescent="0.3">
      <c r="C8871" s="109"/>
      <c r="D8871" s="109"/>
      <c r="E8871" s="109"/>
      <c r="F8871" s="110"/>
      <c r="G8871" s="109"/>
    </row>
    <row r="8872" spans="3:7" x14ac:dyDescent="0.3">
      <c r="C8872" s="109"/>
      <c r="D8872" s="109"/>
      <c r="E8872" s="109"/>
      <c r="F8872" s="110"/>
      <c r="G8872" s="109"/>
    </row>
    <row r="8873" spans="3:7" x14ac:dyDescent="0.3">
      <c r="C8873" s="109"/>
      <c r="D8873" s="109"/>
      <c r="E8873" s="109"/>
      <c r="F8873" s="110"/>
      <c r="G8873" s="109"/>
    </row>
    <row r="8874" spans="3:7" x14ac:dyDescent="0.3">
      <c r="C8874" s="109"/>
      <c r="D8874" s="109"/>
      <c r="E8874" s="109"/>
      <c r="F8874" s="110"/>
      <c r="G8874" s="109"/>
    </row>
    <row r="8875" spans="3:7" x14ac:dyDescent="0.3">
      <c r="C8875" s="109"/>
      <c r="D8875" s="109"/>
      <c r="E8875" s="109"/>
      <c r="F8875" s="110"/>
      <c r="G8875" s="109"/>
    </row>
    <row r="8876" spans="3:7" x14ac:dyDescent="0.3">
      <c r="C8876" s="109"/>
      <c r="D8876" s="109"/>
      <c r="E8876" s="109"/>
      <c r="F8876" s="110"/>
      <c r="G8876" s="109"/>
    </row>
    <row r="8877" spans="3:7" x14ac:dyDescent="0.3">
      <c r="C8877" s="109"/>
      <c r="D8877" s="109"/>
      <c r="E8877" s="109"/>
      <c r="F8877" s="110"/>
      <c r="G8877" s="109"/>
    </row>
    <row r="8878" spans="3:7" x14ac:dyDescent="0.3">
      <c r="C8878" s="109"/>
      <c r="D8878" s="109"/>
      <c r="E8878" s="109"/>
      <c r="F8878" s="110"/>
      <c r="G8878" s="109"/>
    </row>
    <row r="8879" spans="3:7" x14ac:dyDescent="0.3">
      <c r="C8879" s="109"/>
      <c r="D8879" s="109"/>
      <c r="E8879" s="109"/>
      <c r="F8879" s="110"/>
      <c r="G8879" s="109"/>
    </row>
    <row r="8880" spans="3:7" x14ac:dyDescent="0.3">
      <c r="C8880" s="109"/>
      <c r="D8880" s="109"/>
      <c r="E8880" s="109"/>
      <c r="F8880" s="110"/>
      <c r="G8880" s="109"/>
    </row>
    <row r="8881" spans="3:7" x14ac:dyDescent="0.3">
      <c r="C8881" s="109"/>
      <c r="D8881" s="109"/>
      <c r="E8881" s="109"/>
      <c r="F8881" s="110"/>
      <c r="G8881" s="109"/>
    </row>
    <row r="8882" spans="3:7" x14ac:dyDescent="0.3">
      <c r="C8882" s="109"/>
      <c r="D8882" s="109"/>
      <c r="E8882" s="109"/>
      <c r="F8882" s="110"/>
      <c r="G8882" s="109"/>
    </row>
    <row r="8883" spans="3:7" x14ac:dyDescent="0.3">
      <c r="C8883" s="109"/>
      <c r="D8883" s="109"/>
      <c r="E8883" s="109"/>
      <c r="F8883" s="110"/>
      <c r="G8883" s="109"/>
    </row>
    <row r="8884" spans="3:7" x14ac:dyDescent="0.3">
      <c r="C8884" s="109"/>
      <c r="D8884" s="109"/>
      <c r="E8884" s="109"/>
      <c r="F8884" s="110"/>
      <c r="G8884" s="109"/>
    </row>
    <row r="8885" spans="3:7" x14ac:dyDescent="0.3">
      <c r="C8885" s="109"/>
      <c r="D8885" s="109"/>
      <c r="E8885" s="109"/>
      <c r="F8885" s="110"/>
      <c r="G8885" s="109"/>
    </row>
    <row r="8886" spans="3:7" x14ac:dyDescent="0.3">
      <c r="C8886" s="109"/>
      <c r="D8886" s="109"/>
      <c r="E8886" s="109"/>
      <c r="F8886" s="110"/>
      <c r="G8886" s="109"/>
    </row>
    <row r="8887" spans="3:7" x14ac:dyDescent="0.3">
      <c r="C8887" s="109"/>
      <c r="D8887" s="109"/>
      <c r="E8887" s="109"/>
      <c r="F8887" s="110"/>
      <c r="G8887" s="109"/>
    </row>
    <row r="8888" spans="3:7" x14ac:dyDescent="0.3">
      <c r="C8888" s="109"/>
      <c r="D8888" s="109"/>
      <c r="E8888" s="109"/>
      <c r="F8888" s="110"/>
      <c r="G8888" s="109"/>
    </row>
    <row r="8889" spans="3:7" x14ac:dyDescent="0.3">
      <c r="C8889" s="109"/>
      <c r="D8889" s="109"/>
      <c r="E8889" s="109"/>
      <c r="F8889" s="110"/>
      <c r="G8889" s="109"/>
    </row>
    <row r="8890" spans="3:7" x14ac:dyDescent="0.3">
      <c r="C8890" s="109"/>
      <c r="D8890" s="109"/>
      <c r="E8890" s="109"/>
      <c r="F8890" s="110"/>
      <c r="G8890" s="109"/>
    </row>
    <row r="8891" spans="3:7" x14ac:dyDescent="0.3">
      <c r="C8891" s="109"/>
      <c r="D8891" s="109"/>
      <c r="E8891" s="109"/>
      <c r="F8891" s="110"/>
      <c r="G8891" s="109"/>
    </row>
    <row r="8892" spans="3:7" x14ac:dyDescent="0.3">
      <c r="C8892" s="109"/>
      <c r="D8892" s="109"/>
      <c r="E8892" s="109"/>
      <c r="F8892" s="110"/>
      <c r="G8892" s="109"/>
    </row>
    <row r="8893" spans="3:7" x14ac:dyDescent="0.3">
      <c r="C8893" s="109"/>
      <c r="D8893" s="109"/>
      <c r="E8893" s="109"/>
      <c r="F8893" s="110"/>
      <c r="G8893" s="109"/>
    </row>
    <row r="8894" spans="3:7" x14ac:dyDescent="0.3">
      <c r="C8894" s="109"/>
      <c r="D8894" s="109"/>
      <c r="E8894" s="109"/>
      <c r="F8894" s="110"/>
      <c r="G8894" s="109"/>
    </row>
    <row r="8895" spans="3:7" x14ac:dyDescent="0.3">
      <c r="C8895" s="109"/>
      <c r="D8895" s="109"/>
      <c r="E8895" s="109"/>
      <c r="F8895" s="110"/>
      <c r="G8895" s="109"/>
    </row>
    <row r="8896" spans="3:7" x14ac:dyDescent="0.3">
      <c r="C8896" s="109"/>
      <c r="D8896" s="109"/>
      <c r="E8896" s="109"/>
      <c r="F8896" s="110"/>
      <c r="G8896" s="109"/>
    </row>
    <row r="8897" spans="3:7" x14ac:dyDescent="0.3">
      <c r="C8897" s="109"/>
      <c r="D8897" s="109"/>
      <c r="E8897" s="109"/>
      <c r="F8897" s="110"/>
      <c r="G8897" s="109"/>
    </row>
    <row r="8898" spans="3:7" x14ac:dyDescent="0.3">
      <c r="C8898" s="109"/>
      <c r="D8898" s="109"/>
      <c r="E8898" s="109"/>
      <c r="F8898" s="110"/>
      <c r="G8898" s="109"/>
    </row>
    <row r="8899" spans="3:7" x14ac:dyDescent="0.3">
      <c r="C8899" s="109"/>
      <c r="D8899" s="109"/>
      <c r="E8899" s="109"/>
      <c r="F8899" s="110"/>
      <c r="G8899" s="109"/>
    </row>
    <row r="8900" spans="3:7" x14ac:dyDescent="0.3">
      <c r="C8900" s="109"/>
      <c r="D8900" s="109"/>
      <c r="E8900" s="109"/>
      <c r="F8900" s="110"/>
      <c r="G8900" s="109"/>
    </row>
    <row r="8901" spans="3:7" x14ac:dyDescent="0.3">
      <c r="C8901" s="109"/>
      <c r="D8901" s="109"/>
      <c r="E8901" s="109"/>
      <c r="F8901" s="110"/>
      <c r="G8901" s="109"/>
    </row>
    <row r="8902" spans="3:7" x14ac:dyDescent="0.3">
      <c r="C8902" s="109"/>
      <c r="D8902" s="109"/>
      <c r="E8902" s="109"/>
      <c r="F8902" s="110"/>
      <c r="G8902" s="109"/>
    </row>
    <row r="8903" spans="3:7" x14ac:dyDescent="0.3">
      <c r="C8903" s="109"/>
      <c r="D8903" s="109"/>
      <c r="E8903" s="109"/>
      <c r="F8903" s="110"/>
      <c r="G8903" s="109"/>
    </row>
    <row r="8904" spans="3:7" x14ac:dyDescent="0.3">
      <c r="C8904" s="109"/>
      <c r="D8904" s="109"/>
      <c r="E8904" s="109"/>
      <c r="F8904" s="110"/>
      <c r="G8904" s="109"/>
    </row>
    <row r="8905" spans="3:7" x14ac:dyDescent="0.3">
      <c r="C8905" s="109"/>
      <c r="D8905" s="109"/>
      <c r="E8905" s="109"/>
      <c r="F8905" s="110"/>
      <c r="G8905" s="109"/>
    </row>
    <row r="8906" spans="3:7" x14ac:dyDescent="0.3">
      <c r="C8906" s="109"/>
      <c r="D8906" s="109"/>
      <c r="E8906" s="109"/>
      <c r="F8906" s="110"/>
      <c r="G8906" s="109"/>
    </row>
    <row r="8907" spans="3:7" x14ac:dyDescent="0.3">
      <c r="C8907" s="109"/>
      <c r="D8907" s="109"/>
      <c r="E8907" s="109"/>
      <c r="F8907" s="110"/>
      <c r="G8907" s="109"/>
    </row>
    <row r="8908" spans="3:7" x14ac:dyDescent="0.3">
      <c r="C8908" s="109"/>
      <c r="D8908" s="109"/>
      <c r="E8908" s="109"/>
      <c r="F8908" s="110"/>
      <c r="G8908" s="109"/>
    </row>
    <row r="8909" spans="3:7" x14ac:dyDescent="0.3">
      <c r="C8909" s="109"/>
      <c r="D8909" s="109"/>
      <c r="E8909" s="109"/>
      <c r="F8909" s="110"/>
      <c r="G8909" s="109"/>
    </row>
    <row r="8910" spans="3:7" x14ac:dyDescent="0.3">
      <c r="C8910" s="109"/>
      <c r="D8910" s="109"/>
      <c r="E8910" s="109"/>
      <c r="F8910" s="110"/>
      <c r="G8910" s="109"/>
    </row>
    <row r="8911" spans="3:7" x14ac:dyDescent="0.3">
      <c r="C8911" s="109"/>
      <c r="D8911" s="109"/>
      <c r="E8911" s="109"/>
      <c r="F8911" s="110"/>
      <c r="G8911" s="109"/>
    </row>
    <row r="8912" spans="3:7" x14ac:dyDescent="0.3">
      <c r="C8912" s="109"/>
      <c r="D8912" s="109"/>
      <c r="E8912" s="109"/>
      <c r="F8912" s="110"/>
      <c r="G8912" s="109"/>
    </row>
    <row r="8913" spans="3:7" x14ac:dyDescent="0.3">
      <c r="C8913" s="109"/>
      <c r="D8913" s="109"/>
      <c r="E8913" s="109"/>
      <c r="F8913" s="110"/>
      <c r="G8913" s="109"/>
    </row>
    <row r="8914" spans="3:7" x14ac:dyDescent="0.3">
      <c r="C8914" s="109"/>
      <c r="D8914" s="109"/>
      <c r="E8914" s="109"/>
      <c r="F8914" s="110"/>
      <c r="G8914" s="109"/>
    </row>
    <row r="8915" spans="3:7" x14ac:dyDescent="0.3">
      <c r="C8915" s="109"/>
      <c r="D8915" s="109"/>
      <c r="E8915" s="109"/>
      <c r="F8915" s="110"/>
      <c r="G8915" s="109"/>
    </row>
    <row r="8916" spans="3:7" x14ac:dyDescent="0.3">
      <c r="C8916" s="109"/>
      <c r="D8916" s="109"/>
      <c r="E8916" s="109"/>
      <c r="F8916" s="110"/>
      <c r="G8916" s="109"/>
    </row>
    <row r="8917" spans="3:7" x14ac:dyDescent="0.3">
      <c r="C8917" s="109"/>
      <c r="D8917" s="109"/>
      <c r="E8917" s="109"/>
      <c r="F8917" s="110"/>
      <c r="G8917" s="109"/>
    </row>
    <row r="8918" spans="3:7" x14ac:dyDescent="0.3">
      <c r="C8918" s="109"/>
      <c r="D8918" s="109"/>
      <c r="E8918" s="109"/>
      <c r="F8918" s="110"/>
      <c r="G8918" s="109"/>
    </row>
    <row r="8919" spans="3:7" x14ac:dyDescent="0.3">
      <c r="C8919" s="109"/>
      <c r="D8919" s="109"/>
      <c r="E8919" s="109"/>
      <c r="F8919" s="110"/>
      <c r="G8919" s="109"/>
    </row>
    <row r="8920" spans="3:7" x14ac:dyDescent="0.3">
      <c r="C8920" s="109"/>
      <c r="D8920" s="109"/>
      <c r="E8920" s="109"/>
      <c r="F8920" s="110"/>
      <c r="G8920" s="109"/>
    </row>
    <row r="8921" spans="3:7" x14ac:dyDescent="0.3">
      <c r="C8921" s="109"/>
      <c r="D8921" s="109"/>
      <c r="E8921" s="109"/>
      <c r="F8921" s="110"/>
      <c r="G8921" s="109"/>
    </row>
    <row r="8922" spans="3:7" x14ac:dyDescent="0.3">
      <c r="C8922" s="109"/>
      <c r="D8922" s="109"/>
      <c r="E8922" s="109"/>
      <c r="F8922" s="110"/>
      <c r="G8922" s="109"/>
    </row>
    <row r="8923" spans="3:7" x14ac:dyDescent="0.3">
      <c r="C8923" s="109"/>
      <c r="D8923" s="109"/>
      <c r="E8923" s="109"/>
      <c r="F8923" s="110"/>
      <c r="G8923" s="109"/>
    </row>
    <row r="8924" spans="3:7" x14ac:dyDescent="0.3">
      <c r="C8924" s="109"/>
      <c r="D8924" s="109"/>
      <c r="E8924" s="109"/>
      <c r="F8924" s="110"/>
      <c r="G8924" s="109"/>
    </row>
    <row r="8925" spans="3:7" x14ac:dyDescent="0.3">
      <c r="C8925" s="109"/>
      <c r="D8925" s="109"/>
      <c r="E8925" s="109"/>
      <c r="F8925" s="110"/>
      <c r="G8925" s="109"/>
    </row>
    <row r="8926" spans="3:7" x14ac:dyDescent="0.3">
      <c r="C8926" s="109"/>
      <c r="D8926" s="109"/>
      <c r="E8926" s="109"/>
      <c r="F8926" s="110"/>
      <c r="G8926" s="109"/>
    </row>
    <row r="8927" spans="3:7" x14ac:dyDescent="0.3">
      <c r="C8927" s="109"/>
      <c r="D8927" s="109"/>
      <c r="E8927" s="109"/>
      <c r="F8927" s="110"/>
      <c r="G8927" s="109"/>
    </row>
    <row r="8928" spans="3:7" x14ac:dyDescent="0.3">
      <c r="C8928" s="109"/>
      <c r="D8928" s="109"/>
      <c r="E8928" s="109"/>
      <c r="F8928" s="110"/>
      <c r="G8928" s="109"/>
    </row>
    <row r="8929" spans="3:7" x14ac:dyDescent="0.3">
      <c r="C8929" s="109"/>
      <c r="D8929" s="109"/>
      <c r="E8929" s="109"/>
      <c r="F8929" s="110"/>
      <c r="G8929" s="109"/>
    </row>
    <row r="8930" spans="3:7" x14ac:dyDescent="0.3">
      <c r="C8930" s="109"/>
      <c r="D8930" s="109"/>
      <c r="E8930" s="109"/>
      <c r="F8930" s="110"/>
      <c r="G8930" s="109"/>
    </row>
    <row r="8931" spans="3:7" x14ac:dyDescent="0.3">
      <c r="C8931" s="109"/>
      <c r="D8931" s="109"/>
      <c r="E8931" s="109"/>
      <c r="F8931" s="110"/>
      <c r="G8931" s="109"/>
    </row>
    <row r="8932" spans="3:7" x14ac:dyDescent="0.3">
      <c r="C8932" s="109"/>
      <c r="D8932" s="109"/>
      <c r="E8932" s="109"/>
      <c r="F8932" s="110"/>
      <c r="G8932" s="109"/>
    </row>
    <row r="8933" spans="3:7" x14ac:dyDescent="0.3">
      <c r="C8933" s="109"/>
      <c r="D8933" s="109"/>
      <c r="E8933" s="109"/>
      <c r="F8933" s="110"/>
      <c r="G8933" s="109"/>
    </row>
    <row r="8934" spans="3:7" x14ac:dyDescent="0.3">
      <c r="C8934" s="109"/>
      <c r="D8934" s="109"/>
      <c r="E8934" s="109"/>
      <c r="F8934" s="110"/>
      <c r="G8934" s="109"/>
    </row>
    <row r="8935" spans="3:7" x14ac:dyDescent="0.3">
      <c r="C8935" s="109"/>
      <c r="D8935" s="109"/>
      <c r="E8935" s="109"/>
      <c r="F8935" s="110"/>
      <c r="G8935" s="109"/>
    </row>
    <row r="8936" spans="3:7" x14ac:dyDescent="0.3">
      <c r="C8936" s="109"/>
      <c r="D8936" s="109"/>
      <c r="E8936" s="109"/>
      <c r="F8936" s="110"/>
      <c r="G8936" s="109"/>
    </row>
    <row r="8937" spans="3:7" x14ac:dyDescent="0.3">
      <c r="C8937" s="109"/>
      <c r="D8937" s="109"/>
      <c r="E8937" s="109"/>
      <c r="F8937" s="110"/>
      <c r="G8937" s="109"/>
    </row>
    <row r="8938" spans="3:7" x14ac:dyDescent="0.3">
      <c r="C8938" s="109"/>
      <c r="D8938" s="109"/>
      <c r="E8938" s="109"/>
      <c r="F8938" s="110"/>
      <c r="G8938" s="109"/>
    </row>
    <row r="8939" spans="3:7" x14ac:dyDescent="0.3">
      <c r="C8939" s="109"/>
      <c r="D8939" s="109"/>
      <c r="E8939" s="109"/>
      <c r="F8939" s="110"/>
      <c r="G8939" s="109"/>
    </row>
    <row r="8940" spans="3:7" x14ac:dyDescent="0.3">
      <c r="C8940" s="109"/>
      <c r="D8940" s="109"/>
      <c r="E8940" s="109"/>
      <c r="F8940" s="110"/>
      <c r="G8940" s="109"/>
    </row>
    <row r="8941" spans="3:7" x14ac:dyDescent="0.3">
      <c r="C8941" s="109"/>
      <c r="D8941" s="109"/>
      <c r="E8941" s="109"/>
      <c r="F8941" s="110"/>
      <c r="G8941" s="109"/>
    </row>
    <row r="8942" spans="3:7" x14ac:dyDescent="0.3">
      <c r="C8942" s="109"/>
      <c r="D8942" s="109"/>
      <c r="E8942" s="109"/>
      <c r="F8942" s="110"/>
      <c r="G8942" s="109"/>
    </row>
    <row r="8943" spans="3:7" x14ac:dyDescent="0.3">
      <c r="C8943" s="109"/>
      <c r="D8943" s="109"/>
      <c r="E8943" s="109"/>
      <c r="F8943" s="110"/>
      <c r="G8943" s="109"/>
    </row>
    <row r="8944" spans="3:7" x14ac:dyDescent="0.3">
      <c r="C8944" s="109"/>
      <c r="D8944" s="109"/>
      <c r="E8944" s="109"/>
      <c r="F8944" s="110"/>
      <c r="G8944" s="109"/>
    </row>
    <row r="8945" spans="3:7" x14ac:dyDescent="0.3">
      <c r="C8945" s="109"/>
      <c r="D8945" s="109"/>
      <c r="E8945" s="109"/>
      <c r="F8945" s="110"/>
      <c r="G8945" s="109"/>
    </row>
    <row r="8946" spans="3:7" x14ac:dyDescent="0.3">
      <c r="C8946" s="109"/>
      <c r="D8946" s="109"/>
      <c r="E8946" s="109"/>
      <c r="F8946" s="110"/>
      <c r="G8946" s="109"/>
    </row>
    <row r="8947" spans="3:7" x14ac:dyDescent="0.3">
      <c r="C8947" s="109"/>
      <c r="D8947" s="109"/>
      <c r="E8947" s="109"/>
      <c r="F8947" s="110"/>
      <c r="G8947" s="109"/>
    </row>
    <row r="8948" spans="3:7" x14ac:dyDescent="0.3">
      <c r="C8948" s="109"/>
      <c r="D8948" s="109"/>
      <c r="E8948" s="109"/>
      <c r="F8948" s="110"/>
      <c r="G8948" s="109"/>
    </row>
    <row r="8949" spans="3:7" x14ac:dyDescent="0.3">
      <c r="C8949" s="109"/>
      <c r="D8949" s="109"/>
      <c r="E8949" s="109"/>
      <c r="F8949" s="110"/>
      <c r="G8949" s="109"/>
    </row>
    <row r="8950" spans="3:7" x14ac:dyDescent="0.3">
      <c r="C8950" s="109"/>
      <c r="D8950" s="109"/>
      <c r="E8950" s="109"/>
      <c r="F8950" s="110"/>
      <c r="G8950" s="109"/>
    </row>
    <row r="8951" spans="3:7" x14ac:dyDescent="0.3">
      <c r="C8951" s="109"/>
      <c r="D8951" s="109"/>
      <c r="E8951" s="109"/>
      <c r="F8951" s="110"/>
      <c r="G8951" s="109"/>
    </row>
    <row r="8952" spans="3:7" x14ac:dyDescent="0.3">
      <c r="C8952" s="109"/>
      <c r="D8952" s="109"/>
      <c r="E8952" s="109"/>
      <c r="F8952" s="110"/>
      <c r="G8952" s="109"/>
    </row>
    <row r="8953" spans="3:7" x14ac:dyDescent="0.3">
      <c r="C8953" s="109"/>
      <c r="D8953" s="109"/>
      <c r="E8953" s="109"/>
      <c r="F8953" s="110"/>
      <c r="G8953" s="109"/>
    </row>
    <row r="8954" spans="3:7" x14ac:dyDescent="0.3">
      <c r="C8954" s="109"/>
      <c r="D8954" s="109"/>
      <c r="E8954" s="109"/>
      <c r="F8954" s="110"/>
      <c r="G8954" s="109"/>
    </row>
    <row r="8955" spans="3:7" x14ac:dyDescent="0.3">
      <c r="C8955" s="109"/>
      <c r="D8955" s="109"/>
      <c r="E8955" s="109"/>
      <c r="F8955" s="110"/>
      <c r="G8955" s="109"/>
    </row>
    <row r="8956" spans="3:7" x14ac:dyDescent="0.3">
      <c r="C8956" s="109"/>
      <c r="D8956" s="109"/>
      <c r="E8956" s="109"/>
      <c r="F8956" s="110"/>
      <c r="G8956" s="109"/>
    </row>
    <row r="8957" spans="3:7" x14ac:dyDescent="0.3">
      <c r="C8957" s="109"/>
      <c r="D8957" s="109"/>
      <c r="E8957" s="109"/>
      <c r="F8957" s="110"/>
      <c r="G8957" s="109"/>
    </row>
    <row r="8958" spans="3:7" x14ac:dyDescent="0.3">
      <c r="C8958" s="109"/>
      <c r="D8958" s="109"/>
      <c r="E8958" s="109"/>
      <c r="F8958" s="110"/>
      <c r="G8958" s="109"/>
    </row>
    <row r="8959" spans="3:7" x14ac:dyDescent="0.3">
      <c r="C8959" s="109"/>
      <c r="D8959" s="109"/>
      <c r="E8959" s="109"/>
      <c r="F8959" s="110"/>
      <c r="G8959" s="109"/>
    </row>
    <row r="8960" spans="3:7" x14ac:dyDescent="0.3">
      <c r="C8960" s="109"/>
      <c r="D8960" s="109"/>
      <c r="E8960" s="109"/>
      <c r="F8960" s="110"/>
      <c r="G8960" s="109"/>
    </row>
    <row r="8961" spans="3:7" x14ac:dyDescent="0.3">
      <c r="C8961" s="109"/>
      <c r="D8961" s="109"/>
      <c r="E8961" s="109"/>
      <c r="F8961" s="110"/>
      <c r="G8961" s="109"/>
    </row>
    <row r="8962" spans="3:7" x14ac:dyDescent="0.3">
      <c r="C8962" s="109"/>
      <c r="D8962" s="109"/>
      <c r="E8962" s="109"/>
      <c r="F8962" s="110"/>
      <c r="G8962" s="109"/>
    </row>
    <row r="8963" spans="3:7" x14ac:dyDescent="0.3">
      <c r="C8963" s="109"/>
      <c r="D8963" s="109"/>
      <c r="E8963" s="109"/>
      <c r="F8963" s="110"/>
      <c r="G8963" s="109"/>
    </row>
    <row r="8964" spans="3:7" x14ac:dyDescent="0.3">
      <c r="C8964" s="109"/>
      <c r="D8964" s="109"/>
      <c r="E8964" s="109"/>
      <c r="F8964" s="110"/>
      <c r="G8964" s="109"/>
    </row>
    <row r="8965" spans="3:7" x14ac:dyDescent="0.3">
      <c r="C8965" s="109"/>
      <c r="D8965" s="109"/>
      <c r="E8965" s="109"/>
      <c r="F8965" s="110"/>
      <c r="G8965" s="109"/>
    </row>
    <row r="8966" spans="3:7" x14ac:dyDescent="0.3">
      <c r="C8966" s="109"/>
      <c r="D8966" s="109"/>
      <c r="E8966" s="109"/>
      <c r="F8966" s="110"/>
      <c r="G8966" s="109"/>
    </row>
    <row r="8967" spans="3:7" x14ac:dyDescent="0.3">
      <c r="C8967" s="109"/>
      <c r="D8967" s="109"/>
      <c r="E8967" s="109"/>
      <c r="F8967" s="110"/>
      <c r="G8967" s="109"/>
    </row>
    <row r="8968" spans="3:7" x14ac:dyDescent="0.3">
      <c r="C8968" s="109"/>
      <c r="D8968" s="109"/>
      <c r="E8968" s="109"/>
      <c r="F8968" s="110"/>
      <c r="G8968" s="109"/>
    </row>
    <row r="8969" spans="3:7" x14ac:dyDescent="0.3">
      <c r="C8969" s="109"/>
      <c r="D8969" s="109"/>
      <c r="E8969" s="109"/>
      <c r="F8969" s="110"/>
      <c r="G8969" s="109"/>
    </row>
    <row r="8970" spans="3:7" x14ac:dyDescent="0.3">
      <c r="C8970" s="109"/>
      <c r="D8970" s="109"/>
      <c r="E8970" s="109"/>
      <c r="F8970" s="110"/>
      <c r="G8970" s="109"/>
    </row>
    <row r="8971" spans="3:7" x14ac:dyDescent="0.3">
      <c r="C8971" s="109"/>
      <c r="D8971" s="109"/>
      <c r="E8971" s="109"/>
      <c r="F8971" s="110"/>
      <c r="G8971" s="109"/>
    </row>
    <row r="8972" spans="3:7" x14ac:dyDescent="0.3">
      <c r="C8972" s="109"/>
      <c r="D8972" s="109"/>
      <c r="E8972" s="109"/>
      <c r="F8972" s="110"/>
      <c r="G8972" s="109"/>
    </row>
    <row r="8973" spans="3:7" x14ac:dyDescent="0.3">
      <c r="C8973" s="109"/>
      <c r="D8973" s="109"/>
      <c r="E8973" s="109"/>
      <c r="F8973" s="110"/>
      <c r="G8973" s="109"/>
    </row>
    <row r="8974" spans="3:7" x14ac:dyDescent="0.3">
      <c r="C8974" s="109"/>
      <c r="D8974" s="109"/>
      <c r="E8974" s="109"/>
      <c r="F8974" s="110"/>
      <c r="G8974" s="109"/>
    </row>
    <row r="8975" spans="3:7" x14ac:dyDescent="0.3">
      <c r="C8975" s="109"/>
      <c r="D8975" s="109"/>
      <c r="E8975" s="109"/>
      <c r="F8975" s="110"/>
      <c r="G8975" s="109"/>
    </row>
    <row r="8976" spans="3:7" x14ac:dyDescent="0.3">
      <c r="C8976" s="109"/>
      <c r="D8976" s="109"/>
      <c r="E8976" s="109"/>
      <c r="F8976" s="110"/>
      <c r="G8976" s="109"/>
    </row>
    <row r="8977" spans="3:7" x14ac:dyDescent="0.3">
      <c r="C8977" s="109"/>
      <c r="D8977" s="109"/>
      <c r="E8977" s="109"/>
      <c r="F8977" s="110"/>
      <c r="G8977" s="109"/>
    </row>
    <row r="8978" spans="3:7" x14ac:dyDescent="0.3">
      <c r="C8978" s="109"/>
      <c r="D8978" s="109"/>
      <c r="E8978" s="109"/>
      <c r="F8978" s="110"/>
      <c r="G8978" s="109"/>
    </row>
    <row r="8979" spans="3:7" x14ac:dyDescent="0.3">
      <c r="C8979" s="109"/>
      <c r="D8979" s="109"/>
      <c r="E8979" s="109"/>
      <c r="F8979" s="110"/>
      <c r="G8979" s="109"/>
    </row>
    <row r="8980" spans="3:7" x14ac:dyDescent="0.3">
      <c r="C8980" s="109"/>
      <c r="D8980" s="109"/>
      <c r="E8980" s="109"/>
      <c r="F8980" s="110"/>
      <c r="G8980" s="109"/>
    </row>
    <row r="8981" spans="3:7" x14ac:dyDescent="0.3">
      <c r="C8981" s="109"/>
      <c r="D8981" s="109"/>
      <c r="E8981" s="109"/>
      <c r="F8981" s="110"/>
      <c r="G8981" s="109"/>
    </row>
    <row r="8982" spans="3:7" x14ac:dyDescent="0.3">
      <c r="C8982" s="109"/>
      <c r="D8982" s="109"/>
      <c r="E8982" s="109"/>
      <c r="F8982" s="110"/>
      <c r="G8982" s="109"/>
    </row>
    <row r="8983" spans="3:7" x14ac:dyDescent="0.3">
      <c r="C8983" s="109"/>
      <c r="D8983" s="109"/>
      <c r="E8983" s="109"/>
      <c r="F8983" s="110"/>
      <c r="G8983" s="109"/>
    </row>
    <row r="8984" spans="3:7" x14ac:dyDescent="0.3">
      <c r="C8984" s="109"/>
      <c r="D8984" s="109"/>
      <c r="E8984" s="109"/>
      <c r="F8984" s="110"/>
      <c r="G8984" s="109"/>
    </row>
    <row r="8985" spans="3:7" x14ac:dyDescent="0.3">
      <c r="C8985" s="109"/>
      <c r="D8985" s="109"/>
      <c r="E8985" s="109"/>
      <c r="F8985" s="110"/>
      <c r="G8985" s="109"/>
    </row>
    <row r="8986" spans="3:7" x14ac:dyDescent="0.3">
      <c r="C8986" s="109"/>
      <c r="D8986" s="109"/>
      <c r="E8986" s="109"/>
      <c r="F8986" s="110"/>
      <c r="G8986" s="109"/>
    </row>
    <row r="8987" spans="3:7" x14ac:dyDescent="0.3">
      <c r="C8987" s="109"/>
      <c r="D8987" s="109"/>
      <c r="E8987" s="109"/>
      <c r="F8987" s="110"/>
      <c r="G8987" s="109"/>
    </row>
    <row r="8988" spans="3:7" x14ac:dyDescent="0.3">
      <c r="C8988" s="109"/>
      <c r="D8988" s="109"/>
      <c r="E8988" s="109"/>
      <c r="F8988" s="110"/>
      <c r="G8988" s="109"/>
    </row>
    <row r="8989" spans="3:7" x14ac:dyDescent="0.3">
      <c r="C8989" s="109"/>
      <c r="D8989" s="109"/>
      <c r="E8989" s="109"/>
      <c r="F8989" s="110"/>
      <c r="G8989" s="109"/>
    </row>
    <row r="8990" spans="3:7" x14ac:dyDescent="0.3">
      <c r="C8990" s="109"/>
      <c r="D8990" s="109"/>
      <c r="E8990" s="109"/>
      <c r="F8990" s="110"/>
      <c r="G8990" s="109"/>
    </row>
    <row r="8991" spans="3:7" x14ac:dyDescent="0.3">
      <c r="C8991" s="109"/>
      <c r="D8991" s="109"/>
      <c r="E8991" s="109"/>
      <c r="F8991" s="110"/>
      <c r="G8991" s="109"/>
    </row>
    <row r="8992" spans="3:7" x14ac:dyDescent="0.3">
      <c r="C8992" s="109"/>
      <c r="D8992" s="109"/>
      <c r="E8992" s="109"/>
      <c r="F8992" s="110"/>
      <c r="G8992" s="109"/>
    </row>
    <row r="8993" spans="3:7" x14ac:dyDescent="0.3">
      <c r="C8993" s="109"/>
      <c r="D8993" s="109"/>
      <c r="E8993" s="109"/>
      <c r="F8993" s="110"/>
      <c r="G8993" s="109"/>
    </row>
    <row r="8994" spans="3:7" x14ac:dyDescent="0.3">
      <c r="C8994" s="109"/>
      <c r="D8994" s="109"/>
      <c r="E8994" s="109"/>
      <c r="F8994" s="110"/>
      <c r="G8994" s="109"/>
    </row>
    <row r="8995" spans="3:7" x14ac:dyDescent="0.3">
      <c r="C8995" s="109"/>
      <c r="D8995" s="109"/>
      <c r="E8995" s="109"/>
      <c r="F8995" s="110"/>
      <c r="G8995" s="109"/>
    </row>
    <row r="8996" spans="3:7" x14ac:dyDescent="0.3">
      <c r="C8996" s="109"/>
      <c r="D8996" s="109"/>
      <c r="E8996" s="109"/>
      <c r="F8996" s="110"/>
      <c r="G8996" s="109"/>
    </row>
    <row r="8997" spans="3:7" x14ac:dyDescent="0.3">
      <c r="C8997" s="109"/>
      <c r="D8997" s="109"/>
      <c r="E8997" s="109"/>
      <c r="F8997" s="110"/>
      <c r="G8997" s="109"/>
    </row>
    <row r="8998" spans="3:7" x14ac:dyDescent="0.3">
      <c r="C8998" s="109"/>
      <c r="D8998" s="109"/>
      <c r="E8998" s="109"/>
      <c r="F8998" s="110"/>
      <c r="G8998" s="109"/>
    </row>
    <row r="8999" spans="3:7" x14ac:dyDescent="0.3">
      <c r="C8999" s="109"/>
      <c r="D8999" s="109"/>
      <c r="E8999" s="109"/>
      <c r="F8999" s="110"/>
      <c r="G8999" s="109"/>
    </row>
    <row r="9000" spans="3:7" x14ac:dyDescent="0.3">
      <c r="C9000" s="109"/>
      <c r="D9000" s="109"/>
      <c r="E9000" s="109"/>
      <c r="F9000" s="110"/>
      <c r="G9000" s="109"/>
    </row>
    <row r="9001" spans="3:7" x14ac:dyDescent="0.3">
      <c r="C9001" s="109"/>
      <c r="D9001" s="109"/>
      <c r="E9001" s="109"/>
      <c r="F9001" s="110"/>
      <c r="G9001" s="109"/>
    </row>
    <row r="9002" spans="3:7" x14ac:dyDescent="0.3">
      <c r="C9002" s="109"/>
      <c r="D9002" s="109"/>
      <c r="E9002" s="109"/>
      <c r="F9002" s="110"/>
      <c r="G9002" s="109"/>
    </row>
    <row r="9003" spans="3:7" x14ac:dyDescent="0.3">
      <c r="C9003" s="109"/>
      <c r="D9003" s="109"/>
      <c r="E9003" s="109"/>
      <c r="F9003" s="110"/>
      <c r="G9003" s="109"/>
    </row>
    <row r="9004" spans="3:7" x14ac:dyDescent="0.3">
      <c r="C9004" s="109"/>
      <c r="D9004" s="109"/>
      <c r="E9004" s="109"/>
      <c r="F9004" s="110"/>
      <c r="G9004" s="109"/>
    </row>
    <row r="9005" spans="3:7" x14ac:dyDescent="0.3">
      <c r="C9005" s="109"/>
      <c r="D9005" s="109"/>
      <c r="E9005" s="109"/>
      <c r="F9005" s="110"/>
      <c r="G9005" s="109"/>
    </row>
    <row r="9006" spans="3:7" x14ac:dyDescent="0.3">
      <c r="C9006" s="109"/>
      <c r="D9006" s="109"/>
      <c r="E9006" s="109"/>
      <c r="F9006" s="110"/>
      <c r="G9006" s="109"/>
    </row>
    <row r="9007" spans="3:7" x14ac:dyDescent="0.3">
      <c r="C9007" s="109"/>
      <c r="D9007" s="109"/>
      <c r="E9007" s="109"/>
      <c r="F9007" s="110"/>
      <c r="G9007" s="109"/>
    </row>
    <row r="9008" spans="3:7" x14ac:dyDescent="0.3">
      <c r="C9008" s="109"/>
      <c r="D9008" s="109"/>
      <c r="E9008" s="109"/>
      <c r="F9008" s="110"/>
      <c r="G9008" s="109"/>
    </row>
    <row r="9009" spans="3:7" x14ac:dyDescent="0.3">
      <c r="C9009" s="109"/>
      <c r="D9009" s="109"/>
      <c r="E9009" s="109"/>
      <c r="F9009" s="110"/>
      <c r="G9009" s="109"/>
    </row>
    <row r="9010" spans="3:7" x14ac:dyDescent="0.3">
      <c r="C9010" s="109"/>
      <c r="D9010" s="109"/>
      <c r="E9010" s="109"/>
      <c r="F9010" s="110"/>
      <c r="G9010" s="109"/>
    </row>
    <row r="9011" spans="3:7" x14ac:dyDescent="0.3">
      <c r="C9011" s="109"/>
      <c r="D9011" s="109"/>
      <c r="E9011" s="109"/>
      <c r="F9011" s="110"/>
      <c r="G9011" s="109"/>
    </row>
    <row r="9012" spans="3:7" x14ac:dyDescent="0.3">
      <c r="C9012" s="109"/>
      <c r="D9012" s="109"/>
      <c r="E9012" s="109"/>
      <c r="F9012" s="110"/>
      <c r="G9012" s="109"/>
    </row>
    <row r="9013" spans="3:7" x14ac:dyDescent="0.3">
      <c r="C9013" s="109"/>
      <c r="D9013" s="109"/>
      <c r="E9013" s="109"/>
      <c r="F9013" s="110"/>
      <c r="G9013" s="109"/>
    </row>
    <row r="9014" spans="3:7" x14ac:dyDescent="0.3">
      <c r="C9014" s="109"/>
      <c r="D9014" s="109"/>
      <c r="E9014" s="109"/>
      <c r="F9014" s="110"/>
      <c r="G9014" s="109"/>
    </row>
    <row r="9015" spans="3:7" x14ac:dyDescent="0.3">
      <c r="C9015" s="109"/>
      <c r="D9015" s="109"/>
      <c r="E9015" s="109"/>
      <c r="F9015" s="110"/>
      <c r="G9015" s="109"/>
    </row>
    <row r="9016" spans="3:7" x14ac:dyDescent="0.3">
      <c r="C9016" s="109"/>
      <c r="D9016" s="109"/>
      <c r="E9016" s="109"/>
      <c r="F9016" s="110"/>
      <c r="G9016" s="109"/>
    </row>
    <row r="9017" spans="3:7" x14ac:dyDescent="0.3">
      <c r="C9017" s="109"/>
      <c r="D9017" s="109"/>
      <c r="E9017" s="109"/>
      <c r="F9017" s="110"/>
      <c r="G9017" s="109"/>
    </row>
    <row r="9018" spans="3:7" x14ac:dyDescent="0.3">
      <c r="C9018" s="109"/>
      <c r="D9018" s="109"/>
      <c r="E9018" s="109"/>
      <c r="F9018" s="110"/>
      <c r="G9018" s="109"/>
    </row>
    <row r="9019" spans="3:7" x14ac:dyDescent="0.3">
      <c r="C9019" s="109"/>
      <c r="D9019" s="109"/>
      <c r="E9019" s="109"/>
      <c r="F9019" s="110"/>
      <c r="G9019" s="109"/>
    </row>
    <row r="9020" spans="3:7" x14ac:dyDescent="0.3">
      <c r="C9020" s="109"/>
      <c r="D9020" s="109"/>
      <c r="E9020" s="109"/>
      <c r="F9020" s="110"/>
      <c r="G9020" s="109"/>
    </row>
    <row r="9021" spans="3:7" x14ac:dyDescent="0.3">
      <c r="C9021" s="109"/>
      <c r="D9021" s="109"/>
      <c r="E9021" s="109"/>
      <c r="F9021" s="110"/>
      <c r="G9021" s="109"/>
    </row>
    <row r="9022" spans="3:7" x14ac:dyDescent="0.3">
      <c r="C9022" s="109"/>
      <c r="D9022" s="109"/>
      <c r="E9022" s="109"/>
      <c r="F9022" s="110"/>
      <c r="G9022" s="109"/>
    </row>
    <row r="9023" spans="3:7" x14ac:dyDescent="0.3">
      <c r="C9023" s="109"/>
      <c r="D9023" s="109"/>
      <c r="E9023" s="109"/>
      <c r="F9023" s="110"/>
      <c r="G9023" s="109"/>
    </row>
    <row r="9024" spans="3:7" x14ac:dyDescent="0.3">
      <c r="C9024" s="109"/>
      <c r="D9024" s="109"/>
      <c r="E9024" s="109"/>
      <c r="F9024" s="110"/>
      <c r="G9024" s="109"/>
    </row>
    <row r="9025" spans="3:7" x14ac:dyDescent="0.3">
      <c r="C9025" s="109"/>
      <c r="D9025" s="109"/>
      <c r="E9025" s="109"/>
      <c r="F9025" s="110"/>
      <c r="G9025" s="109"/>
    </row>
    <row r="9026" spans="3:7" x14ac:dyDescent="0.3">
      <c r="C9026" s="109"/>
      <c r="D9026" s="109"/>
      <c r="E9026" s="109"/>
      <c r="F9026" s="110"/>
      <c r="G9026" s="109"/>
    </row>
    <row r="9027" spans="3:7" x14ac:dyDescent="0.3">
      <c r="C9027" s="109"/>
      <c r="D9027" s="109"/>
      <c r="E9027" s="109"/>
      <c r="F9027" s="110"/>
      <c r="G9027" s="109"/>
    </row>
    <row r="9028" spans="3:7" x14ac:dyDescent="0.3">
      <c r="C9028" s="109"/>
      <c r="D9028" s="109"/>
      <c r="E9028" s="109"/>
      <c r="F9028" s="110"/>
      <c r="G9028" s="109"/>
    </row>
    <row r="9029" spans="3:7" x14ac:dyDescent="0.3">
      <c r="C9029" s="109"/>
      <c r="D9029" s="109"/>
      <c r="E9029" s="109"/>
      <c r="F9029" s="110"/>
      <c r="G9029" s="109"/>
    </row>
    <row r="9030" spans="3:7" x14ac:dyDescent="0.3">
      <c r="C9030" s="109"/>
      <c r="D9030" s="109"/>
      <c r="E9030" s="109"/>
      <c r="F9030" s="110"/>
      <c r="G9030" s="109"/>
    </row>
    <row r="9031" spans="3:7" x14ac:dyDescent="0.3">
      <c r="C9031" s="109"/>
      <c r="D9031" s="109"/>
      <c r="E9031" s="109"/>
      <c r="F9031" s="110"/>
      <c r="G9031" s="109"/>
    </row>
    <row r="9032" spans="3:7" x14ac:dyDescent="0.3">
      <c r="C9032" s="109"/>
      <c r="D9032" s="109"/>
      <c r="E9032" s="109"/>
      <c r="F9032" s="110"/>
      <c r="G9032" s="109"/>
    </row>
    <row r="9033" spans="3:7" x14ac:dyDescent="0.3">
      <c r="C9033" s="109"/>
      <c r="D9033" s="109"/>
      <c r="E9033" s="109"/>
      <c r="F9033" s="110"/>
      <c r="G9033" s="109"/>
    </row>
    <row r="9034" spans="3:7" x14ac:dyDescent="0.3">
      <c r="C9034" s="109"/>
      <c r="D9034" s="109"/>
      <c r="E9034" s="109"/>
      <c r="F9034" s="110"/>
      <c r="G9034" s="109"/>
    </row>
    <row r="9035" spans="3:7" x14ac:dyDescent="0.3">
      <c r="C9035" s="109"/>
      <c r="D9035" s="109"/>
      <c r="E9035" s="109"/>
      <c r="F9035" s="110"/>
      <c r="G9035" s="109"/>
    </row>
    <row r="9036" spans="3:7" x14ac:dyDescent="0.3">
      <c r="C9036" s="109"/>
      <c r="D9036" s="109"/>
      <c r="E9036" s="109"/>
      <c r="F9036" s="110"/>
      <c r="G9036" s="109"/>
    </row>
    <row r="9037" spans="3:7" x14ac:dyDescent="0.3">
      <c r="C9037" s="109"/>
      <c r="D9037" s="109"/>
      <c r="E9037" s="109"/>
      <c r="F9037" s="110"/>
      <c r="G9037" s="109"/>
    </row>
    <row r="9038" spans="3:7" x14ac:dyDescent="0.3">
      <c r="C9038" s="109"/>
      <c r="D9038" s="109"/>
      <c r="E9038" s="109"/>
      <c r="F9038" s="110"/>
      <c r="G9038" s="109"/>
    </row>
    <row r="9039" spans="3:7" x14ac:dyDescent="0.3">
      <c r="C9039" s="109"/>
      <c r="D9039" s="109"/>
      <c r="E9039" s="109"/>
      <c r="F9039" s="110"/>
      <c r="G9039" s="109"/>
    </row>
    <row r="9040" spans="3:7" x14ac:dyDescent="0.3">
      <c r="C9040" s="109"/>
      <c r="D9040" s="109"/>
      <c r="E9040" s="109"/>
      <c r="F9040" s="110"/>
      <c r="G9040" s="109"/>
    </row>
    <row r="9041" spans="3:7" x14ac:dyDescent="0.3">
      <c r="C9041" s="109"/>
      <c r="D9041" s="109"/>
      <c r="E9041" s="109"/>
      <c r="F9041" s="110"/>
      <c r="G9041" s="109"/>
    </row>
    <row r="9042" spans="3:7" x14ac:dyDescent="0.3">
      <c r="C9042" s="109"/>
      <c r="D9042" s="109"/>
      <c r="E9042" s="109"/>
      <c r="F9042" s="110"/>
      <c r="G9042" s="109"/>
    </row>
    <row r="9043" spans="3:7" x14ac:dyDescent="0.3">
      <c r="C9043" s="109"/>
      <c r="D9043" s="109"/>
      <c r="E9043" s="109"/>
      <c r="F9043" s="110"/>
      <c r="G9043" s="109"/>
    </row>
    <row r="9044" spans="3:7" x14ac:dyDescent="0.3">
      <c r="C9044" s="109"/>
      <c r="D9044" s="109"/>
      <c r="E9044" s="109"/>
      <c r="F9044" s="110"/>
      <c r="G9044" s="109"/>
    </row>
    <row r="9045" spans="3:7" x14ac:dyDescent="0.3">
      <c r="C9045" s="109"/>
      <c r="D9045" s="109"/>
      <c r="E9045" s="109"/>
      <c r="F9045" s="110"/>
      <c r="G9045" s="109"/>
    </row>
    <row r="9046" spans="3:7" x14ac:dyDescent="0.3">
      <c r="C9046" s="109"/>
      <c r="D9046" s="109"/>
      <c r="E9046" s="109"/>
      <c r="F9046" s="110"/>
      <c r="G9046" s="109"/>
    </row>
    <row r="9047" spans="3:7" x14ac:dyDescent="0.3">
      <c r="C9047" s="109"/>
      <c r="D9047" s="109"/>
      <c r="E9047" s="109"/>
      <c r="F9047" s="110"/>
      <c r="G9047" s="109"/>
    </row>
    <row r="9048" spans="3:7" x14ac:dyDescent="0.3">
      <c r="C9048" s="109"/>
      <c r="D9048" s="109"/>
      <c r="E9048" s="109"/>
      <c r="F9048" s="110"/>
      <c r="G9048" s="109"/>
    </row>
    <row r="9049" spans="3:7" x14ac:dyDescent="0.3">
      <c r="C9049" s="109"/>
      <c r="D9049" s="109"/>
      <c r="E9049" s="109"/>
      <c r="F9049" s="110"/>
      <c r="G9049" s="109"/>
    </row>
    <row r="9050" spans="3:7" x14ac:dyDescent="0.3">
      <c r="C9050" s="109"/>
      <c r="D9050" s="109"/>
      <c r="E9050" s="109"/>
      <c r="F9050" s="110"/>
      <c r="G9050" s="109"/>
    </row>
    <row r="9051" spans="3:7" x14ac:dyDescent="0.3">
      <c r="C9051" s="109"/>
      <c r="D9051" s="109"/>
      <c r="E9051" s="109"/>
      <c r="F9051" s="110"/>
      <c r="G9051" s="109"/>
    </row>
    <row r="9052" spans="3:7" x14ac:dyDescent="0.3">
      <c r="C9052" s="109"/>
      <c r="D9052" s="109"/>
      <c r="E9052" s="109"/>
      <c r="F9052" s="110"/>
      <c r="G9052" s="109"/>
    </row>
    <row r="9053" spans="3:7" x14ac:dyDescent="0.3">
      <c r="C9053" s="109"/>
      <c r="D9053" s="109"/>
      <c r="E9053" s="109"/>
      <c r="F9053" s="110"/>
      <c r="G9053" s="109"/>
    </row>
    <row r="9054" spans="3:7" x14ac:dyDescent="0.3">
      <c r="C9054" s="109"/>
      <c r="D9054" s="109"/>
      <c r="E9054" s="109"/>
      <c r="F9054" s="110"/>
      <c r="G9054" s="109"/>
    </row>
    <row r="9055" spans="3:7" x14ac:dyDescent="0.3">
      <c r="C9055" s="109"/>
      <c r="D9055" s="109"/>
      <c r="E9055" s="109"/>
      <c r="F9055" s="110"/>
      <c r="G9055" s="109"/>
    </row>
    <row r="9056" spans="3:7" x14ac:dyDescent="0.3">
      <c r="C9056" s="109"/>
      <c r="D9056" s="109"/>
      <c r="E9056" s="109"/>
      <c r="F9056" s="110"/>
      <c r="G9056" s="109"/>
    </row>
    <row r="9057" spans="3:7" x14ac:dyDescent="0.3">
      <c r="C9057" s="109"/>
      <c r="D9057" s="109"/>
      <c r="E9057" s="109"/>
      <c r="F9057" s="110"/>
      <c r="G9057" s="109"/>
    </row>
    <row r="9058" spans="3:7" x14ac:dyDescent="0.3">
      <c r="C9058" s="109"/>
      <c r="D9058" s="109"/>
      <c r="E9058" s="109"/>
      <c r="F9058" s="110"/>
      <c r="G9058" s="109"/>
    </row>
    <row r="9059" spans="3:7" x14ac:dyDescent="0.3">
      <c r="C9059" s="109"/>
      <c r="D9059" s="109"/>
      <c r="E9059" s="109"/>
      <c r="F9059" s="110"/>
      <c r="G9059" s="109"/>
    </row>
    <row r="9060" spans="3:7" x14ac:dyDescent="0.3">
      <c r="C9060" s="109"/>
      <c r="D9060" s="109"/>
      <c r="E9060" s="109"/>
      <c r="F9060" s="110"/>
      <c r="G9060" s="109"/>
    </row>
    <row r="9061" spans="3:7" x14ac:dyDescent="0.3">
      <c r="C9061" s="109"/>
      <c r="D9061" s="109"/>
      <c r="E9061" s="109"/>
      <c r="F9061" s="110"/>
      <c r="G9061" s="109"/>
    </row>
    <row r="9062" spans="3:7" x14ac:dyDescent="0.3">
      <c r="C9062" s="109"/>
      <c r="D9062" s="109"/>
      <c r="E9062" s="109"/>
      <c r="F9062" s="110"/>
      <c r="G9062" s="109"/>
    </row>
    <row r="9063" spans="3:7" x14ac:dyDescent="0.3">
      <c r="C9063" s="109"/>
      <c r="D9063" s="109"/>
      <c r="E9063" s="109"/>
      <c r="F9063" s="110"/>
      <c r="G9063" s="109"/>
    </row>
    <row r="9064" spans="3:7" x14ac:dyDescent="0.3">
      <c r="C9064" s="109"/>
      <c r="D9064" s="109"/>
      <c r="E9064" s="109"/>
      <c r="F9064" s="110"/>
      <c r="G9064" s="109"/>
    </row>
    <row r="9065" spans="3:7" x14ac:dyDescent="0.3">
      <c r="C9065" s="109"/>
      <c r="D9065" s="109"/>
      <c r="E9065" s="109"/>
      <c r="F9065" s="110"/>
      <c r="G9065" s="109"/>
    </row>
    <row r="9066" spans="3:7" x14ac:dyDescent="0.3">
      <c r="C9066" s="109"/>
      <c r="D9066" s="109"/>
      <c r="E9066" s="109"/>
      <c r="F9066" s="110"/>
      <c r="G9066" s="109"/>
    </row>
    <row r="9067" spans="3:7" x14ac:dyDescent="0.3">
      <c r="C9067" s="109"/>
      <c r="D9067" s="109"/>
      <c r="E9067" s="109"/>
      <c r="F9067" s="110"/>
      <c r="G9067" s="109"/>
    </row>
    <row r="9068" spans="3:7" x14ac:dyDescent="0.3">
      <c r="C9068" s="109"/>
      <c r="D9068" s="109"/>
      <c r="E9068" s="109"/>
      <c r="F9068" s="110"/>
      <c r="G9068" s="109"/>
    </row>
    <row r="9069" spans="3:7" x14ac:dyDescent="0.3">
      <c r="C9069" s="109"/>
      <c r="D9069" s="109"/>
      <c r="E9069" s="109"/>
      <c r="F9069" s="110"/>
      <c r="G9069" s="109"/>
    </row>
    <row r="9070" spans="3:7" x14ac:dyDescent="0.3">
      <c r="C9070" s="109"/>
      <c r="D9070" s="109"/>
      <c r="E9070" s="109"/>
      <c r="F9070" s="110"/>
      <c r="G9070" s="109"/>
    </row>
    <row r="9071" spans="3:7" x14ac:dyDescent="0.3">
      <c r="C9071" s="109"/>
      <c r="D9071" s="109"/>
      <c r="E9071" s="109"/>
      <c r="F9071" s="110"/>
      <c r="G9071" s="109"/>
    </row>
    <row r="9072" spans="3:7" x14ac:dyDescent="0.3">
      <c r="C9072" s="109"/>
      <c r="D9072" s="109"/>
      <c r="E9072" s="109"/>
      <c r="F9072" s="110"/>
      <c r="G9072" s="109"/>
    </row>
    <row r="9073" spans="3:7" x14ac:dyDescent="0.3">
      <c r="C9073" s="109"/>
      <c r="D9073" s="109"/>
      <c r="E9073" s="109"/>
      <c r="F9073" s="110"/>
      <c r="G9073" s="109"/>
    </row>
    <row r="9074" spans="3:7" x14ac:dyDescent="0.3">
      <c r="C9074" s="109"/>
      <c r="D9074" s="109"/>
      <c r="E9074" s="109"/>
      <c r="F9074" s="110"/>
      <c r="G9074" s="109"/>
    </row>
    <row r="9075" spans="3:7" x14ac:dyDescent="0.3">
      <c r="C9075" s="109"/>
      <c r="D9075" s="109"/>
      <c r="E9075" s="109"/>
      <c r="F9075" s="110"/>
      <c r="G9075" s="109"/>
    </row>
    <row r="9076" spans="3:7" x14ac:dyDescent="0.3">
      <c r="C9076" s="109"/>
      <c r="D9076" s="109"/>
      <c r="E9076" s="109"/>
      <c r="F9076" s="110"/>
      <c r="G9076" s="109"/>
    </row>
    <row r="9077" spans="3:7" x14ac:dyDescent="0.3">
      <c r="C9077" s="109"/>
      <c r="D9077" s="109"/>
      <c r="E9077" s="109"/>
      <c r="F9077" s="110"/>
      <c r="G9077" s="109"/>
    </row>
    <row r="9078" spans="3:7" x14ac:dyDescent="0.3">
      <c r="C9078" s="109"/>
      <c r="D9078" s="109"/>
      <c r="E9078" s="109"/>
      <c r="F9078" s="110"/>
      <c r="G9078" s="109"/>
    </row>
    <row r="9079" spans="3:7" x14ac:dyDescent="0.3">
      <c r="C9079" s="109"/>
      <c r="D9079" s="109"/>
      <c r="E9079" s="109"/>
      <c r="F9079" s="110"/>
      <c r="G9079" s="109"/>
    </row>
    <row r="9080" spans="3:7" x14ac:dyDescent="0.3">
      <c r="C9080" s="109"/>
      <c r="D9080" s="109"/>
      <c r="E9080" s="109"/>
      <c r="F9080" s="110"/>
      <c r="G9080" s="109"/>
    </row>
    <row r="9081" spans="3:7" x14ac:dyDescent="0.3">
      <c r="C9081" s="109"/>
      <c r="D9081" s="109"/>
      <c r="E9081" s="109"/>
      <c r="F9081" s="110"/>
      <c r="G9081" s="109"/>
    </row>
    <row r="9082" spans="3:7" x14ac:dyDescent="0.3">
      <c r="C9082" s="109"/>
      <c r="D9082" s="109"/>
      <c r="E9082" s="109"/>
      <c r="F9082" s="110"/>
      <c r="G9082" s="109"/>
    </row>
    <row r="9083" spans="3:7" x14ac:dyDescent="0.3">
      <c r="C9083" s="109"/>
      <c r="D9083" s="109"/>
      <c r="E9083" s="109"/>
      <c r="F9083" s="110"/>
      <c r="G9083" s="109"/>
    </row>
    <row r="9084" spans="3:7" x14ac:dyDescent="0.3">
      <c r="C9084" s="109"/>
      <c r="D9084" s="109"/>
      <c r="E9084" s="109"/>
      <c r="F9084" s="110"/>
      <c r="G9084" s="109"/>
    </row>
    <row r="9085" spans="3:7" x14ac:dyDescent="0.3">
      <c r="C9085" s="109"/>
      <c r="D9085" s="109"/>
      <c r="E9085" s="109"/>
      <c r="F9085" s="110"/>
      <c r="G9085" s="109"/>
    </row>
    <row r="9086" spans="3:7" x14ac:dyDescent="0.3">
      <c r="C9086" s="109"/>
      <c r="D9086" s="109"/>
      <c r="E9086" s="109"/>
      <c r="F9086" s="110"/>
      <c r="G9086" s="109"/>
    </row>
    <row r="9087" spans="3:7" x14ac:dyDescent="0.3">
      <c r="C9087" s="109"/>
      <c r="D9087" s="109"/>
      <c r="E9087" s="109"/>
      <c r="F9087" s="110"/>
      <c r="G9087" s="109"/>
    </row>
    <row r="9088" spans="3:7" x14ac:dyDescent="0.3">
      <c r="C9088" s="109"/>
      <c r="D9088" s="109"/>
      <c r="E9088" s="109"/>
      <c r="F9088" s="110"/>
      <c r="G9088" s="109"/>
    </row>
    <row r="9089" spans="3:7" x14ac:dyDescent="0.3">
      <c r="C9089" s="109"/>
      <c r="D9089" s="109"/>
      <c r="E9089" s="109"/>
      <c r="F9089" s="110"/>
      <c r="G9089" s="109"/>
    </row>
    <row r="9090" spans="3:7" x14ac:dyDescent="0.3">
      <c r="C9090" s="109"/>
      <c r="D9090" s="109"/>
      <c r="E9090" s="109"/>
      <c r="F9090" s="110"/>
      <c r="G9090" s="109"/>
    </row>
    <row r="9091" spans="3:7" x14ac:dyDescent="0.3">
      <c r="C9091" s="109"/>
      <c r="D9091" s="109"/>
      <c r="E9091" s="109"/>
      <c r="F9091" s="110"/>
      <c r="G9091" s="109"/>
    </row>
    <row r="9092" spans="3:7" x14ac:dyDescent="0.3">
      <c r="C9092" s="109"/>
      <c r="D9092" s="109"/>
      <c r="E9092" s="109"/>
      <c r="F9092" s="110"/>
      <c r="G9092" s="109"/>
    </row>
    <row r="9093" spans="3:7" x14ac:dyDescent="0.3">
      <c r="C9093" s="109"/>
      <c r="D9093" s="109"/>
      <c r="E9093" s="109"/>
      <c r="F9093" s="110"/>
      <c r="G9093" s="109"/>
    </row>
    <row r="9094" spans="3:7" x14ac:dyDescent="0.3">
      <c r="C9094" s="109"/>
      <c r="D9094" s="109"/>
      <c r="E9094" s="109"/>
      <c r="F9094" s="110"/>
      <c r="G9094" s="109"/>
    </row>
    <row r="9095" spans="3:7" x14ac:dyDescent="0.3">
      <c r="C9095" s="109"/>
      <c r="D9095" s="109"/>
      <c r="E9095" s="109"/>
      <c r="F9095" s="110"/>
      <c r="G9095" s="109"/>
    </row>
    <row r="9096" spans="3:7" x14ac:dyDescent="0.3">
      <c r="C9096" s="109"/>
      <c r="D9096" s="109"/>
      <c r="E9096" s="109"/>
      <c r="F9096" s="110"/>
      <c r="G9096" s="109"/>
    </row>
    <row r="9097" spans="3:7" x14ac:dyDescent="0.3">
      <c r="C9097" s="109"/>
      <c r="D9097" s="109"/>
      <c r="E9097" s="109"/>
      <c r="F9097" s="110"/>
      <c r="G9097" s="109"/>
    </row>
    <row r="9098" spans="3:7" x14ac:dyDescent="0.3">
      <c r="C9098" s="109"/>
      <c r="D9098" s="109"/>
      <c r="E9098" s="109"/>
      <c r="F9098" s="110"/>
      <c r="G9098" s="109"/>
    </row>
    <row r="9099" spans="3:7" x14ac:dyDescent="0.3">
      <c r="C9099" s="109"/>
      <c r="D9099" s="109"/>
      <c r="E9099" s="109"/>
      <c r="F9099" s="110"/>
      <c r="G9099" s="109"/>
    </row>
    <row r="9100" spans="3:7" x14ac:dyDescent="0.3">
      <c r="C9100" s="109"/>
      <c r="D9100" s="109"/>
      <c r="E9100" s="109"/>
      <c r="F9100" s="110"/>
      <c r="G9100" s="109"/>
    </row>
    <row r="9101" spans="3:7" x14ac:dyDescent="0.3">
      <c r="C9101" s="109"/>
      <c r="D9101" s="109"/>
      <c r="E9101" s="109"/>
      <c r="F9101" s="110"/>
      <c r="G9101" s="109"/>
    </row>
    <row r="9102" spans="3:7" x14ac:dyDescent="0.3">
      <c r="C9102" s="109"/>
      <c r="D9102" s="109"/>
      <c r="E9102" s="109"/>
      <c r="F9102" s="110"/>
      <c r="G9102" s="109"/>
    </row>
    <row r="9103" spans="3:7" x14ac:dyDescent="0.3">
      <c r="C9103" s="109"/>
      <c r="D9103" s="109"/>
      <c r="E9103" s="109"/>
      <c r="F9103" s="110"/>
      <c r="G9103" s="109"/>
    </row>
    <row r="9104" spans="3:7" x14ac:dyDescent="0.3">
      <c r="C9104" s="109"/>
      <c r="D9104" s="109"/>
      <c r="E9104" s="109"/>
      <c r="F9104" s="110"/>
      <c r="G9104" s="109"/>
    </row>
    <row r="9105" spans="3:7" x14ac:dyDescent="0.3">
      <c r="C9105" s="109"/>
      <c r="D9105" s="109"/>
      <c r="E9105" s="109"/>
      <c r="F9105" s="110"/>
      <c r="G9105" s="109"/>
    </row>
    <row r="9106" spans="3:7" x14ac:dyDescent="0.3">
      <c r="C9106" s="109"/>
      <c r="D9106" s="109"/>
      <c r="E9106" s="109"/>
      <c r="F9106" s="110"/>
      <c r="G9106" s="109"/>
    </row>
    <row r="9107" spans="3:7" x14ac:dyDescent="0.3">
      <c r="C9107" s="109"/>
      <c r="D9107" s="109"/>
      <c r="E9107" s="109"/>
      <c r="F9107" s="110"/>
      <c r="G9107" s="109"/>
    </row>
    <row r="9108" spans="3:7" x14ac:dyDescent="0.3">
      <c r="C9108" s="109"/>
      <c r="D9108" s="109"/>
      <c r="E9108" s="109"/>
      <c r="F9108" s="110"/>
      <c r="G9108" s="109"/>
    </row>
    <row r="9109" spans="3:7" x14ac:dyDescent="0.3">
      <c r="C9109" s="109"/>
      <c r="D9109" s="109"/>
      <c r="E9109" s="109"/>
      <c r="F9109" s="110"/>
      <c r="G9109" s="109"/>
    </row>
    <row r="9110" spans="3:7" x14ac:dyDescent="0.3">
      <c r="C9110" s="109"/>
      <c r="D9110" s="109"/>
      <c r="E9110" s="109"/>
      <c r="F9110" s="110"/>
      <c r="G9110" s="109"/>
    </row>
    <row r="9111" spans="3:7" x14ac:dyDescent="0.3">
      <c r="C9111" s="109"/>
      <c r="D9111" s="109"/>
      <c r="E9111" s="109"/>
      <c r="F9111" s="110"/>
      <c r="G9111" s="109"/>
    </row>
    <row r="9112" spans="3:7" x14ac:dyDescent="0.3">
      <c r="C9112" s="109"/>
      <c r="D9112" s="109"/>
      <c r="E9112" s="109"/>
      <c r="F9112" s="110"/>
      <c r="G9112" s="109"/>
    </row>
    <row r="9113" spans="3:7" x14ac:dyDescent="0.3">
      <c r="C9113" s="109"/>
      <c r="D9113" s="109"/>
      <c r="E9113" s="109"/>
      <c r="F9113" s="110"/>
      <c r="G9113" s="109"/>
    </row>
    <row r="9114" spans="3:7" x14ac:dyDescent="0.3">
      <c r="C9114" s="109"/>
      <c r="D9114" s="109"/>
      <c r="E9114" s="109"/>
      <c r="F9114" s="110"/>
      <c r="G9114" s="109"/>
    </row>
    <row r="9115" spans="3:7" x14ac:dyDescent="0.3">
      <c r="C9115" s="109"/>
      <c r="D9115" s="109"/>
      <c r="E9115" s="109"/>
      <c r="F9115" s="110"/>
      <c r="G9115" s="109"/>
    </row>
    <row r="9116" spans="3:7" x14ac:dyDescent="0.3">
      <c r="C9116" s="109"/>
      <c r="D9116" s="109"/>
      <c r="E9116" s="109"/>
      <c r="F9116" s="110"/>
      <c r="G9116" s="109"/>
    </row>
    <row r="9117" spans="3:7" x14ac:dyDescent="0.3">
      <c r="C9117" s="109"/>
      <c r="D9117" s="109"/>
      <c r="E9117" s="109"/>
      <c r="F9117" s="110"/>
      <c r="G9117" s="109"/>
    </row>
    <row r="9118" spans="3:7" x14ac:dyDescent="0.3">
      <c r="C9118" s="109"/>
      <c r="D9118" s="109"/>
      <c r="E9118" s="109"/>
      <c r="F9118" s="110"/>
      <c r="G9118" s="109"/>
    </row>
    <row r="9119" spans="3:7" x14ac:dyDescent="0.3">
      <c r="C9119" s="109"/>
      <c r="D9119" s="109"/>
      <c r="E9119" s="109"/>
      <c r="F9119" s="110"/>
      <c r="G9119" s="109"/>
    </row>
    <row r="9120" spans="3:7" x14ac:dyDescent="0.3">
      <c r="C9120" s="109"/>
      <c r="D9120" s="109"/>
      <c r="E9120" s="109"/>
      <c r="F9120" s="110"/>
      <c r="G9120" s="109"/>
    </row>
    <row r="9121" spans="3:7" x14ac:dyDescent="0.3">
      <c r="C9121" s="109"/>
      <c r="D9121" s="109"/>
      <c r="E9121" s="109"/>
      <c r="F9121" s="110"/>
      <c r="G9121" s="109"/>
    </row>
    <row r="9122" spans="3:7" x14ac:dyDescent="0.3">
      <c r="C9122" s="109"/>
      <c r="D9122" s="109"/>
      <c r="E9122" s="109"/>
      <c r="F9122" s="110"/>
      <c r="G9122" s="109"/>
    </row>
    <row r="9123" spans="3:7" x14ac:dyDescent="0.3">
      <c r="C9123" s="109"/>
      <c r="D9123" s="109"/>
      <c r="E9123" s="109"/>
      <c r="F9123" s="110"/>
      <c r="G9123" s="109"/>
    </row>
    <row r="9124" spans="3:7" x14ac:dyDescent="0.3">
      <c r="C9124" s="109"/>
      <c r="D9124" s="109"/>
      <c r="E9124" s="109"/>
      <c r="F9124" s="110"/>
      <c r="G9124" s="109"/>
    </row>
    <row r="9125" spans="3:7" x14ac:dyDescent="0.3">
      <c r="C9125" s="109"/>
      <c r="D9125" s="109"/>
      <c r="E9125" s="109"/>
      <c r="F9125" s="110"/>
      <c r="G9125" s="109"/>
    </row>
    <row r="9126" spans="3:7" x14ac:dyDescent="0.3">
      <c r="C9126" s="109"/>
      <c r="D9126" s="109"/>
      <c r="E9126" s="109"/>
      <c r="F9126" s="110"/>
      <c r="G9126" s="109"/>
    </row>
    <row r="9127" spans="3:7" x14ac:dyDescent="0.3">
      <c r="C9127" s="109"/>
      <c r="D9127" s="109"/>
      <c r="E9127" s="109"/>
      <c r="F9127" s="110"/>
      <c r="G9127" s="109"/>
    </row>
    <row r="9128" spans="3:7" x14ac:dyDescent="0.3">
      <c r="C9128" s="109"/>
      <c r="D9128" s="109"/>
      <c r="E9128" s="109"/>
      <c r="F9128" s="110"/>
      <c r="G9128" s="109"/>
    </row>
    <row r="9129" spans="3:7" x14ac:dyDescent="0.3">
      <c r="C9129" s="109"/>
      <c r="D9129" s="109"/>
      <c r="E9129" s="109"/>
      <c r="F9129" s="110"/>
      <c r="G9129" s="109"/>
    </row>
    <row r="9130" spans="3:7" x14ac:dyDescent="0.3">
      <c r="C9130" s="109"/>
      <c r="D9130" s="109"/>
      <c r="E9130" s="109"/>
      <c r="F9130" s="110"/>
      <c r="G9130" s="109"/>
    </row>
    <row r="9131" spans="3:7" x14ac:dyDescent="0.3">
      <c r="C9131" s="109"/>
      <c r="D9131" s="109"/>
      <c r="E9131" s="109"/>
      <c r="F9131" s="110"/>
      <c r="G9131" s="109"/>
    </row>
    <row r="9132" spans="3:7" x14ac:dyDescent="0.3">
      <c r="C9132" s="109"/>
      <c r="D9132" s="109"/>
      <c r="E9132" s="109"/>
      <c r="F9132" s="110"/>
      <c r="G9132" s="109"/>
    </row>
    <row r="9133" spans="3:7" x14ac:dyDescent="0.3">
      <c r="C9133" s="109"/>
      <c r="D9133" s="109"/>
      <c r="E9133" s="109"/>
      <c r="F9133" s="110"/>
      <c r="G9133" s="109"/>
    </row>
    <row r="9134" spans="3:7" x14ac:dyDescent="0.3">
      <c r="C9134" s="109"/>
      <c r="D9134" s="109"/>
      <c r="E9134" s="109"/>
      <c r="F9134" s="110"/>
      <c r="G9134" s="109"/>
    </row>
    <row r="9135" spans="3:7" x14ac:dyDescent="0.3">
      <c r="C9135" s="109"/>
      <c r="D9135" s="109"/>
      <c r="E9135" s="109"/>
      <c r="F9135" s="110"/>
      <c r="G9135" s="109"/>
    </row>
    <row r="9136" spans="3:7" x14ac:dyDescent="0.3">
      <c r="C9136" s="109"/>
      <c r="D9136" s="109"/>
      <c r="E9136" s="109"/>
      <c r="F9136" s="110"/>
      <c r="G9136" s="109"/>
    </row>
    <row r="9137" spans="3:7" x14ac:dyDescent="0.3">
      <c r="C9137" s="109"/>
      <c r="D9137" s="109"/>
      <c r="E9137" s="109"/>
      <c r="F9137" s="110"/>
      <c r="G9137" s="109"/>
    </row>
    <row r="9138" spans="3:7" x14ac:dyDescent="0.3">
      <c r="C9138" s="109"/>
      <c r="D9138" s="109"/>
      <c r="E9138" s="109"/>
      <c r="F9138" s="110"/>
      <c r="G9138" s="109"/>
    </row>
    <row r="9139" spans="3:7" x14ac:dyDescent="0.3">
      <c r="C9139" s="109"/>
      <c r="D9139" s="109"/>
      <c r="E9139" s="109"/>
      <c r="F9139" s="110"/>
      <c r="G9139" s="109"/>
    </row>
    <row r="9140" spans="3:7" x14ac:dyDescent="0.3">
      <c r="C9140" s="109"/>
      <c r="D9140" s="109"/>
      <c r="E9140" s="109"/>
      <c r="F9140" s="110"/>
      <c r="G9140" s="109"/>
    </row>
    <row r="9141" spans="3:7" x14ac:dyDescent="0.3">
      <c r="C9141" s="109"/>
      <c r="D9141" s="109"/>
      <c r="E9141" s="109"/>
      <c r="F9141" s="110"/>
      <c r="G9141" s="109"/>
    </row>
    <row r="9142" spans="3:7" x14ac:dyDescent="0.3">
      <c r="C9142" s="109"/>
      <c r="D9142" s="109"/>
      <c r="E9142" s="109"/>
      <c r="F9142" s="110"/>
      <c r="G9142" s="109"/>
    </row>
    <row r="9143" spans="3:7" x14ac:dyDescent="0.3">
      <c r="C9143" s="109"/>
      <c r="D9143" s="109"/>
      <c r="E9143" s="109"/>
      <c r="F9143" s="110"/>
      <c r="G9143" s="109"/>
    </row>
    <row r="9144" spans="3:7" x14ac:dyDescent="0.3">
      <c r="C9144" s="109"/>
      <c r="D9144" s="109"/>
      <c r="E9144" s="109"/>
      <c r="F9144" s="110"/>
      <c r="G9144" s="109"/>
    </row>
    <row r="9145" spans="3:7" x14ac:dyDescent="0.3">
      <c r="C9145" s="109"/>
      <c r="D9145" s="109"/>
      <c r="E9145" s="109"/>
      <c r="F9145" s="110"/>
      <c r="G9145" s="109"/>
    </row>
    <row r="9146" spans="3:7" x14ac:dyDescent="0.3">
      <c r="C9146" s="109"/>
      <c r="D9146" s="109"/>
      <c r="E9146" s="109"/>
      <c r="F9146" s="110"/>
      <c r="G9146" s="109"/>
    </row>
    <row r="9147" spans="3:7" x14ac:dyDescent="0.3">
      <c r="C9147" s="109"/>
      <c r="D9147" s="109"/>
      <c r="E9147" s="109"/>
      <c r="F9147" s="110"/>
      <c r="G9147" s="109"/>
    </row>
    <row r="9148" spans="3:7" x14ac:dyDescent="0.3">
      <c r="C9148" s="109"/>
      <c r="D9148" s="109"/>
      <c r="E9148" s="109"/>
      <c r="F9148" s="110"/>
      <c r="G9148" s="109"/>
    </row>
    <row r="9149" spans="3:7" x14ac:dyDescent="0.3">
      <c r="C9149" s="109"/>
      <c r="D9149" s="109"/>
      <c r="E9149" s="109"/>
      <c r="F9149" s="110"/>
      <c r="G9149" s="109"/>
    </row>
    <row r="9150" spans="3:7" x14ac:dyDescent="0.3">
      <c r="C9150" s="109"/>
      <c r="D9150" s="109"/>
      <c r="E9150" s="109"/>
      <c r="F9150" s="110"/>
      <c r="G9150" s="109"/>
    </row>
    <row r="9151" spans="3:7" x14ac:dyDescent="0.3">
      <c r="C9151" s="109"/>
      <c r="D9151" s="109"/>
      <c r="E9151" s="109"/>
      <c r="F9151" s="110"/>
      <c r="G9151" s="109"/>
    </row>
    <row r="9152" spans="3:7" x14ac:dyDescent="0.3">
      <c r="C9152" s="109"/>
      <c r="D9152" s="109"/>
      <c r="E9152" s="109"/>
      <c r="F9152" s="110"/>
      <c r="G9152" s="109"/>
    </row>
    <row r="9153" spans="3:7" x14ac:dyDescent="0.3">
      <c r="C9153" s="109"/>
      <c r="D9153" s="109"/>
      <c r="E9153" s="109"/>
      <c r="F9153" s="110"/>
      <c r="G9153" s="109"/>
    </row>
    <row r="9154" spans="3:7" x14ac:dyDescent="0.3">
      <c r="C9154" s="109"/>
      <c r="D9154" s="109"/>
      <c r="E9154" s="109"/>
      <c r="F9154" s="110"/>
      <c r="G9154" s="109"/>
    </row>
    <row r="9155" spans="3:7" x14ac:dyDescent="0.3">
      <c r="C9155" s="109"/>
      <c r="D9155" s="109"/>
      <c r="E9155" s="109"/>
      <c r="F9155" s="110"/>
      <c r="G9155" s="109"/>
    </row>
    <row r="9156" spans="3:7" x14ac:dyDescent="0.3">
      <c r="C9156" s="109"/>
      <c r="D9156" s="109"/>
      <c r="E9156" s="109"/>
      <c r="F9156" s="110"/>
      <c r="G9156" s="109"/>
    </row>
    <row r="9157" spans="3:7" x14ac:dyDescent="0.3">
      <c r="C9157" s="109"/>
      <c r="D9157" s="109"/>
      <c r="E9157" s="109"/>
      <c r="F9157" s="110"/>
      <c r="G9157" s="109"/>
    </row>
    <row r="9158" spans="3:7" x14ac:dyDescent="0.3">
      <c r="C9158" s="109"/>
      <c r="D9158" s="109"/>
      <c r="E9158" s="109"/>
      <c r="F9158" s="110"/>
      <c r="G9158" s="109"/>
    </row>
    <row r="9159" spans="3:7" x14ac:dyDescent="0.3">
      <c r="C9159" s="109"/>
      <c r="D9159" s="109"/>
      <c r="E9159" s="109"/>
      <c r="F9159" s="110"/>
      <c r="G9159" s="109"/>
    </row>
    <row r="9160" spans="3:7" x14ac:dyDescent="0.3">
      <c r="C9160" s="109"/>
      <c r="D9160" s="109"/>
      <c r="E9160" s="109"/>
      <c r="F9160" s="110"/>
      <c r="G9160" s="109"/>
    </row>
    <row r="9161" spans="3:7" x14ac:dyDescent="0.3">
      <c r="C9161" s="109"/>
      <c r="D9161" s="109"/>
      <c r="E9161" s="109"/>
      <c r="F9161" s="110"/>
      <c r="G9161" s="109"/>
    </row>
    <row r="9162" spans="3:7" x14ac:dyDescent="0.3">
      <c r="C9162" s="109"/>
      <c r="D9162" s="109"/>
      <c r="E9162" s="109"/>
      <c r="F9162" s="110"/>
      <c r="G9162" s="109"/>
    </row>
    <row r="9163" spans="3:7" x14ac:dyDescent="0.3">
      <c r="C9163" s="109"/>
      <c r="D9163" s="109"/>
      <c r="E9163" s="109"/>
      <c r="F9163" s="110"/>
      <c r="G9163" s="109"/>
    </row>
    <row r="9164" spans="3:7" x14ac:dyDescent="0.3">
      <c r="C9164" s="109"/>
      <c r="D9164" s="109"/>
      <c r="E9164" s="109"/>
      <c r="F9164" s="110"/>
      <c r="G9164" s="109"/>
    </row>
    <row r="9165" spans="3:7" x14ac:dyDescent="0.3">
      <c r="C9165" s="109"/>
      <c r="D9165" s="109"/>
      <c r="E9165" s="109"/>
      <c r="F9165" s="110"/>
      <c r="G9165" s="109"/>
    </row>
    <row r="9166" spans="3:7" x14ac:dyDescent="0.3">
      <c r="C9166" s="109"/>
      <c r="D9166" s="109"/>
      <c r="E9166" s="109"/>
      <c r="F9166" s="110"/>
      <c r="G9166" s="109"/>
    </row>
    <row r="9167" spans="3:7" x14ac:dyDescent="0.3">
      <c r="C9167" s="109"/>
      <c r="D9167" s="109"/>
      <c r="E9167" s="109"/>
      <c r="F9167" s="110"/>
      <c r="G9167" s="109"/>
    </row>
    <row r="9168" spans="3:7" x14ac:dyDescent="0.3">
      <c r="C9168" s="109"/>
      <c r="D9168" s="109"/>
      <c r="E9168" s="109"/>
      <c r="F9168" s="110"/>
      <c r="G9168" s="109"/>
    </row>
    <row r="9169" spans="3:7" x14ac:dyDescent="0.3">
      <c r="C9169" s="109"/>
      <c r="D9169" s="109"/>
      <c r="E9169" s="109"/>
      <c r="F9169" s="110"/>
      <c r="G9169" s="109"/>
    </row>
    <row r="9170" spans="3:7" x14ac:dyDescent="0.3">
      <c r="C9170" s="109"/>
      <c r="D9170" s="109"/>
      <c r="E9170" s="109"/>
      <c r="F9170" s="110"/>
      <c r="G9170" s="109"/>
    </row>
    <row r="9171" spans="3:7" x14ac:dyDescent="0.3">
      <c r="C9171" s="109"/>
      <c r="D9171" s="109"/>
      <c r="E9171" s="109"/>
      <c r="F9171" s="110"/>
      <c r="G9171" s="109"/>
    </row>
    <row r="9172" spans="3:7" x14ac:dyDescent="0.3">
      <c r="C9172" s="109"/>
      <c r="D9172" s="109"/>
      <c r="E9172" s="109"/>
      <c r="F9172" s="110"/>
      <c r="G9172" s="109"/>
    </row>
    <row r="9173" spans="3:7" x14ac:dyDescent="0.3">
      <c r="C9173" s="109"/>
      <c r="D9173" s="109"/>
      <c r="E9173" s="109"/>
      <c r="F9173" s="110"/>
      <c r="G9173" s="109"/>
    </row>
    <row r="9174" spans="3:7" x14ac:dyDescent="0.3">
      <c r="C9174" s="109"/>
      <c r="D9174" s="109"/>
      <c r="E9174" s="109"/>
      <c r="F9174" s="110"/>
      <c r="G9174" s="109"/>
    </row>
    <row r="9175" spans="3:7" x14ac:dyDescent="0.3">
      <c r="C9175" s="109"/>
      <c r="D9175" s="109"/>
      <c r="E9175" s="109"/>
      <c r="F9175" s="110"/>
      <c r="G9175" s="109"/>
    </row>
    <row r="9176" spans="3:7" x14ac:dyDescent="0.3">
      <c r="C9176" s="109"/>
      <c r="D9176" s="109"/>
      <c r="E9176" s="109"/>
      <c r="F9176" s="110"/>
      <c r="G9176" s="109"/>
    </row>
    <row r="9177" spans="3:7" x14ac:dyDescent="0.3">
      <c r="C9177" s="109"/>
      <c r="D9177" s="109"/>
      <c r="E9177" s="109"/>
      <c r="F9177" s="110"/>
      <c r="G9177" s="109"/>
    </row>
    <row r="9178" spans="3:7" x14ac:dyDescent="0.3">
      <c r="C9178" s="109"/>
      <c r="D9178" s="109"/>
      <c r="E9178" s="109"/>
      <c r="F9178" s="110"/>
      <c r="G9178" s="109"/>
    </row>
    <row r="9179" spans="3:7" x14ac:dyDescent="0.3">
      <c r="C9179" s="109"/>
      <c r="D9179" s="109"/>
      <c r="E9179" s="109"/>
      <c r="F9179" s="110"/>
      <c r="G9179" s="109"/>
    </row>
    <row r="9180" spans="3:7" x14ac:dyDescent="0.3">
      <c r="C9180" s="109"/>
      <c r="D9180" s="109"/>
      <c r="E9180" s="109"/>
      <c r="F9180" s="110"/>
      <c r="G9180" s="109"/>
    </row>
    <row r="9181" spans="3:7" x14ac:dyDescent="0.3">
      <c r="C9181" s="109"/>
      <c r="D9181" s="109"/>
      <c r="E9181" s="109"/>
      <c r="F9181" s="110"/>
      <c r="G9181" s="109"/>
    </row>
    <row r="9182" spans="3:7" x14ac:dyDescent="0.3">
      <c r="C9182" s="109"/>
      <c r="D9182" s="109"/>
      <c r="E9182" s="109"/>
      <c r="F9182" s="110"/>
      <c r="G9182" s="109"/>
    </row>
    <row r="9183" spans="3:7" x14ac:dyDescent="0.3">
      <c r="C9183" s="109"/>
      <c r="D9183" s="109"/>
      <c r="E9183" s="109"/>
      <c r="F9183" s="110"/>
      <c r="G9183" s="109"/>
    </row>
    <row r="9184" spans="3:7" x14ac:dyDescent="0.3">
      <c r="C9184" s="109"/>
      <c r="D9184" s="109"/>
      <c r="E9184" s="109"/>
      <c r="F9184" s="110"/>
      <c r="G9184" s="109"/>
    </row>
    <row r="9185" spans="3:7" x14ac:dyDescent="0.3">
      <c r="C9185" s="109"/>
      <c r="D9185" s="109"/>
      <c r="E9185" s="109"/>
      <c r="F9185" s="110"/>
      <c r="G9185" s="109"/>
    </row>
    <row r="9186" spans="3:7" x14ac:dyDescent="0.3">
      <c r="C9186" s="109"/>
      <c r="D9186" s="109"/>
      <c r="E9186" s="109"/>
      <c r="F9186" s="110"/>
      <c r="G9186" s="109"/>
    </row>
    <row r="9187" spans="3:7" x14ac:dyDescent="0.3">
      <c r="C9187" s="109"/>
      <c r="D9187" s="109"/>
      <c r="E9187" s="109"/>
      <c r="F9187" s="110"/>
      <c r="G9187" s="109"/>
    </row>
    <row r="9188" spans="3:7" x14ac:dyDescent="0.3">
      <c r="C9188" s="109"/>
      <c r="D9188" s="109"/>
      <c r="E9188" s="109"/>
      <c r="F9188" s="110"/>
      <c r="G9188" s="109"/>
    </row>
    <row r="9189" spans="3:7" x14ac:dyDescent="0.3">
      <c r="C9189" s="109"/>
      <c r="D9189" s="109"/>
      <c r="E9189" s="109"/>
      <c r="F9189" s="110"/>
      <c r="G9189" s="109"/>
    </row>
    <row r="9190" spans="3:7" x14ac:dyDescent="0.3">
      <c r="C9190" s="109"/>
      <c r="D9190" s="109"/>
      <c r="E9190" s="109"/>
      <c r="F9190" s="110"/>
      <c r="G9190" s="109"/>
    </row>
    <row r="9191" spans="3:7" x14ac:dyDescent="0.3">
      <c r="C9191" s="109"/>
      <c r="D9191" s="109"/>
      <c r="E9191" s="109"/>
      <c r="F9191" s="110"/>
      <c r="G9191" s="109"/>
    </row>
    <row r="9192" spans="3:7" x14ac:dyDescent="0.3">
      <c r="C9192" s="109"/>
      <c r="D9192" s="109"/>
      <c r="E9192" s="109"/>
      <c r="F9192" s="110"/>
      <c r="G9192" s="109"/>
    </row>
    <row r="9193" spans="3:7" x14ac:dyDescent="0.3">
      <c r="C9193" s="109"/>
      <c r="D9193" s="109"/>
      <c r="E9193" s="109"/>
      <c r="F9193" s="110"/>
      <c r="G9193" s="109"/>
    </row>
    <row r="9194" spans="3:7" x14ac:dyDescent="0.3">
      <c r="C9194" s="109"/>
      <c r="D9194" s="109"/>
      <c r="E9194" s="109"/>
      <c r="F9194" s="110"/>
      <c r="G9194" s="109"/>
    </row>
    <row r="9195" spans="3:7" x14ac:dyDescent="0.3">
      <c r="C9195" s="109"/>
      <c r="D9195" s="109"/>
      <c r="E9195" s="109"/>
      <c r="F9195" s="110"/>
      <c r="G9195" s="109"/>
    </row>
    <row r="9196" spans="3:7" x14ac:dyDescent="0.3">
      <c r="C9196" s="109"/>
      <c r="D9196" s="109"/>
      <c r="E9196" s="109"/>
      <c r="F9196" s="110"/>
      <c r="G9196" s="109"/>
    </row>
    <row r="9197" spans="3:7" x14ac:dyDescent="0.3">
      <c r="C9197" s="109"/>
      <c r="D9197" s="109"/>
      <c r="E9197" s="109"/>
      <c r="F9197" s="110"/>
      <c r="G9197" s="109"/>
    </row>
    <row r="9198" spans="3:7" x14ac:dyDescent="0.3">
      <c r="C9198" s="109"/>
      <c r="D9198" s="109"/>
      <c r="E9198" s="109"/>
      <c r="F9198" s="110"/>
      <c r="G9198" s="109"/>
    </row>
    <row r="9199" spans="3:7" x14ac:dyDescent="0.3">
      <c r="C9199" s="109"/>
      <c r="D9199" s="109"/>
      <c r="E9199" s="109"/>
      <c r="F9199" s="110"/>
      <c r="G9199" s="109"/>
    </row>
    <row r="9200" spans="3:7" x14ac:dyDescent="0.3">
      <c r="C9200" s="109"/>
      <c r="D9200" s="109"/>
      <c r="E9200" s="109"/>
      <c r="F9200" s="110"/>
      <c r="G9200" s="109"/>
    </row>
    <row r="9201" spans="3:7" x14ac:dyDescent="0.3">
      <c r="C9201" s="109"/>
      <c r="D9201" s="109"/>
      <c r="E9201" s="109"/>
      <c r="F9201" s="110"/>
      <c r="G9201" s="109"/>
    </row>
    <row r="9202" spans="3:7" x14ac:dyDescent="0.3">
      <c r="C9202" s="109"/>
      <c r="D9202" s="109"/>
      <c r="E9202" s="109"/>
      <c r="F9202" s="110"/>
      <c r="G9202" s="109"/>
    </row>
    <row r="9203" spans="3:7" x14ac:dyDescent="0.3">
      <c r="C9203" s="109"/>
      <c r="D9203" s="109"/>
      <c r="E9203" s="109"/>
      <c r="F9203" s="110"/>
      <c r="G9203" s="109"/>
    </row>
    <row r="9204" spans="3:7" x14ac:dyDescent="0.3">
      <c r="C9204" s="109"/>
      <c r="D9204" s="109"/>
      <c r="E9204" s="109"/>
      <c r="F9204" s="110"/>
      <c r="G9204" s="109"/>
    </row>
    <row r="9205" spans="3:7" x14ac:dyDescent="0.3">
      <c r="C9205" s="109"/>
      <c r="D9205" s="109"/>
      <c r="E9205" s="109"/>
      <c r="F9205" s="110"/>
      <c r="G9205" s="109"/>
    </row>
    <row r="9206" spans="3:7" x14ac:dyDescent="0.3">
      <c r="C9206" s="109"/>
      <c r="D9206" s="109"/>
      <c r="E9206" s="109"/>
      <c r="F9206" s="110"/>
      <c r="G9206" s="109"/>
    </row>
    <row r="9207" spans="3:7" x14ac:dyDescent="0.3">
      <c r="C9207" s="109"/>
      <c r="D9207" s="109"/>
      <c r="E9207" s="109"/>
      <c r="F9207" s="110"/>
      <c r="G9207" s="109"/>
    </row>
    <row r="9208" spans="3:7" x14ac:dyDescent="0.3">
      <c r="C9208" s="109"/>
      <c r="D9208" s="109"/>
      <c r="E9208" s="109"/>
      <c r="F9208" s="110"/>
      <c r="G9208" s="109"/>
    </row>
    <row r="9209" spans="3:7" x14ac:dyDescent="0.3">
      <c r="C9209" s="109"/>
      <c r="D9209" s="109"/>
      <c r="E9209" s="109"/>
      <c r="F9209" s="110"/>
      <c r="G9209" s="109"/>
    </row>
    <row r="9210" spans="3:7" x14ac:dyDescent="0.3">
      <c r="C9210" s="109"/>
      <c r="D9210" s="109"/>
      <c r="E9210" s="109"/>
      <c r="F9210" s="110"/>
      <c r="G9210" s="109"/>
    </row>
    <row r="9211" spans="3:7" x14ac:dyDescent="0.3">
      <c r="C9211" s="109"/>
      <c r="D9211" s="109"/>
      <c r="E9211" s="109"/>
      <c r="F9211" s="110"/>
      <c r="G9211" s="109"/>
    </row>
    <row r="9212" spans="3:7" x14ac:dyDescent="0.3">
      <c r="C9212" s="109"/>
      <c r="D9212" s="109"/>
      <c r="E9212" s="109"/>
      <c r="F9212" s="110"/>
      <c r="G9212" s="109"/>
    </row>
    <row r="9213" spans="3:7" x14ac:dyDescent="0.3">
      <c r="C9213" s="109"/>
      <c r="D9213" s="109"/>
      <c r="E9213" s="109"/>
      <c r="F9213" s="110"/>
      <c r="G9213" s="109"/>
    </row>
    <row r="9214" spans="3:7" x14ac:dyDescent="0.3">
      <c r="C9214" s="109"/>
      <c r="D9214" s="109"/>
      <c r="E9214" s="109"/>
      <c r="F9214" s="110"/>
      <c r="G9214" s="109"/>
    </row>
    <row r="9215" spans="3:7" x14ac:dyDescent="0.3">
      <c r="C9215" s="109"/>
      <c r="D9215" s="109"/>
      <c r="E9215" s="109"/>
      <c r="F9215" s="110"/>
      <c r="G9215" s="109"/>
    </row>
    <row r="9216" spans="3:7" x14ac:dyDescent="0.3">
      <c r="C9216" s="109"/>
      <c r="D9216" s="109"/>
      <c r="E9216" s="109"/>
      <c r="F9216" s="110"/>
      <c r="G9216" s="109"/>
    </row>
    <row r="9217" spans="3:7" x14ac:dyDescent="0.3">
      <c r="C9217" s="109"/>
      <c r="D9217" s="109"/>
      <c r="E9217" s="109"/>
      <c r="F9217" s="110"/>
      <c r="G9217" s="109"/>
    </row>
    <row r="9218" spans="3:7" x14ac:dyDescent="0.3">
      <c r="C9218" s="109"/>
      <c r="D9218" s="109"/>
      <c r="E9218" s="109"/>
      <c r="F9218" s="110"/>
      <c r="G9218" s="109"/>
    </row>
    <row r="9219" spans="3:7" x14ac:dyDescent="0.3">
      <c r="C9219" s="109"/>
      <c r="D9219" s="109"/>
      <c r="E9219" s="109"/>
      <c r="F9219" s="110"/>
      <c r="G9219" s="109"/>
    </row>
    <row r="9220" spans="3:7" x14ac:dyDescent="0.3">
      <c r="C9220" s="109"/>
      <c r="D9220" s="109"/>
      <c r="E9220" s="109"/>
      <c r="F9220" s="110"/>
      <c r="G9220" s="109"/>
    </row>
    <row r="9221" spans="3:7" x14ac:dyDescent="0.3">
      <c r="C9221" s="109"/>
      <c r="D9221" s="109"/>
      <c r="E9221" s="109"/>
      <c r="F9221" s="110"/>
      <c r="G9221" s="109"/>
    </row>
    <row r="9222" spans="3:7" x14ac:dyDescent="0.3">
      <c r="C9222" s="109"/>
      <c r="D9222" s="109"/>
      <c r="E9222" s="109"/>
      <c r="F9222" s="110"/>
      <c r="G9222" s="109"/>
    </row>
    <row r="9223" spans="3:7" x14ac:dyDescent="0.3">
      <c r="C9223" s="109"/>
      <c r="D9223" s="109"/>
      <c r="E9223" s="109"/>
      <c r="F9223" s="110"/>
      <c r="G9223" s="109"/>
    </row>
    <row r="9224" spans="3:7" x14ac:dyDescent="0.3">
      <c r="C9224" s="109"/>
      <c r="D9224" s="109"/>
      <c r="E9224" s="109"/>
      <c r="F9224" s="110"/>
      <c r="G9224" s="109"/>
    </row>
    <row r="9225" spans="3:7" x14ac:dyDescent="0.3">
      <c r="C9225" s="109"/>
      <c r="D9225" s="109"/>
      <c r="E9225" s="109"/>
      <c r="F9225" s="110"/>
      <c r="G9225" s="109"/>
    </row>
    <row r="9226" spans="3:7" x14ac:dyDescent="0.3">
      <c r="C9226" s="109"/>
      <c r="D9226" s="109"/>
      <c r="E9226" s="109"/>
      <c r="F9226" s="110"/>
      <c r="G9226" s="109"/>
    </row>
    <row r="9227" spans="3:7" x14ac:dyDescent="0.3">
      <c r="C9227" s="109"/>
      <c r="D9227" s="109"/>
      <c r="E9227" s="109"/>
      <c r="F9227" s="110"/>
      <c r="G9227" s="109"/>
    </row>
    <row r="9228" spans="3:7" x14ac:dyDescent="0.3">
      <c r="C9228" s="109"/>
      <c r="D9228" s="109"/>
      <c r="E9228" s="109"/>
      <c r="F9228" s="110"/>
      <c r="G9228" s="109"/>
    </row>
    <row r="9229" spans="3:7" x14ac:dyDescent="0.3">
      <c r="C9229" s="109"/>
      <c r="D9229" s="109"/>
      <c r="E9229" s="109"/>
      <c r="F9229" s="110"/>
      <c r="G9229" s="109"/>
    </row>
    <row r="9230" spans="3:7" x14ac:dyDescent="0.3">
      <c r="C9230" s="109"/>
      <c r="D9230" s="109"/>
      <c r="E9230" s="109"/>
      <c r="F9230" s="110"/>
      <c r="G9230" s="109"/>
    </row>
    <row r="9231" spans="3:7" x14ac:dyDescent="0.3">
      <c r="C9231" s="109"/>
      <c r="D9231" s="109"/>
      <c r="E9231" s="109"/>
      <c r="F9231" s="110"/>
      <c r="G9231" s="109"/>
    </row>
    <row r="9232" spans="3:7" x14ac:dyDescent="0.3">
      <c r="C9232" s="109"/>
      <c r="D9232" s="109"/>
      <c r="E9232" s="109"/>
      <c r="F9232" s="110"/>
      <c r="G9232" s="109"/>
    </row>
    <row r="9233" spans="3:7" x14ac:dyDescent="0.3">
      <c r="C9233" s="109"/>
      <c r="D9233" s="109"/>
      <c r="E9233" s="109"/>
      <c r="F9233" s="110"/>
      <c r="G9233" s="109"/>
    </row>
    <row r="9234" spans="3:7" x14ac:dyDescent="0.3">
      <c r="C9234" s="109"/>
      <c r="D9234" s="109"/>
      <c r="E9234" s="109"/>
      <c r="F9234" s="110"/>
      <c r="G9234" s="109"/>
    </row>
    <row r="9235" spans="3:7" x14ac:dyDescent="0.3">
      <c r="C9235" s="109"/>
      <c r="D9235" s="109"/>
      <c r="E9235" s="109"/>
      <c r="F9235" s="110"/>
      <c r="G9235" s="109"/>
    </row>
    <row r="9236" spans="3:7" x14ac:dyDescent="0.3">
      <c r="C9236" s="109"/>
      <c r="D9236" s="109"/>
      <c r="E9236" s="109"/>
      <c r="F9236" s="110"/>
      <c r="G9236" s="109"/>
    </row>
    <row r="9237" spans="3:7" x14ac:dyDescent="0.3">
      <c r="C9237" s="109"/>
      <c r="D9237" s="109"/>
      <c r="E9237" s="109"/>
      <c r="F9237" s="110"/>
      <c r="G9237" s="109"/>
    </row>
    <row r="9238" spans="3:7" x14ac:dyDescent="0.3">
      <c r="C9238" s="109"/>
      <c r="D9238" s="109"/>
      <c r="E9238" s="109"/>
      <c r="F9238" s="110"/>
      <c r="G9238" s="109"/>
    </row>
    <row r="9239" spans="3:7" x14ac:dyDescent="0.3">
      <c r="C9239" s="109"/>
      <c r="D9239" s="109"/>
      <c r="E9239" s="109"/>
      <c r="F9239" s="110"/>
      <c r="G9239" s="109"/>
    </row>
    <row r="9240" spans="3:7" x14ac:dyDescent="0.3">
      <c r="C9240" s="109"/>
      <c r="D9240" s="109"/>
      <c r="E9240" s="109"/>
      <c r="F9240" s="110"/>
      <c r="G9240" s="109"/>
    </row>
    <row r="9241" spans="3:7" x14ac:dyDescent="0.3">
      <c r="C9241" s="109"/>
      <c r="D9241" s="109"/>
      <c r="E9241" s="109"/>
      <c r="F9241" s="110"/>
      <c r="G9241" s="109"/>
    </row>
    <row r="9242" spans="3:7" x14ac:dyDescent="0.3">
      <c r="C9242" s="109"/>
      <c r="D9242" s="109"/>
      <c r="E9242" s="109"/>
      <c r="F9242" s="110"/>
      <c r="G9242" s="109"/>
    </row>
    <row r="9243" spans="3:7" x14ac:dyDescent="0.3">
      <c r="C9243" s="109"/>
      <c r="D9243" s="109"/>
      <c r="E9243" s="109"/>
      <c r="F9243" s="110"/>
      <c r="G9243" s="109"/>
    </row>
    <row r="9244" spans="3:7" x14ac:dyDescent="0.3">
      <c r="C9244" s="109"/>
      <c r="D9244" s="109"/>
      <c r="E9244" s="109"/>
      <c r="F9244" s="110"/>
      <c r="G9244" s="109"/>
    </row>
    <row r="9245" spans="3:7" x14ac:dyDescent="0.3">
      <c r="C9245" s="109"/>
      <c r="D9245" s="109"/>
      <c r="E9245" s="109"/>
      <c r="F9245" s="110"/>
      <c r="G9245" s="109"/>
    </row>
    <row r="9246" spans="3:7" x14ac:dyDescent="0.3">
      <c r="C9246" s="109"/>
      <c r="D9246" s="109"/>
      <c r="E9246" s="109"/>
      <c r="F9246" s="110"/>
      <c r="G9246" s="109"/>
    </row>
    <row r="9247" spans="3:7" x14ac:dyDescent="0.3">
      <c r="C9247" s="109"/>
      <c r="D9247" s="109"/>
      <c r="E9247" s="109"/>
      <c r="F9247" s="110"/>
      <c r="G9247" s="109"/>
    </row>
    <row r="9248" spans="3:7" x14ac:dyDescent="0.3">
      <c r="C9248" s="109"/>
      <c r="D9248" s="109"/>
      <c r="E9248" s="109"/>
      <c r="F9248" s="110"/>
      <c r="G9248" s="109"/>
    </row>
    <row r="9249" spans="3:7" x14ac:dyDescent="0.3">
      <c r="C9249" s="109"/>
      <c r="D9249" s="109"/>
      <c r="E9249" s="109"/>
      <c r="F9249" s="110"/>
      <c r="G9249" s="109"/>
    </row>
    <row r="9250" spans="3:7" x14ac:dyDescent="0.3">
      <c r="C9250" s="109"/>
      <c r="D9250" s="109"/>
      <c r="E9250" s="109"/>
      <c r="F9250" s="110"/>
      <c r="G9250" s="109"/>
    </row>
    <row r="9251" spans="3:7" x14ac:dyDescent="0.3">
      <c r="C9251" s="109"/>
      <c r="D9251" s="109"/>
      <c r="E9251" s="109"/>
      <c r="F9251" s="110"/>
      <c r="G9251" s="109"/>
    </row>
    <row r="9252" spans="3:7" x14ac:dyDescent="0.3">
      <c r="C9252" s="109"/>
      <c r="D9252" s="109"/>
      <c r="E9252" s="109"/>
      <c r="F9252" s="110"/>
      <c r="G9252" s="109"/>
    </row>
    <row r="9253" spans="3:7" x14ac:dyDescent="0.3">
      <c r="C9253" s="109"/>
      <c r="D9253" s="109"/>
      <c r="E9253" s="109"/>
      <c r="F9253" s="110"/>
      <c r="G9253" s="109"/>
    </row>
    <row r="9254" spans="3:7" x14ac:dyDescent="0.3">
      <c r="C9254" s="109"/>
      <c r="D9254" s="109"/>
      <c r="E9254" s="109"/>
      <c r="F9254" s="110"/>
      <c r="G9254" s="109"/>
    </row>
    <row r="9255" spans="3:7" x14ac:dyDescent="0.3">
      <c r="C9255" s="109"/>
      <c r="D9255" s="109"/>
      <c r="E9255" s="109"/>
      <c r="F9255" s="110"/>
      <c r="G9255" s="109"/>
    </row>
    <row r="9256" spans="3:7" x14ac:dyDescent="0.3">
      <c r="C9256" s="109"/>
      <c r="D9256" s="109"/>
      <c r="E9256" s="109"/>
      <c r="F9256" s="110"/>
      <c r="G9256" s="109"/>
    </row>
    <row r="9257" spans="3:7" x14ac:dyDescent="0.3">
      <c r="C9257" s="109"/>
      <c r="D9257" s="109"/>
      <c r="E9257" s="109"/>
      <c r="F9257" s="110"/>
      <c r="G9257" s="109"/>
    </row>
    <row r="9258" spans="3:7" x14ac:dyDescent="0.3">
      <c r="C9258" s="109"/>
      <c r="D9258" s="109"/>
      <c r="E9258" s="109"/>
      <c r="F9258" s="110"/>
      <c r="G9258" s="109"/>
    </row>
    <row r="9259" spans="3:7" x14ac:dyDescent="0.3">
      <c r="C9259" s="109"/>
      <c r="D9259" s="109"/>
      <c r="E9259" s="109"/>
      <c r="F9259" s="110"/>
      <c r="G9259" s="109"/>
    </row>
    <row r="9260" spans="3:7" x14ac:dyDescent="0.3">
      <c r="C9260" s="109"/>
      <c r="D9260" s="109"/>
      <c r="E9260" s="109"/>
      <c r="F9260" s="110"/>
      <c r="G9260" s="109"/>
    </row>
    <row r="9261" spans="3:7" x14ac:dyDescent="0.3">
      <c r="C9261" s="109"/>
      <c r="D9261" s="109"/>
      <c r="E9261" s="109"/>
      <c r="F9261" s="110"/>
      <c r="G9261" s="109"/>
    </row>
    <row r="9262" spans="3:7" x14ac:dyDescent="0.3">
      <c r="C9262" s="109"/>
      <c r="D9262" s="109"/>
      <c r="E9262" s="109"/>
      <c r="F9262" s="110"/>
      <c r="G9262" s="109"/>
    </row>
    <row r="9263" spans="3:7" x14ac:dyDescent="0.3">
      <c r="C9263" s="109"/>
      <c r="D9263" s="109"/>
      <c r="E9263" s="109"/>
      <c r="F9263" s="110"/>
      <c r="G9263" s="109"/>
    </row>
    <row r="9264" spans="3:7" x14ac:dyDescent="0.3">
      <c r="C9264" s="109"/>
      <c r="D9264" s="109"/>
      <c r="E9264" s="109"/>
      <c r="F9264" s="110"/>
      <c r="G9264" s="109"/>
    </row>
    <row r="9265" spans="3:7" x14ac:dyDescent="0.3">
      <c r="C9265" s="109"/>
      <c r="D9265" s="109"/>
      <c r="E9265" s="109"/>
      <c r="F9265" s="110"/>
      <c r="G9265" s="109"/>
    </row>
    <row r="9266" spans="3:7" x14ac:dyDescent="0.3">
      <c r="C9266" s="109"/>
      <c r="D9266" s="109"/>
      <c r="E9266" s="109"/>
      <c r="F9266" s="110"/>
      <c r="G9266" s="109"/>
    </row>
    <row r="9267" spans="3:7" x14ac:dyDescent="0.3">
      <c r="C9267" s="109"/>
      <c r="D9267" s="109"/>
      <c r="E9267" s="109"/>
      <c r="F9267" s="110"/>
      <c r="G9267" s="109"/>
    </row>
    <row r="9268" spans="3:7" x14ac:dyDescent="0.3">
      <c r="C9268" s="109"/>
      <c r="D9268" s="109"/>
      <c r="E9268" s="109"/>
      <c r="F9268" s="110"/>
      <c r="G9268" s="109"/>
    </row>
    <row r="9269" spans="3:7" x14ac:dyDescent="0.3">
      <c r="C9269" s="109"/>
      <c r="D9269" s="109"/>
      <c r="E9269" s="109"/>
      <c r="F9269" s="110"/>
      <c r="G9269" s="109"/>
    </row>
    <row r="9270" spans="3:7" x14ac:dyDescent="0.3">
      <c r="C9270" s="109"/>
      <c r="D9270" s="109"/>
      <c r="E9270" s="109"/>
      <c r="F9270" s="110"/>
      <c r="G9270" s="109"/>
    </row>
    <row r="9271" spans="3:7" x14ac:dyDescent="0.3">
      <c r="C9271" s="109"/>
      <c r="D9271" s="109"/>
      <c r="E9271" s="109"/>
      <c r="F9271" s="110"/>
      <c r="G9271" s="109"/>
    </row>
    <row r="9272" spans="3:7" x14ac:dyDescent="0.3">
      <c r="C9272" s="109"/>
      <c r="D9272" s="109"/>
      <c r="E9272" s="109"/>
      <c r="F9272" s="110"/>
      <c r="G9272" s="109"/>
    </row>
    <row r="9273" spans="3:7" x14ac:dyDescent="0.3">
      <c r="C9273" s="109"/>
      <c r="D9273" s="109"/>
      <c r="E9273" s="109"/>
      <c r="F9273" s="110"/>
      <c r="G9273" s="109"/>
    </row>
    <row r="9274" spans="3:7" x14ac:dyDescent="0.3">
      <c r="C9274" s="109"/>
      <c r="D9274" s="109"/>
      <c r="E9274" s="109"/>
      <c r="F9274" s="110"/>
      <c r="G9274" s="109"/>
    </row>
    <row r="9275" spans="3:7" x14ac:dyDescent="0.3">
      <c r="C9275" s="109"/>
      <c r="D9275" s="109"/>
      <c r="E9275" s="109"/>
      <c r="F9275" s="110"/>
      <c r="G9275" s="109"/>
    </row>
    <row r="9276" spans="3:7" x14ac:dyDescent="0.3">
      <c r="C9276" s="109"/>
      <c r="D9276" s="109"/>
      <c r="E9276" s="109"/>
      <c r="F9276" s="110"/>
      <c r="G9276" s="109"/>
    </row>
    <row r="9277" spans="3:7" x14ac:dyDescent="0.3">
      <c r="C9277" s="109"/>
      <c r="D9277" s="109"/>
      <c r="E9277" s="109"/>
      <c r="F9277" s="110"/>
      <c r="G9277" s="109"/>
    </row>
    <row r="9278" spans="3:7" x14ac:dyDescent="0.3">
      <c r="C9278" s="109"/>
      <c r="D9278" s="109"/>
      <c r="E9278" s="109"/>
      <c r="F9278" s="110"/>
      <c r="G9278" s="109"/>
    </row>
    <row r="9279" spans="3:7" x14ac:dyDescent="0.3">
      <c r="C9279" s="109"/>
      <c r="D9279" s="109"/>
      <c r="E9279" s="109"/>
      <c r="F9279" s="110"/>
      <c r="G9279" s="109"/>
    </row>
    <row r="9280" spans="3:7" x14ac:dyDescent="0.3">
      <c r="C9280" s="109"/>
      <c r="D9280" s="109"/>
      <c r="E9280" s="109"/>
      <c r="F9280" s="110"/>
      <c r="G9280" s="109"/>
    </row>
    <row r="9281" spans="3:7" x14ac:dyDescent="0.3">
      <c r="C9281" s="109"/>
      <c r="D9281" s="109"/>
      <c r="E9281" s="109"/>
      <c r="F9281" s="110"/>
      <c r="G9281" s="109"/>
    </row>
    <row r="9282" spans="3:7" x14ac:dyDescent="0.3">
      <c r="C9282" s="109"/>
      <c r="D9282" s="109"/>
      <c r="E9282" s="109"/>
      <c r="F9282" s="110"/>
      <c r="G9282" s="109"/>
    </row>
    <row r="9283" spans="3:7" x14ac:dyDescent="0.3">
      <c r="C9283" s="109"/>
      <c r="D9283" s="109"/>
      <c r="E9283" s="109"/>
      <c r="F9283" s="110"/>
      <c r="G9283" s="109"/>
    </row>
    <row r="9284" spans="3:7" x14ac:dyDescent="0.3">
      <c r="C9284" s="109"/>
      <c r="D9284" s="109"/>
      <c r="E9284" s="109"/>
      <c r="F9284" s="110"/>
      <c r="G9284" s="109"/>
    </row>
    <row r="9285" spans="3:7" x14ac:dyDescent="0.3">
      <c r="C9285" s="109"/>
      <c r="D9285" s="109"/>
      <c r="E9285" s="109"/>
      <c r="F9285" s="110"/>
      <c r="G9285" s="109"/>
    </row>
    <row r="9286" spans="3:7" x14ac:dyDescent="0.3">
      <c r="C9286" s="109"/>
      <c r="D9286" s="109"/>
      <c r="E9286" s="109"/>
      <c r="F9286" s="110"/>
      <c r="G9286" s="109"/>
    </row>
    <row r="9287" spans="3:7" x14ac:dyDescent="0.3">
      <c r="C9287" s="109"/>
      <c r="D9287" s="109"/>
      <c r="E9287" s="109"/>
      <c r="F9287" s="110"/>
      <c r="G9287" s="109"/>
    </row>
    <row r="9288" spans="3:7" x14ac:dyDescent="0.3">
      <c r="C9288" s="109"/>
      <c r="D9288" s="109"/>
      <c r="E9288" s="109"/>
      <c r="F9288" s="110"/>
      <c r="G9288" s="109"/>
    </row>
    <row r="9289" spans="3:7" x14ac:dyDescent="0.3">
      <c r="C9289" s="109"/>
      <c r="D9289" s="109"/>
      <c r="E9289" s="109"/>
      <c r="F9289" s="110"/>
      <c r="G9289" s="109"/>
    </row>
    <row r="9290" spans="3:7" x14ac:dyDescent="0.3">
      <c r="C9290" s="109"/>
      <c r="D9290" s="109"/>
      <c r="E9290" s="109"/>
      <c r="F9290" s="110"/>
      <c r="G9290" s="109"/>
    </row>
    <row r="9291" spans="3:7" x14ac:dyDescent="0.3">
      <c r="C9291" s="109"/>
      <c r="D9291" s="109"/>
      <c r="E9291" s="109"/>
      <c r="F9291" s="110"/>
      <c r="G9291" s="109"/>
    </row>
    <row r="9292" spans="3:7" x14ac:dyDescent="0.3">
      <c r="C9292" s="109"/>
      <c r="D9292" s="109"/>
      <c r="E9292" s="109"/>
      <c r="F9292" s="110"/>
      <c r="G9292" s="109"/>
    </row>
    <row r="9293" spans="3:7" x14ac:dyDescent="0.3">
      <c r="C9293" s="109"/>
      <c r="D9293" s="109"/>
      <c r="E9293" s="109"/>
      <c r="F9293" s="110"/>
      <c r="G9293" s="109"/>
    </row>
    <row r="9294" spans="3:7" x14ac:dyDescent="0.3">
      <c r="C9294" s="109"/>
      <c r="D9294" s="109"/>
      <c r="E9294" s="109"/>
      <c r="F9294" s="110"/>
      <c r="G9294" s="109"/>
    </row>
    <row r="9295" spans="3:7" x14ac:dyDescent="0.3">
      <c r="C9295" s="109"/>
      <c r="D9295" s="109"/>
      <c r="E9295" s="109"/>
      <c r="F9295" s="110"/>
      <c r="G9295" s="109"/>
    </row>
    <row r="9296" spans="3:7" x14ac:dyDescent="0.3">
      <c r="C9296" s="109"/>
      <c r="D9296" s="109"/>
      <c r="E9296" s="109"/>
      <c r="F9296" s="110"/>
      <c r="G9296" s="109"/>
    </row>
    <row r="9297" spans="3:7" x14ac:dyDescent="0.3">
      <c r="C9297" s="109"/>
      <c r="D9297" s="109"/>
      <c r="E9297" s="109"/>
      <c r="F9297" s="110"/>
      <c r="G9297" s="109"/>
    </row>
    <row r="9298" spans="3:7" x14ac:dyDescent="0.3">
      <c r="C9298" s="109"/>
      <c r="D9298" s="109"/>
      <c r="E9298" s="109"/>
      <c r="F9298" s="110"/>
      <c r="G9298" s="109"/>
    </row>
    <row r="9299" spans="3:7" x14ac:dyDescent="0.3">
      <c r="C9299" s="109"/>
      <c r="D9299" s="109"/>
      <c r="E9299" s="109"/>
      <c r="F9299" s="110"/>
      <c r="G9299" s="109"/>
    </row>
    <row r="9300" spans="3:7" x14ac:dyDescent="0.3">
      <c r="C9300" s="109"/>
      <c r="D9300" s="109"/>
      <c r="E9300" s="109"/>
      <c r="F9300" s="110"/>
      <c r="G9300" s="109"/>
    </row>
    <row r="9301" spans="3:7" x14ac:dyDescent="0.3">
      <c r="C9301" s="109"/>
      <c r="D9301" s="109"/>
      <c r="E9301" s="109"/>
      <c r="F9301" s="110"/>
      <c r="G9301" s="109"/>
    </row>
    <row r="9302" spans="3:7" x14ac:dyDescent="0.3">
      <c r="C9302" s="109"/>
      <c r="D9302" s="109"/>
      <c r="E9302" s="109"/>
      <c r="F9302" s="110"/>
      <c r="G9302" s="109"/>
    </row>
    <row r="9303" spans="3:7" x14ac:dyDescent="0.3">
      <c r="C9303" s="109"/>
      <c r="D9303" s="109"/>
      <c r="E9303" s="109"/>
      <c r="F9303" s="110"/>
      <c r="G9303" s="109"/>
    </row>
    <row r="9304" spans="3:7" x14ac:dyDescent="0.3">
      <c r="C9304" s="109"/>
      <c r="D9304" s="109"/>
      <c r="E9304" s="109"/>
      <c r="F9304" s="110"/>
      <c r="G9304" s="109"/>
    </row>
    <row r="9305" spans="3:7" x14ac:dyDescent="0.3">
      <c r="C9305" s="109"/>
      <c r="D9305" s="109"/>
      <c r="E9305" s="109"/>
      <c r="F9305" s="110"/>
      <c r="G9305" s="109"/>
    </row>
    <row r="9306" spans="3:7" x14ac:dyDescent="0.3">
      <c r="C9306" s="109"/>
      <c r="D9306" s="109"/>
      <c r="E9306" s="109"/>
      <c r="F9306" s="110"/>
      <c r="G9306" s="109"/>
    </row>
    <row r="9307" spans="3:7" x14ac:dyDescent="0.3">
      <c r="C9307" s="109"/>
      <c r="D9307" s="109"/>
      <c r="E9307" s="109"/>
      <c r="F9307" s="110"/>
      <c r="G9307" s="109"/>
    </row>
    <row r="9308" spans="3:7" x14ac:dyDescent="0.3">
      <c r="C9308" s="109"/>
      <c r="D9308" s="109"/>
      <c r="E9308" s="109"/>
      <c r="F9308" s="110"/>
      <c r="G9308" s="109"/>
    </row>
    <row r="9309" spans="3:7" x14ac:dyDescent="0.3">
      <c r="C9309" s="109"/>
      <c r="D9309" s="109"/>
      <c r="E9309" s="109"/>
      <c r="F9309" s="110"/>
      <c r="G9309" s="109"/>
    </row>
    <row r="9310" spans="3:7" x14ac:dyDescent="0.3">
      <c r="C9310" s="109"/>
      <c r="D9310" s="109"/>
      <c r="E9310" s="109"/>
      <c r="F9310" s="110"/>
      <c r="G9310" s="109"/>
    </row>
    <row r="9311" spans="3:7" x14ac:dyDescent="0.3">
      <c r="C9311" s="109"/>
      <c r="D9311" s="109"/>
      <c r="E9311" s="109"/>
      <c r="F9311" s="110"/>
      <c r="G9311" s="109"/>
    </row>
    <row r="9312" spans="3:7" x14ac:dyDescent="0.3">
      <c r="C9312" s="109"/>
      <c r="D9312" s="109"/>
      <c r="E9312" s="109"/>
      <c r="F9312" s="110"/>
      <c r="G9312" s="109"/>
    </row>
    <row r="9313" spans="3:7" x14ac:dyDescent="0.3">
      <c r="C9313" s="109"/>
      <c r="D9313" s="109"/>
      <c r="E9313" s="109"/>
      <c r="F9313" s="110"/>
      <c r="G9313" s="109"/>
    </row>
    <row r="9314" spans="3:7" x14ac:dyDescent="0.3">
      <c r="C9314" s="109"/>
      <c r="D9314" s="109"/>
      <c r="E9314" s="109"/>
      <c r="F9314" s="110"/>
      <c r="G9314" s="109"/>
    </row>
    <row r="9315" spans="3:7" x14ac:dyDescent="0.3">
      <c r="C9315" s="109"/>
      <c r="D9315" s="109"/>
      <c r="E9315" s="109"/>
      <c r="F9315" s="110"/>
      <c r="G9315" s="109"/>
    </row>
    <row r="9316" spans="3:7" x14ac:dyDescent="0.3">
      <c r="C9316" s="109"/>
      <c r="D9316" s="109"/>
      <c r="E9316" s="109"/>
      <c r="F9316" s="110"/>
      <c r="G9316" s="109"/>
    </row>
    <row r="9317" spans="3:7" x14ac:dyDescent="0.3">
      <c r="C9317" s="109"/>
      <c r="D9317" s="109"/>
      <c r="E9317" s="109"/>
      <c r="F9317" s="110"/>
      <c r="G9317" s="109"/>
    </row>
    <row r="9318" spans="3:7" x14ac:dyDescent="0.3">
      <c r="C9318" s="109"/>
      <c r="D9318" s="109"/>
      <c r="E9318" s="109"/>
      <c r="F9318" s="110"/>
      <c r="G9318" s="109"/>
    </row>
    <row r="9319" spans="3:7" x14ac:dyDescent="0.3">
      <c r="C9319" s="109"/>
      <c r="D9319" s="109"/>
      <c r="E9319" s="109"/>
      <c r="F9319" s="110"/>
      <c r="G9319" s="109"/>
    </row>
    <row r="9320" spans="3:7" x14ac:dyDescent="0.3">
      <c r="C9320" s="109"/>
      <c r="D9320" s="109"/>
      <c r="E9320" s="109"/>
      <c r="F9320" s="110"/>
      <c r="G9320" s="109"/>
    </row>
    <row r="9321" spans="3:7" x14ac:dyDescent="0.3">
      <c r="C9321" s="109"/>
      <c r="D9321" s="109"/>
      <c r="E9321" s="109"/>
      <c r="F9321" s="110"/>
      <c r="G9321" s="109"/>
    </row>
    <row r="9322" spans="3:7" x14ac:dyDescent="0.3">
      <c r="C9322" s="109"/>
      <c r="D9322" s="109"/>
      <c r="E9322" s="109"/>
      <c r="F9322" s="110"/>
      <c r="G9322" s="109"/>
    </row>
    <row r="9323" spans="3:7" x14ac:dyDescent="0.3">
      <c r="C9323" s="109"/>
      <c r="D9323" s="109"/>
      <c r="E9323" s="109"/>
      <c r="F9323" s="110"/>
      <c r="G9323" s="109"/>
    </row>
    <row r="9324" spans="3:7" x14ac:dyDescent="0.3">
      <c r="C9324" s="109"/>
      <c r="D9324" s="109"/>
      <c r="E9324" s="109"/>
      <c r="F9324" s="110"/>
      <c r="G9324" s="109"/>
    </row>
    <row r="9325" spans="3:7" x14ac:dyDescent="0.3">
      <c r="C9325" s="109"/>
      <c r="D9325" s="109"/>
      <c r="E9325" s="109"/>
      <c r="F9325" s="110"/>
      <c r="G9325" s="109"/>
    </row>
    <row r="9326" spans="3:7" x14ac:dyDescent="0.3">
      <c r="C9326" s="109"/>
      <c r="D9326" s="109"/>
      <c r="E9326" s="109"/>
      <c r="F9326" s="110"/>
      <c r="G9326" s="109"/>
    </row>
    <row r="9327" spans="3:7" x14ac:dyDescent="0.3">
      <c r="C9327" s="109"/>
      <c r="D9327" s="109"/>
      <c r="E9327" s="109"/>
      <c r="F9327" s="110"/>
      <c r="G9327" s="109"/>
    </row>
    <row r="9328" spans="3:7" x14ac:dyDescent="0.3">
      <c r="C9328" s="109"/>
      <c r="D9328" s="109"/>
      <c r="E9328" s="109"/>
      <c r="F9328" s="110"/>
      <c r="G9328" s="109"/>
    </row>
    <row r="9329" spans="3:7" x14ac:dyDescent="0.3">
      <c r="C9329" s="109"/>
      <c r="D9329" s="109"/>
      <c r="E9329" s="109"/>
      <c r="F9329" s="110"/>
      <c r="G9329" s="109"/>
    </row>
    <row r="9330" spans="3:7" x14ac:dyDescent="0.3">
      <c r="C9330" s="109"/>
      <c r="D9330" s="109"/>
      <c r="E9330" s="109"/>
      <c r="F9330" s="110"/>
      <c r="G9330" s="109"/>
    </row>
    <row r="9331" spans="3:7" x14ac:dyDescent="0.3">
      <c r="C9331" s="109"/>
      <c r="D9331" s="109"/>
      <c r="E9331" s="109"/>
      <c r="F9331" s="110"/>
      <c r="G9331" s="109"/>
    </row>
    <row r="9332" spans="3:7" x14ac:dyDescent="0.3">
      <c r="C9332" s="109"/>
      <c r="D9332" s="109"/>
      <c r="E9332" s="109"/>
      <c r="F9332" s="110"/>
      <c r="G9332" s="109"/>
    </row>
    <row r="9333" spans="3:7" x14ac:dyDescent="0.3">
      <c r="C9333" s="109"/>
      <c r="D9333" s="109"/>
      <c r="E9333" s="109"/>
      <c r="F9333" s="110"/>
      <c r="G9333" s="109"/>
    </row>
    <row r="9334" spans="3:7" x14ac:dyDescent="0.3">
      <c r="C9334" s="109"/>
      <c r="D9334" s="109"/>
      <c r="E9334" s="109"/>
      <c r="F9334" s="110"/>
      <c r="G9334" s="109"/>
    </row>
    <row r="9335" spans="3:7" x14ac:dyDescent="0.3">
      <c r="C9335" s="109"/>
      <c r="D9335" s="109"/>
      <c r="E9335" s="109"/>
      <c r="F9335" s="110"/>
      <c r="G9335" s="109"/>
    </row>
    <row r="9336" spans="3:7" x14ac:dyDescent="0.3">
      <c r="C9336" s="109"/>
      <c r="D9336" s="109"/>
      <c r="E9336" s="109"/>
      <c r="F9336" s="110"/>
      <c r="G9336" s="109"/>
    </row>
    <row r="9337" spans="3:7" x14ac:dyDescent="0.3">
      <c r="C9337" s="109"/>
      <c r="D9337" s="109"/>
      <c r="E9337" s="109"/>
      <c r="F9337" s="110"/>
      <c r="G9337" s="109"/>
    </row>
    <row r="9338" spans="3:7" x14ac:dyDescent="0.3">
      <c r="C9338" s="109"/>
      <c r="D9338" s="109"/>
      <c r="E9338" s="109"/>
      <c r="F9338" s="110"/>
      <c r="G9338" s="109"/>
    </row>
    <row r="9339" spans="3:7" x14ac:dyDescent="0.3">
      <c r="C9339" s="109"/>
      <c r="D9339" s="109"/>
      <c r="E9339" s="109"/>
      <c r="F9339" s="110"/>
      <c r="G9339" s="109"/>
    </row>
    <row r="9340" spans="3:7" x14ac:dyDescent="0.3">
      <c r="C9340" s="109"/>
      <c r="D9340" s="109"/>
      <c r="E9340" s="109"/>
      <c r="F9340" s="110"/>
      <c r="G9340" s="109"/>
    </row>
    <row r="9341" spans="3:7" x14ac:dyDescent="0.3">
      <c r="C9341" s="109"/>
      <c r="D9341" s="109"/>
      <c r="E9341" s="109"/>
      <c r="F9341" s="110"/>
      <c r="G9341" s="109"/>
    </row>
    <row r="9342" spans="3:7" x14ac:dyDescent="0.3">
      <c r="C9342" s="109"/>
      <c r="D9342" s="109"/>
      <c r="E9342" s="109"/>
      <c r="F9342" s="110"/>
      <c r="G9342" s="109"/>
    </row>
    <row r="9343" spans="3:7" x14ac:dyDescent="0.3">
      <c r="C9343" s="109"/>
      <c r="D9343" s="109"/>
      <c r="E9343" s="109"/>
      <c r="F9343" s="110"/>
      <c r="G9343" s="109"/>
    </row>
    <row r="9344" spans="3:7" x14ac:dyDescent="0.3">
      <c r="C9344" s="109"/>
      <c r="D9344" s="109"/>
      <c r="E9344" s="109"/>
      <c r="F9344" s="110"/>
      <c r="G9344" s="109"/>
    </row>
    <row r="9345" spans="3:7" x14ac:dyDescent="0.3">
      <c r="C9345" s="109"/>
      <c r="D9345" s="109"/>
      <c r="E9345" s="109"/>
      <c r="F9345" s="110"/>
      <c r="G9345" s="109"/>
    </row>
    <row r="9346" spans="3:7" x14ac:dyDescent="0.3">
      <c r="C9346" s="109"/>
      <c r="D9346" s="109"/>
      <c r="E9346" s="109"/>
      <c r="F9346" s="110"/>
      <c r="G9346" s="109"/>
    </row>
    <row r="9347" spans="3:7" x14ac:dyDescent="0.3">
      <c r="C9347" s="109"/>
      <c r="D9347" s="109"/>
      <c r="E9347" s="109"/>
      <c r="F9347" s="110"/>
      <c r="G9347" s="109"/>
    </row>
    <row r="9348" spans="3:7" x14ac:dyDescent="0.3">
      <c r="C9348" s="109"/>
      <c r="D9348" s="109"/>
      <c r="E9348" s="109"/>
      <c r="F9348" s="110"/>
      <c r="G9348" s="109"/>
    </row>
    <row r="9349" spans="3:7" x14ac:dyDescent="0.3">
      <c r="C9349" s="109"/>
      <c r="D9349" s="109"/>
      <c r="E9349" s="109"/>
      <c r="F9349" s="110"/>
      <c r="G9349" s="109"/>
    </row>
    <row r="9350" spans="3:7" x14ac:dyDescent="0.3">
      <c r="C9350" s="109"/>
      <c r="D9350" s="109"/>
      <c r="E9350" s="109"/>
      <c r="F9350" s="110"/>
      <c r="G9350" s="109"/>
    </row>
    <row r="9351" spans="3:7" x14ac:dyDescent="0.3">
      <c r="C9351" s="109"/>
      <c r="D9351" s="109"/>
      <c r="E9351" s="109"/>
      <c r="F9351" s="110"/>
      <c r="G9351" s="109"/>
    </row>
    <row r="9352" spans="3:7" x14ac:dyDescent="0.3">
      <c r="C9352" s="109"/>
      <c r="D9352" s="109"/>
      <c r="E9352" s="109"/>
      <c r="F9352" s="110"/>
      <c r="G9352" s="109"/>
    </row>
    <row r="9353" spans="3:7" x14ac:dyDescent="0.3">
      <c r="C9353" s="109"/>
      <c r="D9353" s="109"/>
      <c r="E9353" s="109"/>
      <c r="F9353" s="110"/>
      <c r="G9353" s="109"/>
    </row>
    <row r="9354" spans="3:7" x14ac:dyDescent="0.3">
      <c r="C9354" s="109"/>
      <c r="D9354" s="109"/>
      <c r="E9354" s="109"/>
      <c r="F9354" s="110"/>
      <c r="G9354" s="109"/>
    </row>
    <row r="9355" spans="3:7" x14ac:dyDescent="0.3">
      <c r="C9355" s="109"/>
      <c r="D9355" s="109"/>
      <c r="E9355" s="109"/>
      <c r="F9355" s="110"/>
      <c r="G9355" s="109"/>
    </row>
    <row r="9356" spans="3:7" x14ac:dyDescent="0.3">
      <c r="C9356" s="109"/>
      <c r="D9356" s="109"/>
      <c r="E9356" s="109"/>
      <c r="F9356" s="110"/>
      <c r="G9356" s="109"/>
    </row>
    <row r="9357" spans="3:7" x14ac:dyDescent="0.3">
      <c r="C9357" s="109"/>
      <c r="D9357" s="109"/>
      <c r="E9357" s="109"/>
      <c r="F9357" s="110"/>
      <c r="G9357" s="109"/>
    </row>
    <row r="9358" spans="3:7" x14ac:dyDescent="0.3">
      <c r="C9358" s="109"/>
      <c r="D9358" s="109"/>
      <c r="E9358" s="109"/>
      <c r="F9358" s="110"/>
      <c r="G9358" s="109"/>
    </row>
    <row r="9359" spans="3:7" x14ac:dyDescent="0.3">
      <c r="C9359" s="109"/>
      <c r="D9359" s="109"/>
      <c r="E9359" s="109"/>
      <c r="F9359" s="110"/>
      <c r="G9359" s="109"/>
    </row>
    <row r="9360" spans="3:7" x14ac:dyDescent="0.3">
      <c r="C9360" s="109"/>
      <c r="D9360" s="109"/>
      <c r="E9360" s="109"/>
      <c r="F9360" s="110"/>
      <c r="G9360" s="109"/>
    </row>
    <row r="9361" spans="3:7" x14ac:dyDescent="0.3">
      <c r="C9361" s="109"/>
      <c r="D9361" s="109"/>
      <c r="E9361" s="109"/>
      <c r="F9361" s="110"/>
      <c r="G9361" s="109"/>
    </row>
    <row r="9362" spans="3:7" x14ac:dyDescent="0.3">
      <c r="C9362" s="109"/>
      <c r="D9362" s="109"/>
      <c r="E9362" s="109"/>
      <c r="F9362" s="110"/>
      <c r="G9362" s="109"/>
    </row>
    <row r="9363" spans="3:7" x14ac:dyDescent="0.3">
      <c r="C9363" s="109"/>
      <c r="D9363" s="109"/>
      <c r="E9363" s="109"/>
      <c r="F9363" s="110"/>
      <c r="G9363" s="109"/>
    </row>
    <row r="9364" spans="3:7" x14ac:dyDescent="0.3">
      <c r="C9364" s="109"/>
      <c r="D9364" s="109"/>
      <c r="E9364" s="109"/>
      <c r="F9364" s="110"/>
      <c r="G9364" s="109"/>
    </row>
    <row r="9365" spans="3:7" x14ac:dyDescent="0.3">
      <c r="C9365" s="109"/>
      <c r="D9365" s="109"/>
      <c r="E9365" s="109"/>
      <c r="F9365" s="110"/>
      <c r="G9365" s="109"/>
    </row>
    <row r="9366" spans="3:7" x14ac:dyDescent="0.3">
      <c r="C9366" s="109"/>
      <c r="D9366" s="109"/>
      <c r="E9366" s="109"/>
      <c r="F9366" s="110"/>
      <c r="G9366" s="109"/>
    </row>
    <row r="9367" spans="3:7" x14ac:dyDescent="0.3">
      <c r="C9367" s="109"/>
      <c r="D9367" s="109"/>
      <c r="E9367" s="109"/>
      <c r="F9367" s="110"/>
      <c r="G9367" s="109"/>
    </row>
    <row r="9368" spans="3:7" x14ac:dyDescent="0.3">
      <c r="C9368" s="109"/>
      <c r="D9368" s="109"/>
      <c r="E9368" s="109"/>
      <c r="F9368" s="110"/>
      <c r="G9368" s="109"/>
    </row>
    <row r="9369" spans="3:7" x14ac:dyDescent="0.3">
      <c r="C9369" s="109"/>
      <c r="D9369" s="109"/>
      <c r="E9369" s="109"/>
      <c r="F9369" s="110"/>
      <c r="G9369" s="109"/>
    </row>
    <row r="9370" spans="3:7" x14ac:dyDescent="0.3">
      <c r="C9370" s="109"/>
      <c r="D9370" s="109"/>
      <c r="E9370" s="109"/>
      <c r="F9370" s="110"/>
      <c r="G9370" s="109"/>
    </row>
    <row r="9371" spans="3:7" x14ac:dyDescent="0.3">
      <c r="C9371" s="109"/>
      <c r="D9371" s="109"/>
      <c r="E9371" s="109"/>
      <c r="F9371" s="110"/>
      <c r="G9371" s="109"/>
    </row>
    <row r="9372" spans="3:7" x14ac:dyDescent="0.3">
      <c r="C9372" s="109"/>
      <c r="D9372" s="109"/>
      <c r="E9372" s="109"/>
      <c r="F9372" s="110"/>
      <c r="G9372" s="109"/>
    </row>
    <row r="9373" spans="3:7" x14ac:dyDescent="0.3">
      <c r="C9373" s="109"/>
      <c r="D9373" s="109"/>
      <c r="E9373" s="109"/>
      <c r="F9373" s="110"/>
      <c r="G9373" s="109"/>
    </row>
    <row r="9374" spans="3:7" x14ac:dyDescent="0.3">
      <c r="C9374" s="109"/>
      <c r="D9374" s="109"/>
      <c r="E9374" s="109"/>
      <c r="F9374" s="110"/>
      <c r="G9374" s="109"/>
    </row>
    <row r="9375" spans="3:7" x14ac:dyDescent="0.3">
      <c r="C9375" s="109"/>
      <c r="D9375" s="109"/>
      <c r="E9375" s="109"/>
      <c r="F9375" s="110"/>
      <c r="G9375" s="109"/>
    </row>
    <row r="9376" spans="3:7" x14ac:dyDescent="0.3">
      <c r="C9376" s="109"/>
      <c r="D9376" s="109"/>
      <c r="E9376" s="109"/>
      <c r="F9376" s="110"/>
      <c r="G9376" s="109"/>
    </row>
    <row r="9377" spans="3:7" x14ac:dyDescent="0.3">
      <c r="C9377" s="109"/>
      <c r="D9377" s="109"/>
      <c r="E9377" s="109"/>
      <c r="F9377" s="110"/>
      <c r="G9377" s="109"/>
    </row>
    <row r="9378" spans="3:7" x14ac:dyDescent="0.3">
      <c r="C9378" s="109"/>
      <c r="D9378" s="109"/>
      <c r="E9378" s="109"/>
      <c r="F9378" s="110"/>
      <c r="G9378" s="109"/>
    </row>
    <row r="9379" spans="3:7" x14ac:dyDescent="0.3">
      <c r="C9379" s="109"/>
      <c r="D9379" s="109"/>
      <c r="E9379" s="109"/>
      <c r="F9379" s="110"/>
      <c r="G9379" s="109"/>
    </row>
    <row r="9380" spans="3:7" x14ac:dyDescent="0.3">
      <c r="C9380" s="109"/>
      <c r="D9380" s="109"/>
      <c r="E9380" s="109"/>
      <c r="F9380" s="110"/>
      <c r="G9380" s="109"/>
    </row>
    <row r="9381" spans="3:7" x14ac:dyDescent="0.3">
      <c r="C9381" s="109"/>
      <c r="D9381" s="109"/>
      <c r="E9381" s="109"/>
      <c r="F9381" s="110"/>
      <c r="G9381" s="109"/>
    </row>
    <row r="9382" spans="3:7" x14ac:dyDescent="0.3">
      <c r="C9382" s="109"/>
      <c r="D9382" s="109"/>
      <c r="E9382" s="109"/>
      <c r="F9382" s="110"/>
      <c r="G9382" s="109"/>
    </row>
    <row r="9383" spans="3:7" x14ac:dyDescent="0.3">
      <c r="C9383" s="109"/>
      <c r="D9383" s="109"/>
      <c r="E9383" s="109"/>
      <c r="F9383" s="110"/>
      <c r="G9383" s="109"/>
    </row>
    <row r="9384" spans="3:7" x14ac:dyDescent="0.3">
      <c r="C9384" s="109"/>
      <c r="D9384" s="109"/>
      <c r="E9384" s="109"/>
      <c r="F9384" s="110"/>
      <c r="G9384" s="109"/>
    </row>
    <row r="9385" spans="3:7" x14ac:dyDescent="0.3">
      <c r="C9385" s="109"/>
      <c r="D9385" s="109"/>
      <c r="E9385" s="109"/>
      <c r="F9385" s="110"/>
      <c r="G9385" s="109"/>
    </row>
    <row r="9386" spans="3:7" x14ac:dyDescent="0.3">
      <c r="C9386" s="109"/>
      <c r="D9386" s="109"/>
      <c r="E9386" s="109"/>
      <c r="F9386" s="110"/>
      <c r="G9386" s="109"/>
    </row>
    <row r="9387" spans="3:7" x14ac:dyDescent="0.3">
      <c r="C9387" s="109"/>
      <c r="D9387" s="109"/>
      <c r="E9387" s="109"/>
      <c r="F9387" s="110"/>
      <c r="G9387" s="109"/>
    </row>
    <row r="9388" spans="3:7" x14ac:dyDescent="0.3">
      <c r="C9388" s="109"/>
      <c r="D9388" s="109"/>
      <c r="E9388" s="109"/>
      <c r="F9388" s="110"/>
      <c r="G9388" s="109"/>
    </row>
    <row r="9389" spans="3:7" x14ac:dyDescent="0.3">
      <c r="C9389" s="109"/>
      <c r="D9389" s="109"/>
      <c r="E9389" s="109"/>
      <c r="F9389" s="110"/>
      <c r="G9389" s="109"/>
    </row>
    <row r="9390" spans="3:7" x14ac:dyDescent="0.3">
      <c r="C9390" s="109"/>
      <c r="D9390" s="109"/>
      <c r="E9390" s="109"/>
      <c r="F9390" s="110"/>
      <c r="G9390" s="109"/>
    </row>
    <row r="9391" spans="3:7" x14ac:dyDescent="0.3">
      <c r="C9391" s="109"/>
      <c r="D9391" s="109"/>
      <c r="E9391" s="109"/>
      <c r="F9391" s="110"/>
      <c r="G9391" s="109"/>
    </row>
    <row r="9392" spans="3:7" x14ac:dyDescent="0.3">
      <c r="C9392" s="109"/>
      <c r="D9392" s="109"/>
      <c r="E9392" s="109"/>
      <c r="F9392" s="110"/>
      <c r="G9392" s="109"/>
    </row>
    <row r="9393" spans="3:7" x14ac:dyDescent="0.3">
      <c r="C9393" s="109"/>
      <c r="D9393" s="109"/>
      <c r="E9393" s="109"/>
      <c r="F9393" s="110"/>
      <c r="G9393" s="109"/>
    </row>
    <row r="9394" spans="3:7" x14ac:dyDescent="0.3">
      <c r="C9394" s="109"/>
      <c r="D9394" s="109"/>
      <c r="E9394" s="109"/>
      <c r="F9394" s="110"/>
      <c r="G9394" s="109"/>
    </row>
    <row r="9395" spans="3:7" x14ac:dyDescent="0.3">
      <c r="C9395" s="109"/>
      <c r="D9395" s="109"/>
      <c r="E9395" s="109"/>
      <c r="F9395" s="110"/>
      <c r="G9395" s="109"/>
    </row>
    <row r="9396" spans="3:7" x14ac:dyDescent="0.3">
      <c r="C9396" s="109"/>
      <c r="D9396" s="109"/>
      <c r="E9396" s="109"/>
      <c r="F9396" s="110"/>
      <c r="G9396" s="109"/>
    </row>
    <row r="9397" spans="3:7" x14ac:dyDescent="0.3">
      <c r="C9397" s="109"/>
      <c r="D9397" s="109"/>
      <c r="E9397" s="109"/>
      <c r="F9397" s="110"/>
      <c r="G9397" s="109"/>
    </row>
    <row r="9398" spans="3:7" x14ac:dyDescent="0.3">
      <c r="C9398" s="109"/>
      <c r="D9398" s="109"/>
      <c r="E9398" s="109"/>
      <c r="F9398" s="110"/>
      <c r="G9398" s="109"/>
    </row>
    <row r="9399" spans="3:7" x14ac:dyDescent="0.3">
      <c r="C9399" s="109"/>
      <c r="D9399" s="109"/>
      <c r="E9399" s="109"/>
      <c r="F9399" s="110"/>
      <c r="G9399" s="109"/>
    </row>
    <row r="9400" spans="3:7" x14ac:dyDescent="0.3">
      <c r="C9400" s="109"/>
      <c r="D9400" s="109"/>
      <c r="E9400" s="109"/>
      <c r="F9400" s="110"/>
      <c r="G9400" s="109"/>
    </row>
    <row r="9401" spans="3:7" x14ac:dyDescent="0.3">
      <c r="C9401" s="109"/>
      <c r="D9401" s="109"/>
      <c r="E9401" s="109"/>
      <c r="F9401" s="110"/>
      <c r="G9401" s="109"/>
    </row>
    <row r="9402" spans="3:7" x14ac:dyDescent="0.3">
      <c r="C9402" s="109"/>
      <c r="D9402" s="109"/>
      <c r="E9402" s="109"/>
      <c r="F9402" s="110"/>
      <c r="G9402" s="109"/>
    </row>
    <row r="9403" spans="3:7" x14ac:dyDescent="0.3">
      <c r="C9403" s="109"/>
      <c r="D9403" s="109"/>
      <c r="E9403" s="109"/>
      <c r="F9403" s="110"/>
      <c r="G9403" s="109"/>
    </row>
    <row r="9404" spans="3:7" x14ac:dyDescent="0.3">
      <c r="C9404" s="109"/>
      <c r="D9404" s="109"/>
      <c r="E9404" s="109"/>
      <c r="F9404" s="110"/>
      <c r="G9404" s="109"/>
    </row>
    <row r="9405" spans="3:7" x14ac:dyDescent="0.3">
      <c r="C9405" s="109"/>
      <c r="D9405" s="109"/>
      <c r="E9405" s="109"/>
      <c r="F9405" s="110"/>
      <c r="G9405" s="109"/>
    </row>
    <row r="9406" spans="3:7" x14ac:dyDescent="0.3">
      <c r="C9406" s="109"/>
      <c r="D9406" s="109"/>
      <c r="E9406" s="109"/>
      <c r="F9406" s="110"/>
      <c r="G9406" s="109"/>
    </row>
    <row r="9407" spans="3:7" x14ac:dyDescent="0.3">
      <c r="C9407" s="109"/>
      <c r="D9407" s="109"/>
      <c r="E9407" s="109"/>
      <c r="F9407" s="110"/>
      <c r="G9407" s="109"/>
    </row>
    <row r="9408" spans="3:7" x14ac:dyDescent="0.3">
      <c r="C9408" s="109"/>
      <c r="D9408" s="109"/>
      <c r="E9408" s="109"/>
      <c r="F9408" s="110"/>
      <c r="G9408" s="109"/>
    </row>
    <row r="9409" spans="3:7" x14ac:dyDescent="0.3">
      <c r="C9409" s="109"/>
      <c r="D9409" s="109"/>
      <c r="E9409" s="109"/>
      <c r="F9409" s="110"/>
      <c r="G9409" s="109"/>
    </row>
    <row r="9410" spans="3:7" x14ac:dyDescent="0.3">
      <c r="C9410" s="109"/>
      <c r="D9410" s="109"/>
      <c r="E9410" s="109"/>
      <c r="F9410" s="110"/>
      <c r="G9410" s="109"/>
    </row>
    <row r="9411" spans="3:7" x14ac:dyDescent="0.3">
      <c r="C9411" s="109"/>
      <c r="D9411" s="109"/>
      <c r="E9411" s="109"/>
      <c r="F9411" s="110"/>
      <c r="G9411" s="109"/>
    </row>
    <row r="9412" spans="3:7" x14ac:dyDescent="0.3">
      <c r="C9412" s="109"/>
      <c r="D9412" s="109"/>
      <c r="E9412" s="109"/>
      <c r="F9412" s="110"/>
      <c r="G9412" s="109"/>
    </row>
    <row r="9413" spans="3:7" x14ac:dyDescent="0.3">
      <c r="C9413" s="109"/>
      <c r="D9413" s="109"/>
      <c r="E9413" s="109"/>
      <c r="F9413" s="110"/>
      <c r="G9413" s="109"/>
    </row>
    <row r="9414" spans="3:7" x14ac:dyDescent="0.3">
      <c r="C9414" s="109"/>
      <c r="D9414" s="109"/>
      <c r="E9414" s="109"/>
      <c r="F9414" s="110"/>
      <c r="G9414" s="109"/>
    </row>
    <row r="9415" spans="3:7" x14ac:dyDescent="0.3">
      <c r="C9415" s="109"/>
      <c r="D9415" s="109"/>
      <c r="E9415" s="109"/>
      <c r="F9415" s="110"/>
      <c r="G9415" s="109"/>
    </row>
    <row r="9416" spans="3:7" x14ac:dyDescent="0.3">
      <c r="C9416" s="109"/>
      <c r="D9416" s="109"/>
      <c r="E9416" s="109"/>
      <c r="F9416" s="110"/>
      <c r="G9416" s="109"/>
    </row>
    <row r="9417" spans="3:7" x14ac:dyDescent="0.3">
      <c r="C9417" s="109"/>
      <c r="D9417" s="109"/>
      <c r="E9417" s="109"/>
      <c r="F9417" s="110"/>
      <c r="G9417" s="109"/>
    </row>
    <row r="9418" spans="3:7" x14ac:dyDescent="0.3">
      <c r="C9418" s="109"/>
      <c r="D9418" s="109"/>
      <c r="E9418" s="109"/>
      <c r="F9418" s="110"/>
      <c r="G9418" s="109"/>
    </row>
    <row r="9419" spans="3:7" x14ac:dyDescent="0.3">
      <c r="C9419" s="109"/>
      <c r="D9419" s="109"/>
      <c r="E9419" s="109"/>
      <c r="F9419" s="110"/>
      <c r="G9419" s="109"/>
    </row>
    <row r="9420" spans="3:7" x14ac:dyDescent="0.3">
      <c r="C9420" s="109"/>
      <c r="D9420" s="109"/>
      <c r="E9420" s="109"/>
      <c r="F9420" s="110"/>
      <c r="G9420" s="109"/>
    </row>
    <row r="9421" spans="3:7" x14ac:dyDescent="0.3">
      <c r="C9421" s="109"/>
      <c r="D9421" s="109"/>
      <c r="E9421" s="109"/>
      <c r="F9421" s="110"/>
      <c r="G9421" s="109"/>
    </row>
    <row r="9422" spans="3:7" x14ac:dyDescent="0.3">
      <c r="C9422" s="109"/>
      <c r="D9422" s="109"/>
      <c r="E9422" s="109"/>
      <c r="F9422" s="110"/>
      <c r="G9422" s="109"/>
    </row>
    <row r="9423" spans="3:7" x14ac:dyDescent="0.3">
      <c r="C9423" s="109"/>
      <c r="D9423" s="109"/>
      <c r="E9423" s="109"/>
      <c r="F9423" s="110"/>
      <c r="G9423" s="109"/>
    </row>
    <row r="9424" spans="3:7" x14ac:dyDescent="0.3">
      <c r="C9424" s="109"/>
      <c r="D9424" s="109"/>
      <c r="E9424" s="109"/>
      <c r="F9424" s="110"/>
      <c r="G9424" s="109"/>
    </row>
    <row r="9425" spans="3:7" x14ac:dyDescent="0.3">
      <c r="C9425" s="109"/>
      <c r="D9425" s="109"/>
      <c r="E9425" s="109"/>
      <c r="F9425" s="110"/>
      <c r="G9425" s="109"/>
    </row>
    <row r="9426" spans="3:7" x14ac:dyDescent="0.3">
      <c r="C9426" s="109"/>
      <c r="D9426" s="109"/>
      <c r="E9426" s="109"/>
      <c r="F9426" s="110"/>
      <c r="G9426" s="109"/>
    </row>
    <row r="9427" spans="3:7" x14ac:dyDescent="0.3">
      <c r="C9427" s="109"/>
      <c r="D9427" s="109"/>
      <c r="E9427" s="109"/>
      <c r="F9427" s="110"/>
      <c r="G9427" s="109"/>
    </row>
    <row r="9428" spans="3:7" x14ac:dyDescent="0.3">
      <c r="C9428" s="109"/>
      <c r="D9428" s="109"/>
      <c r="E9428" s="109"/>
      <c r="F9428" s="110"/>
      <c r="G9428" s="109"/>
    </row>
    <row r="9429" spans="3:7" x14ac:dyDescent="0.3">
      <c r="C9429" s="109"/>
      <c r="D9429" s="109"/>
      <c r="E9429" s="109"/>
      <c r="F9429" s="110"/>
      <c r="G9429" s="109"/>
    </row>
    <row r="9430" spans="3:7" x14ac:dyDescent="0.3">
      <c r="C9430" s="109"/>
      <c r="D9430" s="109"/>
      <c r="E9430" s="109"/>
      <c r="F9430" s="110"/>
      <c r="G9430" s="109"/>
    </row>
    <row r="9431" spans="3:7" x14ac:dyDescent="0.3">
      <c r="C9431" s="109"/>
      <c r="D9431" s="109"/>
      <c r="E9431" s="109"/>
      <c r="F9431" s="110"/>
      <c r="G9431" s="109"/>
    </row>
    <row r="9432" spans="3:7" x14ac:dyDescent="0.3">
      <c r="C9432" s="109"/>
      <c r="D9432" s="109"/>
      <c r="E9432" s="109"/>
      <c r="F9432" s="110"/>
      <c r="G9432" s="109"/>
    </row>
    <row r="9433" spans="3:7" x14ac:dyDescent="0.3">
      <c r="C9433" s="109"/>
      <c r="D9433" s="109"/>
      <c r="E9433" s="109"/>
      <c r="F9433" s="110"/>
      <c r="G9433" s="109"/>
    </row>
    <row r="9434" spans="3:7" x14ac:dyDescent="0.3">
      <c r="C9434" s="109"/>
      <c r="D9434" s="109"/>
      <c r="E9434" s="109"/>
      <c r="F9434" s="110"/>
      <c r="G9434" s="109"/>
    </row>
    <row r="9435" spans="3:7" x14ac:dyDescent="0.3">
      <c r="C9435" s="109"/>
      <c r="D9435" s="109"/>
      <c r="E9435" s="109"/>
      <c r="F9435" s="110"/>
      <c r="G9435" s="109"/>
    </row>
    <row r="9436" spans="3:7" x14ac:dyDescent="0.3">
      <c r="C9436" s="109"/>
      <c r="D9436" s="109"/>
      <c r="E9436" s="109"/>
      <c r="F9436" s="110"/>
      <c r="G9436" s="109"/>
    </row>
    <row r="9437" spans="3:7" x14ac:dyDescent="0.3">
      <c r="C9437" s="109"/>
      <c r="D9437" s="109"/>
      <c r="E9437" s="109"/>
      <c r="F9437" s="110"/>
      <c r="G9437" s="109"/>
    </row>
    <row r="9438" spans="3:7" x14ac:dyDescent="0.3">
      <c r="C9438" s="109"/>
      <c r="D9438" s="109"/>
      <c r="E9438" s="109"/>
      <c r="F9438" s="110"/>
      <c r="G9438" s="109"/>
    </row>
    <row r="9439" spans="3:7" x14ac:dyDescent="0.3">
      <c r="C9439" s="109"/>
      <c r="D9439" s="109"/>
      <c r="E9439" s="109"/>
      <c r="F9439" s="110"/>
      <c r="G9439" s="109"/>
    </row>
    <row r="9440" spans="3:7" x14ac:dyDescent="0.3">
      <c r="C9440" s="109"/>
      <c r="D9440" s="109"/>
      <c r="E9440" s="109"/>
      <c r="F9440" s="110"/>
      <c r="G9440" s="109"/>
    </row>
    <row r="9441" spans="3:7" x14ac:dyDescent="0.3">
      <c r="C9441" s="109"/>
      <c r="D9441" s="109"/>
      <c r="E9441" s="109"/>
      <c r="F9441" s="110"/>
      <c r="G9441" s="109"/>
    </row>
    <row r="9442" spans="3:7" x14ac:dyDescent="0.3">
      <c r="C9442" s="109"/>
      <c r="D9442" s="109"/>
      <c r="E9442" s="109"/>
      <c r="F9442" s="110"/>
      <c r="G9442" s="109"/>
    </row>
    <row r="9443" spans="3:7" x14ac:dyDescent="0.3">
      <c r="C9443" s="109"/>
      <c r="D9443" s="109"/>
      <c r="E9443" s="109"/>
      <c r="F9443" s="110"/>
      <c r="G9443" s="109"/>
    </row>
    <row r="9444" spans="3:7" x14ac:dyDescent="0.3">
      <c r="C9444" s="109"/>
      <c r="D9444" s="109"/>
      <c r="E9444" s="109"/>
      <c r="F9444" s="110"/>
      <c r="G9444" s="109"/>
    </row>
    <row r="9445" spans="3:7" x14ac:dyDescent="0.3">
      <c r="C9445" s="109"/>
      <c r="D9445" s="109"/>
      <c r="E9445" s="109"/>
      <c r="F9445" s="110"/>
      <c r="G9445" s="109"/>
    </row>
    <row r="9446" spans="3:7" x14ac:dyDescent="0.3">
      <c r="C9446" s="109"/>
      <c r="D9446" s="109"/>
      <c r="E9446" s="109"/>
      <c r="F9446" s="110"/>
      <c r="G9446" s="109"/>
    </row>
    <row r="9447" spans="3:7" x14ac:dyDescent="0.3">
      <c r="C9447" s="109"/>
      <c r="D9447" s="109"/>
      <c r="E9447" s="109"/>
      <c r="F9447" s="110"/>
      <c r="G9447" s="109"/>
    </row>
    <row r="9448" spans="3:7" x14ac:dyDescent="0.3">
      <c r="C9448" s="109"/>
      <c r="D9448" s="109"/>
      <c r="E9448" s="109"/>
      <c r="F9448" s="110"/>
      <c r="G9448" s="109"/>
    </row>
    <row r="9449" spans="3:7" x14ac:dyDescent="0.3">
      <c r="C9449" s="109"/>
      <c r="D9449" s="109"/>
      <c r="E9449" s="109"/>
      <c r="F9449" s="110"/>
      <c r="G9449" s="109"/>
    </row>
    <row r="9450" spans="3:7" x14ac:dyDescent="0.3">
      <c r="C9450" s="109"/>
      <c r="D9450" s="109"/>
      <c r="E9450" s="109"/>
      <c r="F9450" s="110"/>
      <c r="G9450" s="109"/>
    </row>
    <row r="9451" spans="3:7" x14ac:dyDescent="0.3">
      <c r="C9451" s="109"/>
      <c r="D9451" s="109"/>
      <c r="E9451" s="109"/>
      <c r="F9451" s="110"/>
      <c r="G9451" s="109"/>
    </row>
    <row r="9452" spans="3:7" x14ac:dyDescent="0.3">
      <c r="C9452" s="109"/>
      <c r="D9452" s="109"/>
      <c r="E9452" s="109"/>
      <c r="F9452" s="110"/>
      <c r="G9452" s="109"/>
    </row>
    <row r="9453" spans="3:7" x14ac:dyDescent="0.3">
      <c r="C9453" s="109"/>
      <c r="D9453" s="109"/>
      <c r="E9453" s="109"/>
      <c r="F9453" s="110"/>
      <c r="G9453" s="109"/>
    </row>
    <row r="9454" spans="3:7" x14ac:dyDescent="0.3">
      <c r="C9454" s="109"/>
      <c r="D9454" s="109"/>
      <c r="E9454" s="109"/>
      <c r="F9454" s="110"/>
      <c r="G9454" s="109"/>
    </row>
    <row r="9455" spans="3:7" x14ac:dyDescent="0.3">
      <c r="C9455" s="109"/>
      <c r="D9455" s="109"/>
      <c r="E9455" s="109"/>
      <c r="F9455" s="110"/>
      <c r="G9455" s="109"/>
    </row>
    <row r="9456" spans="3:7" x14ac:dyDescent="0.3">
      <c r="C9456" s="109"/>
      <c r="D9456" s="109"/>
      <c r="E9456" s="109"/>
      <c r="F9456" s="110"/>
      <c r="G9456" s="109"/>
    </row>
    <row r="9457" spans="3:7" x14ac:dyDescent="0.3">
      <c r="C9457" s="109"/>
      <c r="D9457" s="109"/>
      <c r="E9457" s="109"/>
      <c r="F9457" s="110"/>
      <c r="G9457" s="109"/>
    </row>
    <row r="9458" spans="3:7" x14ac:dyDescent="0.3">
      <c r="C9458" s="109"/>
      <c r="D9458" s="109"/>
      <c r="E9458" s="109"/>
      <c r="F9458" s="110"/>
      <c r="G9458" s="109"/>
    </row>
    <row r="9459" spans="3:7" x14ac:dyDescent="0.3">
      <c r="C9459" s="109"/>
      <c r="D9459" s="109"/>
      <c r="E9459" s="109"/>
      <c r="F9459" s="110"/>
      <c r="G9459" s="109"/>
    </row>
    <row r="9460" spans="3:7" x14ac:dyDescent="0.3">
      <c r="C9460" s="109"/>
      <c r="D9460" s="109"/>
      <c r="E9460" s="109"/>
      <c r="F9460" s="110"/>
      <c r="G9460" s="109"/>
    </row>
    <row r="9461" spans="3:7" x14ac:dyDescent="0.3">
      <c r="C9461" s="109"/>
      <c r="D9461" s="109"/>
      <c r="E9461" s="109"/>
      <c r="F9461" s="110"/>
      <c r="G9461" s="109"/>
    </row>
    <row r="9462" spans="3:7" x14ac:dyDescent="0.3">
      <c r="C9462" s="109"/>
      <c r="D9462" s="109"/>
      <c r="E9462" s="109"/>
      <c r="F9462" s="110"/>
      <c r="G9462" s="109"/>
    </row>
    <row r="9463" spans="3:7" x14ac:dyDescent="0.3">
      <c r="C9463" s="109"/>
      <c r="D9463" s="109"/>
      <c r="E9463" s="109"/>
      <c r="F9463" s="110"/>
      <c r="G9463" s="109"/>
    </row>
    <row r="9464" spans="3:7" x14ac:dyDescent="0.3">
      <c r="C9464" s="109"/>
      <c r="D9464" s="109"/>
      <c r="E9464" s="109"/>
      <c r="F9464" s="110"/>
      <c r="G9464" s="109"/>
    </row>
    <row r="9465" spans="3:7" x14ac:dyDescent="0.3">
      <c r="C9465" s="109"/>
      <c r="D9465" s="109"/>
      <c r="E9465" s="109"/>
      <c r="F9465" s="110"/>
      <c r="G9465" s="109"/>
    </row>
    <row r="9466" spans="3:7" x14ac:dyDescent="0.3">
      <c r="C9466" s="109"/>
      <c r="D9466" s="109"/>
      <c r="E9466" s="109"/>
      <c r="F9466" s="110"/>
      <c r="G9466" s="109"/>
    </row>
    <row r="9467" spans="3:7" x14ac:dyDescent="0.3">
      <c r="C9467" s="109"/>
      <c r="D9467" s="109"/>
      <c r="E9467" s="109"/>
      <c r="F9467" s="110"/>
      <c r="G9467" s="109"/>
    </row>
    <row r="9468" spans="3:7" x14ac:dyDescent="0.3">
      <c r="C9468" s="109"/>
      <c r="D9468" s="109"/>
      <c r="E9468" s="109"/>
      <c r="F9468" s="110"/>
      <c r="G9468" s="109"/>
    </row>
    <row r="9469" spans="3:7" x14ac:dyDescent="0.3">
      <c r="C9469" s="109"/>
      <c r="D9469" s="109"/>
      <c r="E9469" s="109"/>
      <c r="F9469" s="110"/>
      <c r="G9469" s="109"/>
    </row>
    <row r="9470" spans="3:7" x14ac:dyDescent="0.3">
      <c r="C9470" s="109"/>
      <c r="D9470" s="109"/>
      <c r="E9470" s="109"/>
      <c r="F9470" s="110"/>
      <c r="G9470" s="109"/>
    </row>
    <row r="9471" spans="3:7" x14ac:dyDescent="0.3">
      <c r="C9471" s="109"/>
      <c r="D9471" s="109"/>
      <c r="E9471" s="109"/>
      <c r="F9471" s="110"/>
      <c r="G9471" s="109"/>
    </row>
    <row r="9472" spans="3:7" x14ac:dyDescent="0.3">
      <c r="C9472" s="109"/>
      <c r="D9472" s="109"/>
      <c r="E9472" s="109"/>
      <c r="F9472" s="110"/>
      <c r="G9472" s="109"/>
    </row>
    <row r="9473" spans="3:7" x14ac:dyDescent="0.3">
      <c r="C9473" s="109"/>
      <c r="D9473" s="109"/>
      <c r="E9473" s="109"/>
      <c r="F9473" s="110"/>
      <c r="G9473" s="109"/>
    </row>
    <row r="9474" spans="3:7" x14ac:dyDescent="0.3">
      <c r="C9474" s="109"/>
      <c r="D9474" s="109"/>
      <c r="E9474" s="109"/>
      <c r="F9474" s="110"/>
      <c r="G9474" s="109"/>
    </row>
    <row r="9475" spans="3:7" x14ac:dyDescent="0.3">
      <c r="C9475" s="109"/>
      <c r="D9475" s="109"/>
      <c r="E9475" s="109"/>
      <c r="F9475" s="110"/>
      <c r="G9475" s="109"/>
    </row>
    <row r="9476" spans="3:7" x14ac:dyDescent="0.3">
      <c r="C9476" s="109"/>
      <c r="D9476" s="109"/>
      <c r="E9476" s="109"/>
      <c r="F9476" s="110"/>
      <c r="G9476" s="109"/>
    </row>
    <row r="9477" spans="3:7" x14ac:dyDescent="0.3">
      <c r="C9477" s="109"/>
      <c r="D9477" s="109"/>
      <c r="E9477" s="109"/>
      <c r="F9477" s="110"/>
      <c r="G9477" s="109"/>
    </row>
    <row r="9478" spans="3:7" x14ac:dyDescent="0.3">
      <c r="C9478" s="109"/>
      <c r="D9478" s="109"/>
      <c r="E9478" s="109"/>
      <c r="F9478" s="110"/>
      <c r="G9478" s="109"/>
    </row>
    <row r="9479" spans="3:7" x14ac:dyDescent="0.3">
      <c r="C9479" s="109"/>
      <c r="D9479" s="109"/>
      <c r="E9479" s="109"/>
      <c r="F9479" s="110"/>
      <c r="G9479" s="109"/>
    </row>
    <row r="9480" spans="3:7" x14ac:dyDescent="0.3">
      <c r="C9480" s="109"/>
      <c r="D9480" s="109"/>
      <c r="E9480" s="109"/>
      <c r="F9480" s="110"/>
      <c r="G9480" s="109"/>
    </row>
    <row r="9481" spans="3:7" x14ac:dyDescent="0.3">
      <c r="C9481" s="109"/>
      <c r="D9481" s="109"/>
      <c r="E9481" s="109"/>
      <c r="F9481" s="110"/>
      <c r="G9481" s="109"/>
    </row>
    <row r="9482" spans="3:7" x14ac:dyDescent="0.3">
      <c r="C9482" s="109"/>
      <c r="D9482" s="109"/>
      <c r="E9482" s="109"/>
      <c r="F9482" s="110"/>
      <c r="G9482" s="109"/>
    </row>
    <row r="9483" spans="3:7" x14ac:dyDescent="0.3">
      <c r="C9483" s="109"/>
      <c r="D9483" s="109"/>
      <c r="E9483" s="109"/>
      <c r="F9483" s="110"/>
      <c r="G9483" s="109"/>
    </row>
    <row r="9484" spans="3:7" x14ac:dyDescent="0.3">
      <c r="C9484" s="109"/>
      <c r="D9484" s="109"/>
      <c r="E9484" s="109"/>
      <c r="F9484" s="110"/>
      <c r="G9484" s="109"/>
    </row>
    <row r="9485" spans="3:7" x14ac:dyDescent="0.3">
      <c r="C9485" s="109"/>
      <c r="D9485" s="109"/>
      <c r="E9485" s="109"/>
      <c r="F9485" s="110"/>
      <c r="G9485" s="109"/>
    </row>
    <row r="9486" spans="3:7" x14ac:dyDescent="0.3">
      <c r="C9486" s="109"/>
      <c r="D9486" s="109"/>
      <c r="E9486" s="109"/>
      <c r="F9486" s="110"/>
      <c r="G9486" s="109"/>
    </row>
    <row r="9487" spans="3:7" x14ac:dyDescent="0.3">
      <c r="C9487" s="109"/>
      <c r="D9487" s="109"/>
      <c r="E9487" s="109"/>
      <c r="F9487" s="110"/>
      <c r="G9487" s="109"/>
    </row>
    <row r="9488" spans="3:7" x14ac:dyDescent="0.3">
      <c r="C9488" s="109"/>
      <c r="D9488" s="109"/>
      <c r="E9488" s="109"/>
      <c r="F9488" s="110"/>
      <c r="G9488" s="109"/>
    </row>
    <row r="9489" spans="3:7" x14ac:dyDescent="0.3">
      <c r="C9489" s="109"/>
      <c r="D9489" s="109"/>
      <c r="E9489" s="109"/>
      <c r="F9489" s="110"/>
      <c r="G9489" s="109"/>
    </row>
    <row r="9490" spans="3:7" x14ac:dyDescent="0.3">
      <c r="C9490" s="109"/>
      <c r="D9490" s="109"/>
      <c r="E9490" s="109"/>
      <c r="F9490" s="110"/>
      <c r="G9490" s="109"/>
    </row>
    <row r="9491" spans="3:7" x14ac:dyDescent="0.3">
      <c r="C9491" s="109"/>
      <c r="D9491" s="109"/>
      <c r="E9491" s="109"/>
      <c r="F9491" s="110"/>
      <c r="G9491" s="109"/>
    </row>
    <row r="9492" spans="3:7" x14ac:dyDescent="0.3">
      <c r="C9492" s="109"/>
      <c r="D9492" s="109"/>
      <c r="E9492" s="109"/>
      <c r="F9492" s="110"/>
      <c r="G9492" s="109"/>
    </row>
    <row r="9493" spans="3:7" x14ac:dyDescent="0.3">
      <c r="C9493" s="109"/>
      <c r="D9493" s="109"/>
      <c r="E9493" s="109"/>
      <c r="F9493" s="110"/>
      <c r="G9493" s="109"/>
    </row>
    <row r="9494" spans="3:7" x14ac:dyDescent="0.3">
      <c r="C9494" s="109"/>
      <c r="D9494" s="109"/>
      <c r="E9494" s="109"/>
      <c r="F9494" s="110"/>
      <c r="G9494" s="109"/>
    </row>
    <row r="9495" spans="3:7" x14ac:dyDescent="0.3">
      <c r="C9495" s="109"/>
      <c r="D9495" s="109"/>
      <c r="E9495" s="109"/>
      <c r="F9495" s="110"/>
      <c r="G9495" s="109"/>
    </row>
    <row r="9496" spans="3:7" x14ac:dyDescent="0.3">
      <c r="C9496" s="109"/>
      <c r="D9496" s="109"/>
      <c r="E9496" s="109"/>
      <c r="F9496" s="110"/>
      <c r="G9496" s="109"/>
    </row>
    <row r="9497" spans="3:7" x14ac:dyDescent="0.3">
      <c r="C9497" s="109"/>
      <c r="D9497" s="109"/>
      <c r="E9497" s="109"/>
      <c r="F9497" s="110"/>
      <c r="G9497" s="109"/>
    </row>
    <row r="9498" spans="3:7" x14ac:dyDescent="0.3">
      <c r="C9498" s="109"/>
      <c r="D9498" s="109"/>
      <c r="E9498" s="109"/>
      <c r="F9498" s="110"/>
      <c r="G9498" s="109"/>
    </row>
    <row r="9499" spans="3:7" x14ac:dyDescent="0.3">
      <c r="C9499" s="109"/>
      <c r="D9499" s="109"/>
      <c r="E9499" s="109"/>
      <c r="F9499" s="110"/>
      <c r="G9499" s="109"/>
    </row>
    <row r="9500" spans="3:7" x14ac:dyDescent="0.3">
      <c r="C9500" s="109"/>
      <c r="D9500" s="109"/>
      <c r="E9500" s="109"/>
      <c r="F9500" s="110"/>
      <c r="G9500" s="109"/>
    </row>
    <row r="9501" spans="3:7" x14ac:dyDescent="0.3">
      <c r="C9501" s="109"/>
      <c r="D9501" s="109"/>
      <c r="E9501" s="109"/>
      <c r="F9501" s="110"/>
      <c r="G9501" s="109"/>
    </row>
    <row r="9502" spans="3:7" x14ac:dyDescent="0.3">
      <c r="C9502" s="109"/>
      <c r="D9502" s="109"/>
      <c r="E9502" s="109"/>
      <c r="F9502" s="110"/>
      <c r="G9502" s="109"/>
    </row>
    <row r="9503" spans="3:7" x14ac:dyDescent="0.3">
      <c r="C9503" s="109"/>
      <c r="D9503" s="109"/>
      <c r="E9503" s="109"/>
      <c r="F9503" s="110"/>
      <c r="G9503" s="109"/>
    </row>
    <row r="9504" spans="3:7" x14ac:dyDescent="0.3">
      <c r="C9504" s="109"/>
      <c r="D9504" s="109"/>
      <c r="E9504" s="109"/>
      <c r="F9504" s="110"/>
      <c r="G9504" s="109"/>
    </row>
    <row r="9505" spans="3:7" x14ac:dyDescent="0.3">
      <c r="C9505" s="109"/>
      <c r="D9505" s="109"/>
      <c r="E9505" s="109"/>
      <c r="F9505" s="110"/>
      <c r="G9505" s="109"/>
    </row>
    <row r="9506" spans="3:7" x14ac:dyDescent="0.3">
      <c r="C9506" s="109"/>
      <c r="D9506" s="109"/>
      <c r="E9506" s="109"/>
      <c r="F9506" s="110"/>
      <c r="G9506" s="109"/>
    </row>
    <row r="9507" spans="3:7" x14ac:dyDescent="0.3">
      <c r="C9507" s="109"/>
      <c r="D9507" s="109"/>
      <c r="E9507" s="109"/>
      <c r="F9507" s="110"/>
      <c r="G9507" s="109"/>
    </row>
    <row r="9508" spans="3:7" x14ac:dyDescent="0.3">
      <c r="C9508" s="109"/>
      <c r="D9508" s="109"/>
      <c r="E9508" s="109"/>
      <c r="F9508" s="110"/>
      <c r="G9508" s="109"/>
    </row>
    <row r="9509" spans="3:7" x14ac:dyDescent="0.3">
      <c r="C9509" s="109"/>
      <c r="D9509" s="109"/>
      <c r="E9509" s="109"/>
      <c r="F9509" s="110"/>
      <c r="G9509" s="109"/>
    </row>
    <row r="9510" spans="3:7" x14ac:dyDescent="0.3">
      <c r="C9510" s="109"/>
      <c r="D9510" s="109"/>
      <c r="E9510" s="109"/>
      <c r="F9510" s="110"/>
      <c r="G9510" s="109"/>
    </row>
    <row r="9511" spans="3:7" x14ac:dyDescent="0.3">
      <c r="C9511" s="109"/>
      <c r="D9511" s="109"/>
      <c r="E9511" s="109"/>
      <c r="F9511" s="110"/>
      <c r="G9511" s="109"/>
    </row>
    <row r="9512" spans="3:7" x14ac:dyDescent="0.3">
      <c r="C9512" s="109"/>
      <c r="D9512" s="109"/>
      <c r="E9512" s="109"/>
      <c r="F9512" s="110"/>
      <c r="G9512" s="109"/>
    </row>
    <row r="9513" spans="3:7" x14ac:dyDescent="0.3">
      <c r="C9513" s="109"/>
      <c r="D9513" s="109"/>
      <c r="E9513" s="109"/>
      <c r="F9513" s="110"/>
      <c r="G9513" s="109"/>
    </row>
    <row r="9514" spans="3:7" x14ac:dyDescent="0.3">
      <c r="C9514" s="109"/>
      <c r="D9514" s="109"/>
      <c r="E9514" s="109"/>
      <c r="F9514" s="110"/>
      <c r="G9514" s="109"/>
    </row>
    <row r="9515" spans="3:7" x14ac:dyDescent="0.3">
      <c r="C9515" s="109"/>
      <c r="D9515" s="109"/>
      <c r="E9515" s="109"/>
      <c r="F9515" s="110"/>
      <c r="G9515" s="109"/>
    </row>
    <row r="9516" spans="3:7" x14ac:dyDescent="0.3">
      <c r="C9516" s="109"/>
      <c r="D9516" s="109"/>
      <c r="E9516" s="109"/>
      <c r="F9516" s="110"/>
      <c r="G9516" s="109"/>
    </row>
    <row r="9517" spans="3:7" x14ac:dyDescent="0.3">
      <c r="C9517" s="109"/>
      <c r="D9517" s="109"/>
      <c r="E9517" s="109"/>
      <c r="F9517" s="110"/>
      <c r="G9517" s="109"/>
    </row>
    <row r="9518" spans="3:7" x14ac:dyDescent="0.3">
      <c r="C9518" s="109"/>
      <c r="D9518" s="109"/>
      <c r="E9518" s="109"/>
      <c r="F9518" s="110"/>
      <c r="G9518" s="109"/>
    </row>
    <row r="9519" spans="3:7" x14ac:dyDescent="0.3">
      <c r="C9519" s="109"/>
      <c r="D9519" s="109"/>
      <c r="E9519" s="109"/>
      <c r="F9519" s="110"/>
      <c r="G9519" s="109"/>
    </row>
    <row r="9520" spans="3:7" x14ac:dyDescent="0.3">
      <c r="C9520" s="109"/>
      <c r="D9520" s="109"/>
      <c r="E9520" s="109"/>
      <c r="F9520" s="110"/>
      <c r="G9520" s="109"/>
    </row>
    <row r="9521" spans="3:7" x14ac:dyDescent="0.3">
      <c r="C9521" s="109"/>
      <c r="D9521" s="109"/>
      <c r="E9521" s="109"/>
      <c r="F9521" s="110"/>
      <c r="G9521" s="109"/>
    </row>
    <row r="9522" spans="3:7" x14ac:dyDescent="0.3">
      <c r="C9522" s="109"/>
      <c r="D9522" s="109"/>
      <c r="E9522" s="109"/>
      <c r="F9522" s="110"/>
      <c r="G9522" s="109"/>
    </row>
    <row r="9523" spans="3:7" x14ac:dyDescent="0.3">
      <c r="C9523" s="109"/>
      <c r="D9523" s="109"/>
      <c r="E9523" s="109"/>
      <c r="F9523" s="110"/>
      <c r="G9523" s="109"/>
    </row>
    <row r="9524" spans="3:7" x14ac:dyDescent="0.3">
      <c r="C9524" s="109"/>
      <c r="D9524" s="109"/>
      <c r="E9524" s="109"/>
      <c r="F9524" s="110"/>
      <c r="G9524" s="109"/>
    </row>
    <row r="9525" spans="3:7" x14ac:dyDescent="0.3">
      <c r="C9525" s="109"/>
      <c r="D9525" s="109"/>
      <c r="E9525" s="109"/>
      <c r="F9525" s="110"/>
      <c r="G9525" s="109"/>
    </row>
    <row r="9526" spans="3:7" x14ac:dyDescent="0.3">
      <c r="C9526" s="109"/>
      <c r="D9526" s="109"/>
      <c r="E9526" s="109"/>
      <c r="F9526" s="110"/>
      <c r="G9526" s="109"/>
    </row>
    <row r="9527" spans="3:7" x14ac:dyDescent="0.3">
      <c r="C9527" s="109"/>
      <c r="D9527" s="109"/>
      <c r="E9527" s="109"/>
      <c r="F9527" s="110"/>
      <c r="G9527" s="109"/>
    </row>
    <row r="9528" spans="3:7" x14ac:dyDescent="0.3">
      <c r="C9528" s="109"/>
      <c r="D9528" s="109"/>
      <c r="E9528" s="109"/>
      <c r="F9528" s="110"/>
      <c r="G9528" s="109"/>
    </row>
    <row r="9529" spans="3:7" x14ac:dyDescent="0.3">
      <c r="C9529" s="109"/>
      <c r="D9529" s="109"/>
      <c r="E9529" s="109"/>
      <c r="F9529" s="110"/>
      <c r="G9529" s="109"/>
    </row>
    <row r="9530" spans="3:7" x14ac:dyDescent="0.3">
      <c r="C9530" s="109"/>
      <c r="D9530" s="109"/>
      <c r="E9530" s="109"/>
      <c r="F9530" s="110"/>
      <c r="G9530" s="109"/>
    </row>
    <row r="9531" spans="3:7" x14ac:dyDescent="0.3">
      <c r="C9531" s="109"/>
      <c r="D9531" s="109"/>
      <c r="E9531" s="109"/>
      <c r="F9531" s="110"/>
      <c r="G9531" s="109"/>
    </row>
    <row r="9532" spans="3:7" x14ac:dyDescent="0.3">
      <c r="C9532" s="109"/>
      <c r="D9532" s="109"/>
      <c r="E9532" s="109"/>
      <c r="F9532" s="110"/>
      <c r="G9532" s="109"/>
    </row>
    <row r="9533" spans="3:7" x14ac:dyDescent="0.3">
      <c r="C9533" s="109"/>
      <c r="D9533" s="109"/>
      <c r="E9533" s="109"/>
      <c r="F9533" s="110"/>
      <c r="G9533" s="109"/>
    </row>
    <row r="9534" spans="3:7" x14ac:dyDescent="0.3">
      <c r="C9534" s="109"/>
      <c r="D9534" s="109"/>
      <c r="E9534" s="109"/>
      <c r="F9534" s="110"/>
      <c r="G9534" s="109"/>
    </row>
    <row r="9535" spans="3:7" x14ac:dyDescent="0.3">
      <c r="C9535" s="109"/>
      <c r="D9535" s="109"/>
      <c r="E9535" s="109"/>
      <c r="F9535" s="110"/>
      <c r="G9535" s="109"/>
    </row>
    <row r="9536" spans="3:7" x14ac:dyDescent="0.3">
      <c r="C9536" s="109"/>
      <c r="D9536" s="109"/>
      <c r="E9536" s="109"/>
      <c r="F9536" s="110"/>
      <c r="G9536" s="109"/>
    </row>
    <row r="9537" spans="3:7" x14ac:dyDescent="0.3">
      <c r="C9537" s="109"/>
      <c r="D9537" s="109"/>
      <c r="E9537" s="109"/>
      <c r="F9537" s="110"/>
      <c r="G9537" s="109"/>
    </row>
    <row r="9538" spans="3:7" x14ac:dyDescent="0.3">
      <c r="C9538" s="109"/>
      <c r="D9538" s="109"/>
      <c r="E9538" s="109"/>
      <c r="F9538" s="110"/>
      <c r="G9538" s="109"/>
    </row>
    <row r="9539" spans="3:7" x14ac:dyDescent="0.3">
      <c r="C9539" s="109"/>
      <c r="D9539" s="109"/>
      <c r="E9539" s="109"/>
      <c r="F9539" s="110"/>
      <c r="G9539" s="109"/>
    </row>
    <row r="9540" spans="3:7" x14ac:dyDescent="0.3">
      <c r="C9540" s="109"/>
      <c r="D9540" s="109"/>
      <c r="E9540" s="109"/>
      <c r="F9540" s="110"/>
      <c r="G9540" s="109"/>
    </row>
    <row r="9541" spans="3:7" x14ac:dyDescent="0.3">
      <c r="C9541" s="109"/>
      <c r="D9541" s="109"/>
      <c r="E9541" s="109"/>
      <c r="F9541" s="110"/>
      <c r="G9541" s="109"/>
    </row>
    <row r="9542" spans="3:7" x14ac:dyDescent="0.3">
      <c r="C9542" s="109"/>
      <c r="D9542" s="109"/>
      <c r="E9542" s="109"/>
      <c r="F9542" s="110"/>
      <c r="G9542" s="109"/>
    </row>
    <row r="9543" spans="3:7" x14ac:dyDescent="0.3">
      <c r="C9543" s="109"/>
      <c r="D9543" s="109"/>
      <c r="E9543" s="109"/>
      <c r="F9543" s="110"/>
      <c r="G9543" s="109"/>
    </row>
    <row r="9544" spans="3:7" x14ac:dyDescent="0.3">
      <c r="C9544" s="109"/>
      <c r="D9544" s="109"/>
      <c r="E9544" s="109"/>
      <c r="F9544" s="110"/>
      <c r="G9544" s="109"/>
    </row>
    <row r="9545" spans="3:7" x14ac:dyDescent="0.3">
      <c r="C9545" s="109"/>
      <c r="D9545" s="109"/>
      <c r="E9545" s="109"/>
      <c r="F9545" s="110"/>
      <c r="G9545" s="109"/>
    </row>
    <row r="9546" spans="3:7" x14ac:dyDescent="0.3">
      <c r="C9546" s="109"/>
      <c r="D9546" s="109"/>
      <c r="E9546" s="109"/>
      <c r="F9546" s="110"/>
      <c r="G9546" s="109"/>
    </row>
    <row r="9547" spans="3:7" x14ac:dyDescent="0.3">
      <c r="C9547" s="109"/>
      <c r="D9547" s="109"/>
      <c r="E9547" s="109"/>
      <c r="F9547" s="110"/>
      <c r="G9547" s="109"/>
    </row>
    <row r="9548" spans="3:7" x14ac:dyDescent="0.3">
      <c r="C9548" s="109"/>
      <c r="D9548" s="109"/>
      <c r="E9548" s="109"/>
      <c r="F9548" s="110"/>
      <c r="G9548" s="109"/>
    </row>
    <row r="9549" spans="3:7" x14ac:dyDescent="0.3">
      <c r="C9549" s="109"/>
      <c r="D9549" s="109"/>
      <c r="E9549" s="109"/>
      <c r="F9549" s="110"/>
      <c r="G9549" s="109"/>
    </row>
    <row r="9550" spans="3:7" x14ac:dyDescent="0.3">
      <c r="C9550" s="109"/>
      <c r="D9550" s="109"/>
      <c r="E9550" s="109"/>
      <c r="F9550" s="110"/>
      <c r="G9550" s="109"/>
    </row>
    <row r="9551" spans="3:7" x14ac:dyDescent="0.3">
      <c r="C9551" s="109"/>
      <c r="D9551" s="109"/>
      <c r="E9551" s="109"/>
      <c r="F9551" s="110"/>
      <c r="G9551" s="109"/>
    </row>
    <row r="9552" spans="3:7" x14ac:dyDescent="0.3">
      <c r="C9552" s="109"/>
      <c r="D9552" s="109"/>
      <c r="E9552" s="109"/>
      <c r="F9552" s="110"/>
      <c r="G9552" s="109"/>
    </row>
    <row r="9553" spans="3:7" x14ac:dyDescent="0.3">
      <c r="C9553" s="109"/>
      <c r="D9553" s="109"/>
      <c r="E9553" s="109"/>
      <c r="F9553" s="110"/>
      <c r="G9553" s="109"/>
    </row>
    <row r="9554" spans="3:7" x14ac:dyDescent="0.3">
      <c r="C9554" s="109"/>
      <c r="D9554" s="109"/>
      <c r="E9554" s="109"/>
      <c r="F9554" s="110"/>
      <c r="G9554" s="109"/>
    </row>
    <row r="9555" spans="3:7" x14ac:dyDescent="0.3">
      <c r="C9555" s="109"/>
      <c r="D9555" s="109"/>
      <c r="E9555" s="109"/>
      <c r="F9555" s="110"/>
      <c r="G9555" s="109"/>
    </row>
    <row r="9556" spans="3:7" x14ac:dyDescent="0.3">
      <c r="C9556" s="109"/>
      <c r="D9556" s="109"/>
      <c r="E9556" s="109"/>
      <c r="F9556" s="110"/>
      <c r="G9556" s="109"/>
    </row>
    <row r="9557" spans="3:7" x14ac:dyDescent="0.3">
      <c r="C9557" s="109"/>
      <c r="D9557" s="109"/>
      <c r="E9557" s="109"/>
      <c r="F9557" s="110"/>
      <c r="G9557" s="109"/>
    </row>
    <row r="9558" spans="3:7" x14ac:dyDescent="0.3">
      <c r="C9558" s="109"/>
      <c r="D9558" s="109"/>
      <c r="E9558" s="109"/>
      <c r="F9558" s="110"/>
      <c r="G9558" s="109"/>
    </row>
    <row r="9559" spans="3:7" x14ac:dyDescent="0.3">
      <c r="C9559" s="109"/>
      <c r="D9559" s="109"/>
      <c r="E9559" s="109"/>
      <c r="F9559" s="110"/>
      <c r="G9559" s="109"/>
    </row>
    <row r="9560" spans="3:7" x14ac:dyDescent="0.3">
      <c r="C9560" s="109"/>
      <c r="D9560" s="109"/>
      <c r="E9560" s="109"/>
      <c r="F9560" s="110"/>
      <c r="G9560" s="109"/>
    </row>
    <row r="9561" spans="3:7" x14ac:dyDescent="0.3">
      <c r="C9561" s="109"/>
      <c r="D9561" s="109"/>
      <c r="E9561" s="109"/>
      <c r="F9561" s="110"/>
      <c r="G9561" s="109"/>
    </row>
    <row r="9562" spans="3:7" x14ac:dyDescent="0.3">
      <c r="C9562" s="109"/>
      <c r="D9562" s="109"/>
      <c r="E9562" s="109"/>
      <c r="F9562" s="110"/>
      <c r="G9562" s="109"/>
    </row>
    <row r="9563" spans="3:7" x14ac:dyDescent="0.3">
      <c r="C9563" s="109"/>
      <c r="D9563" s="109"/>
      <c r="E9563" s="109"/>
      <c r="F9563" s="110"/>
      <c r="G9563" s="109"/>
    </row>
    <row r="9564" spans="3:7" x14ac:dyDescent="0.3">
      <c r="C9564" s="109"/>
      <c r="D9564" s="109"/>
      <c r="E9564" s="109"/>
      <c r="F9564" s="110"/>
      <c r="G9564" s="109"/>
    </row>
    <row r="9565" spans="3:7" x14ac:dyDescent="0.3">
      <c r="C9565" s="109"/>
      <c r="D9565" s="109"/>
      <c r="E9565" s="109"/>
      <c r="F9565" s="110"/>
      <c r="G9565" s="109"/>
    </row>
    <row r="9566" spans="3:7" x14ac:dyDescent="0.3">
      <c r="C9566" s="109"/>
      <c r="D9566" s="109"/>
      <c r="E9566" s="109"/>
      <c r="F9566" s="110"/>
      <c r="G9566" s="109"/>
    </row>
    <row r="9567" spans="3:7" x14ac:dyDescent="0.3">
      <c r="C9567" s="109"/>
      <c r="D9567" s="109"/>
      <c r="E9567" s="109"/>
      <c r="F9567" s="110"/>
      <c r="G9567" s="109"/>
    </row>
    <row r="9568" spans="3:7" x14ac:dyDescent="0.3">
      <c r="C9568" s="109"/>
      <c r="D9568" s="109"/>
      <c r="E9568" s="109"/>
      <c r="F9568" s="110"/>
      <c r="G9568" s="109"/>
    </row>
    <row r="9569" spans="3:7" x14ac:dyDescent="0.3">
      <c r="C9569" s="109"/>
      <c r="D9569" s="109"/>
      <c r="E9569" s="109"/>
      <c r="F9569" s="110"/>
      <c r="G9569" s="109"/>
    </row>
    <row r="9570" spans="3:7" x14ac:dyDescent="0.3">
      <c r="C9570" s="109"/>
      <c r="D9570" s="109"/>
      <c r="E9570" s="109"/>
      <c r="F9570" s="110"/>
      <c r="G9570" s="109"/>
    </row>
    <row r="9571" spans="3:7" x14ac:dyDescent="0.3">
      <c r="C9571" s="109"/>
      <c r="D9571" s="109"/>
      <c r="E9571" s="109"/>
      <c r="F9571" s="110"/>
      <c r="G9571" s="109"/>
    </row>
    <row r="9572" spans="3:7" x14ac:dyDescent="0.3">
      <c r="C9572" s="109"/>
      <c r="D9572" s="109"/>
      <c r="E9572" s="109"/>
      <c r="F9572" s="110"/>
      <c r="G9572" s="109"/>
    </row>
    <row r="9573" spans="3:7" x14ac:dyDescent="0.3">
      <c r="C9573" s="109"/>
      <c r="D9573" s="109"/>
      <c r="E9573" s="109"/>
      <c r="F9573" s="110"/>
      <c r="G9573" s="109"/>
    </row>
    <row r="9574" spans="3:7" x14ac:dyDescent="0.3">
      <c r="C9574" s="109"/>
      <c r="D9574" s="109"/>
      <c r="E9574" s="109"/>
      <c r="F9574" s="110"/>
      <c r="G9574" s="109"/>
    </row>
    <row r="9575" spans="3:7" x14ac:dyDescent="0.3">
      <c r="C9575" s="109"/>
      <c r="D9575" s="109"/>
      <c r="E9575" s="109"/>
      <c r="F9575" s="110"/>
      <c r="G9575" s="109"/>
    </row>
    <row r="9576" spans="3:7" x14ac:dyDescent="0.3">
      <c r="C9576" s="109"/>
      <c r="D9576" s="109"/>
      <c r="E9576" s="109"/>
      <c r="F9576" s="110"/>
      <c r="G9576" s="109"/>
    </row>
    <row r="9577" spans="3:7" x14ac:dyDescent="0.3">
      <c r="C9577" s="109"/>
      <c r="D9577" s="109"/>
      <c r="E9577" s="109"/>
      <c r="F9577" s="110"/>
      <c r="G9577" s="109"/>
    </row>
    <row r="9578" spans="3:7" x14ac:dyDescent="0.3">
      <c r="C9578" s="109"/>
      <c r="D9578" s="109"/>
      <c r="E9578" s="109"/>
      <c r="F9578" s="110"/>
      <c r="G9578" s="109"/>
    </row>
    <row r="9579" spans="3:7" x14ac:dyDescent="0.3">
      <c r="C9579" s="109"/>
      <c r="D9579" s="109"/>
      <c r="E9579" s="109"/>
      <c r="F9579" s="110"/>
      <c r="G9579" s="109"/>
    </row>
    <row r="9580" spans="3:7" x14ac:dyDescent="0.3">
      <c r="C9580" s="109"/>
      <c r="D9580" s="109"/>
      <c r="E9580" s="109"/>
      <c r="F9580" s="110"/>
      <c r="G9580" s="109"/>
    </row>
    <row r="9581" spans="3:7" x14ac:dyDescent="0.3">
      <c r="C9581" s="109"/>
      <c r="D9581" s="109"/>
      <c r="E9581" s="109"/>
      <c r="F9581" s="110"/>
      <c r="G9581" s="109"/>
    </row>
    <row r="9582" spans="3:7" x14ac:dyDescent="0.3">
      <c r="C9582" s="109"/>
      <c r="D9582" s="109"/>
      <c r="E9582" s="109"/>
      <c r="F9582" s="110"/>
      <c r="G9582" s="109"/>
    </row>
    <row r="9583" spans="3:7" x14ac:dyDescent="0.3">
      <c r="C9583" s="109"/>
      <c r="D9583" s="109"/>
      <c r="E9583" s="109"/>
      <c r="F9583" s="110"/>
      <c r="G9583" s="109"/>
    </row>
    <row r="9584" spans="3:7" x14ac:dyDescent="0.3">
      <c r="C9584" s="109"/>
      <c r="D9584" s="109"/>
      <c r="E9584" s="109"/>
      <c r="F9584" s="110"/>
      <c r="G9584" s="109"/>
    </row>
    <row r="9585" spans="3:7" x14ac:dyDescent="0.3">
      <c r="C9585" s="109"/>
      <c r="D9585" s="109"/>
      <c r="E9585" s="109"/>
      <c r="F9585" s="110"/>
      <c r="G9585" s="109"/>
    </row>
    <row r="9586" spans="3:7" x14ac:dyDescent="0.3">
      <c r="C9586" s="109"/>
      <c r="D9586" s="109"/>
      <c r="E9586" s="109"/>
      <c r="F9586" s="110"/>
      <c r="G9586" s="109"/>
    </row>
    <row r="9587" spans="3:7" x14ac:dyDescent="0.3">
      <c r="C9587" s="109"/>
      <c r="D9587" s="109"/>
      <c r="E9587" s="109"/>
      <c r="F9587" s="110"/>
      <c r="G9587" s="109"/>
    </row>
    <row r="9588" spans="3:7" x14ac:dyDescent="0.3">
      <c r="C9588" s="109"/>
      <c r="D9588" s="109"/>
      <c r="E9588" s="109"/>
      <c r="F9588" s="110"/>
      <c r="G9588" s="109"/>
    </row>
    <row r="9589" spans="3:7" x14ac:dyDescent="0.3">
      <c r="C9589" s="109"/>
      <c r="D9589" s="109"/>
      <c r="E9589" s="109"/>
      <c r="F9589" s="110"/>
      <c r="G9589" s="109"/>
    </row>
    <row r="9590" spans="3:7" x14ac:dyDescent="0.3">
      <c r="C9590" s="109"/>
      <c r="D9590" s="109"/>
      <c r="E9590" s="109"/>
      <c r="F9590" s="110"/>
      <c r="G9590" s="109"/>
    </row>
    <row r="9591" spans="3:7" x14ac:dyDescent="0.3">
      <c r="C9591" s="109"/>
      <c r="D9591" s="109"/>
      <c r="E9591" s="109"/>
      <c r="F9591" s="110"/>
      <c r="G9591" s="109"/>
    </row>
    <row r="9592" spans="3:7" x14ac:dyDescent="0.3">
      <c r="C9592" s="109"/>
      <c r="D9592" s="109"/>
      <c r="E9592" s="109"/>
      <c r="F9592" s="110"/>
      <c r="G9592" s="109"/>
    </row>
    <row r="9593" spans="3:7" x14ac:dyDescent="0.3">
      <c r="C9593" s="109"/>
      <c r="D9593" s="109"/>
      <c r="E9593" s="109"/>
      <c r="F9593" s="110"/>
      <c r="G9593" s="109"/>
    </row>
    <row r="9594" spans="3:7" x14ac:dyDescent="0.3">
      <c r="C9594" s="109"/>
      <c r="D9594" s="109"/>
      <c r="E9594" s="109"/>
      <c r="F9594" s="110"/>
      <c r="G9594" s="109"/>
    </row>
    <row r="9595" spans="3:7" x14ac:dyDescent="0.3">
      <c r="C9595" s="109"/>
      <c r="D9595" s="109"/>
      <c r="E9595" s="109"/>
      <c r="F9595" s="110"/>
      <c r="G9595" s="109"/>
    </row>
    <row r="9596" spans="3:7" x14ac:dyDescent="0.3">
      <c r="C9596" s="109"/>
      <c r="D9596" s="109"/>
      <c r="E9596" s="109"/>
      <c r="F9596" s="110"/>
      <c r="G9596" s="109"/>
    </row>
    <row r="9597" spans="3:7" x14ac:dyDescent="0.3">
      <c r="C9597" s="109"/>
      <c r="D9597" s="109"/>
      <c r="E9597" s="109"/>
      <c r="F9597" s="110"/>
      <c r="G9597" s="109"/>
    </row>
    <row r="9598" spans="3:7" x14ac:dyDescent="0.3">
      <c r="C9598" s="109"/>
      <c r="D9598" s="109"/>
      <c r="E9598" s="109"/>
      <c r="F9598" s="110"/>
      <c r="G9598" s="109"/>
    </row>
    <row r="9599" spans="3:7" x14ac:dyDescent="0.3">
      <c r="C9599" s="109"/>
      <c r="D9599" s="109"/>
      <c r="E9599" s="109"/>
      <c r="F9599" s="110"/>
      <c r="G9599" s="109"/>
    </row>
    <row r="9600" spans="3:7" x14ac:dyDescent="0.3">
      <c r="C9600" s="109"/>
      <c r="D9600" s="109"/>
      <c r="E9600" s="109"/>
      <c r="F9600" s="110"/>
      <c r="G9600" s="109"/>
    </row>
    <row r="9601" spans="3:7" x14ac:dyDescent="0.3">
      <c r="C9601" s="109"/>
      <c r="D9601" s="109"/>
      <c r="E9601" s="109"/>
      <c r="F9601" s="110"/>
      <c r="G9601" s="109"/>
    </row>
    <row r="9602" spans="3:7" x14ac:dyDescent="0.3">
      <c r="C9602" s="109"/>
      <c r="D9602" s="109"/>
      <c r="E9602" s="109"/>
      <c r="F9602" s="110"/>
      <c r="G9602" s="109"/>
    </row>
    <row r="9603" spans="3:7" x14ac:dyDescent="0.3">
      <c r="C9603" s="109"/>
      <c r="D9603" s="109"/>
      <c r="E9603" s="109"/>
      <c r="F9603" s="110"/>
      <c r="G9603" s="109"/>
    </row>
    <row r="9604" spans="3:7" x14ac:dyDescent="0.3">
      <c r="C9604" s="109"/>
      <c r="D9604" s="109"/>
      <c r="E9604" s="109"/>
      <c r="F9604" s="110"/>
      <c r="G9604" s="109"/>
    </row>
    <row r="9605" spans="3:7" x14ac:dyDescent="0.3">
      <c r="C9605" s="109"/>
      <c r="D9605" s="109"/>
      <c r="E9605" s="109"/>
      <c r="F9605" s="110"/>
      <c r="G9605" s="109"/>
    </row>
    <row r="9606" spans="3:7" x14ac:dyDescent="0.3">
      <c r="C9606" s="109"/>
      <c r="D9606" s="109"/>
      <c r="E9606" s="109"/>
      <c r="F9606" s="110"/>
      <c r="G9606" s="109"/>
    </row>
    <row r="9607" spans="3:7" x14ac:dyDescent="0.3">
      <c r="C9607" s="109"/>
      <c r="D9607" s="109"/>
      <c r="E9607" s="109"/>
      <c r="F9607" s="110"/>
      <c r="G9607" s="109"/>
    </row>
    <row r="9608" spans="3:7" x14ac:dyDescent="0.3">
      <c r="C9608" s="109"/>
      <c r="D9608" s="109"/>
      <c r="E9608" s="109"/>
      <c r="F9608" s="110"/>
      <c r="G9608" s="109"/>
    </row>
    <row r="9609" spans="3:7" x14ac:dyDescent="0.3">
      <c r="C9609" s="109"/>
      <c r="D9609" s="109"/>
      <c r="E9609" s="109"/>
      <c r="F9609" s="110"/>
      <c r="G9609" s="109"/>
    </row>
    <row r="9610" spans="3:7" x14ac:dyDescent="0.3">
      <c r="C9610" s="109"/>
      <c r="D9610" s="109"/>
      <c r="E9610" s="109"/>
      <c r="F9610" s="110"/>
      <c r="G9610" s="109"/>
    </row>
    <row r="9611" spans="3:7" x14ac:dyDescent="0.3">
      <c r="C9611" s="109"/>
      <c r="D9611" s="109"/>
      <c r="E9611" s="109"/>
      <c r="F9611" s="110"/>
      <c r="G9611" s="109"/>
    </row>
    <row r="9612" spans="3:7" x14ac:dyDescent="0.3">
      <c r="C9612" s="109"/>
      <c r="D9612" s="109"/>
      <c r="E9612" s="109"/>
      <c r="F9612" s="110"/>
      <c r="G9612" s="109"/>
    </row>
    <row r="9613" spans="3:7" x14ac:dyDescent="0.3">
      <c r="C9613" s="109"/>
      <c r="D9613" s="109"/>
      <c r="E9613" s="109"/>
      <c r="F9613" s="110"/>
      <c r="G9613" s="109"/>
    </row>
    <row r="9614" spans="3:7" x14ac:dyDescent="0.3">
      <c r="C9614" s="109"/>
      <c r="D9614" s="109"/>
      <c r="E9614" s="109"/>
      <c r="F9614" s="110"/>
      <c r="G9614" s="109"/>
    </row>
    <row r="9615" spans="3:7" x14ac:dyDescent="0.3">
      <c r="C9615" s="109"/>
      <c r="D9615" s="109"/>
      <c r="E9615" s="109"/>
      <c r="F9615" s="110"/>
      <c r="G9615" s="109"/>
    </row>
    <row r="9616" spans="3:7" x14ac:dyDescent="0.3">
      <c r="C9616" s="109"/>
      <c r="D9616" s="109"/>
      <c r="E9616" s="109"/>
      <c r="F9616" s="110"/>
      <c r="G9616" s="109"/>
    </row>
    <row r="9617" spans="3:7" x14ac:dyDescent="0.3">
      <c r="C9617" s="109"/>
      <c r="D9617" s="109"/>
      <c r="E9617" s="109"/>
      <c r="F9617" s="110"/>
      <c r="G9617" s="109"/>
    </row>
    <row r="9618" spans="3:7" x14ac:dyDescent="0.3">
      <c r="C9618" s="109"/>
      <c r="D9618" s="109"/>
      <c r="E9618" s="109"/>
      <c r="F9618" s="110"/>
      <c r="G9618" s="109"/>
    </row>
    <row r="9619" spans="3:7" x14ac:dyDescent="0.3">
      <c r="C9619" s="109"/>
      <c r="D9619" s="109"/>
      <c r="E9619" s="109"/>
      <c r="F9619" s="110"/>
      <c r="G9619" s="109"/>
    </row>
    <row r="9620" spans="3:7" x14ac:dyDescent="0.3">
      <c r="C9620" s="109"/>
      <c r="D9620" s="109"/>
      <c r="E9620" s="109"/>
      <c r="F9620" s="110"/>
      <c r="G9620" s="109"/>
    </row>
    <row r="9621" spans="3:7" x14ac:dyDescent="0.3">
      <c r="C9621" s="109"/>
      <c r="D9621" s="109"/>
      <c r="E9621" s="109"/>
      <c r="F9621" s="110"/>
      <c r="G9621" s="109"/>
    </row>
    <row r="9622" spans="3:7" x14ac:dyDescent="0.3">
      <c r="C9622" s="109"/>
      <c r="D9622" s="109"/>
      <c r="E9622" s="109"/>
      <c r="F9622" s="110"/>
      <c r="G9622" s="109"/>
    </row>
    <row r="9623" spans="3:7" x14ac:dyDescent="0.3">
      <c r="C9623" s="109"/>
      <c r="D9623" s="109"/>
      <c r="E9623" s="109"/>
      <c r="F9623" s="110"/>
      <c r="G9623" s="109"/>
    </row>
    <row r="9624" spans="3:7" x14ac:dyDescent="0.3">
      <c r="C9624" s="109"/>
      <c r="D9624" s="109"/>
      <c r="E9624" s="109"/>
      <c r="F9624" s="110"/>
      <c r="G9624" s="109"/>
    </row>
    <row r="9625" spans="3:7" x14ac:dyDescent="0.3">
      <c r="C9625" s="109"/>
      <c r="D9625" s="109"/>
      <c r="E9625" s="109"/>
      <c r="F9625" s="110"/>
      <c r="G9625" s="109"/>
    </row>
    <row r="9626" spans="3:7" x14ac:dyDescent="0.3">
      <c r="C9626" s="109"/>
      <c r="D9626" s="109"/>
      <c r="E9626" s="109"/>
      <c r="F9626" s="110"/>
      <c r="G9626" s="109"/>
    </row>
    <row r="9627" spans="3:7" x14ac:dyDescent="0.3">
      <c r="C9627" s="109"/>
      <c r="D9627" s="109"/>
      <c r="E9627" s="109"/>
      <c r="F9627" s="110"/>
      <c r="G9627" s="109"/>
    </row>
    <row r="9628" spans="3:7" x14ac:dyDescent="0.3">
      <c r="C9628" s="109"/>
      <c r="D9628" s="109"/>
      <c r="E9628" s="109"/>
      <c r="F9628" s="110"/>
      <c r="G9628" s="109"/>
    </row>
    <row r="9629" spans="3:7" x14ac:dyDescent="0.3">
      <c r="C9629" s="109"/>
      <c r="D9629" s="109"/>
      <c r="E9629" s="109"/>
      <c r="F9629" s="110"/>
      <c r="G9629" s="109"/>
    </row>
    <row r="9630" spans="3:7" x14ac:dyDescent="0.3">
      <c r="C9630" s="109"/>
      <c r="D9630" s="109"/>
      <c r="E9630" s="109"/>
      <c r="F9630" s="110"/>
      <c r="G9630" s="109"/>
    </row>
    <row r="9631" spans="3:7" x14ac:dyDescent="0.3">
      <c r="C9631" s="109"/>
      <c r="D9631" s="109"/>
      <c r="E9631" s="109"/>
      <c r="F9631" s="110"/>
      <c r="G9631" s="109"/>
    </row>
    <row r="9632" spans="3:7" x14ac:dyDescent="0.3">
      <c r="C9632" s="109"/>
      <c r="D9632" s="109"/>
      <c r="E9632" s="109"/>
      <c r="F9632" s="110"/>
      <c r="G9632" s="109"/>
    </row>
    <row r="9633" spans="3:7" x14ac:dyDescent="0.3">
      <c r="C9633" s="109"/>
      <c r="D9633" s="109"/>
      <c r="E9633" s="109"/>
      <c r="F9633" s="110"/>
      <c r="G9633" s="109"/>
    </row>
    <row r="9634" spans="3:7" x14ac:dyDescent="0.3">
      <c r="C9634" s="109"/>
      <c r="D9634" s="109"/>
      <c r="E9634" s="109"/>
      <c r="F9634" s="110"/>
      <c r="G9634" s="109"/>
    </row>
    <row r="9635" spans="3:7" x14ac:dyDescent="0.3">
      <c r="C9635" s="109"/>
      <c r="D9635" s="109"/>
      <c r="E9635" s="109"/>
      <c r="F9635" s="110"/>
      <c r="G9635" s="109"/>
    </row>
    <row r="9636" spans="3:7" x14ac:dyDescent="0.3">
      <c r="C9636" s="109"/>
      <c r="D9636" s="109"/>
      <c r="E9636" s="109"/>
      <c r="F9636" s="110"/>
      <c r="G9636" s="109"/>
    </row>
    <row r="9637" spans="3:7" x14ac:dyDescent="0.3">
      <c r="C9637" s="109"/>
      <c r="D9637" s="109"/>
      <c r="E9637" s="109"/>
      <c r="F9637" s="110"/>
      <c r="G9637" s="109"/>
    </row>
    <row r="9638" spans="3:7" x14ac:dyDescent="0.3">
      <c r="C9638" s="109"/>
      <c r="D9638" s="109"/>
      <c r="E9638" s="109"/>
      <c r="F9638" s="110"/>
      <c r="G9638" s="109"/>
    </row>
    <row r="9639" spans="3:7" x14ac:dyDescent="0.3">
      <c r="C9639" s="109"/>
      <c r="D9639" s="109"/>
      <c r="E9639" s="109"/>
      <c r="F9639" s="110"/>
      <c r="G9639" s="109"/>
    </row>
    <row r="9640" spans="3:7" x14ac:dyDescent="0.3">
      <c r="C9640" s="109"/>
      <c r="D9640" s="109"/>
      <c r="E9640" s="109"/>
      <c r="F9640" s="110"/>
      <c r="G9640" s="109"/>
    </row>
    <row r="9641" spans="3:7" x14ac:dyDescent="0.3">
      <c r="C9641" s="109"/>
      <c r="D9641" s="109"/>
      <c r="E9641" s="109"/>
      <c r="F9641" s="110"/>
      <c r="G9641" s="109"/>
    </row>
    <row r="9642" spans="3:7" x14ac:dyDescent="0.3">
      <c r="C9642" s="109"/>
      <c r="D9642" s="109"/>
      <c r="E9642" s="109"/>
      <c r="F9642" s="110"/>
      <c r="G9642" s="109"/>
    </row>
    <row r="9643" spans="3:7" x14ac:dyDescent="0.3">
      <c r="C9643" s="109"/>
      <c r="D9643" s="109"/>
      <c r="E9643" s="109"/>
      <c r="F9643" s="110"/>
      <c r="G9643" s="109"/>
    </row>
    <row r="9644" spans="3:7" x14ac:dyDescent="0.3">
      <c r="C9644" s="109"/>
      <c r="D9644" s="109"/>
      <c r="E9644" s="109"/>
      <c r="F9644" s="110"/>
      <c r="G9644" s="109"/>
    </row>
    <row r="9645" spans="3:7" x14ac:dyDescent="0.3">
      <c r="C9645" s="109"/>
      <c r="D9645" s="109"/>
      <c r="E9645" s="109"/>
      <c r="F9645" s="110"/>
      <c r="G9645" s="109"/>
    </row>
    <row r="9646" spans="3:7" x14ac:dyDescent="0.3">
      <c r="C9646" s="109"/>
      <c r="D9646" s="109"/>
      <c r="E9646" s="109"/>
      <c r="F9646" s="110"/>
      <c r="G9646" s="109"/>
    </row>
    <row r="9647" spans="3:7" x14ac:dyDescent="0.3">
      <c r="C9647" s="109"/>
      <c r="D9647" s="109"/>
      <c r="E9647" s="109"/>
      <c r="F9647" s="110"/>
      <c r="G9647" s="109"/>
    </row>
    <row r="9648" spans="3:7" x14ac:dyDescent="0.3">
      <c r="C9648" s="109"/>
      <c r="D9648" s="109"/>
      <c r="E9648" s="109"/>
      <c r="F9648" s="110"/>
      <c r="G9648" s="109"/>
    </row>
    <row r="9649" spans="3:7" x14ac:dyDescent="0.3">
      <c r="C9649" s="109"/>
      <c r="D9649" s="109"/>
      <c r="E9649" s="109"/>
      <c r="F9649" s="110"/>
      <c r="G9649" s="109"/>
    </row>
    <row r="9650" spans="3:7" x14ac:dyDescent="0.3">
      <c r="C9650" s="109"/>
      <c r="D9650" s="109"/>
      <c r="E9650" s="109"/>
      <c r="F9650" s="110"/>
      <c r="G9650" s="109"/>
    </row>
    <row r="9651" spans="3:7" x14ac:dyDescent="0.3">
      <c r="C9651" s="109"/>
      <c r="D9651" s="109"/>
      <c r="E9651" s="109"/>
      <c r="F9651" s="110"/>
      <c r="G9651" s="109"/>
    </row>
    <row r="9652" spans="3:7" x14ac:dyDescent="0.3">
      <c r="C9652" s="109"/>
      <c r="D9652" s="109"/>
      <c r="E9652" s="109"/>
      <c r="F9652" s="110"/>
      <c r="G9652" s="109"/>
    </row>
    <row r="9653" spans="3:7" x14ac:dyDescent="0.3">
      <c r="C9653" s="109"/>
      <c r="D9653" s="109"/>
      <c r="E9653" s="109"/>
      <c r="F9653" s="110"/>
      <c r="G9653" s="109"/>
    </row>
    <row r="9654" spans="3:7" x14ac:dyDescent="0.3">
      <c r="C9654" s="109"/>
      <c r="D9654" s="109"/>
      <c r="E9654" s="109"/>
      <c r="F9654" s="110"/>
      <c r="G9654" s="109"/>
    </row>
    <row r="9655" spans="3:7" x14ac:dyDescent="0.3">
      <c r="C9655" s="109"/>
      <c r="D9655" s="109"/>
      <c r="E9655" s="109"/>
      <c r="F9655" s="110"/>
      <c r="G9655" s="109"/>
    </row>
    <row r="9656" spans="3:7" x14ac:dyDescent="0.3">
      <c r="C9656" s="109"/>
      <c r="D9656" s="109"/>
      <c r="E9656" s="109"/>
      <c r="F9656" s="110"/>
      <c r="G9656" s="109"/>
    </row>
    <row r="9657" spans="3:7" x14ac:dyDescent="0.3">
      <c r="C9657" s="109"/>
      <c r="D9657" s="109"/>
      <c r="E9657" s="109"/>
      <c r="F9657" s="110"/>
      <c r="G9657" s="109"/>
    </row>
    <row r="9658" spans="3:7" x14ac:dyDescent="0.3">
      <c r="C9658" s="109"/>
      <c r="D9658" s="109"/>
      <c r="E9658" s="109"/>
      <c r="F9658" s="110"/>
      <c r="G9658" s="109"/>
    </row>
    <row r="9659" spans="3:7" x14ac:dyDescent="0.3">
      <c r="C9659" s="109"/>
      <c r="D9659" s="109"/>
      <c r="E9659" s="109"/>
      <c r="F9659" s="110"/>
      <c r="G9659" s="109"/>
    </row>
    <row r="9660" spans="3:7" x14ac:dyDescent="0.3">
      <c r="C9660" s="109"/>
      <c r="D9660" s="109"/>
      <c r="E9660" s="109"/>
      <c r="F9660" s="110"/>
      <c r="G9660" s="109"/>
    </row>
    <row r="9661" spans="3:7" x14ac:dyDescent="0.3">
      <c r="C9661" s="109"/>
      <c r="D9661" s="109"/>
      <c r="E9661" s="109"/>
      <c r="F9661" s="110"/>
      <c r="G9661" s="109"/>
    </row>
    <row r="9662" spans="3:7" x14ac:dyDescent="0.3">
      <c r="C9662" s="109"/>
      <c r="D9662" s="109"/>
      <c r="E9662" s="109"/>
      <c r="F9662" s="110"/>
      <c r="G9662" s="109"/>
    </row>
    <row r="9663" spans="3:7" x14ac:dyDescent="0.3">
      <c r="C9663" s="109"/>
      <c r="D9663" s="109"/>
      <c r="E9663" s="109"/>
      <c r="F9663" s="110"/>
      <c r="G9663" s="109"/>
    </row>
    <row r="9664" spans="3:7" x14ac:dyDescent="0.3">
      <c r="C9664" s="109"/>
      <c r="D9664" s="109"/>
      <c r="E9664" s="109"/>
      <c r="F9664" s="110"/>
      <c r="G9664" s="109"/>
    </row>
    <row r="9665" spans="3:7" x14ac:dyDescent="0.3">
      <c r="C9665" s="109"/>
      <c r="D9665" s="109"/>
      <c r="E9665" s="109"/>
      <c r="F9665" s="110"/>
      <c r="G9665" s="109"/>
    </row>
    <row r="9666" spans="3:7" x14ac:dyDescent="0.3">
      <c r="C9666" s="109"/>
      <c r="D9666" s="109"/>
      <c r="E9666" s="109"/>
      <c r="F9666" s="110"/>
      <c r="G9666" s="109"/>
    </row>
    <row r="9667" spans="3:7" x14ac:dyDescent="0.3">
      <c r="C9667" s="109"/>
      <c r="D9667" s="109"/>
      <c r="E9667" s="109"/>
      <c r="F9667" s="110"/>
      <c r="G9667" s="109"/>
    </row>
    <row r="9668" spans="3:7" x14ac:dyDescent="0.3">
      <c r="C9668" s="109"/>
      <c r="D9668" s="109"/>
      <c r="E9668" s="109"/>
      <c r="F9668" s="110"/>
      <c r="G9668" s="109"/>
    </row>
    <row r="9669" spans="3:7" x14ac:dyDescent="0.3">
      <c r="C9669" s="109"/>
      <c r="D9669" s="109"/>
      <c r="E9669" s="109"/>
      <c r="F9669" s="110"/>
      <c r="G9669" s="109"/>
    </row>
    <row r="9670" spans="3:7" x14ac:dyDescent="0.3">
      <c r="C9670" s="109"/>
      <c r="D9670" s="109"/>
      <c r="E9670" s="109"/>
      <c r="F9670" s="110"/>
      <c r="G9670" s="109"/>
    </row>
    <row r="9671" spans="3:7" x14ac:dyDescent="0.3">
      <c r="C9671" s="109"/>
      <c r="D9671" s="109"/>
      <c r="E9671" s="109"/>
      <c r="F9671" s="110"/>
      <c r="G9671" s="109"/>
    </row>
    <row r="9672" spans="3:7" x14ac:dyDescent="0.3">
      <c r="C9672" s="109"/>
      <c r="D9672" s="109"/>
      <c r="E9672" s="109"/>
      <c r="F9672" s="110"/>
      <c r="G9672" s="109"/>
    </row>
    <row r="9673" spans="3:7" x14ac:dyDescent="0.3">
      <c r="C9673" s="109"/>
      <c r="D9673" s="109"/>
      <c r="E9673" s="109"/>
      <c r="F9673" s="110"/>
      <c r="G9673" s="109"/>
    </row>
    <row r="9674" spans="3:7" x14ac:dyDescent="0.3">
      <c r="C9674" s="109"/>
      <c r="D9674" s="109"/>
      <c r="E9674" s="109"/>
      <c r="F9674" s="110"/>
      <c r="G9674" s="109"/>
    </row>
    <row r="9675" spans="3:7" x14ac:dyDescent="0.3">
      <c r="C9675" s="109"/>
      <c r="D9675" s="109"/>
      <c r="E9675" s="109"/>
      <c r="F9675" s="110"/>
      <c r="G9675" s="109"/>
    </row>
    <row r="9676" spans="3:7" x14ac:dyDescent="0.3">
      <c r="C9676" s="109"/>
      <c r="D9676" s="109"/>
      <c r="E9676" s="109"/>
      <c r="F9676" s="110"/>
      <c r="G9676" s="109"/>
    </row>
    <row r="9677" spans="3:7" x14ac:dyDescent="0.3">
      <c r="C9677" s="109"/>
      <c r="D9677" s="109"/>
      <c r="E9677" s="109"/>
      <c r="F9677" s="110"/>
      <c r="G9677" s="109"/>
    </row>
    <row r="9678" spans="3:7" x14ac:dyDescent="0.3">
      <c r="C9678" s="109"/>
      <c r="D9678" s="109"/>
      <c r="E9678" s="109"/>
      <c r="F9678" s="110"/>
      <c r="G9678" s="109"/>
    </row>
    <row r="9679" spans="3:7" x14ac:dyDescent="0.3">
      <c r="C9679" s="109"/>
      <c r="D9679" s="109"/>
      <c r="E9679" s="109"/>
      <c r="F9679" s="110"/>
      <c r="G9679" s="109"/>
    </row>
    <row r="9680" spans="3:7" x14ac:dyDescent="0.3">
      <c r="C9680" s="109"/>
      <c r="D9680" s="109"/>
      <c r="E9680" s="109"/>
      <c r="F9680" s="110"/>
      <c r="G9680" s="109"/>
    </row>
    <row r="9681" spans="3:7" x14ac:dyDescent="0.3">
      <c r="C9681" s="109"/>
      <c r="D9681" s="109"/>
      <c r="E9681" s="109"/>
      <c r="F9681" s="110"/>
      <c r="G9681" s="109"/>
    </row>
    <row r="9682" spans="3:7" x14ac:dyDescent="0.3">
      <c r="C9682" s="109"/>
      <c r="D9682" s="109"/>
      <c r="E9682" s="109"/>
      <c r="F9682" s="110"/>
      <c r="G9682" s="109"/>
    </row>
    <row r="9683" spans="3:7" x14ac:dyDescent="0.3">
      <c r="C9683" s="109"/>
      <c r="D9683" s="109"/>
      <c r="E9683" s="109"/>
      <c r="F9683" s="110"/>
      <c r="G9683" s="109"/>
    </row>
    <row r="9684" spans="3:7" x14ac:dyDescent="0.3">
      <c r="C9684" s="109"/>
      <c r="D9684" s="109"/>
      <c r="E9684" s="109"/>
      <c r="F9684" s="110"/>
      <c r="G9684" s="109"/>
    </row>
    <row r="9685" spans="3:7" x14ac:dyDescent="0.3">
      <c r="C9685" s="109"/>
      <c r="D9685" s="109"/>
      <c r="E9685" s="109"/>
      <c r="F9685" s="110"/>
      <c r="G9685" s="109"/>
    </row>
    <row r="9686" spans="3:7" x14ac:dyDescent="0.3">
      <c r="C9686" s="109"/>
      <c r="D9686" s="109"/>
      <c r="E9686" s="109"/>
      <c r="F9686" s="110"/>
      <c r="G9686" s="109"/>
    </row>
    <row r="9687" spans="3:7" x14ac:dyDescent="0.3">
      <c r="C9687" s="109"/>
      <c r="D9687" s="109"/>
      <c r="E9687" s="109"/>
      <c r="F9687" s="110"/>
      <c r="G9687" s="109"/>
    </row>
    <row r="9688" spans="3:7" x14ac:dyDescent="0.3">
      <c r="C9688" s="109"/>
      <c r="D9688" s="109"/>
      <c r="E9688" s="109"/>
      <c r="F9688" s="110"/>
      <c r="G9688" s="109"/>
    </row>
    <row r="9689" spans="3:7" x14ac:dyDescent="0.3">
      <c r="C9689" s="109"/>
      <c r="D9689" s="109"/>
      <c r="E9689" s="109"/>
      <c r="F9689" s="110"/>
      <c r="G9689" s="109"/>
    </row>
    <row r="9690" spans="3:7" x14ac:dyDescent="0.3">
      <c r="C9690" s="109"/>
      <c r="D9690" s="109"/>
      <c r="E9690" s="109"/>
      <c r="F9690" s="110"/>
      <c r="G9690" s="109"/>
    </row>
    <row r="9691" spans="3:7" x14ac:dyDescent="0.3">
      <c r="C9691" s="109"/>
      <c r="D9691" s="109"/>
      <c r="E9691" s="109"/>
      <c r="F9691" s="110"/>
      <c r="G9691" s="109"/>
    </row>
    <row r="9692" spans="3:7" x14ac:dyDescent="0.3">
      <c r="C9692" s="109"/>
      <c r="D9692" s="109"/>
      <c r="E9692" s="109"/>
      <c r="F9692" s="110"/>
      <c r="G9692" s="109"/>
    </row>
    <row r="9693" spans="3:7" x14ac:dyDescent="0.3">
      <c r="C9693" s="109"/>
      <c r="D9693" s="109"/>
      <c r="E9693" s="109"/>
      <c r="F9693" s="110"/>
      <c r="G9693" s="109"/>
    </row>
    <row r="9694" spans="3:7" x14ac:dyDescent="0.3">
      <c r="C9694" s="109"/>
      <c r="D9694" s="109"/>
      <c r="E9694" s="109"/>
      <c r="F9694" s="110"/>
      <c r="G9694" s="109"/>
    </row>
    <row r="9695" spans="3:7" x14ac:dyDescent="0.3">
      <c r="C9695" s="109"/>
      <c r="D9695" s="109"/>
      <c r="E9695" s="109"/>
      <c r="F9695" s="110"/>
      <c r="G9695" s="109"/>
    </row>
    <row r="9696" spans="3:7" x14ac:dyDescent="0.3">
      <c r="C9696" s="109"/>
      <c r="D9696" s="109"/>
      <c r="E9696" s="109"/>
      <c r="F9696" s="110"/>
      <c r="G9696" s="109"/>
    </row>
    <row r="9697" spans="3:7" x14ac:dyDescent="0.3">
      <c r="C9697" s="109"/>
      <c r="D9697" s="109"/>
      <c r="E9697" s="109"/>
      <c r="F9697" s="110"/>
      <c r="G9697" s="109"/>
    </row>
    <row r="9698" spans="3:7" x14ac:dyDescent="0.3">
      <c r="C9698" s="109"/>
      <c r="D9698" s="109"/>
      <c r="E9698" s="109"/>
      <c r="F9698" s="110"/>
      <c r="G9698" s="109"/>
    </row>
    <row r="9699" spans="3:7" x14ac:dyDescent="0.3">
      <c r="C9699" s="109"/>
      <c r="D9699" s="109"/>
      <c r="E9699" s="109"/>
      <c r="F9699" s="110"/>
      <c r="G9699" s="109"/>
    </row>
    <row r="9700" spans="3:7" x14ac:dyDescent="0.3">
      <c r="C9700" s="109"/>
      <c r="D9700" s="109"/>
      <c r="E9700" s="109"/>
      <c r="F9700" s="110"/>
      <c r="G9700" s="109"/>
    </row>
    <row r="9701" spans="3:7" x14ac:dyDescent="0.3">
      <c r="C9701" s="109"/>
      <c r="D9701" s="109"/>
      <c r="E9701" s="109"/>
      <c r="F9701" s="110"/>
      <c r="G9701" s="109"/>
    </row>
    <row r="9702" spans="3:7" x14ac:dyDescent="0.3">
      <c r="C9702" s="109"/>
      <c r="D9702" s="109"/>
      <c r="E9702" s="109"/>
      <c r="F9702" s="110"/>
      <c r="G9702" s="109"/>
    </row>
    <row r="9703" spans="3:7" x14ac:dyDescent="0.3">
      <c r="C9703" s="109"/>
      <c r="D9703" s="109"/>
      <c r="E9703" s="109"/>
      <c r="F9703" s="110"/>
      <c r="G9703" s="109"/>
    </row>
    <row r="9704" spans="3:7" x14ac:dyDescent="0.3">
      <c r="C9704" s="109"/>
      <c r="D9704" s="109"/>
      <c r="E9704" s="109"/>
      <c r="F9704" s="110"/>
      <c r="G9704" s="109"/>
    </row>
    <row r="9705" spans="3:7" x14ac:dyDescent="0.3">
      <c r="C9705" s="109"/>
      <c r="D9705" s="109"/>
      <c r="E9705" s="109"/>
      <c r="F9705" s="110"/>
      <c r="G9705" s="109"/>
    </row>
    <row r="9706" spans="3:7" x14ac:dyDescent="0.3">
      <c r="C9706" s="109"/>
      <c r="D9706" s="109"/>
      <c r="E9706" s="109"/>
      <c r="F9706" s="110"/>
      <c r="G9706" s="109"/>
    </row>
    <row r="9707" spans="3:7" x14ac:dyDescent="0.3">
      <c r="C9707" s="109"/>
      <c r="D9707" s="109"/>
      <c r="E9707" s="109"/>
      <c r="F9707" s="110"/>
      <c r="G9707" s="109"/>
    </row>
    <row r="9708" spans="3:7" x14ac:dyDescent="0.3">
      <c r="C9708" s="109"/>
      <c r="D9708" s="109"/>
      <c r="E9708" s="109"/>
      <c r="F9708" s="110"/>
      <c r="G9708" s="109"/>
    </row>
    <row r="9709" spans="3:7" x14ac:dyDescent="0.3">
      <c r="C9709" s="109"/>
      <c r="D9709" s="109"/>
      <c r="E9709" s="109"/>
      <c r="F9709" s="110"/>
      <c r="G9709" s="109"/>
    </row>
    <row r="9710" spans="3:7" x14ac:dyDescent="0.3">
      <c r="C9710" s="109"/>
      <c r="D9710" s="109"/>
      <c r="E9710" s="109"/>
      <c r="F9710" s="110"/>
      <c r="G9710" s="109"/>
    </row>
    <row r="9711" spans="3:7" x14ac:dyDescent="0.3">
      <c r="C9711" s="109"/>
      <c r="D9711" s="109"/>
      <c r="E9711" s="109"/>
      <c r="F9711" s="110"/>
      <c r="G9711" s="109"/>
    </row>
    <row r="9712" spans="3:7" x14ac:dyDescent="0.3">
      <c r="C9712" s="109"/>
      <c r="D9712" s="109"/>
      <c r="E9712" s="109"/>
      <c r="F9712" s="110"/>
      <c r="G9712" s="109"/>
    </row>
    <row r="9713" spans="3:7" x14ac:dyDescent="0.3">
      <c r="C9713" s="109"/>
      <c r="D9713" s="109"/>
      <c r="E9713" s="109"/>
      <c r="F9713" s="110"/>
      <c r="G9713" s="109"/>
    </row>
    <row r="9714" spans="3:7" x14ac:dyDescent="0.3">
      <c r="C9714" s="109"/>
      <c r="D9714" s="109"/>
      <c r="E9714" s="109"/>
      <c r="F9714" s="110"/>
      <c r="G9714" s="109"/>
    </row>
    <row r="9715" spans="3:7" x14ac:dyDescent="0.3">
      <c r="C9715" s="109"/>
      <c r="D9715" s="109"/>
      <c r="E9715" s="109"/>
      <c r="F9715" s="110"/>
      <c r="G9715" s="109"/>
    </row>
    <row r="9716" spans="3:7" x14ac:dyDescent="0.3">
      <c r="C9716" s="109"/>
      <c r="D9716" s="109"/>
      <c r="E9716" s="109"/>
      <c r="F9716" s="110"/>
      <c r="G9716" s="109"/>
    </row>
    <row r="9717" spans="3:7" x14ac:dyDescent="0.3">
      <c r="C9717" s="109"/>
      <c r="D9717" s="109"/>
      <c r="E9717" s="109"/>
      <c r="F9717" s="110"/>
      <c r="G9717" s="109"/>
    </row>
    <row r="9718" spans="3:7" x14ac:dyDescent="0.3">
      <c r="C9718" s="109"/>
      <c r="D9718" s="109"/>
      <c r="E9718" s="109"/>
      <c r="F9718" s="110"/>
      <c r="G9718" s="109"/>
    </row>
    <row r="9719" spans="3:7" x14ac:dyDescent="0.3">
      <c r="C9719" s="109"/>
      <c r="D9719" s="109"/>
      <c r="E9719" s="109"/>
      <c r="F9719" s="110"/>
      <c r="G9719" s="109"/>
    </row>
    <row r="9720" spans="3:7" x14ac:dyDescent="0.3">
      <c r="C9720" s="109"/>
      <c r="D9720" s="109"/>
      <c r="E9720" s="109"/>
      <c r="F9720" s="110"/>
      <c r="G9720" s="109"/>
    </row>
    <row r="9721" spans="3:7" x14ac:dyDescent="0.3">
      <c r="C9721" s="109"/>
      <c r="D9721" s="109"/>
      <c r="E9721" s="109"/>
      <c r="F9721" s="110"/>
      <c r="G9721" s="109"/>
    </row>
    <row r="9722" spans="3:7" x14ac:dyDescent="0.3">
      <c r="C9722" s="109"/>
      <c r="D9722" s="109"/>
      <c r="E9722" s="109"/>
      <c r="F9722" s="110"/>
      <c r="G9722" s="109"/>
    </row>
    <row r="9723" spans="3:7" x14ac:dyDescent="0.3">
      <c r="C9723" s="109"/>
      <c r="D9723" s="109"/>
      <c r="E9723" s="109"/>
      <c r="F9723" s="110"/>
      <c r="G9723" s="109"/>
    </row>
    <row r="9724" spans="3:7" x14ac:dyDescent="0.3">
      <c r="C9724" s="109"/>
      <c r="D9724" s="109"/>
      <c r="E9724" s="109"/>
      <c r="F9724" s="110"/>
      <c r="G9724" s="109"/>
    </row>
    <row r="9725" spans="3:7" x14ac:dyDescent="0.3">
      <c r="C9725" s="109"/>
      <c r="D9725" s="109"/>
      <c r="E9725" s="109"/>
      <c r="F9725" s="110"/>
      <c r="G9725" s="109"/>
    </row>
    <row r="9726" spans="3:7" x14ac:dyDescent="0.3">
      <c r="C9726" s="109"/>
      <c r="D9726" s="109"/>
      <c r="E9726" s="109"/>
      <c r="F9726" s="110"/>
      <c r="G9726" s="109"/>
    </row>
    <row r="9727" spans="3:7" x14ac:dyDescent="0.3">
      <c r="C9727" s="109"/>
      <c r="D9727" s="109"/>
      <c r="E9727" s="109"/>
      <c r="F9727" s="110"/>
      <c r="G9727" s="109"/>
    </row>
    <row r="9728" spans="3:7" x14ac:dyDescent="0.3">
      <c r="C9728" s="109"/>
      <c r="D9728" s="109"/>
      <c r="E9728" s="109"/>
      <c r="F9728" s="110"/>
      <c r="G9728" s="109"/>
    </row>
    <row r="9729" spans="3:7" x14ac:dyDescent="0.3">
      <c r="C9729" s="109"/>
      <c r="D9729" s="109"/>
      <c r="E9729" s="109"/>
      <c r="F9729" s="110"/>
      <c r="G9729" s="109"/>
    </row>
    <row r="9730" spans="3:7" x14ac:dyDescent="0.3">
      <c r="C9730" s="109"/>
      <c r="D9730" s="109"/>
      <c r="E9730" s="109"/>
      <c r="F9730" s="110"/>
      <c r="G9730" s="109"/>
    </row>
    <row r="9731" spans="3:7" x14ac:dyDescent="0.3">
      <c r="C9731" s="109"/>
      <c r="D9731" s="109"/>
      <c r="E9731" s="109"/>
      <c r="F9731" s="110"/>
      <c r="G9731" s="109"/>
    </row>
    <row r="9732" spans="3:7" x14ac:dyDescent="0.3">
      <c r="C9732" s="109"/>
      <c r="D9732" s="109"/>
      <c r="E9732" s="109"/>
      <c r="F9732" s="110"/>
      <c r="G9732" s="109"/>
    </row>
    <row r="9733" spans="3:7" x14ac:dyDescent="0.3">
      <c r="C9733" s="109"/>
      <c r="D9733" s="109"/>
      <c r="E9733" s="109"/>
      <c r="F9733" s="110"/>
      <c r="G9733" s="109"/>
    </row>
    <row r="9734" spans="3:7" x14ac:dyDescent="0.3">
      <c r="C9734" s="109"/>
      <c r="D9734" s="109"/>
      <c r="E9734" s="109"/>
      <c r="F9734" s="110"/>
      <c r="G9734" s="109"/>
    </row>
    <row r="9735" spans="3:7" x14ac:dyDescent="0.3">
      <c r="C9735" s="109"/>
      <c r="D9735" s="109"/>
      <c r="E9735" s="109"/>
      <c r="F9735" s="110"/>
      <c r="G9735" s="109"/>
    </row>
    <row r="9736" spans="3:7" x14ac:dyDescent="0.3">
      <c r="C9736" s="109"/>
      <c r="D9736" s="109"/>
      <c r="E9736" s="109"/>
      <c r="F9736" s="110"/>
      <c r="G9736" s="109"/>
    </row>
    <row r="9737" spans="3:7" x14ac:dyDescent="0.3">
      <c r="C9737" s="109"/>
      <c r="D9737" s="109"/>
      <c r="E9737" s="109"/>
      <c r="F9737" s="110"/>
      <c r="G9737" s="109"/>
    </row>
    <row r="9738" spans="3:7" x14ac:dyDescent="0.3">
      <c r="C9738" s="109"/>
      <c r="D9738" s="109"/>
      <c r="E9738" s="109"/>
      <c r="F9738" s="110"/>
      <c r="G9738" s="109"/>
    </row>
    <row r="9739" spans="3:7" x14ac:dyDescent="0.3">
      <c r="C9739" s="109"/>
      <c r="D9739" s="109"/>
      <c r="E9739" s="109"/>
      <c r="F9739" s="110"/>
      <c r="G9739" s="109"/>
    </row>
    <row r="9740" spans="3:7" x14ac:dyDescent="0.3">
      <c r="C9740" s="109"/>
      <c r="D9740" s="109"/>
      <c r="E9740" s="109"/>
      <c r="F9740" s="110"/>
      <c r="G9740" s="109"/>
    </row>
    <row r="9741" spans="3:7" x14ac:dyDescent="0.3">
      <c r="C9741" s="109"/>
      <c r="D9741" s="109"/>
      <c r="E9741" s="109"/>
      <c r="F9741" s="110"/>
      <c r="G9741" s="109"/>
    </row>
    <row r="9742" spans="3:7" x14ac:dyDescent="0.3">
      <c r="C9742" s="109"/>
      <c r="D9742" s="109"/>
      <c r="E9742" s="109"/>
      <c r="F9742" s="110"/>
      <c r="G9742" s="109"/>
    </row>
    <row r="9743" spans="3:7" x14ac:dyDescent="0.3">
      <c r="C9743" s="109"/>
      <c r="D9743" s="109"/>
      <c r="E9743" s="109"/>
      <c r="F9743" s="110"/>
      <c r="G9743" s="109"/>
    </row>
    <row r="9744" spans="3:7" x14ac:dyDescent="0.3">
      <c r="C9744" s="109"/>
      <c r="D9744" s="109"/>
      <c r="E9744" s="109"/>
      <c r="F9744" s="110"/>
      <c r="G9744" s="109"/>
    </row>
    <row r="9745" spans="3:7" x14ac:dyDescent="0.3">
      <c r="C9745" s="109"/>
      <c r="D9745" s="109"/>
      <c r="E9745" s="109"/>
      <c r="F9745" s="110"/>
      <c r="G9745" s="109"/>
    </row>
    <row r="9746" spans="3:7" x14ac:dyDescent="0.3">
      <c r="C9746" s="109"/>
      <c r="D9746" s="109"/>
      <c r="E9746" s="109"/>
      <c r="F9746" s="110"/>
      <c r="G9746" s="109"/>
    </row>
    <row r="9747" spans="3:7" x14ac:dyDescent="0.3">
      <c r="C9747" s="109"/>
      <c r="D9747" s="109"/>
      <c r="E9747" s="109"/>
      <c r="F9747" s="110"/>
      <c r="G9747" s="109"/>
    </row>
    <row r="9748" spans="3:7" x14ac:dyDescent="0.3">
      <c r="C9748" s="109"/>
      <c r="D9748" s="109"/>
      <c r="E9748" s="109"/>
      <c r="F9748" s="110"/>
      <c r="G9748" s="109"/>
    </row>
    <row r="9749" spans="3:7" x14ac:dyDescent="0.3">
      <c r="C9749" s="109"/>
      <c r="D9749" s="109"/>
      <c r="E9749" s="109"/>
      <c r="F9749" s="110"/>
      <c r="G9749" s="109"/>
    </row>
    <row r="9750" spans="3:7" x14ac:dyDescent="0.3">
      <c r="C9750" s="109"/>
      <c r="D9750" s="109"/>
      <c r="E9750" s="109"/>
      <c r="F9750" s="110"/>
      <c r="G9750" s="109"/>
    </row>
    <row r="9751" spans="3:7" x14ac:dyDescent="0.3">
      <c r="C9751" s="109"/>
      <c r="D9751" s="109"/>
      <c r="E9751" s="109"/>
      <c r="F9751" s="110"/>
      <c r="G9751" s="109"/>
    </row>
    <row r="9752" spans="3:7" x14ac:dyDescent="0.3">
      <c r="C9752" s="109"/>
      <c r="D9752" s="109"/>
      <c r="E9752" s="109"/>
      <c r="F9752" s="110"/>
      <c r="G9752" s="109"/>
    </row>
    <row r="9753" spans="3:7" x14ac:dyDescent="0.3">
      <c r="C9753" s="109"/>
      <c r="D9753" s="109"/>
      <c r="E9753" s="109"/>
      <c r="F9753" s="110"/>
      <c r="G9753" s="109"/>
    </row>
    <row r="9754" spans="3:7" x14ac:dyDescent="0.3">
      <c r="C9754" s="109"/>
      <c r="D9754" s="109"/>
      <c r="E9754" s="109"/>
      <c r="F9754" s="110"/>
      <c r="G9754" s="109"/>
    </row>
    <row r="9755" spans="3:7" x14ac:dyDescent="0.3">
      <c r="C9755" s="109"/>
      <c r="D9755" s="109"/>
      <c r="E9755" s="109"/>
      <c r="F9755" s="110"/>
      <c r="G9755" s="109"/>
    </row>
    <row r="9756" spans="3:7" x14ac:dyDescent="0.3">
      <c r="C9756" s="109"/>
      <c r="D9756" s="109"/>
      <c r="E9756" s="109"/>
      <c r="F9756" s="110"/>
      <c r="G9756" s="109"/>
    </row>
    <row r="9757" spans="3:7" x14ac:dyDescent="0.3">
      <c r="C9757" s="109"/>
      <c r="D9757" s="109"/>
      <c r="E9757" s="109"/>
      <c r="F9757" s="110"/>
      <c r="G9757" s="109"/>
    </row>
    <row r="9758" spans="3:7" x14ac:dyDescent="0.3">
      <c r="C9758" s="109"/>
      <c r="D9758" s="109"/>
      <c r="E9758" s="109"/>
      <c r="F9758" s="110"/>
      <c r="G9758" s="109"/>
    </row>
    <row r="9759" spans="3:7" x14ac:dyDescent="0.3">
      <c r="C9759" s="109"/>
      <c r="D9759" s="109"/>
      <c r="E9759" s="109"/>
      <c r="F9759" s="110"/>
      <c r="G9759" s="109"/>
    </row>
    <row r="9760" spans="3:7" x14ac:dyDescent="0.3">
      <c r="C9760" s="109"/>
      <c r="D9760" s="109"/>
      <c r="E9760" s="109"/>
      <c r="F9760" s="110"/>
      <c r="G9760" s="109"/>
    </row>
    <row r="9761" spans="3:7" x14ac:dyDescent="0.3">
      <c r="C9761" s="109"/>
      <c r="D9761" s="109"/>
      <c r="E9761" s="109"/>
      <c r="F9761" s="110"/>
      <c r="G9761" s="109"/>
    </row>
    <row r="9762" spans="3:7" x14ac:dyDescent="0.3">
      <c r="C9762" s="109"/>
      <c r="D9762" s="109"/>
      <c r="E9762" s="109"/>
      <c r="F9762" s="110"/>
      <c r="G9762" s="109"/>
    </row>
    <row r="9763" spans="3:7" x14ac:dyDescent="0.3">
      <c r="C9763" s="109"/>
      <c r="D9763" s="109"/>
      <c r="E9763" s="109"/>
      <c r="F9763" s="110"/>
      <c r="G9763" s="109"/>
    </row>
    <row r="9764" spans="3:7" x14ac:dyDescent="0.3">
      <c r="C9764" s="109"/>
      <c r="D9764" s="109"/>
      <c r="E9764" s="109"/>
      <c r="F9764" s="110"/>
      <c r="G9764" s="109"/>
    </row>
    <row r="9765" spans="3:7" x14ac:dyDescent="0.3">
      <c r="C9765" s="109"/>
      <c r="D9765" s="109"/>
      <c r="E9765" s="109"/>
      <c r="F9765" s="110"/>
      <c r="G9765" s="109"/>
    </row>
    <row r="9766" spans="3:7" x14ac:dyDescent="0.3">
      <c r="C9766" s="109"/>
      <c r="D9766" s="109"/>
      <c r="E9766" s="109"/>
      <c r="F9766" s="110"/>
      <c r="G9766" s="109"/>
    </row>
    <row r="9767" spans="3:7" x14ac:dyDescent="0.3">
      <c r="C9767" s="109"/>
      <c r="D9767" s="109"/>
      <c r="E9767" s="109"/>
      <c r="F9767" s="110"/>
      <c r="G9767" s="109"/>
    </row>
    <row r="9768" spans="3:7" x14ac:dyDescent="0.3">
      <c r="C9768" s="109"/>
      <c r="D9768" s="109"/>
      <c r="E9768" s="109"/>
      <c r="F9768" s="110"/>
      <c r="G9768" s="109"/>
    </row>
    <row r="9769" spans="3:7" x14ac:dyDescent="0.3">
      <c r="C9769" s="109"/>
      <c r="D9769" s="109"/>
      <c r="E9769" s="109"/>
      <c r="F9769" s="110"/>
      <c r="G9769" s="109"/>
    </row>
    <row r="9770" spans="3:7" x14ac:dyDescent="0.3">
      <c r="C9770" s="109"/>
      <c r="D9770" s="109"/>
      <c r="E9770" s="109"/>
      <c r="F9770" s="110"/>
      <c r="G9770" s="109"/>
    </row>
    <row r="9771" spans="3:7" x14ac:dyDescent="0.3">
      <c r="C9771" s="109"/>
      <c r="D9771" s="109"/>
      <c r="E9771" s="109"/>
      <c r="F9771" s="110"/>
      <c r="G9771" s="109"/>
    </row>
    <row r="9772" spans="3:7" x14ac:dyDescent="0.3">
      <c r="C9772" s="109"/>
      <c r="D9772" s="109"/>
      <c r="E9772" s="109"/>
      <c r="F9772" s="110"/>
      <c r="G9772" s="109"/>
    </row>
    <row r="9773" spans="3:7" x14ac:dyDescent="0.3">
      <c r="C9773" s="109"/>
      <c r="D9773" s="109"/>
      <c r="E9773" s="109"/>
      <c r="F9773" s="110"/>
      <c r="G9773" s="109"/>
    </row>
    <row r="9774" spans="3:7" x14ac:dyDescent="0.3">
      <c r="C9774" s="109"/>
      <c r="D9774" s="109"/>
      <c r="E9774" s="109"/>
      <c r="F9774" s="110"/>
      <c r="G9774" s="109"/>
    </row>
    <row r="9775" spans="3:7" x14ac:dyDescent="0.3">
      <c r="C9775" s="109"/>
      <c r="D9775" s="109"/>
      <c r="E9775" s="109"/>
      <c r="F9775" s="110"/>
      <c r="G9775" s="109"/>
    </row>
    <row r="9776" spans="3:7" x14ac:dyDescent="0.3">
      <c r="C9776" s="109"/>
      <c r="D9776" s="109"/>
      <c r="E9776" s="109"/>
      <c r="F9776" s="110"/>
      <c r="G9776" s="109"/>
    </row>
    <row r="9777" spans="3:7" x14ac:dyDescent="0.3">
      <c r="C9777" s="109"/>
      <c r="D9777" s="109"/>
      <c r="E9777" s="109"/>
      <c r="F9777" s="110"/>
      <c r="G9777" s="109"/>
    </row>
    <row r="9778" spans="3:7" x14ac:dyDescent="0.3">
      <c r="C9778" s="109"/>
      <c r="D9778" s="109"/>
      <c r="E9778" s="109"/>
      <c r="F9778" s="110"/>
      <c r="G9778" s="109"/>
    </row>
    <row r="9779" spans="3:7" x14ac:dyDescent="0.3">
      <c r="C9779" s="109"/>
      <c r="D9779" s="109"/>
      <c r="E9779" s="109"/>
      <c r="F9779" s="110"/>
      <c r="G9779" s="109"/>
    </row>
    <row r="9780" spans="3:7" x14ac:dyDescent="0.3">
      <c r="C9780" s="109"/>
      <c r="D9780" s="109"/>
      <c r="E9780" s="109"/>
      <c r="F9780" s="110"/>
      <c r="G9780" s="109"/>
    </row>
    <row r="9781" spans="3:7" x14ac:dyDescent="0.3">
      <c r="C9781" s="109"/>
      <c r="D9781" s="109"/>
      <c r="E9781" s="109"/>
      <c r="F9781" s="110"/>
      <c r="G9781" s="109"/>
    </row>
    <row r="9782" spans="3:7" x14ac:dyDescent="0.3">
      <c r="C9782" s="109"/>
      <c r="D9782" s="109"/>
      <c r="E9782" s="109"/>
      <c r="F9782" s="110"/>
      <c r="G9782" s="109"/>
    </row>
    <row r="9783" spans="3:7" x14ac:dyDescent="0.3">
      <c r="C9783" s="109"/>
      <c r="D9783" s="109"/>
      <c r="E9783" s="109"/>
      <c r="F9783" s="110"/>
      <c r="G9783" s="109"/>
    </row>
    <row r="9784" spans="3:7" x14ac:dyDescent="0.3">
      <c r="C9784" s="109"/>
      <c r="D9784" s="109"/>
      <c r="E9784" s="109"/>
      <c r="F9784" s="110"/>
      <c r="G9784" s="109"/>
    </row>
    <row r="9785" spans="3:7" x14ac:dyDescent="0.3">
      <c r="C9785" s="109"/>
      <c r="D9785" s="109"/>
      <c r="E9785" s="109"/>
      <c r="F9785" s="110"/>
      <c r="G9785" s="109"/>
    </row>
    <row r="9786" spans="3:7" x14ac:dyDescent="0.3">
      <c r="C9786" s="109"/>
      <c r="D9786" s="109"/>
      <c r="E9786" s="109"/>
      <c r="F9786" s="110"/>
      <c r="G9786" s="109"/>
    </row>
    <row r="9787" spans="3:7" x14ac:dyDescent="0.3">
      <c r="C9787" s="109"/>
      <c r="D9787" s="109"/>
      <c r="E9787" s="109"/>
      <c r="F9787" s="110"/>
      <c r="G9787" s="109"/>
    </row>
    <row r="9788" spans="3:7" x14ac:dyDescent="0.3">
      <c r="C9788" s="109"/>
      <c r="D9788" s="109"/>
      <c r="E9788" s="109"/>
      <c r="F9788" s="110"/>
      <c r="G9788" s="109"/>
    </row>
    <row r="9789" spans="3:7" x14ac:dyDescent="0.3">
      <c r="C9789" s="109"/>
      <c r="D9789" s="109"/>
      <c r="E9789" s="109"/>
      <c r="F9789" s="110"/>
      <c r="G9789" s="109"/>
    </row>
    <row r="9790" spans="3:7" x14ac:dyDescent="0.3">
      <c r="C9790" s="109"/>
      <c r="D9790" s="109"/>
      <c r="E9790" s="109"/>
      <c r="F9790" s="110"/>
      <c r="G9790" s="109"/>
    </row>
    <row r="9791" spans="3:7" x14ac:dyDescent="0.3">
      <c r="C9791" s="109"/>
      <c r="D9791" s="109"/>
      <c r="E9791" s="109"/>
      <c r="F9791" s="110"/>
      <c r="G9791" s="109"/>
    </row>
    <row r="9792" spans="3:7" x14ac:dyDescent="0.3">
      <c r="C9792" s="109"/>
      <c r="D9792" s="109"/>
      <c r="E9792" s="109"/>
      <c r="F9792" s="110"/>
      <c r="G9792" s="109"/>
    </row>
    <row r="9793" spans="3:7" x14ac:dyDescent="0.3">
      <c r="C9793" s="109"/>
      <c r="D9793" s="109"/>
      <c r="E9793" s="109"/>
      <c r="F9793" s="110"/>
      <c r="G9793" s="109"/>
    </row>
    <row r="9794" spans="3:7" x14ac:dyDescent="0.3">
      <c r="C9794" s="109"/>
      <c r="D9794" s="109"/>
      <c r="E9794" s="109"/>
      <c r="F9794" s="110"/>
      <c r="G9794" s="109"/>
    </row>
    <row r="9795" spans="3:7" x14ac:dyDescent="0.3">
      <c r="C9795" s="109"/>
      <c r="D9795" s="109"/>
      <c r="E9795" s="109"/>
      <c r="F9795" s="110"/>
      <c r="G9795" s="109"/>
    </row>
    <row r="9796" spans="3:7" x14ac:dyDescent="0.3">
      <c r="C9796" s="109"/>
      <c r="D9796" s="109"/>
      <c r="E9796" s="109"/>
      <c r="F9796" s="110"/>
      <c r="G9796" s="109"/>
    </row>
    <row r="9797" spans="3:7" x14ac:dyDescent="0.3">
      <c r="C9797" s="109"/>
      <c r="D9797" s="109"/>
      <c r="E9797" s="109"/>
      <c r="F9797" s="110"/>
      <c r="G9797" s="109"/>
    </row>
    <row r="9798" spans="3:7" x14ac:dyDescent="0.3">
      <c r="C9798" s="109"/>
      <c r="D9798" s="109"/>
      <c r="E9798" s="109"/>
      <c r="F9798" s="110"/>
      <c r="G9798" s="109"/>
    </row>
    <row r="9799" spans="3:7" x14ac:dyDescent="0.3">
      <c r="C9799" s="109"/>
      <c r="D9799" s="109"/>
      <c r="E9799" s="109"/>
      <c r="F9799" s="110"/>
      <c r="G9799" s="109"/>
    </row>
    <row r="9800" spans="3:7" x14ac:dyDescent="0.3">
      <c r="C9800" s="109"/>
      <c r="D9800" s="109"/>
      <c r="E9800" s="109"/>
      <c r="F9800" s="110"/>
      <c r="G9800" s="109"/>
    </row>
    <row r="9801" spans="3:7" x14ac:dyDescent="0.3">
      <c r="C9801" s="109"/>
      <c r="D9801" s="109"/>
      <c r="E9801" s="109"/>
      <c r="F9801" s="110"/>
      <c r="G9801" s="109"/>
    </row>
    <row r="9802" spans="3:7" x14ac:dyDescent="0.3">
      <c r="C9802" s="109"/>
      <c r="D9802" s="109"/>
      <c r="E9802" s="109"/>
      <c r="F9802" s="110"/>
      <c r="G9802" s="109"/>
    </row>
    <row r="9803" spans="3:7" x14ac:dyDescent="0.3">
      <c r="C9803" s="109"/>
      <c r="D9803" s="109"/>
      <c r="E9803" s="109"/>
      <c r="F9803" s="110"/>
      <c r="G9803" s="109"/>
    </row>
    <row r="9804" spans="3:7" x14ac:dyDescent="0.3">
      <c r="C9804" s="109"/>
      <c r="D9804" s="109"/>
      <c r="E9804" s="109"/>
      <c r="F9804" s="110"/>
      <c r="G9804" s="109"/>
    </row>
    <row r="9805" spans="3:7" x14ac:dyDescent="0.3">
      <c r="C9805" s="109"/>
      <c r="D9805" s="109"/>
      <c r="E9805" s="109"/>
      <c r="F9805" s="110"/>
      <c r="G9805" s="109"/>
    </row>
    <row r="9806" spans="3:7" x14ac:dyDescent="0.3">
      <c r="C9806" s="109"/>
      <c r="D9806" s="109"/>
      <c r="E9806" s="109"/>
      <c r="F9806" s="110"/>
      <c r="G9806" s="109"/>
    </row>
    <row r="9807" spans="3:7" x14ac:dyDescent="0.3">
      <c r="C9807" s="109"/>
      <c r="D9807" s="109"/>
      <c r="E9807" s="109"/>
      <c r="F9807" s="110"/>
      <c r="G9807" s="109"/>
    </row>
    <row r="9808" spans="3:7" x14ac:dyDescent="0.3">
      <c r="C9808" s="109"/>
      <c r="D9808" s="109"/>
      <c r="E9808" s="109"/>
      <c r="F9808" s="110"/>
      <c r="G9808" s="109"/>
    </row>
    <row r="9809" spans="3:7" x14ac:dyDescent="0.3">
      <c r="C9809" s="109"/>
      <c r="D9809" s="109"/>
      <c r="E9809" s="109"/>
      <c r="F9809" s="110"/>
      <c r="G9809" s="109"/>
    </row>
    <row r="9810" spans="3:7" x14ac:dyDescent="0.3">
      <c r="C9810" s="109"/>
      <c r="D9810" s="109"/>
      <c r="E9810" s="109"/>
      <c r="F9810" s="110"/>
      <c r="G9810" s="109"/>
    </row>
    <row r="9811" spans="3:7" x14ac:dyDescent="0.3">
      <c r="C9811" s="109"/>
      <c r="D9811" s="109"/>
      <c r="E9811" s="109"/>
      <c r="F9811" s="110"/>
      <c r="G9811" s="109"/>
    </row>
    <row r="9812" spans="3:7" x14ac:dyDescent="0.3">
      <c r="C9812" s="109"/>
      <c r="D9812" s="109"/>
      <c r="E9812" s="109"/>
      <c r="F9812" s="110"/>
      <c r="G9812" s="109"/>
    </row>
    <row r="9813" spans="3:7" x14ac:dyDescent="0.3">
      <c r="C9813" s="109"/>
      <c r="D9813" s="109"/>
      <c r="E9813" s="109"/>
      <c r="F9813" s="110"/>
      <c r="G9813" s="109"/>
    </row>
    <row r="9814" spans="3:7" x14ac:dyDescent="0.3">
      <c r="C9814" s="109"/>
      <c r="D9814" s="109"/>
      <c r="E9814" s="109"/>
      <c r="F9814" s="110"/>
      <c r="G9814" s="109"/>
    </row>
    <row r="9815" spans="3:7" x14ac:dyDescent="0.3">
      <c r="C9815" s="109"/>
      <c r="D9815" s="109"/>
      <c r="E9815" s="109"/>
      <c r="F9815" s="110"/>
      <c r="G9815" s="109"/>
    </row>
    <row r="9816" spans="3:7" x14ac:dyDescent="0.3">
      <c r="C9816" s="109"/>
      <c r="D9816" s="109"/>
      <c r="E9816" s="109"/>
      <c r="F9816" s="110"/>
      <c r="G9816" s="109"/>
    </row>
    <row r="9817" spans="3:7" x14ac:dyDescent="0.3">
      <c r="C9817" s="109"/>
      <c r="D9817" s="109"/>
      <c r="E9817" s="109"/>
      <c r="F9817" s="110"/>
      <c r="G9817" s="109"/>
    </row>
    <row r="9818" spans="3:7" x14ac:dyDescent="0.3">
      <c r="C9818" s="109"/>
      <c r="D9818" s="109"/>
      <c r="E9818" s="109"/>
      <c r="F9818" s="110"/>
      <c r="G9818" s="109"/>
    </row>
    <row r="9819" spans="3:7" x14ac:dyDescent="0.3">
      <c r="C9819" s="109"/>
      <c r="D9819" s="109"/>
      <c r="E9819" s="109"/>
      <c r="F9819" s="110"/>
      <c r="G9819" s="109"/>
    </row>
    <row r="9820" spans="3:7" x14ac:dyDescent="0.3">
      <c r="C9820" s="109"/>
      <c r="D9820" s="109"/>
      <c r="E9820" s="109"/>
      <c r="F9820" s="110"/>
      <c r="G9820" s="109"/>
    </row>
    <row r="9821" spans="3:7" x14ac:dyDescent="0.3">
      <c r="C9821" s="109"/>
      <c r="D9821" s="109"/>
      <c r="E9821" s="109"/>
      <c r="F9821" s="110"/>
      <c r="G9821" s="109"/>
    </row>
    <row r="9822" spans="3:7" x14ac:dyDescent="0.3">
      <c r="C9822" s="109"/>
      <c r="D9822" s="109"/>
      <c r="E9822" s="109"/>
      <c r="F9822" s="110"/>
      <c r="G9822" s="109"/>
    </row>
    <row r="9823" spans="3:7" x14ac:dyDescent="0.3">
      <c r="C9823" s="109"/>
      <c r="D9823" s="109"/>
      <c r="E9823" s="109"/>
      <c r="F9823" s="110"/>
      <c r="G9823" s="109"/>
    </row>
    <row r="9824" spans="3:7" x14ac:dyDescent="0.3">
      <c r="C9824" s="109"/>
      <c r="D9824" s="109"/>
      <c r="E9824" s="109"/>
      <c r="F9824" s="110"/>
      <c r="G9824" s="109"/>
    </row>
    <row r="9825" spans="3:7" x14ac:dyDescent="0.3">
      <c r="C9825" s="109"/>
      <c r="D9825" s="109"/>
      <c r="E9825" s="109"/>
      <c r="F9825" s="110"/>
      <c r="G9825" s="109"/>
    </row>
    <row r="9826" spans="3:7" x14ac:dyDescent="0.3">
      <c r="C9826" s="109"/>
      <c r="D9826" s="109"/>
      <c r="E9826" s="109"/>
      <c r="F9826" s="110"/>
      <c r="G9826" s="109"/>
    </row>
    <row r="9827" spans="3:7" x14ac:dyDescent="0.3">
      <c r="C9827" s="109"/>
      <c r="D9827" s="109"/>
      <c r="E9827" s="109"/>
      <c r="F9827" s="110"/>
      <c r="G9827" s="109"/>
    </row>
    <row r="9828" spans="3:7" x14ac:dyDescent="0.3">
      <c r="C9828" s="109"/>
      <c r="D9828" s="109"/>
      <c r="E9828" s="109"/>
      <c r="F9828" s="110"/>
      <c r="G9828" s="109"/>
    </row>
    <row r="9829" spans="3:7" x14ac:dyDescent="0.3">
      <c r="C9829" s="109"/>
      <c r="D9829" s="109"/>
      <c r="E9829" s="109"/>
      <c r="F9829" s="110"/>
      <c r="G9829" s="109"/>
    </row>
    <row r="9830" spans="3:7" x14ac:dyDescent="0.3">
      <c r="C9830" s="109"/>
      <c r="D9830" s="109"/>
      <c r="E9830" s="109"/>
      <c r="F9830" s="110"/>
      <c r="G9830" s="109"/>
    </row>
    <row r="9831" spans="3:7" x14ac:dyDescent="0.3">
      <c r="C9831" s="109"/>
      <c r="D9831" s="109"/>
      <c r="E9831" s="109"/>
      <c r="F9831" s="110"/>
      <c r="G9831" s="109"/>
    </row>
    <row r="9832" spans="3:7" x14ac:dyDescent="0.3">
      <c r="C9832" s="109"/>
      <c r="D9832" s="109"/>
      <c r="E9832" s="109"/>
      <c r="F9832" s="110"/>
      <c r="G9832" s="109"/>
    </row>
    <row r="9833" spans="3:7" x14ac:dyDescent="0.3">
      <c r="C9833" s="109"/>
      <c r="D9833" s="109"/>
      <c r="E9833" s="109"/>
      <c r="F9833" s="110"/>
      <c r="G9833" s="109"/>
    </row>
    <row r="9834" spans="3:7" x14ac:dyDescent="0.3">
      <c r="C9834" s="109"/>
      <c r="D9834" s="109"/>
      <c r="E9834" s="109"/>
      <c r="F9834" s="110"/>
      <c r="G9834" s="109"/>
    </row>
    <row r="9835" spans="3:7" x14ac:dyDescent="0.3">
      <c r="C9835" s="109"/>
      <c r="D9835" s="109"/>
      <c r="E9835" s="109"/>
      <c r="F9835" s="110"/>
      <c r="G9835" s="109"/>
    </row>
    <row r="9836" spans="3:7" x14ac:dyDescent="0.3">
      <c r="C9836" s="109"/>
      <c r="D9836" s="109"/>
      <c r="E9836" s="109"/>
      <c r="F9836" s="110"/>
      <c r="G9836" s="109"/>
    </row>
    <row r="9837" spans="3:7" x14ac:dyDescent="0.3">
      <c r="C9837" s="109"/>
      <c r="D9837" s="109"/>
      <c r="E9837" s="109"/>
      <c r="F9837" s="110"/>
      <c r="G9837" s="109"/>
    </row>
    <row r="9838" spans="3:7" x14ac:dyDescent="0.3">
      <c r="C9838" s="109"/>
      <c r="D9838" s="109"/>
      <c r="E9838" s="109"/>
      <c r="F9838" s="110"/>
      <c r="G9838" s="109"/>
    </row>
    <row r="9839" spans="3:7" x14ac:dyDescent="0.3">
      <c r="C9839" s="109"/>
      <c r="D9839" s="109"/>
      <c r="E9839" s="109"/>
      <c r="F9839" s="110"/>
      <c r="G9839" s="109"/>
    </row>
    <row r="9840" spans="3:7" x14ac:dyDescent="0.3">
      <c r="C9840" s="109"/>
      <c r="D9840" s="109"/>
      <c r="E9840" s="109"/>
      <c r="F9840" s="110"/>
      <c r="G9840" s="109"/>
    </row>
    <row r="9841" spans="3:7" x14ac:dyDescent="0.3">
      <c r="C9841" s="109"/>
      <c r="D9841" s="109"/>
      <c r="E9841" s="109"/>
      <c r="F9841" s="110"/>
      <c r="G9841" s="109"/>
    </row>
    <row r="9842" spans="3:7" x14ac:dyDescent="0.3">
      <c r="C9842" s="109"/>
      <c r="D9842" s="109"/>
      <c r="E9842" s="109"/>
      <c r="F9842" s="110"/>
      <c r="G9842" s="109"/>
    </row>
    <row r="9843" spans="3:7" x14ac:dyDescent="0.3">
      <c r="C9843" s="109"/>
      <c r="D9843" s="109"/>
      <c r="E9843" s="109"/>
      <c r="F9843" s="110"/>
      <c r="G9843" s="109"/>
    </row>
    <row r="9844" spans="3:7" x14ac:dyDescent="0.3">
      <c r="C9844" s="109"/>
      <c r="D9844" s="109"/>
      <c r="E9844" s="109"/>
      <c r="F9844" s="110"/>
      <c r="G9844" s="109"/>
    </row>
    <row r="9845" spans="3:7" x14ac:dyDescent="0.3">
      <c r="C9845" s="109"/>
      <c r="D9845" s="109"/>
      <c r="E9845" s="109"/>
      <c r="F9845" s="110"/>
      <c r="G9845" s="109"/>
    </row>
    <row r="9846" spans="3:7" x14ac:dyDescent="0.3">
      <c r="C9846" s="109"/>
      <c r="D9846" s="109"/>
      <c r="E9846" s="109"/>
      <c r="F9846" s="110"/>
      <c r="G9846" s="109"/>
    </row>
    <row r="9847" spans="3:7" x14ac:dyDescent="0.3">
      <c r="C9847" s="109"/>
      <c r="D9847" s="109"/>
      <c r="E9847" s="109"/>
      <c r="F9847" s="110"/>
      <c r="G9847" s="109"/>
    </row>
    <row r="9848" spans="3:7" x14ac:dyDescent="0.3">
      <c r="C9848" s="109"/>
      <c r="D9848" s="109"/>
      <c r="E9848" s="109"/>
      <c r="F9848" s="110"/>
      <c r="G9848" s="109"/>
    </row>
    <row r="9849" spans="3:7" x14ac:dyDescent="0.3">
      <c r="C9849" s="109"/>
      <c r="D9849" s="109"/>
      <c r="E9849" s="109"/>
      <c r="F9849" s="110"/>
      <c r="G9849" s="109"/>
    </row>
    <row r="9850" spans="3:7" x14ac:dyDescent="0.3">
      <c r="C9850" s="109"/>
      <c r="D9850" s="109"/>
      <c r="E9850" s="109"/>
      <c r="F9850" s="110"/>
      <c r="G9850" s="109"/>
    </row>
    <row r="9851" spans="3:7" x14ac:dyDescent="0.3">
      <c r="C9851" s="109"/>
      <c r="D9851" s="109"/>
      <c r="E9851" s="109"/>
      <c r="F9851" s="110"/>
      <c r="G9851" s="109"/>
    </row>
    <row r="9852" spans="3:7" x14ac:dyDescent="0.3">
      <c r="C9852" s="109"/>
      <c r="D9852" s="109"/>
      <c r="E9852" s="109"/>
      <c r="F9852" s="110"/>
      <c r="G9852" s="109"/>
    </row>
    <row r="9853" spans="3:7" x14ac:dyDescent="0.3">
      <c r="C9853" s="109"/>
      <c r="D9853" s="109"/>
      <c r="E9853" s="109"/>
      <c r="F9853" s="110"/>
      <c r="G9853" s="109"/>
    </row>
    <row r="9854" spans="3:7" x14ac:dyDescent="0.3">
      <c r="C9854" s="109"/>
      <c r="D9854" s="109"/>
      <c r="E9854" s="109"/>
      <c r="F9854" s="110"/>
      <c r="G9854" s="109"/>
    </row>
    <row r="9855" spans="3:7" x14ac:dyDescent="0.3">
      <c r="C9855" s="109"/>
      <c r="D9855" s="109"/>
      <c r="E9855" s="109"/>
      <c r="F9855" s="110"/>
      <c r="G9855" s="109"/>
    </row>
    <row r="9856" spans="3:7" x14ac:dyDescent="0.3">
      <c r="C9856" s="109"/>
      <c r="D9856" s="109"/>
      <c r="E9856" s="109"/>
      <c r="F9856" s="110"/>
      <c r="G9856" s="109"/>
    </row>
    <row r="9857" spans="3:7" x14ac:dyDescent="0.3">
      <c r="C9857" s="109"/>
      <c r="D9857" s="109"/>
      <c r="E9857" s="109"/>
      <c r="F9857" s="110"/>
      <c r="G9857" s="109"/>
    </row>
    <row r="9858" spans="3:7" x14ac:dyDescent="0.3">
      <c r="C9858" s="109"/>
      <c r="D9858" s="109"/>
      <c r="E9858" s="109"/>
      <c r="F9858" s="110"/>
      <c r="G9858" s="109"/>
    </row>
    <row r="9859" spans="3:7" x14ac:dyDescent="0.3">
      <c r="C9859" s="109"/>
      <c r="D9859" s="109"/>
      <c r="E9859" s="109"/>
      <c r="F9859" s="110"/>
      <c r="G9859" s="109"/>
    </row>
    <row r="9860" spans="3:7" x14ac:dyDescent="0.3">
      <c r="C9860" s="109"/>
      <c r="D9860" s="109"/>
      <c r="E9860" s="109"/>
      <c r="F9860" s="110"/>
      <c r="G9860" s="109"/>
    </row>
    <row r="9861" spans="3:7" x14ac:dyDescent="0.3">
      <c r="C9861" s="109"/>
      <c r="D9861" s="109"/>
      <c r="E9861" s="109"/>
      <c r="F9861" s="110"/>
      <c r="G9861" s="109"/>
    </row>
    <row r="9862" spans="3:7" x14ac:dyDescent="0.3">
      <c r="C9862" s="109"/>
      <c r="D9862" s="109"/>
      <c r="E9862" s="109"/>
      <c r="F9862" s="110"/>
      <c r="G9862" s="109"/>
    </row>
    <row r="9863" spans="3:7" x14ac:dyDescent="0.3">
      <c r="C9863" s="109"/>
      <c r="D9863" s="109"/>
      <c r="E9863" s="109"/>
      <c r="F9863" s="110"/>
      <c r="G9863" s="109"/>
    </row>
    <row r="9864" spans="3:7" x14ac:dyDescent="0.3">
      <c r="C9864" s="109"/>
      <c r="D9864" s="109"/>
      <c r="E9864" s="109"/>
      <c r="F9864" s="110"/>
      <c r="G9864" s="109"/>
    </row>
    <row r="9865" spans="3:7" x14ac:dyDescent="0.3">
      <c r="C9865" s="109"/>
      <c r="D9865" s="109"/>
      <c r="E9865" s="109"/>
      <c r="F9865" s="110"/>
      <c r="G9865" s="109"/>
    </row>
    <row r="9866" spans="3:7" x14ac:dyDescent="0.3">
      <c r="C9866" s="109"/>
      <c r="D9866" s="109"/>
      <c r="E9866" s="109"/>
      <c r="F9866" s="110"/>
      <c r="G9866" s="109"/>
    </row>
    <row r="9867" spans="3:7" x14ac:dyDescent="0.3">
      <c r="C9867" s="109"/>
      <c r="D9867" s="109"/>
      <c r="E9867" s="109"/>
      <c r="F9867" s="110"/>
      <c r="G9867" s="109"/>
    </row>
    <row r="9868" spans="3:7" x14ac:dyDescent="0.3">
      <c r="C9868" s="109"/>
      <c r="D9868" s="109"/>
      <c r="E9868" s="109"/>
      <c r="F9868" s="110"/>
      <c r="G9868" s="109"/>
    </row>
    <row r="9869" spans="3:7" x14ac:dyDescent="0.3">
      <c r="C9869" s="109"/>
      <c r="D9869" s="109"/>
      <c r="E9869" s="109"/>
      <c r="F9869" s="110"/>
      <c r="G9869" s="109"/>
    </row>
    <row r="9870" spans="3:7" x14ac:dyDescent="0.3">
      <c r="C9870" s="109"/>
      <c r="D9870" s="109"/>
      <c r="E9870" s="109"/>
      <c r="F9870" s="110"/>
      <c r="G9870" s="109"/>
    </row>
    <row r="9871" spans="3:7" x14ac:dyDescent="0.3">
      <c r="C9871" s="109"/>
      <c r="D9871" s="109"/>
      <c r="E9871" s="109"/>
      <c r="F9871" s="110"/>
      <c r="G9871" s="109"/>
    </row>
    <row r="9872" spans="3:7" x14ac:dyDescent="0.3">
      <c r="C9872" s="109"/>
      <c r="D9872" s="109"/>
      <c r="E9872" s="109"/>
      <c r="F9872" s="110"/>
      <c r="G9872" s="109"/>
    </row>
    <row r="9873" spans="3:7" x14ac:dyDescent="0.3">
      <c r="C9873" s="109"/>
      <c r="D9873" s="109"/>
      <c r="E9873" s="109"/>
      <c r="F9873" s="110"/>
      <c r="G9873" s="109"/>
    </row>
    <row r="9874" spans="3:7" x14ac:dyDescent="0.3">
      <c r="C9874" s="109"/>
      <c r="D9874" s="109"/>
      <c r="E9874" s="109"/>
      <c r="F9874" s="110"/>
      <c r="G9874" s="109"/>
    </row>
    <row r="9875" spans="3:7" x14ac:dyDescent="0.3">
      <c r="C9875" s="109"/>
      <c r="D9875" s="109"/>
      <c r="E9875" s="109"/>
      <c r="F9875" s="110"/>
      <c r="G9875" s="109"/>
    </row>
    <row r="9876" spans="3:7" x14ac:dyDescent="0.3">
      <c r="C9876" s="109"/>
      <c r="D9876" s="109"/>
      <c r="E9876" s="109"/>
      <c r="F9876" s="110"/>
      <c r="G9876" s="109"/>
    </row>
    <row r="9877" spans="3:7" x14ac:dyDescent="0.3">
      <c r="C9877" s="109"/>
      <c r="D9877" s="109"/>
      <c r="E9877" s="109"/>
      <c r="F9877" s="110"/>
      <c r="G9877" s="109"/>
    </row>
    <row r="9878" spans="3:7" x14ac:dyDescent="0.3">
      <c r="C9878" s="109"/>
      <c r="D9878" s="109"/>
      <c r="E9878" s="109"/>
      <c r="F9878" s="110"/>
      <c r="G9878" s="109"/>
    </row>
    <row r="9879" spans="3:7" x14ac:dyDescent="0.3">
      <c r="C9879" s="109"/>
      <c r="D9879" s="109"/>
      <c r="E9879" s="109"/>
      <c r="F9879" s="110"/>
      <c r="G9879" s="109"/>
    </row>
    <row r="9880" spans="3:7" x14ac:dyDescent="0.3">
      <c r="C9880" s="109"/>
      <c r="D9880" s="109"/>
      <c r="E9880" s="109"/>
      <c r="F9880" s="110"/>
      <c r="G9880" s="109"/>
    </row>
    <row r="9881" spans="3:7" x14ac:dyDescent="0.3">
      <c r="C9881" s="109"/>
      <c r="D9881" s="109"/>
      <c r="E9881" s="109"/>
      <c r="F9881" s="110"/>
      <c r="G9881" s="109"/>
    </row>
    <row r="9882" spans="3:7" x14ac:dyDescent="0.3">
      <c r="C9882" s="109"/>
      <c r="D9882" s="109"/>
      <c r="E9882" s="109"/>
      <c r="F9882" s="110"/>
      <c r="G9882" s="109"/>
    </row>
    <row r="9883" spans="3:7" x14ac:dyDescent="0.3">
      <c r="C9883" s="109"/>
      <c r="D9883" s="109"/>
      <c r="E9883" s="109"/>
      <c r="F9883" s="110"/>
      <c r="G9883" s="109"/>
    </row>
    <row r="9884" spans="3:7" x14ac:dyDescent="0.3">
      <c r="C9884" s="109"/>
      <c r="D9884" s="109"/>
      <c r="E9884" s="109"/>
      <c r="F9884" s="110"/>
      <c r="G9884" s="109"/>
    </row>
    <row r="9885" spans="3:7" x14ac:dyDescent="0.3">
      <c r="C9885" s="109"/>
      <c r="D9885" s="109"/>
      <c r="E9885" s="109"/>
      <c r="F9885" s="110"/>
      <c r="G9885" s="109"/>
    </row>
    <row r="9886" spans="3:7" x14ac:dyDescent="0.3">
      <c r="C9886" s="109"/>
      <c r="D9886" s="109"/>
      <c r="E9886" s="109"/>
      <c r="F9886" s="110"/>
      <c r="G9886" s="109"/>
    </row>
    <row r="9887" spans="3:7" x14ac:dyDescent="0.3">
      <c r="C9887" s="109"/>
      <c r="D9887" s="109"/>
      <c r="E9887" s="109"/>
      <c r="F9887" s="110"/>
      <c r="G9887" s="109"/>
    </row>
    <row r="9888" spans="3:7" x14ac:dyDescent="0.3">
      <c r="C9888" s="109"/>
      <c r="D9888" s="109"/>
      <c r="E9888" s="109"/>
      <c r="F9888" s="110"/>
      <c r="G9888" s="109"/>
    </row>
    <row r="9889" spans="3:7" x14ac:dyDescent="0.3">
      <c r="C9889" s="109"/>
      <c r="D9889" s="109"/>
      <c r="E9889" s="109"/>
      <c r="F9889" s="110"/>
      <c r="G9889" s="109"/>
    </row>
    <row r="9890" spans="3:7" x14ac:dyDescent="0.3">
      <c r="C9890" s="109"/>
      <c r="D9890" s="109"/>
      <c r="E9890" s="109"/>
      <c r="F9890" s="110"/>
      <c r="G9890" s="109"/>
    </row>
    <row r="9891" spans="3:7" x14ac:dyDescent="0.3">
      <c r="C9891" s="109"/>
      <c r="D9891" s="109"/>
      <c r="E9891" s="109"/>
      <c r="F9891" s="110"/>
      <c r="G9891" s="109"/>
    </row>
    <row r="9892" spans="3:7" x14ac:dyDescent="0.3">
      <c r="C9892" s="109"/>
      <c r="D9892" s="109"/>
      <c r="E9892" s="109"/>
      <c r="F9892" s="110"/>
      <c r="G9892" s="109"/>
    </row>
    <row r="9893" spans="3:7" x14ac:dyDescent="0.3">
      <c r="C9893" s="109"/>
      <c r="D9893" s="109"/>
      <c r="E9893" s="109"/>
      <c r="F9893" s="110"/>
      <c r="G9893" s="109"/>
    </row>
    <row r="9894" spans="3:7" x14ac:dyDescent="0.3">
      <c r="C9894" s="109"/>
      <c r="D9894" s="109"/>
      <c r="E9894" s="109"/>
      <c r="F9894" s="110"/>
      <c r="G9894" s="109"/>
    </row>
    <row r="9895" spans="3:7" x14ac:dyDescent="0.3">
      <c r="C9895" s="109"/>
      <c r="D9895" s="109"/>
      <c r="E9895" s="109"/>
      <c r="F9895" s="110"/>
      <c r="G9895" s="109"/>
    </row>
    <row r="9896" spans="3:7" x14ac:dyDescent="0.3">
      <c r="C9896" s="109"/>
      <c r="D9896" s="109"/>
      <c r="E9896" s="109"/>
      <c r="F9896" s="110"/>
      <c r="G9896" s="109"/>
    </row>
    <row r="9897" spans="3:7" x14ac:dyDescent="0.3">
      <c r="C9897" s="109"/>
      <c r="D9897" s="109"/>
      <c r="E9897" s="109"/>
      <c r="F9897" s="110"/>
      <c r="G9897" s="109"/>
    </row>
    <row r="9898" spans="3:7" x14ac:dyDescent="0.3">
      <c r="C9898" s="109"/>
      <c r="D9898" s="109"/>
      <c r="E9898" s="109"/>
      <c r="F9898" s="110"/>
      <c r="G9898" s="109"/>
    </row>
    <row r="9899" spans="3:7" x14ac:dyDescent="0.3">
      <c r="C9899" s="109"/>
      <c r="D9899" s="109"/>
      <c r="E9899" s="109"/>
      <c r="F9899" s="110"/>
      <c r="G9899" s="109"/>
    </row>
    <row r="9900" spans="3:7" x14ac:dyDescent="0.3">
      <c r="C9900" s="109"/>
      <c r="D9900" s="109"/>
      <c r="E9900" s="109"/>
      <c r="F9900" s="110"/>
      <c r="G9900" s="109"/>
    </row>
    <row r="9901" spans="3:7" x14ac:dyDescent="0.3">
      <c r="C9901" s="109"/>
      <c r="D9901" s="109"/>
      <c r="E9901" s="109"/>
      <c r="F9901" s="110"/>
      <c r="G9901" s="109"/>
    </row>
    <row r="9902" spans="3:7" x14ac:dyDescent="0.3">
      <c r="C9902" s="109"/>
      <c r="D9902" s="109"/>
      <c r="E9902" s="109"/>
      <c r="F9902" s="110"/>
      <c r="G9902" s="109"/>
    </row>
    <row r="9903" spans="3:7" x14ac:dyDescent="0.3">
      <c r="C9903" s="109"/>
      <c r="D9903" s="109"/>
      <c r="E9903" s="109"/>
      <c r="F9903" s="110"/>
      <c r="G9903" s="109"/>
    </row>
    <row r="9904" spans="3:7" x14ac:dyDescent="0.3">
      <c r="C9904" s="109"/>
      <c r="D9904" s="109"/>
      <c r="E9904" s="109"/>
      <c r="F9904" s="110"/>
      <c r="G9904" s="109"/>
    </row>
    <row r="9905" spans="3:7" x14ac:dyDescent="0.3">
      <c r="C9905" s="109"/>
      <c r="D9905" s="109"/>
      <c r="E9905" s="109"/>
      <c r="F9905" s="110"/>
      <c r="G9905" s="109"/>
    </row>
    <row r="9906" spans="3:7" x14ac:dyDescent="0.3">
      <c r="C9906" s="109"/>
      <c r="D9906" s="109"/>
      <c r="E9906" s="109"/>
      <c r="F9906" s="110"/>
      <c r="G9906" s="109"/>
    </row>
    <row r="9907" spans="3:7" x14ac:dyDescent="0.3">
      <c r="C9907" s="109"/>
      <c r="D9907" s="109"/>
      <c r="E9907" s="109"/>
      <c r="F9907" s="110"/>
      <c r="G9907" s="109"/>
    </row>
    <row r="9908" spans="3:7" x14ac:dyDescent="0.3">
      <c r="C9908" s="109"/>
      <c r="D9908" s="109"/>
      <c r="E9908" s="109"/>
      <c r="F9908" s="110"/>
      <c r="G9908" s="109"/>
    </row>
    <row r="9909" spans="3:7" x14ac:dyDescent="0.3">
      <c r="C9909" s="109"/>
      <c r="D9909" s="109"/>
      <c r="E9909" s="109"/>
      <c r="F9909" s="110"/>
      <c r="G9909" s="109"/>
    </row>
    <row r="9910" spans="3:7" x14ac:dyDescent="0.3">
      <c r="C9910" s="109"/>
      <c r="D9910" s="109"/>
      <c r="E9910" s="109"/>
      <c r="F9910" s="110"/>
      <c r="G9910" s="109"/>
    </row>
    <row r="9911" spans="3:7" x14ac:dyDescent="0.3">
      <c r="C9911" s="109"/>
      <c r="D9911" s="109"/>
      <c r="E9911" s="109"/>
      <c r="F9911" s="110"/>
      <c r="G9911" s="109"/>
    </row>
    <row r="9912" spans="3:7" x14ac:dyDescent="0.3">
      <c r="C9912" s="109"/>
      <c r="D9912" s="109"/>
      <c r="E9912" s="109"/>
      <c r="F9912" s="110"/>
      <c r="G9912" s="109"/>
    </row>
    <row r="9913" spans="3:7" x14ac:dyDescent="0.3">
      <c r="C9913" s="109"/>
      <c r="D9913" s="109"/>
      <c r="E9913" s="109"/>
      <c r="F9913" s="110"/>
      <c r="G9913" s="109"/>
    </row>
    <row r="9914" spans="3:7" x14ac:dyDescent="0.3">
      <c r="C9914" s="109"/>
      <c r="D9914" s="109"/>
      <c r="E9914" s="109"/>
      <c r="F9914" s="110"/>
      <c r="G9914" s="109"/>
    </row>
    <row r="9915" spans="3:7" x14ac:dyDescent="0.3">
      <c r="C9915" s="109"/>
      <c r="D9915" s="109"/>
      <c r="E9915" s="109"/>
      <c r="F9915" s="110"/>
      <c r="G9915" s="109"/>
    </row>
    <row r="9916" spans="3:7" x14ac:dyDescent="0.3">
      <c r="C9916" s="109"/>
      <c r="D9916" s="109"/>
      <c r="E9916" s="109"/>
      <c r="F9916" s="110"/>
      <c r="G9916" s="109"/>
    </row>
    <row r="9917" spans="3:7" x14ac:dyDescent="0.3">
      <c r="C9917" s="109"/>
      <c r="D9917" s="109"/>
      <c r="E9917" s="109"/>
      <c r="F9917" s="110"/>
      <c r="G9917" s="109"/>
    </row>
    <row r="9918" spans="3:7" x14ac:dyDescent="0.3">
      <c r="C9918" s="109"/>
      <c r="D9918" s="109"/>
      <c r="E9918" s="109"/>
      <c r="F9918" s="110"/>
      <c r="G9918" s="109"/>
    </row>
    <row r="9919" spans="3:7" x14ac:dyDescent="0.3">
      <c r="C9919" s="109"/>
      <c r="D9919" s="109"/>
      <c r="E9919" s="109"/>
      <c r="F9919" s="110"/>
      <c r="G9919" s="109"/>
    </row>
    <row r="9920" spans="3:7" x14ac:dyDescent="0.3">
      <c r="C9920" s="109"/>
      <c r="D9920" s="109"/>
      <c r="E9920" s="109"/>
      <c r="F9920" s="110"/>
      <c r="G9920" s="109"/>
    </row>
    <row r="9921" spans="3:7" x14ac:dyDescent="0.3">
      <c r="C9921" s="109"/>
      <c r="D9921" s="109"/>
      <c r="E9921" s="109"/>
      <c r="F9921" s="110"/>
      <c r="G9921" s="109"/>
    </row>
    <row r="9922" spans="3:7" x14ac:dyDescent="0.3">
      <c r="C9922" s="109"/>
      <c r="D9922" s="109"/>
      <c r="E9922" s="109"/>
      <c r="F9922" s="110"/>
      <c r="G9922" s="109"/>
    </row>
    <row r="9923" spans="3:7" x14ac:dyDescent="0.3">
      <c r="C9923" s="109"/>
      <c r="D9923" s="109"/>
      <c r="E9923" s="109"/>
      <c r="F9923" s="110"/>
      <c r="G9923" s="109"/>
    </row>
    <row r="9924" spans="3:7" x14ac:dyDescent="0.3">
      <c r="C9924" s="109"/>
      <c r="D9924" s="109"/>
      <c r="E9924" s="109"/>
      <c r="F9924" s="110"/>
      <c r="G9924" s="109"/>
    </row>
    <row r="9925" spans="3:7" x14ac:dyDescent="0.3">
      <c r="C9925" s="109"/>
      <c r="D9925" s="109"/>
      <c r="E9925" s="109"/>
      <c r="F9925" s="110"/>
      <c r="G9925" s="109"/>
    </row>
    <row r="9926" spans="3:7" x14ac:dyDescent="0.3">
      <c r="C9926" s="109"/>
      <c r="D9926" s="109"/>
      <c r="E9926" s="109"/>
      <c r="F9926" s="110"/>
      <c r="G9926" s="109"/>
    </row>
    <row r="9927" spans="3:7" x14ac:dyDescent="0.3">
      <c r="C9927" s="109"/>
      <c r="D9927" s="109"/>
      <c r="E9927" s="109"/>
      <c r="F9927" s="110"/>
      <c r="G9927" s="109"/>
    </row>
    <row r="9928" spans="3:7" x14ac:dyDescent="0.3">
      <c r="C9928" s="109"/>
      <c r="D9928" s="109"/>
      <c r="E9928" s="109"/>
      <c r="F9928" s="110"/>
      <c r="G9928" s="109"/>
    </row>
    <row r="9929" spans="3:7" x14ac:dyDescent="0.3">
      <c r="C9929" s="109"/>
      <c r="D9929" s="109"/>
      <c r="E9929" s="109"/>
      <c r="F9929" s="110"/>
      <c r="G9929" s="109"/>
    </row>
    <row r="9930" spans="3:7" x14ac:dyDescent="0.3">
      <c r="C9930" s="109"/>
      <c r="D9930" s="109"/>
      <c r="E9930" s="109"/>
      <c r="F9930" s="110"/>
      <c r="G9930" s="109"/>
    </row>
    <row r="9931" spans="3:7" x14ac:dyDescent="0.3">
      <c r="C9931" s="109"/>
      <c r="D9931" s="109"/>
      <c r="E9931" s="109"/>
      <c r="F9931" s="110"/>
      <c r="G9931" s="109"/>
    </row>
    <row r="9932" spans="3:7" x14ac:dyDescent="0.3">
      <c r="C9932" s="109"/>
      <c r="D9932" s="109"/>
      <c r="E9932" s="109"/>
      <c r="F9932" s="110"/>
      <c r="G9932" s="109"/>
    </row>
    <row r="9933" spans="3:7" x14ac:dyDescent="0.3">
      <c r="C9933" s="109"/>
      <c r="D9933" s="109"/>
      <c r="E9933" s="109"/>
      <c r="F9933" s="110"/>
      <c r="G9933" s="109"/>
    </row>
    <row r="9934" spans="3:7" x14ac:dyDescent="0.3">
      <c r="C9934" s="109"/>
      <c r="D9934" s="109"/>
      <c r="E9934" s="109"/>
      <c r="F9934" s="110"/>
      <c r="G9934" s="109"/>
    </row>
    <row r="9935" spans="3:7" x14ac:dyDescent="0.3">
      <c r="C9935" s="109"/>
      <c r="D9935" s="109"/>
      <c r="E9935" s="109"/>
      <c r="F9935" s="110"/>
      <c r="G9935" s="109"/>
    </row>
    <row r="9936" spans="3:7" x14ac:dyDescent="0.3">
      <c r="C9936" s="109"/>
      <c r="D9936" s="109"/>
      <c r="E9936" s="109"/>
      <c r="F9936" s="110"/>
      <c r="G9936" s="109"/>
    </row>
    <row r="9937" spans="3:7" x14ac:dyDescent="0.3">
      <c r="C9937" s="109"/>
      <c r="D9937" s="109"/>
      <c r="E9937" s="109"/>
      <c r="F9937" s="110"/>
      <c r="G9937" s="109"/>
    </row>
    <row r="9938" spans="3:7" x14ac:dyDescent="0.3">
      <c r="C9938" s="109"/>
      <c r="D9938" s="109"/>
      <c r="E9938" s="109"/>
      <c r="F9938" s="110"/>
      <c r="G9938" s="109"/>
    </row>
    <row r="9939" spans="3:7" x14ac:dyDescent="0.3">
      <c r="C9939" s="109"/>
      <c r="D9939" s="109"/>
      <c r="E9939" s="109"/>
      <c r="F9939" s="110"/>
      <c r="G9939" s="109"/>
    </row>
    <row r="9940" spans="3:7" x14ac:dyDescent="0.3">
      <c r="C9940" s="109"/>
      <c r="D9940" s="109"/>
      <c r="E9940" s="109"/>
      <c r="F9940" s="110"/>
      <c r="G9940" s="109"/>
    </row>
    <row r="9941" spans="3:7" x14ac:dyDescent="0.3">
      <c r="C9941" s="109"/>
      <c r="D9941" s="109"/>
      <c r="E9941" s="109"/>
      <c r="F9941" s="110"/>
      <c r="G9941" s="109"/>
    </row>
    <row r="9942" spans="3:7" x14ac:dyDescent="0.3">
      <c r="C9942" s="109"/>
      <c r="D9942" s="109"/>
      <c r="E9942" s="109"/>
      <c r="F9942" s="110"/>
      <c r="G9942" s="109"/>
    </row>
    <row r="9943" spans="3:7" x14ac:dyDescent="0.3">
      <c r="C9943" s="109"/>
      <c r="D9943" s="109"/>
      <c r="E9943" s="109"/>
      <c r="F9943" s="110"/>
      <c r="G9943" s="109"/>
    </row>
    <row r="9944" spans="3:7" x14ac:dyDescent="0.3">
      <c r="C9944" s="109"/>
      <c r="D9944" s="109"/>
      <c r="E9944" s="109"/>
      <c r="F9944" s="110"/>
      <c r="G9944" s="109"/>
    </row>
    <row r="9945" spans="3:7" x14ac:dyDescent="0.3">
      <c r="C9945" s="109"/>
      <c r="D9945" s="109"/>
      <c r="E9945" s="109"/>
      <c r="F9945" s="110"/>
      <c r="G9945" s="109"/>
    </row>
    <row r="9946" spans="3:7" x14ac:dyDescent="0.3">
      <c r="C9946" s="109"/>
      <c r="D9946" s="109"/>
      <c r="E9946" s="109"/>
      <c r="F9946" s="110"/>
      <c r="G9946" s="109"/>
    </row>
    <row r="9947" spans="3:7" x14ac:dyDescent="0.3">
      <c r="C9947" s="109"/>
      <c r="D9947" s="109"/>
      <c r="E9947" s="109"/>
      <c r="F9947" s="110"/>
      <c r="G9947" s="109"/>
    </row>
    <row r="9948" spans="3:7" x14ac:dyDescent="0.3">
      <c r="C9948" s="109"/>
      <c r="D9948" s="109"/>
      <c r="E9948" s="109"/>
      <c r="F9948" s="110"/>
      <c r="G9948" s="109"/>
    </row>
    <row r="9949" spans="3:7" x14ac:dyDescent="0.3">
      <c r="C9949" s="109"/>
      <c r="D9949" s="109"/>
      <c r="E9949" s="109"/>
      <c r="F9949" s="110"/>
      <c r="G9949" s="109"/>
    </row>
    <row r="9950" spans="3:7" x14ac:dyDescent="0.3">
      <c r="C9950" s="109"/>
      <c r="D9950" s="109"/>
      <c r="E9950" s="109"/>
      <c r="F9950" s="110"/>
      <c r="G9950" s="109"/>
    </row>
    <row r="9951" spans="3:7" x14ac:dyDescent="0.3">
      <c r="C9951" s="109"/>
      <c r="D9951" s="109"/>
      <c r="E9951" s="109"/>
      <c r="F9951" s="110"/>
      <c r="G9951" s="109"/>
    </row>
    <row r="9952" spans="3:7" x14ac:dyDescent="0.3">
      <c r="C9952" s="109"/>
      <c r="D9952" s="109"/>
      <c r="E9952" s="109"/>
      <c r="F9952" s="110"/>
      <c r="G9952" s="109"/>
    </row>
    <row r="9953" spans="3:7" x14ac:dyDescent="0.3">
      <c r="C9953" s="109"/>
      <c r="D9953" s="109"/>
      <c r="E9953" s="109"/>
      <c r="F9953" s="110"/>
      <c r="G9953" s="109"/>
    </row>
    <row r="9954" spans="3:7" x14ac:dyDescent="0.3">
      <c r="C9954" s="109"/>
      <c r="D9954" s="109"/>
      <c r="E9954" s="109"/>
      <c r="F9954" s="110"/>
      <c r="G9954" s="109"/>
    </row>
    <row r="9955" spans="3:7" x14ac:dyDescent="0.3">
      <c r="C9955" s="109"/>
      <c r="D9955" s="109"/>
      <c r="E9955" s="109"/>
      <c r="F9955" s="110"/>
      <c r="G9955" s="109"/>
    </row>
    <row r="9956" spans="3:7" x14ac:dyDescent="0.3">
      <c r="C9956" s="109"/>
      <c r="D9956" s="109"/>
      <c r="E9956" s="109"/>
      <c r="F9956" s="110"/>
      <c r="G9956" s="109"/>
    </row>
    <row r="9957" spans="3:7" x14ac:dyDescent="0.3">
      <c r="C9957" s="109"/>
      <c r="D9957" s="109"/>
      <c r="E9957" s="109"/>
      <c r="F9957" s="110"/>
      <c r="G9957" s="109"/>
    </row>
    <row r="9958" spans="3:7" x14ac:dyDescent="0.3">
      <c r="C9958" s="109"/>
      <c r="D9958" s="109"/>
      <c r="E9958" s="109"/>
      <c r="F9958" s="110"/>
      <c r="G9958" s="109"/>
    </row>
    <row r="9959" spans="3:7" x14ac:dyDescent="0.3">
      <c r="C9959" s="109"/>
      <c r="D9959" s="109"/>
      <c r="E9959" s="109"/>
      <c r="F9959" s="110"/>
      <c r="G9959" s="109"/>
    </row>
    <row r="9960" spans="3:7" x14ac:dyDescent="0.3">
      <c r="C9960" s="109"/>
      <c r="D9960" s="109"/>
      <c r="E9960" s="109"/>
      <c r="F9960" s="110"/>
      <c r="G9960" s="109"/>
    </row>
    <row r="9961" spans="3:7" x14ac:dyDescent="0.3">
      <c r="C9961" s="109"/>
      <c r="D9961" s="109"/>
      <c r="E9961" s="109"/>
      <c r="F9961" s="110"/>
      <c r="G9961" s="109"/>
    </row>
    <row r="9962" spans="3:7" x14ac:dyDescent="0.3">
      <c r="C9962" s="109"/>
      <c r="D9962" s="109"/>
      <c r="E9962" s="109"/>
      <c r="F9962" s="110"/>
      <c r="G9962" s="109"/>
    </row>
    <row r="9963" spans="3:7" x14ac:dyDescent="0.3">
      <c r="C9963" s="109"/>
      <c r="D9963" s="109"/>
      <c r="E9963" s="109"/>
      <c r="F9963" s="110"/>
      <c r="G9963" s="109"/>
    </row>
    <row r="9964" spans="3:7" x14ac:dyDescent="0.3">
      <c r="C9964" s="109"/>
      <c r="D9964" s="109"/>
      <c r="E9964" s="109"/>
      <c r="F9964" s="110"/>
      <c r="G9964" s="109"/>
    </row>
    <row r="9965" spans="3:7" x14ac:dyDescent="0.3">
      <c r="C9965" s="109"/>
      <c r="D9965" s="109"/>
      <c r="E9965" s="109"/>
      <c r="F9965" s="110"/>
      <c r="G9965" s="109"/>
    </row>
    <row r="9966" spans="3:7" x14ac:dyDescent="0.3">
      <c r="C9966" s="109"/>
      <c r="D9966" s="109"/>
      <c r="E9966" s="109"/>
      <c r="F9966" s="110"/>
      <c r="G9966" s="109"/>
    </row>
    <row r="9967" spans="3:7" x14ac:dyDescent="0.3">
      <c r="C9967" s="109"/>
      <c r="D9967" s="109"/>
      <c r="E9967" s="109"/>
      <c r="F9967" s="110"/>
      <c r="G9967" s="109"/>
    </row>
    <row r="9968" spans="3:7" x14ac:dyDescent="0.3">
      <c r="C9968" s="109"/>
      <c r="D9968" s="109"/>
      <c r="E9968" s="109"/>
      <c r="F9968" s="110"/>
      <c r="G9968" s="109"/>
    </row>
    <row r="9969" spans="3:7" x14ac:dyDescent="0.3">
      <c r="C9969" s="109"/>
      <c r="D9969" s="109"/>
      <c r="E9969" s="109"/>
      <c r="F9969" s="110"/>
      <c r="G9969" s="109"/>
    </row>
    <row r="9970" spans="3:7" x14ac:dyDescent="0.3">
      <c r="C9970" s="109"/>
      <c r="D9970" s="109"/>
      <c r="E9970" s="109"/>
      <c r="F9970" s="110"/>
      <c r="G9970" s="109"/>
    </row>
    <row r="9971" spans="3:7" x14ac:dyDescent="0.3">
      <c r="C9971" s="109"/>
      <c r="D9971" s="109"/>
      <c r="E9971" s="109"/>
      <c r="F9971" s="110"/>
      <c r="G9971" s="109"/>
    </row>
    <row r="9972" spans="3:7" x14ac:dyDescent="0.3">
      <c r="C9972" s="109"/>
      <c r="D9972" s="109"/>
      <c r="E9972" s="109"/>
      <c r="F9972" s="110"/>
      <c r="G9972" s="109"/>
    </row>
    <row r="9973" spans="3:7" x14ac:dyDescent="0.3">
      <c r="C9973" s="109"/>
      <c r="D9973" s="109"/>
      <c r="E9973" s="109"/>
      <c r="F9973" s="110"/>
      <c r="G9973" s="109"/>
    </row>
    <row r="9974" spans="3:7" x14ac:dyDescent="0.3">
      <c r="C9974" s="109"/>
      <c r="D9974" s="109"/>
      <c r="E9974" s="109"/>
      <c r="F9974" s="110"/>
      <c r="G9974" s="109"/>
    </row>
    <row r="9975" spans="3:7" x14ac:dyDescent="0.3">
      <c r="C9975" s="109"/>
      <c r="D9975" s="109"/>
      <c r="E9975" s="109"/>
      <c r="F9975" s="110"/>
      <c r="G9975" s="109"/>
    </row>
    <row r="9976" spans="3:7" x14ac:dyDescent="0.3">
      <c r="C9976" s="109"/>
      <c r="D9976" s="109"/>
      <c r="E9976" s="109"/>
      <c r="F9976" s="110"/>
      <c r="G9976" s="109"/>
    </row>
    <row r="9977" spans="3:7" x14ac:dyDescent="0.3">
      <c r="C9977" s="109"/>
      <c r="D9977" s="109"/>
      <c r="E9977" s="109"/>
      <c r="F9977" s="110"/>
      <c r="G9977" s="109"/>
    </row>
    <row r="9978" spans="3:7" x14ac:dyDescent="0.3">
      <c r="C9978" s="109"/>
      <c r="D9978" s="109"/>
      <c r="E9978" s="109"/>
      <c r="F9978" s="110"/>
      <c r="G9978" s="109"/>
    </row>
    <row r="9979" spans="3:7" x14ac:dyDescent="0.3">
      <c r="C9979" s="109"/>
      <c r="D9979" s="109"/>
      <c r="E9979" s="109"/>
      <c r="F9979" s="110"/>
      <c r="G9979" s="109"/>
    </row>
    <row r="9980" spans="3:7" x14ac:dyDescent="0.3">
      <c r="C9980" s="109"/>
      <c r="D9980" s="109"/>
      <c r="E9980" s="109"/>
      <c r="F9980" s="110"/>
      <c r="G9980" s="109"/>
    </row>
    <row r="9981" spans="3:7" x14ac:dyDescent="0.3">
      <c r="C9981" s="109"/>
      <c r="D9981" s="109"/>
      <c r="E9981" s="109"/>
      <c r="F9981" s="110"/>
      <c r="G9981" s="109"/>
    </row>
    <row r="9982" spans="3:7" x14ac:dyDescent="0.3">
      <c r="C9982" s="109"/>
      <c r="D9982" s="109"/>
      <c r="E9982" s="109"/>
      <c r="F9982" s="110"/>
      <c r="G9982" s="109"/>
    </row>
    <row r="9983" spans="3:7" x14ac:dyDescent="0.3">
      <c r="C9983" s="109"/>
      <c r="D9983" s="109"/>
      <c r="E9983" s="109"/>
      <c r="F9983" s="110"/>
      <c r="G9983" s="109"/>
    </row>
    <row r="9984" spans="3:7" x14ac:dyDescent="0.3">
      <c r="C9984" s="109"/>
      <c r="D9984" s="109"/>
      <c r="E9984" s="109"/>
      <c r="F9984" s="110"/>
      <c r="G9984" s="109"/>
    </row>
    <row r="9985" spans="3:7" x14ac:dyDescent="0.3">
      <c r="C9985" s="109"/>
      <c r="D9985" s="109"/>
      <c r="E9985" s="109"/>
      <c r="F9985" s="110"/>
      <c r="G9985" s="109"/>
    </row>
    <row r="9986" spans="3:7" x14ac:dyDescent="0.3">
      <c r="C9986" s="109"/>
      <c r="D9986" s="109"/>
      <c r="E9986" s="109"/>
      <c r="F9986" s="110"/>
      <c r="G9986" s="109"/>
    </row>
    <row r="9987" spans="3:7" x14ac:dyDescent="0.3">
      <c r="C9987" s="109"/>
      <c r="D9987" s="109"/>
      <c r="E9987" s="109"/>
      <c r="F9987" s="110"/>
      <c r="G9987" s="109"/>
    </row>
    <row r="9988" spans="3:7" x14ac:dyDescent="0.3">
      <c r="C9988" s="109"/>
      <c r="D9988" s="109"/>
      <c r="E9988" s="109"/>
      <c r="F9988" s="110"/>
      <c r="G9988" s="109"/>
    </row>
    <row r="9989" spans="3:7" x14ac:dyDescent="0.3">
      <c r="C9989" s="109"/>
      <c r="D9989" s="109"/>
      <c r="E9989" s="109"/>
      <c r="F9989" s="110"/>
      <c r="G9989" s="109"/>
    </row>
    <row r="9990" spans="3:7" x14ac:dyDescent="0.3">
      <c r="C9990" s="109"/>
      <c r="D9990" s="109"/>
      <c r="E9990" s="109"/>
      <c r="F9990" s="110"/>
      <c r="G9990" s="109"/>
    </row>
    <row r="9991" spans="3:7" x14ac:dyDescent="0.3">
      <c r="C9991" s="109"/>
      <c r="D9991" s="109"/>
      <c r="E9991" s="109"/>
      <c r="F9991" s="110"/>
      <c r="G9991" s="109"/>
    </row>
    <row r="9992" spans="3:7" x14ac:dyDescent="0.3">
      <c r="C9992" s="109"/>
      <c r="D9992" s="109"/>
      <c r="E9992" s="109"/>
      <c r="F9992" s="110"/>
      <c r="G9992" s="109"/>
    </row>
    <row r="9993" spans="3:7" x14ac:dyDescent="0.3">
      <c r="C9993" s="109"/>
      <c r="D9993" s="109"/>
      <c r="E9993" s="109"/>
      <c r="F9993" s="110"/>
      <c r="G9993" s="109"/>
    </row>
    <row r="9994" spans="3:7" x14ac:dyDescent="0.3">
      <c r="C9994" s="109"/>
      <c r="D9994" s="109"/>
      <c r="E9994" s="109"/>
      <c r="F9994" s="110"/>
      <c r="G9994" s="109"/>
    </row>
    <row r="9995" spans="3:7" x14ac:dyDescent="0.3">
      <c r="C9995" s="109"/>
      <c r="D9995" s="109"/>
      <c r="E9995" s="109"/>
      <c r="F9995" s="110"/>
      <c r="G9995" s="109"/>
    </row>
    <row r="9996" spans="3:7" x14ac:dyDescent="0.3">
      <c r="C9996" s="109"/>
      <c r="D9996" s="109"/>
      <c r="E9996" s="109"/>
      <c r="F9996" s="110"/>
      <c r="G9996" s="109"/>
    </row>
    <row r="9997" spans="3:7" x14ac:dyDescent="0.3">
      <c r="C9997" s="109"/>
      <c r="D9997" s="109"/>
      <c r="E9997" s="109"/>
      <c r="F9997" s="110"/>
      <c r="G9997" s="109"/>
    </row>
    <row r="9998" spans="3:7" x14ac:dyDescent="0.3">
      <c r="C9998" s="109"/>
      <c r="D9998" s="109"/>
      <c r="E9998" s="109"/>
      <c r="F9998" s="110"/>
      <c r="G9998" s="109"/>
    </row>
    <row r="9999" spans="3:7" x14ac:dyDescent="0.3">
      <c r="C9999" s="109"/>
      <c r="D9999" s="109"/>
      <c r="E9999" s="109"/>
      <c r="F9999" s="110"/>
      <c r="G9999" s="109"/>
    </row>
    <row r="10000" spans="3:7" x14ac:dyDescent="0.3">
      <c r="C10000" s="109"/>
      <c r="D10000" s="109"/>
      <c r="E10000" s="109"/>
      <c r="F10000" s="110"/>
      <c r="G10000" s="109"/>
    </row>
    <row r="10001" spans="3:7" x14ac:dyDescent="0.3">
      <c r="C10001" s="109"/>
      <c r="D10001" s="109"/>
      <c r="E10001" s="109"/>
      <c r="F10001" s="110"/>
      <c r="G10001" s="109"/>
    </row>
    <row r="10002" spans="3:7" x14ac:dyDescent="0.3">
      <c r="C10002" s="109"/>
      <c r="D10002" s="109"/>
      <c r="E10002" s="109"/>
      <c r="F10002" s="110"/>
      <c r="G10002" s="109"/>
    </row>
    <row r="10003" spans="3:7" x14ac:dyDescent="0.3">
      <c r="C10003" s="109"/>
      <c r="D10003" s="109"/>
      <c r="E10003" s="109"/>
      <c r="F10003" s="110"/>
      <c r="G10003" s="109"/>
    </row>
    <row r="10004" spans="3:7" x14ac:dyDescent="0.3">
      <c r="C10004" s="109"/>
      <c r="D10004" s="109"/>
      <c r="E10004" s="109"/>
      <c r="F10004" s="110"/>
      <c r="G10004" s="109"/>
    </row>
    <row r="10005" spans="3:7" x14ac:dyDescent="0.3">
      <c r="C10005" s="109"/>
      <c r="D10005" s="109"/>
      <c r="E10005" s="109"/>
      <c r="F10005" s="110"/>
      <c r="G10005" s="109"/>
    </row>
    <row r="10006" spans="3:7" x14ac:dyDescent="0.3">
      <c r="C10006" s="109"/>
      <c r="D10006" s="109"/>
      <c r="E10006" s="109"/>
      <c r="F10006" s="110"/>
      <c r="G10006" s="109"/>
    </row>
    <row r="10007" spans="3:7" x14ac:dyDescent="0.3">
      <c r="C10007" s="109"/>
      <c r="D10007" s="109"/>
      <c r="E10007" s="109"/>
      <c r="F10007" s="110"/>
      <c r="G10007" s="109"/>
    </row>
    <row r="10008" spans="3:7" x14ac:dyDescent="0.3">
      <c r="C10008" s="109"/>
      <c r="D10008" s="109"/>
      <c r="E10008" s="109"/>
      <c r="F10008" s="110"/>
      <c r="G10008" s="109"/>
    </row>
    <row r="10009" spans="3:7" x14ac:dyDescent="0.3">
      <c r="C10009" s="109"/>
      <c r="D10009" s="109"/>
      <c r="E10009" s="109"/>
      <c r="F10009" s="110"/>
      <c r="G10009" s="109"/>
    </row>
    <row r="10010" spans="3:7" x14ac:dyDescent="0.3">
      <c r="C10010" s="109"/>
      <c r="D10010" s="109"/>
      <c r="E10010" s="109"/>
      <c r="F10010" s="110"/>
      <c r="G10010" s="109"/>
    </row>
    <row r="10011" spans="3:7" x14ac:dyDescent="0.3">
      <c r="C10011" s="109"/>
      <c r="D10011" s="109"/>
      <c r="E10011" s="109"/>
      <c r="F10011" s="110"/>
      <c r="G10011" s="109"/>
    </row>
    <row r="10012" spans="3:7" x14ac:dyDescent="0.3">
      <c r="C10012" s="109"/>
      <c r="D10012" s="109"/>
      <c r="E10012" s="109"/>
      <c r="F10012" s="110"/>
      <c r="G10012" s="109"/>
    </row>
    <row r="10013" spans="3:7" x14ac:dyDescent="0.3">
      <c r="C10013" s="109"/>
      <c r="D10013" s="109"/>
      <c r="E10013" s="109"/>
      <c r="F10013" s="110"/>
      <c r="G10013" s="109"/>
    </row>
    <row r="10014" spans="3:7" x14ac:dyDescent="0.3">
      <c r="C10014" s="109"/>
      <c r="D10014" s="109"/>
      <c r="E10014" s="109"/>
      <c r="F10014" s="110"/>
      <c r="G10014" s="109"/>
    </row>
    <row r="10015" spans="3:7" x14ac:dyDescent="0.3">
      <c r="C10015" s="109"/>
      <c r="D10015" s="109"/>
      <c r="E10015" s="109"/>
      <c r="F10015" s="110"/>
      <c r="G10015" s="109"/>
    </row>
    <row r="10016" spans="3:7" x14ac:dyDescent="0.3">
      <c r="C10016" s="109"/>
      <c r="D10016" s="109"/>
      <c r="E10016" s="109"/>
      <c r="F10016" s="110"/>
      <c r="G10016" s="109"/>
    </row>
    <row r="10017" spans="3:7" x14ac:dyDescent="0.3">
      <c r="C10017" s="109"/>
      <c r="D10017" s="109"/>
      <c r="E10017" s="109"/>
      <c r="F10017" s="110"/>
      <c r="G10017" s="109"/>
    </row>
    <row r="10018" spans="3:7" x14ac:dyDescent="0.3">
      <c r="C10018" s="109"/>
      <c r="D10018" s="109"/>
      <c r="E10018" s="109"/>
      <c r="F10018" s="110"/>
      <c r="G10018" s="109"/>
    </row>
    <row r="10019" spans="3:7" x14ac:dyDescent="0.3">
      <c r="C10019" s="109"/>
      <c r="D10019" s="109"/>
      <c r="E10019" s="109"/>
      <c r="F10019" s="110"/>
      <c r="G10019" s="109"/>
    </row>
    <row r="10020" spans="3:7" x14ac:dyDescent="0.3">
      <c r="C10020" s="109"/>
      <c r="D10020" s="109"/>
      <c r="E10020" s="109"/>
      <c r="F10020" s="110"/>
      <c r="G10020" s="109"/>
    </row>
    <row r="10021" spans="3:7" x14ac:dyDescent="0.3">
      <c r="C10021" s="109"/>
      <c r="D10021" s="109"/>
      <c r="E10021" s="109"/>
      <c r="F10021" s="110"/>
      <c r="G10021" s="109"/>
    </row>
    <row r="10022" spans="3:7" x14ac:dyDescent="0.3">
      <c r="C10022" s="109"/>
      <c r="D10022" s="109"/>
      <c r="E10022" s="109"/>
      <c r="F10022" s="110"/>
      <c r="G10022" s="109"/>
    </row>
    <row r="10023" spans="3:7" x14ac:dyDescent="0.3">
      <c r="C10023" s="109"/>
      <c r="D10023" s="109"/>
      <c r="E10023" s="109"/>
      <c r="F10023" s="110"/>
      <c r="G10023" s="109"/>
    </row>
    <row r="10024" spans="3:7" x14ac:dyDescent="0.3">
      <c r="C10024" s="109"/>
      <c r="D10024" s="109"/>
      <c r="E10024" s="109"/>
      <c r="F10024" s="110"/>
      <c r="G10024" s="109"/>
    </row>
    <row r="10025" spans="3:7" x14ac:dyDescent="0.3">
      <c r="C10025" s="109"/>
      <c r="D10025" s="109"/>
      <c r="E10025" s="109"/>
      <c r="F10025" s="110"/>
      <c r="G10025" s="109"/>
    </row>
    <row r="10026" spans="3:7" x14ac:dyDescent="0.3">
      <c r="C10026" s="109"/>
      <c r="D10026" s="109"/>
      <c r="E10026" s="109"/>
      <c r="F10026" s="110"/>
      <c r="G10026" s="109"/>
    </row>
    <row r="10027" spans="3:7" x14ac:dyDescent="0.3">
      <c r="C10027" s="109"/>
      <c r="D10027" s="109"/>
      <c r="E10027" s="109"/>
      <c r="F10027" s="110"/>
      <c r="G10027" s="109"/>
    </row>
    <row r="10028" spans="3:7" x14ac:dyDescent="0.3">
      <c r="C10028" s="109"/>
      <c r="D10028" s="109"/>
      <c r="E10028" s="109"/>
      <c r="F10028" s="110"/>
      <c r="G10028" s="109"/>
    </row>
    <row r="10029" spans="3:7" x14ac:dyDescent="0.3">
      <c r="C10029" s="109"/>
      <c r="D10029" s="109"/>
      <c r="E10029" s="109"/>
      <c r="F10029" s="110"/>
      <c r="G10029" s="109"/>
    </row>
    <row r="10030" spans="3:7" x14ac:dyDescent="0.3">
      <c r="C10030" s="109"/>
      <c r="D10030" s="109"/>
      <c r="E10030" s="109"/>
      <c r="F10030" s="110"/>
      <c r="G10030" s="109"/>
    </row>
    <row r="10031" spans="3:7" x14ac:dyDescent="0.3">
      <c r="C10031" s="109"/>
      <c r="D10031" s="109"/>
      <c r="E10031" s="109"/>
      <c r="F10031" s="110"/>
      <c r="G10031" s="109"/>
    </row>
    <row r="10032" spans="3:7" x14ac:dyDescent="0.3">
      <c r="C10032" s="109"/>
      <c r="D10032" s="109"/>
      <c r="E10032" s="109"/>
      <c r="F10032" s="110"/>
      <c r="G10032" s="109"/>
    </row>
    <row r="10033" spans="3:7" x14ac:dyDescent="0.3">
      <c r="C10033" s="109"/>
      <c r="D10033" s="109"/>
      <c r="E10033" s="109"/>
      <c r="F10033" s="110"/>
      <c r="G10033" s="109"/>
    </row>
    <row r="10034" spans="3:7" x14ac:dyDescent="0.3">
      <c r="C10034" s="109"/>
      <c r="D10034" s="109"/>
      <c r="E10034" s="109"/>
      <c r="F10034" s="110"/>
      <c r="G10034" s="109"/>
    </row>
    <row r="10035" spans="3:7" x14ac:dyDescent="0.3">
      <c r="C10035" s="109"/>
      <c r="D10035" s="109"/>
      <c r="E10035" s="109"/>
      <c r="F10035" s="110"/>
      <c r="G10035" s="109"/>
    </row>
    <row r="10036" spans="3:7" x14ac:dyDescent="0.3">
      <c r="C10036" s="109"/>
      <c r="D10036" s="109"/>
      <c r="E10036" s="109"/>
      <c r="F10036" s="110"/>
      <c r="G10036" s="109"/>
    </row>
    <row r="10037" spans="3:7" x14ac:dyDescent="0.3">
      <c r="C10037" s="109"/>
      <c r="D10037" s="109"/>
      <c r="E10037" s="109"/>
      <c r="F10037" s="110"/>
      <c r="G10037" s="109"/>
    </row>
    <row r="10038" spans="3:7" x14ac:dyDescent="0.3">
      <c r="C10038" s="109"/>
      <c r="D10038" s="109"/>
      <c r="E10038" s="109"/>
      <c r="F10038" s="110"/>
      <c r="G10038" s="109"/>
    </row>
    <row r="10039" spans="3:7" x14ac:dyDescent="0.3">
      <c r="C10039" s="109"/>
      <c r="D10039" s="109"/>
      <c r="E10039" s="109"/>
      <c r="F10039" s="110"/>
      <c r="G10039" s="109"/>
    </row>
    <row r="10040" spans="3:7" x14ac:dyDescent="0.3">
      <c r="C10040" s="109"/>
      <c r="D10040" s="109"/>
      <c r="E10040" s="109"/>
      <c r="F10040" s="110"/>
      <c r="G10040" s="109"/>
    </row>
    <row r="10041" spans="3:7" x14ac:dyDescent="0.3">
      <c r="C10041" s="109"/>
      <c r="D10041" s="109"/>
      <c r="E10041" s="109"/>
      <c r="F10041" s="110"/>
      <c r="G10041" s="109"/>
    </row>
    <row r="10042" spans="3:7" x14ac:dyDescent="0.3">
      <c r="C10042" s="109"/>
      <c r="D10042" s="109"/>
      <c r="E10042" s="109"/>
      <c r="F10042" s="110"/>
      <c r="G10042" s="109"/>
    </row>
    <row r="10043" spans="3:7" x14ac:dyDescent="0.3">
      <c r="C10043" s="109"/>
      <c r="D10043" s="109"/>
      <c r="E10043" s="109"/>
      <c r="F10043" s="110"/>
      <c r="G10043" s="109"/>
    </row>
    <row r="10044" spans="3:7" x14ac:dyDescent="0.3">
      <c r="C10044" s="109"/>
      <c r="D10044" s="109"/>
      <c r="E10044" s="109"/>
      <c r="F10044" s="110"/>
      <c r="G10044" s="109"/>
    </row>
    <row r="10045" spans="3:7" x14ac:dyDescent="0.3">
      <c r="C10045" s="109"/>
      <c r="D10045" s="109"/>
      <c r="E10045" s="109"/>
      <c r="F10045" s="110"/>
      <c r="G10045" s="109"/>
    </row>
    <row r="10046" spans="3:7" x14ac:dyDescent="0.3">
      <c r="C10046" s="109"/>
      <c r="D10046" s="109"/>
      <c r="E10046" s="109"/>
      <c r="F10046" s="110"/>
      <c r="G10046" s="109"/>
    </row>
    <row r="10047" spans="3:7" x14ac:dyDescent="0.3">
      <c r="C10047" s="109"/>
      <c r="D10047" s="109"/>
      <c r="E10047" s="109"/>
      <c r="F10047" s="110"/>
      <c r="G10047" s="109"/>
    </row>
    <row r="10048" spans="3:7" x14ac:dyDescent="0.3">
      <c r="C10048" s="109"/>
      <c r="D10048" s="109"/>
      <c r="E10048" s="109"/>
      <c r="F10048" s="110"/>
      <c r="G10048" s="109"/>
    </row>
    <row r="10049" spans="3:7" x14ac:dyDescent="0.3">
      <c r="C10049" s="109"/>
      <c r="D10049" s="109"/>
      <c r="E10049" s="109"/>
      <c r="F10049" s="110"/>
      <c r="G10049" s="109"/>
    </row>
    <row r="10050" spans="3:7" x14ac:dyDescent="0.3">
      <c r="C10050" s="109"/>
      <c r="D10050" s="109"/>
      <c r="E10050" s="109"/>
      <c r="F10050" s="110"/>
      <c r="G10050" s="109"/>
    </row>
    <row r="10051" spans="3:7" x14ac:dyDescent="0.3">
      <c r="C10051" s="109"/>
      <c r="D10051" s="109"/>
      <c r="E10051" s="109"/>
      <c r="F10051" s="110"/>
      <c r="G10051" s="109"/>
    </row>
    <row r="10052" spans="3:7" x14ac:dyDescent="0.3">
      <c r="C10052" s="109"/>
      <c r="D10052" s="109"/>
      <c r="E10052" s="109"/>
      <c r="F10052" s="110"/>
      <c r="G10052" s="109"/>
    </row>
    <row r="10053" spans="3:7" x14ac:dyDescent="0.3">
      <c r="C10053" s="109"/>
      <c r="D10053" s="109"/>
      <c r="E10053" s="109"/>
      <c r="F10053" s="110"/>
      <c r="G10053" s="109"/>
    </row>
    <row r="10054" spans="3:7" x14ac:dyDescent="0.3">
      <c r="C10054" s="109"/>
      <c r="D10054" s="109"/>
      <c r="E10054" s="109"/>
      <c r="F10054" s="110"/>
      <c r="G10054" s="109"/>
    </row>
    <row r="10055" spans="3:7" x14ac:dyDescent="0.3">
      <c r="C10055" s="109"/>
      <c r="D10055" s="109"/>
      <c r="E10055" s="109"/>
      <c r="F10055" s="110"/>
      <c r="G10055" s="109"/>
    </row>
    <row r="10056" spans="3:7" x14ac:dyDescent="0.3">
      <c r="C10056" s="109"/>
      <c r="D10056" s="109"/>
      <c r="E10056" s="109"/>
      <c r="F10056" s="110"/>
      <c r="G10056" s="109"/>
    </row>
    <row r="10057" spans="3:7" x14ac:dyDescent="0.3">
      <c r="C10057" s="109"/>
      <c r="D10057" s="109"/>
      <c r="E10057" s="109"/>
      <c r="F10057" s="110"/>
      <c r="G10057" s="109"/>
    </row>
    <row r="10058" spans="3:7" x14ac:dyDescent="0.3">
      <c r="C10058" s="109"/>
      <c r="D10058" s="109"/>
      <c r="E10058" s="109"/>
      <c r="F10058" s="110"/>
      <c r="G10058" s="109"/>
    </row>
    <row r="10059" spans="3:7" x14ac:dyDescent="0.3">
      <c r="C10059" s="109"/>
      <c r="D10059" s="109"/>
      <c r="E10059" s="109"/>
      <c r="F10059" s="110"/>
      <c r="G10059" s="109"/>
    </row>
    <row r="10060" spans="3:7" x14ac:dyDescent="0.3">
      <c r="C10060" s="109"/>
      <c r="D10060" s="109"/>
      <c r="E10060" s="109"/>
      <c r="F10060" s="110"/>
      <c r="G10060" s="109"/>
    </row>
    <row r="10061" spans="3:7" x14ac:dyDescent="0.3">
      <c r="C10061" s="109"/>
      <c r="D10061" s="109"/>
      <c r="E10061" s="109"/>
      <c r="F10061" s="110"/>
      <c r="G10061" s="109"/>
    </row>
    <row r="10062" spans="3:7" x14ac:dyDescent="0.3">
      <c r="C10062" s="109"/>
      <c r="D10062" s="109"/>
      <c r="E10062" s="109"/>
      <c r="F10062" s="110"/>
      <c r="G10062" s="109"/>
    </row>
    <row r="10063" spans="3:7" x14ac:dyDescent="0.3">
      <c r="C10063" s="109"/>
      <c r="D10063" s="109"/>
      <c r="E10063" s="109"/>
      <c r="F10063" s="110"/>
      <c r="G10063" s="109"/>
    </row>
    <row r="10064" spans="3:7" x14ac:dyDescent="0.3">
      <c r="C10064" s="109"/>
      <c r="D10064" s="109"/>
      <c r="E10064" s="109"/>
      <c r="F10064" s="110"/>
      <c r="G10064" s="109"/>
    </row>
    <row r="10065" spans="3:7" x14ac:dyDescent="0.3">
      <c r="C10065" s="109"/>
      <c r="D10065" s="109"/>
      <c r="E10065" s="109"/>
      <c r="F10065" s="110"/>
      <c r="G10065" s="109"/>
    </row>
    <row r="10066" spans="3:7" x14ac:dyDescent="0.3">
      <c r="C10066" s="109"/>
      <c r="D10066" s="109"/>
      <c r="E10066" s="109"/>
      <c r="F10066" s="110"/>
      <c r="G10066" s="109"/>
    </row>
    <row r="10067" spans="3:7" x14ac:dyDescent="0.3">
      <c r="C10067" s="109"/>
      <c r="D10067" s="109"/>
      <c r="E10067" s="109"/>
      <c r="F10067" s="110"/>
      <c r="G10067" s="109"/>
    </row>
    <row r="10068" spans="3:7" x14ac:dyDescent="0.3">
      <c r="C10068" s="109"/>
      <c r="D10068" s="109"/>
      <c r="E10068" s="109"/>
      <c r="F10068" s="110"/>
      <c r="G10068" s="109"/>
    </row>
    <row r="10069" spans="3:7" x14ac:dyDescent="0.3">
      <c r="C10069" s="109"/>
      <c r="D10069" s="109"/>
      <c r="E10069" s="109"/>
      <c r="F10069" s="110"/>
      <c r="G10069" s="109"/>
    </row>
    <row r="10070" spans="3:7" x14ac:dyDescent="0.3">
      <c r="C10070" s="109"/>
      <c r="D10070" s="109"/>
      <c r="E10070" s="109"/>
      <c r="F10070" s="110"/>
      <c r="G10070" s="109"/>
    </row>
    <row r="10071" spans="3:7" x14ac:dyDescent="0.3">
      <c r="C10071" s="109"/>
      <c r="D10071" s="109"/>
      <c r="E10071" s="109"/>
      <c r="F10071" s="110"/>
      <c r="G10071" s="109"/>
    </row>
    <row r="10072" spans="3:7" x14ac:dyDescent="0.3">
      <c r="C10072" s="109"/>
      <c r="D10072" s="109"/>
      <c r="E10072" s="109"/>
      <c r="F10072" s="110"/>
      <c r="G10072" s="109"/>
    </row>
    <row r="10073" spans="3:7" x14ac:dyDescent="0.3">
      <c r="C10073" s="109"/>
      <c r="D10073" s="109"/>
      <c r="E10073" s="109"/>
      <c r="F10073" s="110"/>
      <c r="G10073" s="109"/>
    </row>
    <row r="10074" spans="3:7" x14ac:dyDescent="0.3">
      <c r="C10074" s="109"/>
      <c r="D10074" s="109"/>
      <c r="E10074" s="109"/>
      <c r="F10074" s="110"/>
      <c r="G10074" s="109"/>
    </row>
    <row r="10075" spans="3:7" x14ac:dyDescent="0.3">
      <c r="C10075" s="109"/>
      <c r="D10075" s="109"/>
      <c r="E10075" s="109"/>
      <c r="F10075" s="110"/>
      <c r="G10075" s="109"/>
    </row>
    <row r="10076" spans="3:7" x14ac:dyDescent="0.3">
      <c r="C10076" s="109"/>
      <c r="D10076" s="109"/>
      <c r="E10076" s="109"/>
      <c r="F10076" s="110"/>
      <c r="G10076" s="109"/>
    </row>
    <row r="10077" spans="3:7" x14ac:dyDescent="0.3">
      <c r="C10077" s="109"/>
      <c r="D10077" s="109"/>
      <c r="E10077" s="109"/>
      <c r="F10077" s="110"/>
      <c r="G10077" s="109"/>
    </row>
    <row r="10078" spans="3:7" x14ac:dyDescent="0.3">
      <c r="C10078" s="109"/>
      <c r="D10078" s="109"/>
      <c r="E10078" s="109"/>
      <c r="F10078" s="110"/>
      <c r="G10078" s="109"/>
    </row>
    <row r="10079" spans="3:7" x14ac:dyDescent="0.3">
      <c r="C10079" s="109"/>
      <c r="D10079" s="109"/>
      <c r="E10079" s="109"/>
      <c r="F10079" s="110"/>
      <c r="G10079" s="109"/>
    </row>
    <row r="10080" spans="3:7" x14ac:dyDescent="0.3">
      <c r="C10080" s="109"/>
      <c r="D10080" s="109"/>
      <c r="E10080" s="109"/>
      <c r="F10080" s="110"/>
      <c r="G10080" s="109"/>
    </row>
    <row r="10081" spans="3:7" x14ac:dyDescent="0.3">
      <c r="C10081" s="109"/>
      <c r="D10081" s="109"/>
      <c r="E10081" s="109"/>
      <c r="F10081" s="110"/>
      <c r="G10081" s="109"/>
    </row>
    <row r="10082" spans="3:7" x14ac:dyDescent="0.3">
      <c r="C10082" s="109"/>
      <c r="D10082" s="109"/>
      <c r="E10082" s="109"/>
      <c r="F10082" s="110"/>
      <c r="G10082" s="109"/>
    </row>
    <row r="10083" spans="3:7" x14ac:dyDescent="0.3">
      <c r="C10083" s="109"/>
      <c r="D10083" s="109"/>
      <c r="E10083" s="109"/>
      <c r="F10083" s="110"/>
      <c r="G10083" s="109"/>
    </row>
    <row r="10084" spans="3:7" x14ac:dyDescent="0.3">
      <c r="C10084" s="109"/>
      <c r="D10084" s="109"/>
      <c r="E10084" s="109"/>
      <c r="F10084" s="110"/>
      <c r="G10084" s="109"/>
    </row>
    <row r="10085" spans="3:7" x14ac:dyDescent="0.3">
      <c r="C10085" s="109"/>
      <c r="D10085" s="109"/>
      <c r="E10085" s="109"/>
      <c r="F10085" s="110"/>
      <c r="G10085" s="109"/>
    </row>
    <row r="10086" spans="3:7" x14ac:dyDescent="0.3">
      <c r="C10086" s="109"/>
      <c r="D10086" s="109"/>
      <c r="E10086" s="109"/>
      <c r="F10086" s="110"/>
      <c r="G10086" s="109"/>
    </row>
    <row r="10087" spans="3:7" x14ac:dyDescent="0.3">
      <c r="C10087" s="109"/>
      <c r="D10087" s="109"/>
      <c r="E10087" s="109"/>
      <c r="F10087" s="110"/>
      <c r="G10087" s="109"/>
    </row>
    <row r="10088" spans="3:7" x14ac:dyDescent="0.3">
      <c r="C10088" s="109"/>
      <c r="D10088" s="109"/>
      <c r="E10088" s="109"/>
      <c r="F10088" s="110"/>
      <c r="G10088" s="109"/>
    </row>
    <row r="10089" spans="3:7" x14ac:dyDescent="0.3">
      <c r="C10089" s="109"/>
      <c r="D10089" s="109"/>
      <c r="E10089" s="109"/>
      <c r="F10089" s="110"/>
      <c r="G10089" s="109"/>
    </row>
    <row r="10090" spans="3:7" x14ac:dyDescent="0.3">
      <c r="C10090" s="109"/>
      <c r="D10090" s="109"/>
      <c r="E10090" s="109"/>
      <c r="F10090" s="110"/>
      <c r="G10090" s="109"/>
    </row>
    <row r="10091" spans="3:7" x14ac:dyDescent="0.3">
      <c r="C10091" s="109"/>
      <c r="D10091" s="109"/>
      <c r="E10091" s="109"/>
      <c r="F10091" s="110"/>
      <c r="G10091" s="109"/>
    </row>
    <row r="10092" spans="3:7" x14ac:dyDescent="0.3">
      <c r="C10092" s="109"/>
      <c r="D10092" s="109"/>
      <c r="E10092" s="109"/>
      <c r="F10092" s="110"/>
      <c r="G10092" s="109"/>
    </row>
    <row r="10093" spans="3:7" x14ac:dyDescent="0.3">
      <c r="C10093" s="109"/>
      <c r="D10093" s="109"/>
      <c r="E10093" s="109"/>
      <c r="F10093" s="110"/>
      <c r="G10093" s="109"/>
    </row>
    <row r="10094" spans="3:7" x14ac:dyDescent="0.3">
      <c r="C10094" s="109"/>
      <c r="D10094" s="109"/>
      <c r="E10094" s="109"/>
      <c r="F10094" s="110"/>
      <c r="G10094" s="109"/>
    </row>
    <row r="10095" spans="3:7" x14ac:dyDescent="0.3">
      <c r="C10095" s="109"/>
      <c r="D10095" s="109"/>
      <c r="E10095" s="109"/>
      <c r="F10095" s="110"/>
      <c r="G10095" s="109"/>
    </row>
    <row r="10096" spans="3:7" x14ac:dyDescent="0.3">
      <c r="C10096" s="109"/>
      <c r="D10096" s="109"/>
      <c r="E10096" s="109"/>
      <c r="F10096" s="110"/>
      <c r="G10096" s="109"/>
    </row>
    <row r="10097" spans="3:7" x14ac:dyDescent="0.3">
      <c r="C10097" s="109"/>
      <c r="D10097" s="109"/>
      <c r="E10097" s="109"/>
      <c r="F10097" s="110"/>
      <c r="G10097" s="109"/>
    </row>
    <row r="10098" spans="3:7" x14ac:dyDescent="0.3">
      <c r="C10098" s="109"/>
      <c r="D10098" s="109"/>
      <c r="E10098" s="109"/>
      <c r="F10098" s="110"/>
      <c r="G10098" s="109"/>
    </row>
    <row r="10099" spans="3:7" x14ac:dyDescent="0.3">
      <c r="C10099" s="109"/>
      <c r="D10099" s="109"/>
      <c r="E10099" s="109"/>
      <c r="F10099" s="110"/>
      <c r="G10099" s="109"/>
    </row>
    <row r="10100" spans="3:7" x14ac:dyDescent="0.3">
      <c r="C10100" s="109"/>
      <c r="D10100" s="109"/>
      <c r="E10100" s="109"/>
      <c r="F10100" s="110"/>
      <c r="G10100" s="109"/>
    </row>
    <row r="10101" spans="3:7" x14ac:dyDescent="0.3">
      <c r="C10101" s="109"/>
      <c r="D10101" s="109"/>
      <c r="E10101" s="109"/>
      <c r="F10101" s="110"/>
      <c r="G10101" s="109"/>
    </row>
    <row r="10102" spans="3:7" x14ac:dyDescent="0.3">
      <c r="C10102" s="109"/>
      <c r="D10102" s="109"/>
      <c r="E10102" s="109"/>
      <c r="F10102" s="110"/>
      <c r="G10102" s="109"/>
    </row>
    <row r="10103" spans="3:7" x14ac:dyDescent="0.3">
      <c r="C10103" s="109"/>
      <c r="D10103" s="109"/>
      <c r="E10103" s="109"/>
      <c r="F10103" s="110"/>
      <c r="G10103" s="109"/>
    </row>
    <row r="10104" spans="3:7" x14ac:dyDescent="0.3">
      <c r="C10104" s="109"/>
      <c r="D10104" s="109"/>
      <c r="E10104" s="109"/>
      <c r="F10104" s="110"/>
      <c r="G10104" s="109"/>
    </row>
    <row r="10105" spans="3:7" x14ac:dyDescent="0.3">
      <c r="C10105" s="109"/>
      <c r="D10105" s="109"/>
      <c r="E10105" s="109"/>
      <c r="F10105" s="110"/>
      <c r="G10105" s="109"/>
    </row>
    <row r="10106" spans="3:7" x14ac:dyDescent="0.3">
      <c r="C10106" s="109"/>
      <c r="D10106" s="109"/>
      <c r="E10106" s="109"/>
      <c r="F10106" s="110"/>
      <c r="G10106" s="109"/>
    </row>
    <row r="10107" spans="3:7" x14ac:dyDescent="0.3">
      <c r="C10107" s="109"/>
      <c r="D10107" s="109"/>
      <c r="E10107" s="109"/>
      <c r="F10107" s="110"/>
      <c r="G10107" s="109"/>
    </row>
    <row r="10108" spans="3:7" x14ac:dyDescent="0.3">
      <c r="C10108" s="109"/>
      <c r="D10108" s="109"/>
      <c r="E10108" s="109"/>
      <c r="F10108" s="110"/>
      <c r="G10108" s="109"/>
    </row>
    <row r="10109" spans="3:7" x14ac:dyDescent="0.3">
      <c r="C10109" s="109"/>
      <c r="D10109" s="109"/>
      <c r="E10109" s="109"/>
      <c r="F10109" s="110"/>
      <c r="G10109" s="109"/>
    </row>
    <row r="10110" spans="3:7" x14ac:dyDescent="0.3">
      <c r="C10110" s="109"/>
      <c r="D10110" s="109"/>
      <c r="E10110" s="109"/>
      <c r="F10110" s="110"/>
      <c r="G10110" s="109"/>
    </row>
    <row r="10111" spans="3:7" x14ac:dyDescent="0.3">
      <c r="C10111" s="109"/>
      <c r="D10111" s="109"/>
      <c r="E10111" s="109"/>
      <c r="F10111" s="110"/>
      <c r="G10111" s="109"/>
    </row>
    <row r="10112" spans="3:7" x14ac:dyDescent="0.3">
      <c r="C10112" s="109"/>
      <c r="D10112" s="109"/>
      <c r="E10112" s="109"/>
      <c r="F10112" s="110"/>
      <c r="G10112" s="109"/>
    </row>
    <row r="10113" spans="3:7" x14ac:dyDescent="0.3">
      <c r="C10113" s="109"/>
      <c r="D10113" s="109"/>
      <c r="E10113" s="109"/>
      <c r="F10113" s="110"/>
      <c r="G10113" s="109"/>
    </row>
    <row r="10114" spans="3:7" x14ac:dyDescent="0.3">
      <c r="C10114" s="109"/>
      <c r="D10114" s="109"/>
      <c r="E10114" s="109"/>
      <c r="F10114" s="110"/>
      <c r="G10114" s="109"/>
    </row>
    <row r="10115" spans="3:7" x14ac:dyDescent="0.3">
      <c r="C10115" s="109"/>
      <c r="D10115" s="109"/>
      <c r="E10115" s="109"/>
      <c r="F10115" s="110"/>
      <c r="G10115" s="109"/>
    </row>
    <row r="10116" spans="3:7" x14ac:dyDescent="0.3">
      <c r="C10116" s="109"/>
      <c r="D10116" s="109"/>
      <c r="E10116" s="109"/>
      <c r="F10116" s="110"/>
      <c r="G10116" s="109"/>
    </row>
    <row r="10117" spans="3:7" x14ac:dyDescent="0.3">
      <c r="C10117" s="109"/>
      <c r="D10117" s="109"/>
      <c r="E10117" s="109"/>
      <c r="F10117" s="110"/>
      <c r="G10117" s="109"/>
    </row>
    <row r="10118" spans="3:7" x14ac:dyDescent="0.3">
      <c r="C10118" s="109"/>
      <c r="D10118" s="109"/>
      <c r="E10118" s="109"/>
      <c r="F10118" s="110"/>
      <c r="G10118" s="109"/>
    </row>
    <row r="10119" spans="3:7" x14ac:dyDescent="0.3">
      <c r="C10119" s="109"/>
      <c r="D10119" s="109"/>
      <c r="E10119" s="109"/>
      <c r="F10119" s="110"/>
      <c r="G10119" s="109"/>
    </row>
    <row r="10120" spans="3:7" x14ac:dyDescent="0.3">
      <c r="C10120" s="109"/>
      <c r="D10120" s="109"/>
      <c r="E10120" s="109"/>
      <c r="F10120" s="110"/>
      <c r="G10120" s="109"/>
    </row>
    <row r="10121" spans="3:7" x14ac:dyDescent="0.3">
      <c r="C10121" s="109"/>
      <c r="D10121" s="109"/>
      <c r="E10121" s="109"/>
      <c r="F10121" s="110"/>
      <c r="G10121" s="109"/>
    </row>
    <row r="10122" spans="3:7" x14ac:dyDescent="0.3">
      <c r="C10122" s="109"/>
      <c r="D10122" s="109"/>
      <c r="E10122" s="109"/>
      <c r="F10122" s="110"/>
      <c r="G10122" s="109"/>
    </row>
    <row r="10123" spans="3:7" x14ac:dyDescent="0.3">
      <c r="C10123" s="109"/>
      <c r="D10123" s="109"/>
      <c r="E10123" s="109"/>
      <c r="F10123" s="110"/>
      <c r="G10123" s="109"/>
    </row>
    <row r="10124" spans="3:7" x14ac:dyDescent="0.3">
      <c r="C10124" s="109"/>
      <c r="D10124" s="109"/>
      <c r="E10124" s="109"/>
      <c r="F10124" s="110"/>
      <c r="G10124" s="109"/>
    </row>
    <row r="10125" spans="3:7" x14ac:dyDescent="0.3">
      <c r="C10125" s="109"/>
      <c r="D10125" s="109"/>
      <c r="E10125" s="109"/>
      <c r="F10125" s="110"/>
      <c r="G10125" s="109"/>
    </row>
    <row r="10126" spans="3:7" x14ac:dyDescent="0.3">
      <c r="C10126" s="109"/>
      <c r="D10126" s="109"/>
      <c r="E10126" s="109"/>
      <c r="F10126" s="110"/>
      <c r="G10126" s="109"/>
    </row>
    <row r="10127" spans="3:7" x14ac:dyDescent="0.3">
      <c r="C10127" s="109"/>
      <c r="D10127" s="109"/>
      <c r="E10127" s="109"/>
      <c r="F10127" s="110"/>
      <c r="G10127" s="109"/>
    </row>
    <row r="10128" spans="3:7" x14ac:dyDescent="0.3">
      <c r="C10128" s="109"/>
      <c r="D10128" s="109"/>
      <c r="E10128" s="109"/>
      <c r="F10128" s="110"/>
      <c r="G10128" s="109"/>
    </row>
    <row r="10129" spans="3:7" x14ac:dyDescent="0.3">
      <c r="C10129" s="109"/>
      <c r="D10129" s="109"/>
      <c r="E10129" s="109"/>
      <c r="F10129" s="110"/>
      <c r="G10129" s="109"/>
    </row>
    <row r="10130" spans="3:7" x14ac:dyDescent="0.3">
      <c r="C10130" s="109"/>
      <c r="D10130" s="109"/>
      <c r="E10130" s="109"/>
      <c r="F10130" s="110"/>
      <c r="G10130" s="109"/>
    </row>
    <row r="10131" spans="3:7" x14ac:dyDescent="0.3">
      <c r="C10131" s="109"/>
      <c r="D10131" s="109"/>
      <c r="E10131" s="109"/>
      <c r="F10131" s="110"/>
      <c r="G10131" s="109"/>
    </row>
    <row r="10132" spans="3:7" x14ac:dyDescent="0.3">
      <c r="C10132" s="109"/>
      <c r="D10132" s="109"/>
      <c r="E10132" s="109"/>
      <c r="F10132" s="110"/>
      <c r="G10132" s="109"/>
    </row>
    <row r="10133" spans="3:7" x14ac:dyDescent="0.3">
      <c r="C10133" s="109"/>
      <c r="D10133" s="109"/>
      <c r="E10133" s="109"/>
      <c r="F10133" s="110"/>
      <c r="G10133" s="109"/>
    </row>
    <row r="10134" spans="3:7" x14ac:dyDescent="0.3">
      <c r="C10134" s="109"/>
      <c r="D10134" s="109"/>
      <c r="E10134" s="109"/>
      <c r="F10134" s="110"/>
      <c r="G10134" s="109"/>
    </row>
    <row r="10135" spans="3:7" x14ac:dyDescent="0.3">
      <c r="C10135" s="109"/>
      <c r="D10135" s="109"/>
      <c r="E10135" s="109"/>
      <c r="F10135" s="110"/>
      <c r="G10135" s="109"/>
    </row>
    <row r="10136" spans="3:7" x14ac:dyDescent="0.3">
      <c r="C10136" s="109"/>
      <c r="D10136" s="109"/>
      <c r="E10136" s="109"/>
      <c r="F10136" s="110"/>
      <c r="G10136" s="109"/>
    </row>
    <row r="10137" spans="3:7" x14ac:dyDescent="0.3">
      <c r="C10137" s="109"/>
      <c r="D10137" s="109"/>
      <c r="E10137" s="109"/>
      <c r="F10137" s="110"/>
      <c r="G10137" s="109"/>
    </row>
    <row r="10138" spans="3:7" x14ac:dyDescent="0.3">
      <c r="C10138" s="109"/>
      <c r="D10138" s="109"/>
      <c r="E10138" s="109"/>
      <c r="F10138" s="110"/>
      <c r="G10138" s="109"/>
    </row>
    <row r="10139" spans="3:7" x14ac:dyDescent="0.3">
      <c r="C10139" s="109"/>
      <c r="D10139" s="109"/>
      <c r="E10139" s="109"/>
      <c r="F10139" s="110"/>
      <c r="G10139" s="109"/>
    </row>
    <row r="10140" spans="3:7" x14ac:dyDescent="0.3">
      <c r="C10140" s="109"/>
      <c r="D10140" s="109"/>
      <c r="E10140" s="109"/>
      <c r="F10140" s="110"/>
      <c r="G10140" s="109"/>
    </row>
    <row r="10141" spans="3:7" x14ac:dyDescent="0.3">
      <c r="C10141" s="109"/>
      <c r="D10141" s="109"/>
      <c r="E10141" s="109"/>
      <c r="F10141" s="110"/>
      <c r="G10141" s="109"/>
    </row>
    <row r="10142" spans="3:7" x14ac:dyDescent="0.3">
      <c r="C10142" s="109"/>
      <c r="D10142" s="109"/>
      <c r="E10142" s="109"/>
      <c r="F10142" s="110"/>
      <c r="G10142" s="109"/>
    </row>
    <row r="10143" spans="3:7" x14ac:dyDescent="0.3">
      <c r="C10143" s="109"/>
      <c r="D10143" s="109"/>
      <c r="E10143" s="109"/>
      <c r="F10143" s="110"/>
      <c r="G10143" s="109"/>
    </row>
    <row r="10144" spans="3:7" x14ac:dyDescent="0.3">
      <c r="C10144" s="109"/>
      <c r="D10144" s="109"/>
      <c r="E10144" s="109"/>
      <c r="F10144" s="110"/>
      <c r="G10144" s="109"/>
    </row>
    <row r="10145" spans="3:7" x14ac:dyDescent="0.3">
      <c r="C10145" s="109"/>
      <c r="D10145" s="109"/>
      <c r="E10145" s="109"/>
      <c r="F10145" s="110"/>
      <c r="G10145" s="109"/>
    </row>
    <row r="10146" spans="3:7" x14ac:dyDescent="0.3">
      <c r="C10146" s="109"/>
      <c r="D10146" s="109"/>
      <c r="E10146" s="109"/>
      <c r="F10146" s="110"/>
      <c r="G10146" s="109"/>
    </row>
    <row r="10147" spans="3:7" x14ac:dyDescent="0.3">
      <c r="C10147" s="109"/>
      <c r="D10147" s="109"/>
      <c r="E10147" s="109"/>
      <c r="F10147" s="110"/>
      <c r="G10147" s="109"/>
    </row>
    <row r="10148" spans="3:7" x14ac:dyDescent="0.3">
      <c r="C10148" s="109"/>
      <c r="D10148" s="109"/>
      <c r="E10148" s="109"/>
      <c r="F10148" s="110"/>
      <c r="G10148" s="109"/>
    </row>
    <row r="10149" spans="3:7" x14ac:dyDescent="0.3">
      <c r="C10149" s="109"/>
      <c r="D10149" s="109"/>
      <c r="E10149" s="109"/>
      <c r="F10149" s="110"/>
      <c r="G10149" s="109"/>
    </row>
    <row r="10150" spans="3:7" x14ac:dyDescent="0.3">
      <c r="C10150" s="109"/>
      <c r="D10150" s="109"/>
      <c r="E10150" s="109"/>
      <c r="F10150" s="110"/>
      <c r="G10150" s="109"/>
    </row>
    <row r="10151" spans="3:7" x14ac:dyDescent="0.3">
      <c r="C10151" s="109"/>
      <c r="D10151" s="109"/>
      <c r="E10151" s="109"/>
      <c r="F10151" s="110"/>
      <c r="G10151" s="109"/>
    </row>
    <row r="10152" spans="3:7" x14ac:dyDescent="0.3">
      <c r="C10152" s="109"/>
      <c r="D10152" s="109"/>
      <c r="E10152" s="109"/>
      <c r="F10152" s="110"/>
      <c r="G10152" s="109"/>
    </row>
    <row r="10153" spans="3:7" x14ac:dyDescent="0.3">
      <c r="C10153" s="109"/>
      <c r="D10153" s="109"/>
      <c r="E10153" s="109"/>
      <c r="F10153" s="110"/>
      <c r="G10153" s="109"/>
    </row>
    <row r="10154" spans="3:7" x14ac:dyDescent="0.3">
      <c r="C10154" s="109"/>
      <c r="D10154" s="109"/>
      <c r="E10154" s="109"/>
      <c r="F10154" s="110"/>
      <c r="G10154" s="109"/>
    </row>
    <row r="10155" spans="3:7" x14ac:dyDescent="0.3">
      <c r="C10155" s="109"/>
      <c r="D10155" s="109"/>
      <c r="E10155" s="109"/>
      <c r="F10155" s="110"/>
      <c r="G10155" s="109"/>
    </row>
    <row r="10156" spans="3:7" x14ac:dyDescent="0.3">
      <c r="C10156" s="109"/>
      <c r="D10156" s="109"/>
      <c r="E10156" s="109"/>
      <c r="F10156" s="110"/>
      <c r="G10156" s="109"/>
    </row>
    <row r="10157" spans="3:7" x14ac:dyDescent="0.3">
      <c r="C10157" s="109"/>
      <c r="D10157" s="109"/>
      <c r="E10157" s="109"/>
      <c r="F10157" s="110"/>
      <c r="G10157" s="109"/>
    </row>
    <row r="10158" spans="3:7" x14ac:dyDescent="0.3">
      <c r="C10158" s="109"/>
      <c r="D10158" s="109"/>
      <c r="E10158" s="109"/>
      <c r="F10158" s="110"/>
      <c r="G10158" s="109"/>
    </row>
    <row r="10159" spans="3:7" x14ac:dyDescent="0.3">
      <c r="C10159" s="109"/>
      <c r="D10159" s="109"/>
      <c r="E10159" s="109"/>
      <c r="F10159" s="110"/>
      <c r="G10159" s="109"/>
    </row>
    <row r="10160" spans="3:7" x14ac:dyDescent="0.3">
      <c r="C10160" s="109"/>
      <c r="D10160" s="109"/>
      <c r="E10160" s="109"/>
      <c r="F10160" s="110"/>
      <c r="G10160" s="109"/>
    </row>
    <row r="10161" spans="3:7" x14ac:dyDescent="0.3">
      <c r="C10161" s="109"/>
      <c r="D10161" s="109"/>
      <c r="E10161" s="109"/>
      <c r="F10161" s="110"/>
      <c r="G10161" s="109"/>
    </row>
    <row r="10162" spans="3:7" x14ac:dyDescent="0.3">
      <c r="C10162" s="109"/>
      <c r="D10162" s="109"/>
      <c r="E10162" s="109"/>
      <c r="F10162" s="110"/>
      <c r="G10162" s="109"/>
    </row>
    <row r="10163" spans="3:7" x14ac:dyDescent="0.3">
      <c r="C10163" s="109"/>
      <c r="D10163" s="109"/>
      <c r="E10163" s="109"/>
      <c r="F10163" s="110"/>
      <c r="G10163" s="109"/>
    </row>
    <row r="10164" spans="3:7" x14ac:dyDescent="0.3">
      <c r="C10164" s="109"/>
      <c r="D10164" s="109"/>
      <c r="E10164" s="109"/>
      <c r="F10164" s="110"/>
      <c r="G10164" s="109"/>
    </row>
    <row r="10165" spans="3:7" x14ac:dyDescent="0.3">
      <c r="C10165" s="109"/>
      <c r="D10165" s="109"/>
      <c r="E10165" s="109"/>
      <c r="F10165" s="110"/>
      <c r="G10165" s="109"/>
    </row>
    <row r="10166" spans="3:7" x14ac:dyDescent="0.3">
      <c r="C10166" s="109"/>
      <c r="D10166" s="109"/>
      <c r="E10166" s="109"/>
      <c r="F10166" s="110"/>
      <c r="G10166" s="109"/>
    </row>
    <row r="10167" spans="3:7" x14ac:dyDescent="0.3">
      <c r="C10167" s="109"/>
      <c r="D10167" s="109"/>
      <c r="E10167" s="109"/>
      <c r="F10167" s="110"/>
      <c r="G10167" s="109"/>
    </row>
    <row r="10168" spans="3:7" x14ac:dyDescent="0.3">
      <c r="C10168" s="109"/>
      <c r="D10168" s="109"/>
      <c r="E10168" s="109"/>
      <c r="F10168" s="110"/>
      <c r="G10168" s="109"/>
    </row>
    <row r="10169" spans="3:7" x14ac:dyDescent="0.3">
      <c r="C10169" s="109"/>
      <c r="D10169" s="109"/>
      <c r="E10169" s="109"/>
      <c r="F10169" s="110"/>
      <c r="G10169" s="109"/>
    </row>
    <row r="10170" spans="3:7" x14ac:dyDescent="0.3">
      <c r="C10170" s="109"/>
      <c r="D10170" s="109"/>
      <c r="E10170" s="109"/>
      <c r="F10170" s="110"/>
      <c r="G10170" s="109"/>
    </row>
    <row r="10171" spans="3:7" x14ac:dyDescent="0.3">
      <c r="C10171" s="109"/>
      <c r="D10171" s="109"/>
      <c r="E10171" s="109"/>
      <c r="F10171" s="110"/>
      <c r="G10171" s="109"/>
    </row>
    <row r="10172" spans="3:7" x14ac:dyDescent="0.3">
      <c r="C10172" s="109"/>
      <c r="D10172" s="109"/>
      <c r="E10172" s="109"/>
      <c r="F10172" s="110"/>
      <c r="G10172" s="109"/>
    </row>
    <row r="10173" spans="3:7" x14ac:dyDescent="0.3">
      <c r="C10173" s="109"/>
      <c r="D10173" s="109"/>
      <c r="E10173" s="109"/>
      <c r="F10173" s="110"/>
      <c r="G10173" s="109"/>
    </row>
    <row r="10174" spans="3:7" x14ac:dyDescent="0.3">
      <c r="C10174" s="109"/>
      <c r="D10174" s="109"/>
      <c r="E10174" s="109"/>
      <c r="F10174" s="110"/>
      <c r="G10174" s="109"/>
    </row>
    <row r="10175" spans="3:7" x14ac:dyDescent="0.3">
      <c r="C10175" s="109"/>
      <c r="D10175" s="109"/>
      <c r="E10175" s="109"/>
      <c r="F10175" s="110"/>
      <c r="G10175" s="109"/>
    </row>
    <row r="10176" spans="3:7" x14ac:dyDescent="0.3">
      <c r="C10176" s="109"/>
      <c r="D10176" s="109"/>
      <c r="E10176" s="109"/>
      <c r="F10176" s="110"/>
      <c r="G10176" s="109"/>
    </row>
    <row r="10177" spans="3:7" x14ac:dyDescent="0.3">
      <c r="C10177" s="109"/>
      <c r="D10177" s="109"/>
      <c r="E10177" s="109"/>
      <c r="F10177" s="110"/>
      <c r="G10177" s="109"/>
    </row>
    <row r="10178" spans="3:7" x14ac:dyDescent="0.3">
      <c r="C10178" s="109"/>
      <c r="D10178" s="109"/>
      <c r="E10178" s="109"/>
      <c r="F10178" s="110"/>
      <c r="G10178" s="109"/>
    </row>
    <row r="10179" spans="3:7" x14ac:dyDescent="0.3">
      <c r="C10179" s="109"/>
      <c r="D10179" s="109"/>
      <c r="E10179" s="109"/>
      <c r="F10179" s="110"/>
      <c r="G10179" s="109"/>
    </row>
    <row r="10180" spans="3:7" x14ac:dyDescent="0.3">
      <c r="C10180" s="109"/>
      <c r="D10180" s="109"/>
      <c r="E10180" s="109"/>
      <c r="F10180" s="110"/>
      <c r="G10180" s="109"/>
    </row>
    <row r="10181" spans="3:7" x14ac:dyDescent="0.3">
      <c r="C10181" s="109"/>
      <c r="D10181" s="109"/>
      <c r="E10181" s="109"/>
      <c r="F10181" s="110"/>
      <c r="G10181" s="109"/>
    </row>
    <row r="10182" spans="3:7" x14ac:dyDescent="0.3">
      <c r="C10182" s="109"/>
      <c r="D10182" s="109"/>
      <c r="E10182" s="109"/>
      <c r="F10182" s="110"/>
      <c r="G10182" s="109"/>
    </row>
    <row r="10183" spans="3:7" x14ac:dyDescent="0.3">
      <c r="C10183" s="109"/>
      <c r="D10183" s="109"/>
      <c r="E10183" s="109"/>
      <c r="F10183" s="110"/>
      <c r="G10183" s="109"/>
    </row>
    <row r="10184" spans="3:7" x14ac:dyDescent="0.3">
      <c r="C10184" s="109"/>
      <c r="D10184" s="109"/>
      <c r="E10184" s="109"/>
      <c r="F10184" s="110"/>
      <c r="G10184" s="109"/>
    </row>
    <row r="10185" spans="3:7" x14ac:dyDescent="0.3">
      <c r="C10185" s="109"/>
      <c r="D10185" s="109"/>
      <c r="E10185" s="109"/>
      <c r="F10185" s="110"/>
      <c r="G10185" s="109"/>
    </row>
    <row r="10186" spans="3:7" x14ac:dyDescent="0.3">
      <c r="C10186" s="109"/>
      <c r="D10186" s="109"/>
      <c r="E10186" s="109"/>
      <c r="F10186" s="110"/>
      <c r="G10186" s="109"/>
    </row>
    <row r="10187" spans="3:7" x14ac:dyDescent="0.3">
      <c r="C10187" s="109"/>
      <c r="D10187" s="109"/>
      <c r="E10187" s="109"/>
      <c r="F10187" s="110"/>
      <c r="G10187" s="109"/>
    </row>
    <row r="10188" spans="3:7" x14ac:dyDescent="0.3">
      <c r="C10188" s="109"/>
      <c r="D10188" s="109"/>
      <c r="E10188" s="109"/>
      <c r="F10188" s="110"/>
      <c r="G10188" s="109"/>
    </row>
    <row r="10189" spans="3:7" x14ac:dyDescent="0.3">
      <c r="C10189" s="109"/>
      <c r="D10189" s="109"/>
      <c r="E10189" s="109"/>
      <c r="F10189" s="110"/>
      <c r="G10189" s="109"/>
    </row>
    <row r="10190" spans="3:7" x14ac:dyDescent="0.3">
      <c r="C10190" s="109"/>
      <c r="D10190" s="109"/>
      <c r="E10190" s="109"/>
      <c r="F10190" s="110"/>
      <c r="G10190" s="109"/>
    </row>
    <row r="10191" spans="3:7" x14ac:dyDescent="0.3">
      <c r="C10191" s="109"/>
      <c r="D10191" s="109"/>
      <c r="E10191" s="109"/>
      <c r="F10191" s="110"/>
      <c r="G10191" s="109"/>
    </row>
    <row r="10192" spans="3:7" x14ac:dyDescent="0.3">
      <c r="C10192" s="109"/>
      <c r="D10192" s="109"/>
      <c r="E10192" s="109"/>
      <c r="F10192" s="110"/>
      <c r="G10192" s="109"/>
    </row>
    <row r="10193" spans="3:7" x14ac:dyDescent="0.3">
      <c r="C10193" s="109"/>
      <c r="D10193" s="109"/>
      <c r="E10193" s="109"/>
      <c r="F10193" s="110"/>
      <c r="G10193" s="109"/>
    </row>
    <row r="10194" spans="3:7" x14ac:dyDescent="0.3">
      <c r="C10194" s="109"/>
      <c r="D10194" s="109"/>
      <c r="E10194" s="109"/>
      <c r="F10194" s="110"/>
      <c r="G10194" s="109"/>
    </row>
    <row r="10195" spans="3:7" x14ac:dyDescent="0.3">
      <c r="C10195" s="109"/>
      <c r="D10195" s="109"/>
      <c r="E10195" s="109"/>
      <c r="F10195" s="110"/>
      <c r="G10195" s="109"/>
    </row>
    <row r="10196" spans="3:7" x14ac:dyDescent="0.3">
      <c r="C10196" s="109"/>
      <c r="D10196" s="109"/>
      <c r="E10196" s="109"/>
      <c r="F10196" s="110"/>
      <c r="G10196" s="109"/>
    </row>
    <row r="10197" spans="3:7" x14ac:dyDescent="0.3">
      <c r="C10197" s="109"/>
      <c r="D10197" s="109"/>
      <c r="E10197" s="109"/>
      <c r="F10197" s="110"/>
      <c r="G10197" s="109"/>
    </row>
    <row r="10198" spans="3:7" x14ac:dyDescent="0.3">
      <c r="C10198" s="109"/>
      <c r="D10198" s="109"/>
      <c r="E10198" s="109"/>
      <c r="F10198" s="110"/>
      <c r="G10198" s="109"/>
    </row>
    <row r="10199" spans="3:7" x14ac:dyDescent="0.3">
      <c r="C10199" s="109"/>
      <c r="D10199" s="109"/>
      <c r="E10199" s="109"/>
      <c r="F10199" s="110"/>
      <c r="G10199" s="109"/>
    </row>
    <row r="10200" spans="3:7" x14ac:dyDescent="0.3">
      <c r="C10200" s="109"/>
      <c r="D10200" s="109"/>
      <c r="E10200" s="109"/>
      <c r="F10200" s="110"/>
      <c r="G10200" s="109"/>
    </row>
    <row r="10201" spans="3:7" x14ac:dyDescent="0.3">
      <c r="C10201" s="109"/>
      <c r="D10201" s="109"/>
      <c r="E10201" s="109"/>
      <c r="F10201" s="110"/>
      <c r="G10201" s="109"/>
    </row>
    <row r="10202" spans="3:7" x14ac:dyDescent="0.3">
      <c r="C10202" s="109"/>
      <c r="D10202" s="109"/>
      <c r="E10202" s="109"/>
      <c r="F10202" s="110"/>
      <c r="G10202" s="109"/>
    </row>
    <row r="10203" spans="3:7" x14ac:dyDescent="0.3">
      <c r="C10203" s="109"/>
      <c r="D10203" s="109"/>
      <c r="E10203" s="109"/>
      <c r="F10203" s="110"/>
      <c r="G10203" s="109"/>
    </row>
    <row r="10204" spans="3:7" x14ac:dyDescent="0.3">
      <c r="C10204" s="109"/>
      <c r="D10204" s="109"/>
      <c r="E10204" s="109"/>
      <c r="F10204" s="110"/>
      <c r="G10204" s="109"/>
    </row>
    <row r="10205" spans="3:7" x14ac:dyDescent="0.3">
      <c r="C10205" s="109"/>
      <c r="D10205" s="109"/>
      <c r="E10205" s="109"/>
      <c r="F10205" s="110"/>
      <c r="G10205" s="109"/>
    </row>
    <row r="10206" spans="3:7" x14ac:dyDescent="0.3">
      <c r="C10206" s="109"/>
      <c r="D10206" s="109"/>
      <c r="E10206" s="109"/>
      <c r="F10206" s="110"/>
      <c r="G10206" s="109"/>
    </row>
    <row r="10207" spans="3:7" x14ac:dyDescent="0.3">
      <c r="C10207" s="109"/>
      <c r="D10207" s="109"/>
      <c r="E10207" s="109"/>
      <c r="F10207" s="110"/>
      <c r="G10207" s="109"/>
    </row>
    <row r="10208" spans="3:7" x14ac:dyDescent="0.3">
      <c r="C10208" s="109"/>
      <c r="D10208" s="109"/>
      <c r="E10208" s="109"/>
      <c r="F10208" s="110"/>
      <c r="G10208" s="109"/>
    </row>
    <row r="10209" spans="3:7" x14ac:dyDescent="0.3">
      <c r="C10209" s="109"/>
      <c r="D10209" s="109"/>
      <c r="E10209" s="109"/>
      <c r="F10209" s="110"/>
      <c r="G10209" s="109"/>
    </row>
    <row r="10210" spans="3:7" x14ac:dyDescent="0.3">
      <c r="C10210" s="109"/>
      <c r="D10210" s="109"/>
      <c r="E10210" s="109"/>
      <c r="F10210" s="110"/>
      <c r="G10210" s="109"/>
    </row>
    <row r="10211" spans="3:7" x14ac:dyDescent="0.3">
      <c r="C10211" s="109"/>
      <c r="D10211" s="109"/>
      <c r="E10211" s="109"/>
      <c r="F10211" s="110"/>
      <c r="G10211" s="109"/>
    </row>
    <row r="10212" spans="3:7" x14ac:dyDescent="0.3">
      <c r="C10212" s="109"/>
      <c r="D10212" s="109"/>
      <c r="E10212" s="109"/>
      <c r="F10212" s="110"/>
      <c r="G10212" s="109"/>
    </row>
    <row r="10213" spans="3:7" x14ac:dyDescent="0.3">
      <c r="C10213" s="109"/>
      <c r="D10213" s="109"/>
      <c r="E10213" s="109"/>
      <c r="F10213" s="110"/>
      <c r="G10213" s="109"/>
    </row>
    <row r="10214" spans="3:7" x14ac:dyDescent="0.3">
      <c r="C10214" s="109"/>
      <c r="D10214" s="109"/>
      <c r="E10214" s="109"/>
      <c r="F10214" s="110"/>
      <c r="G10214" s="109"/>
    </row>
    <row r="10215" spans="3:7" x14ac:dyDescent="0.3">
      <c r="C10215" s="109"/>
      <c r="D10215" s="109"/>
      <c r="E10215" s="109"/>
      <c r="F10215" s="110"/>
      <c r="G10215" s="109"/>
    </row>
    <row r="10216" spans="3:7" x14ac:dyDescent="0.3">
      <c r="C10216" s="109"/>
      <c r="D10216" s="109"/>
      <c r="E10216" s="109"/>
      <c r="F10216" s="110"/>
      <c r="G10216" s="109"/>
    </row>
    <row r="10217" spans="3:7" x14ac:dyDescent="0.3">
      <c r="C10217" s="109"/>
      <c r="D10217" s="109"/>
      <c r="E10217" s="109"/>
      <c r="F10217" s="110"/>
      <c r="G10217" s="109"/>
    </row>
    <row r="10218" spans="3:7" x14ac:dyDescent="0.3">
      <c r="C10218" s="109"/>
      <c r="D10218" s="109"/>
      <c r="E10218" s="109"/>
      <c r="F10218" s="110"/>
      <c r="G10218" s="109"/>
    </row>
    <row r="10219" spans="3:7" x14ac:dyDescent="0.3">
      <c r="C10219" s="109"/>
      <c r="D10219" s="109"/>
      <c r="E10219" s="109"/>
      <c r="F10219" s="110"/>
      <c r="G10219" s="109"/>
    </row>
    <row r="10220" spans="3:7" x14ac:dyDescent="0.3">
      <c r="C10220" s="109"/>
      <c r="D10220" s="109"/>
      <c r="E10220" s="109"/>
      <c r="F10220" s="110"/>
      <c r="G10220" s="109"/>
    </row>
    <row r="10221" spans="3:7" x14ac:dyDescent="0.3">
      <c r="C10221" s="109"/>
      <c r="D10221" s="109"/>
      <c r="E10221" s="109"/>
      <c r="F10221" s="110"/>
      <c r="G10221" s="109"/>
    </row>
    <row r="10222" spans="3:7" x14ac:dyDescent="0.3">
      <c r="C10222" s="109"/>
      <c r="D10222" s="109"/>
      <c r="E10222" s="109"/>
      <c r="F10222" s="110"/>
      <c r="G10222" s="109"/>
    </row>
    <row r="10223" spans="3:7" x14ac:dyDescent="0.3">
      <c r="C10223" s="109"/>
      <c r="D10223" s="109"/>
      <c r="E10223" s="109"/>
      <c r="F10223" s="110"/>
      <c r="G10223" s="109"/>
    </row>
    <row r="10224" spans="3:7" x14ac:dyDescent="0.3">
      <c r="C10224" s="109"/>
      <c r="D10224" s="109"/>
      <c r="E10224" s="109"/>
      <c r="F10224" s="110"/>
      <c r="G10224" s="109"/>
    </row>
    <row r="10225" spans="3:7" x14ac:dyDescent="0.3">
      <c r="C10225" s="109"/>
      <c r="D10225" s="109"/>
      <c r="E10225" s="109"/>
      <c r="F10225" s="110"/>
      <c r="G10225" s="109"/>
    </row>
    <row r="10226" spans="3:7" x14ac:dyDescent="0.3">
      <c r="C10226" s="109"/>
      <c r="D10226" s="109"/>
      <c r="E10226" s="109"/>
      <c r="F10226" s="110"/>
      <c r="G10226" s="109"/>
    </row>
    <row r="10227" spans="3:7" x14ac:dyDescent="0.3">
      <c r="C10227" s="109"/>
      <c r="D10227" s="109"/>
      <c r="E10227" s="109"/>
      <c r="F10227" s="110"/>
      <c r="G10227" s="109"/>
    </row>
    <row r="10228" spans="3:7" x14ac:dyDescent="0.3">
      <c r="C10228" s="109"/>
      <c r="D10228" s="109"/>
      <c r="E10228" s="109"/>
      <c r="F10228" s="110"/>
      <c r="G10228" s="109"/>
    </row>
    <row r="10229" spans="3:7" x14ac:dyDescent="0.3">
      <c r="C10229" s="109"/>
      <c r="D10229" s="109"/>
      <c r="E10229" s="109"/>
      <c r="F10229" s="110"/>
      <c r="G10229" s="109"/>
    </row>
    <row r="10230" spans="3:7" x14ac:dyDescent="0.3">
      <c r="C10230" s="109"/>
      <c r="D10230" s="109"/>
      <c r="E10230" s="109"/>
      <c r="F10230" s="110"/>
      <c r="G10230" s="109"/>
    </row>
    <row r="10231" spans="3:7" x14ac:dyDescent="0.3">
      <c r="C10231" s="109"/>
      <c r="D10231" s="109"/>
      <c r="E10231" s="109"/>
      <c r="F10231" s="110"/>
      <c r="G10231" s="109"/>
    </row>
    <row r="10232" spans="3:7" x14ac:dyDescent="0.3">
      <c r="C10232" s="109"/>
      <c r="D10232" s="109"/>
      <c r="E10232" s="109"/>
      <c r="F10232" s="110"/>
      <c r="G10232" s="109"/>
    </row>
    <row r="10233" spans="3:7" x14ac:dyDescent="0.3">
      <c r="C10233" s="109"/>
      <c r="D10233" s="109"/>
      <c r="E10233" s="109"/>
      <c r="F10233" s="110"/>
      <c r="G10233" s="109"/>
    </row>
    <row r="10234" spans="3:7" x14ac:dyDescent="0.3">
      <c r="C10234" s="109"/>
      <c r="D10234" s="109"/>
      <c r="E10234" s="109"/>
      <c r="F10234" s="110"/>
      <c r="G10234" s="109"/>
    </row>
    <row r="10235" spans="3:7" x14ac:dyDescent="0.3">
      <c r="C10235" s="109"/>
      <c r="D10235" s="109"/>
      <c r="E10235" s="109"/>
      <c r="F10235" s="110"/>
      <c r="G10235" s="109"/>
    </row>
    <row r="10236" spans="3:7" x14ac:dyDescent="0.3">
      <c r="C10236" s="109"/>
      <c r="D10236" s="109"/>
      <c r="E10236" s="109"/>
      <c r="F10236" s="110"/>
      <c r="G10236" s="109"/>
    </row>
    <row r="10237" spans="3:7" x14ac:dyDescent="0.3">
      <c r="C10237" s="109"/>
      <c r="D10237" s="109"/>
      <c r="E10237" s="109"/>
      <c r="F10237" s="110"/>
      <c r="G10237" s="109"/>
    </row>
    <row r="10238" spans="3:7" x14ac:dyDescent="0.3">
      <c r="C10238" s="109"/>
      <c r="D10238" s="109"/>
      <c r="E10238" s="109"/>
      <c r="F10238" s="110"/>
      <c r="G10238" s="109"/>
    </row>
    <row r="10239" spans="3:7" x14ac:dyDescent="0.3">
      <c r="C10239" s="109"/>
      <c r="D10239" s="109"/>
      <c r="E10239" s="109"/>
      <c r="F10239" s="110"/>
      <c r="G10239" s="109"/>
    </row>
    <row r="10240" spans="3:7" x14ac:dyDescent="0.3">
      <c r="C10240" s="109"/>
      <c r="D10240" s="109"/>
      <c r="E10240" s="109"/>
      <c r="F10240" s="110"/>
      <c r="G10240" s="109"/>
    </row>
    <row r="10241" spans="3:7" x14ac:dyDescent="0.3">
      <c r="C10241" s="109"/>
      <c r="D10241" s="109"/>
      <c r="E10241" s="109"/>
      <c r="F10241" s="110"/>
      <c r="G10241" s="109"/>
    </row>
    <row r="10242" spans="3:7" x14ac:dyDescent="0.3">
      <c r="C10242" s="109"/>
      <c r="D10242" s="109"/>
      <c r="E10242" s="109"/>
      <c r="F10242" s="110"/>
      <c r="G10242" s="109"/>
    </row>
    <row r="10243" spans="3:7" x14ac:dyDescent="0.3">
      <c r="C10243" s="109"/>
      <c r="D10243" s="109"/>
      <c r="E10243" s="109"/>
      <c r="F10243" s="110"/>
      <c r="G10243" s="109"/>
    </row>
    <row r="10244" spans="3:7" x14ac:dyDescent="0.3">
      <c r="C10244" s="109"/>
      <c r="D10244" s="109"/>
      <c r="E10244" s="109"/>
      <c r="F10244" s="110"/>
      <c r="G10244" s="109"/>
    </row>
    <row r="10245" spans="3:7" x14ac:dyDescent="0.3">
      <c r="C10245" s="109"/>
      <c r="D10245" s="109"/>
      <c r="E10245" s="109"/>
      <c r="F10245" s="110"/>
      <c r="G10245" s="109"/>
    </row>
    <row r="10246" spans="3:7" x14ac:dyDescent="0.3">
      <c r="C10246" s="109"/>
      <c r="D10246" s="109"/>
      <c r="E10246" s="109"/>
      <c r="F10246" s="110"/>
      <c r="G10246" s="109"/>
    </row>
    <row r="10247" spans="3:7" x14ac:dyDescent="0.3">
      <c r="C10247" s="109"/>
      <c r="D10247" s="109"/>
      <c r="E10247" s="109"/>
      <c r="F10247" s="110"/>
      <c r="G10247" s="109"/>
    </row>
    <row r="10248" spans="3:7" x14ac:dyDescent="0.3">
      <c r="C10248" s="109"/>
      <c r="D10248" s="109"/>
      <c r="E10248" s="109"/>
      <c r="F10248" s="110"/>
      <c r="G10248" s="109"/>
    </row>
    <row r="10249" spans="3:7" x14ac:dyDescent="0.3">
      <c r="C10249" s="109"/>
      <c r="D10249" s="109"/>
      <c r="E10249" s="109"/>
      <c r="F10249" s="110"/>
      <c r="G10249" s="109"/>
    </row>
    <row r="10250" spans="3:7" x14ac:dyDescent="0.3">
      <c r="C10250" s="109"/>
      <c r="D10250" s="109"/>
      <c r="E10250" s="109"/>
      <c r="F10250" s="110"/>
      <c r="G10250" s="109"/>
    </row>
    <row r="10251" spans="3:7" x14ac:dyDescent="0.3">
      <c r="C10251" s="109"/>
      <c r="D10251" s="109"/>
      <c r="E10251" s="109"/>
      <c r="F10251" s="110"/>
      <c r="G10251" s="109"/>
    </row>
    <row r="10252" spans="3:7" x14ac:dyDescent="0.3">
      <c r="C10252" s="109"/>
      <c r="D10252" s="109"/>
      <c r="E10252" s="109"/>
      <c r="F10252" s="110"/>
      <c r="G10252" s="109"/>
    </row>
    <row r="10253" spans="3:7" x14ac:dyDescent="0.3">
      <c r="C10253" s="109"/>
      <c r="D10253" s="109"/>
      <c r="E10253" s="109"/>
      <c r="F10253" s="110"/>
      <c r="G10253" s="109"/>
    </row>
    <row r="10254" spans="3:7" x14ac:dyDescent="0.3">
      <c r="C10254" s="109"/>
      <c r="D10254" s="109"/>
      <c r="E10254" s="109"/>
      <c r="F10254" s="110"/>
      <c r="G10254" s="109"/>
    </row>
    <row r="10255" spans="3:7" x14ac:dyDescent="0.3">
      <c r="C10255" s="109"/>
      <c r="D10255" s="109"/>
      <c r="E10255" s="109"/>
      <c r="F10255" s="110"/>
      <c r="G10255" s="109"/>
    </row>
    <row r="10256" spans="3:7" x14ac:dyDescent="0.3">
      <c r="C10256" s="109"/>
      <c r="D10256" s="109"/>
      <c r="E10256" s="109"/>
      <c r="F10256" s="110"/>
      <c r="G10256" s="109"/>
    </row>
    <row r="10257" spans="3:7" x14ac:dyDescent="0.3">
      <c r="C10257" s="109"/>
      <c r="D10257" s="109"/>
      <c r="E10257" s="109"/>
      <c r="F10257" s="110"/>
      <c r="G10257" s="109"/>
    </row>
    <row r="10258" spans="3:7" x14ac:dyDescent="0.3">
      <c r="C10258" s="109"/>
      <c r="D10258" s="109"/>
      <c r="E10258" s="109"/>
      <c r="F10258" s="110"/>
      <c r="G10258" s="109"/>
    </row>
    <row r="10259" spans="3:7" x14ac:dyDescent="0.3">
      <c r="C10259" s="109"/>
      <c r="D10259" s="109"/>
      <c r="E10259" s="109"/>
      <c r="F10259" s="110"/>
      <c r="G10259" s="109"/>
    </row>
    <row r="10260" spans="3:7" x14ac:dyDescent="0.3">
      <c r="C10260" s="109"/>
      <c r="D10260" s="109"/>
      <c r="E10260" s="109"/>
      <c r="F10260" s="110"/>
      <c r="G10260" s="109"/>
    </row>
    <row r="10261" spans="3:7" x14ac:dyDescent="0.3">
      <c r="C10261" s="109"/>
      <c r="D10261" s="109"/>
      <c r="E10261" s="109"/>
      <c r="F10261" s="110"/>
      <c r="G10261" s="109"/>
    </row>
    <row r="10262" spans="3:7" x14ac:dyDescent="0.3">
      <c r="C10262" s="109"/>
      <c r="D10262" s="109"/>
      <c r="E10262" s="109"/>
      <c r="F10262" s="110"/>
      <c r="G10262" s="109"/>
    </row>
    <row r="10263" spans="3:7" x14ac:dyDescent="0.3">
      <c r="C10263" s="109"/>
      <c r="D10263" s="109"/>
      <c r="E10263" s="109"/>
      <c r="F10263" s="110"/>
      <c r="G10263" s="109"/>
    </row>
    <row r="10264" spans="3:7" x14ac:dyDescent="0.3">
      <c r="C10264" s="109"/>
      <c r="D10264" s="109"/>
      <c r="E10264" s="109"/>
      <c r="F10264" s="110"/>
      <c r="G10264" s="109"/>
    </row>
    <row r="10265" spans="3:7" x14ac:dyDescent="0.3">
      <c r="C10265" s="109"/>
      <c r="D10265" s="109"/>
      <c r="E10265" s="109"/>
      <c r="F10265" s="110"/>
      <c r="G10265" s="109"/>
    </row>
    <row r="10266" spans="3:7" x14ac:dyDescent="0.3">
      <c r="C10266" s="109"/>
      <c r="D10266" s="109"/>
      <c r="E10266" s="109"/>
      <c r="F10266" s="110"/>
      <c r="G10266" s="109"/>
    </row>
    <row r="10267" spans="3:7" x14ac:dyDescent="0.3">
      <c r="C10267" s="109"/>
      <c r="D10267" s="109"/>
      <c r="E10267" s="109"/>
      <c r="F10267" s="110"/>
      <c r="G10267" s="109"/>
    </row>
    <row r="10268" spans="3:7" x14ac:dyDescent="0.3">
      <c r="C10268" s="109"/>
      <c r="D10268" s="109"/>
      <c r="E10268" s="109"/>
      <c r="F10268" s="110"/>
      <c r="G10268" s="109"/>
    </row>
    <row r="10269" spans="3:7" x14ac:dyDescent="0.3">
      <c r="C10269" s="109"/>
      <c r="D10269" s="109"/>
      <c r="E10269" s="109"/>
      <c r="F10269" s="110"/>
      <c r="G10269" s="109"/>
    </row>
    <row r="10270" spans="3:7" x14ac:dyDescent="0.3">
      <c r="C10270" s="109"/>
      <c r="D10270" s="109"/>
      <c r="E10270" s="109"/>
      <c r="F10270" s="110"/>
      <c r="G10270" s="109"/>
    </row>
    <row r="10271" spans="3:7" x14ac:dyDescent="0.3">
      <c r="C10271" s="109"/>
      <c r="D10271" s="109"/>
      <c r="E10271" s="109"/>
      <c r="F10271" s="110"/>
      <c r="G10271" s="109"/>
    </row>
    <row r="10272" spans="3:7" x14ac:dyDescent="0.3">
      <c r="C10272" s="109"/>
      <c r="D10272" s="109"/>
      <c r="E10272" s="109"/>
      <c r="F10272" s="110"/>
      <c r="G10272" s="109"/>
    </row>
    <row r="10273" spans="3:7" x14ac:dyDescent="0.3">
      <c r="C10273" s="109"/>
      <c r="D10273" s="109"/>
      <c r="E10273" s="109"/>
      <c r="F10273" s="110"/>
      <c r="G10273" s="109"/>
    </row>
    <row r="10274" spans="3:7" x14ac:dyDescent="0.3">
      <c r="C10274" s="109"/>
      <c r="D10274" s="109"/>
      <c r="E10274" s="109"/>
      <c r="F10274" s="110"/>
      <c r="G10274" s="109"/>
    </row>
    <row r="10275" spans="3:7" x14ac:dyDescent="0.3">
      <c r="C10275" s="109"/>
      <c r="D10275" s="109"/>
      <c r="E10275" s="109"/>
      <c r="F10275" s="110"/>
      <c r="G10275" s="109"/>
    </row>
    <row r="10276" spans="3:7" x14ac:dyDescent="0.3">
      <c r="C10276" s="109"/>
      <c r="D10276" s="109"/>
      <c r="E10276" s="109"/>
      <c r="F10276" s="110"/>
      <c r="G10276" s="109"/>
    </row>
    <row r="10277" spans="3:7" x14ac:dyDescent="0.3">
      <c r="C10277" s="109"/>
      <c r="D10277" s="109"/>
      <c r="E10277" s="109"/>
      <c r="F10277" s="110"/>
      <c r="G10277" s="109"/>
    </row>
    <row r="10278" spans="3:7" x14ac:dyDescent="0.3">
      <c r="C10278" s="109"/>
      <c r="D10278" s="109"/>
      <c r="E10278" s="109"/>
      <c r="F10278" s="110"/>
      <c r="G10278" s="109"/>
    </row>
    <row r="10279" spans="3:7" x14ac:dyDescent="0.3">
      <c r="C10279" s="109"/>
      <c r="D10279" s="109"/>
      <c r="E10279" s="109"/>
      <c r="F10279" s="110"/>
      <c r="G10279" s="109"/>
    </row>
    <row r="10280" spans="3:7" x14ac:dyDescent="0.3">
      <c r="C10280" s="109"/>
      <c r="D10280" s="109"/>
      <c r="E10280" s="109"/>
      <c r="F10280" s="110"/>
      <c r="G10280" s="109"/>
    </row>
    <row r="10281" spans="3:7" x14ac:dyDescent="0.3">
      <c r="C10281" s="109"/>
      <c r="D10281" s="109"/>
      <c r="E10281" s="109"/>
      <c r="F10281" s="110"/>
      <c r="G10281" s="109"/>
    </row>
    <row r="10282" spans="3:7" x14ac:dyDescent="0.3">
      <c r="C10282" s="109"/>
      <c r="D10282" s="109"/>
      <c r="E10282" s="109"/>
      <c r="F10282" s="110"/>
      <c r="G10282" s="109"/>
    </row>
    <row r="10283" spans="3:7" x14ac:dyDescent="0.3">
      <c r="C10283" s="109"/>
      <c r="D10283" s="109"/>
      <c r="E10283" s="109"/>
      <c r="F10283" s="110"/>
      <c r="G10283" s="109"/>
    </row>
    <row r="10284" spans="3:7" x14ac:dyDescent="0.3">
      <c r="C10284" s="109"/>
      <c r="D10284" s="109"/>
      <c r="E10284" s="109"/>
      <c r="F10284" s="110"/>
      <c r="G10284" s="109"/>
    </row>
    <row r="10285" spans="3:7" x14ac:dyDescent="0.3">
      <c r="C10285" s="109"/>
      <c r="D10285" s="109"/>
      <c r="E10285" s="109"/>
      <c r="F10285" s="110"/>
      <c r="G10285" s="109"/>
    </row>
    <row r="10286" spans="3:7" x14ac:dyDescent="0.3">
      <c r="C10286" s="109"/>
      <c r="D10286" s="109"/>
      <c r="E10286" s="109"/>
      <c r="F10286" s="110"/>
      <c r="G10286" s="109"/>
    </row>
    <row r="10287" spans="3:7" x14ac:dyDescent="0.3">
      <c r="C10287" s="109"/>
      <c r="D10287" s="109"/>
      <c r="E10287" s="109"/>
      <c r="F10287" s="110"/>
      <c r="G10287" s="109"/>
    </row>
    <row r="10288" spans="3:7" x14ac:dyDescent="0.3">
      <c r="C10288" s="109"/>
      <c r="D10288" s="109"/>
      <c r="E10288" s="109"/>
      <c r="F10288" s="110"/>
      <c r="G10288" s="109"/>
    </row>
    <row r="10289" spans="3:7" x14ac:dyDescent="0.3">
      <c r="C10289" s="109"/>
      <c r="D10289" s="109"/>
      <c r="E10289" s="109"/>
      <c r="F10289" s="110"/>
      <c r="G10289" s="109"/>
    </row>
    <row r="10290" spans="3:7" x14ac:dyDescent="0.3">
      <c r="C10290" s="109"/>
      <c r="D10290" s="109"/>
      <c r="E10290" s="109"/>
      <c r="F10290" s="110"/>
      <c r="G10290" s="109"/>
    </row>
    <row r="10291" spans="3:7" x14ac:dyDescent="0.3">
      <c r="C10291" s="109"/>
      <c r="D10291" s="109"/>
      <c r="E10291" s="109"/>
      <c r="F10291" s="110"/>
      <c r="G10291" s="109"/>
    </row>
    <row r="10292" spans="3:7" x14ac:dyDescent="0.3">
      <c r="C10292" s="109"/>
      <c r="D10292" s="109"/>
      <c r="E10292" s="109"/>
      <c r="F10292" s="110"/>
      <c r="G10292" s="109"/>
    </row>
    <row r="10293" spans="3:7" x14ac:dyDescent="0.3">
      <c r="C10293" s="109"/>
      <c r="D10293" s="109"/>
      <c r="E10293" s="109"/>
      <c r="F10293" s="110"/>
      <c r="G10293" s="109"/>
    </row>
    <row r="10294" spans="3:7" x14ac:dyDescent="0.3">
      <c r="C10294" s="109"/>
      <c r="D10294" s="109"/>
      <c r="E10294" s="109"/>
      <c r="F10294" s="110"/>
      <c r="G10294" s="109"/>
    </row>
    <row r="10295" spans="3:7" x14ac:dyDescent="0.3">
      <c r="C10295" s="109"/>
      <c r="D10295" s="109"/>
      <c r="E10295" s="109"/>
      <c r="F10295" s="110"/>
      <c r="G10295" s="109"/>
    </row>
    <row r="10296" spans="3:7" x14ac:dyDescent="0.3">
      <c r="C10296" s="109"/>
      <c r="D10296" s="109"/>
      <c r="E10296" s="109"/>
      <c r="F10296" s="110"/>
      <c r="G10296" s="109"/>
    </row>
    <row r="10297" spans="3:7" x14ac:dyDescent="0.3">
      <c r="C10297" s="109"/>
      <c r="D10297" s="109"/>
      <c r="E10297" s="109"/>
      <c r="F10297" s="110"/>
      <c r="G10297" s="109"/>
    </row>
    <row r="10298" spans="3:7" x14ac:dyDescent="0.3">
      <c r="C10298" s="109"/>
      <c r="D10298" s="109"/>
      <c r="E10298" s="109"/>
      <c r="F10298" s="110"/>
      <c r="G10298" s="109"/>
    </row>
    <row r="10299" spans="3:7" x14ac:dyDescent="0.3">
      <c r="C10299" s="109"/>
      <c r="D10299" s="109"/>
      <c r="E10299" s="109"/>
      <c r="F10299" s="110"/>
      <c r="G10299" s="109"/>
    </row>
    <row r="10300" spans="3:7" x14ac:dyDescent="0.3">
      <c r="C10300" s="109"/>
      <c r="D10300" s="109"/>
      <c r="E10300" s="109"/>
      <c r="F10300" s="110"/>
      <c r="G10300" s="109"/>
    </row>
    <row r="10301" spans="3:7" x14ac:dyDescent="0.3">
      <c r="C10301" s="109"/>
      <c r="D10301" s="109"/>
      <c r="E10301" s="109"/>
      <c r="F10301" s="110"/>
      <c r="G10301" s="109"/>
    </row>
    <row r="10302" spans="3:7" x14ac:dyDescent="0.3">
      <c r="C10302" s="109"/>
      <c r="D10302" s="109"/>
      <c r="E10302" s="109"/>
      <c r="F10302" s="110"/>
      <c r="G10302" s="109"/>
    </row>
    <row r="10303" spans="3:7" x14ac:dyDescent="0.3">
      <c r="C10303" s="109"/>
      <c r="D10303" s="109"/>
      <c r="E10303" s="109"/>
      <c r="F10303" s="110"/>
      <c r="G10303" s="109"/>
    </row>
    <row r="10304" spans="3:7" x14ac:dyDescent="0.3">
      <c r="C10304" s="109"/>
      <c r="D10304" s="109"/>
      <c r="E10304" s="109"/>
      <c r="F10304" s="110"/>
      <c r="G10304" s="109"/>
    </row>
    <row r="10305" spans="3:7" x14ac:dyDescent="0.3">
      <c r="C10305" s="109"/>
      <c r="D10305" s="109"/>
      <c r="E10305" s="109"/>
      <c r="F10305" s="110"/>
      <c r="G10305" s="109"/>
    </row>
    <row r="10306" spans="3:7" x14ac:dyDescent="0.3">
      <c r="C10306" s="109"/>
      <c r="D10306" s="109"/>
      <c r="E10306" s="109"/>
      <c r="F10306" s="110"/>
      <c r="G10306" s="109"/>
    </row>
    <row r="10307" spans="3:7" x14ac:dyDescent="0.3">
      <c r="C10307" s="109"/>
      <c r="D10307" s="109"/>
      <c r="E10307" s="109"/>
      <c r="F10307" s="110"/>
      <c r="G10307" s="109"/>
    </row>
    <row r="10308" spans="3:7" x14ac:dyDescent="0.3">
      <c r="C10308" s="109"/>
      <c r="D10308" s="109"/>
      <c r="E10308" s="109"/>
      <c r="F10308" s="110"/>
      <c r="G10308" s="109"/>
    </row>
    <row r="10309" spans="3:7" x14ac:dyDescent="0.3">
      <c r="C10309" s="109"/>
      <c r="D10309" s="109"/>
      <c r="E10309" s="109"/>
      <c r="F10309" s="110"/>
      <c r="G10309" s="109"/>
    </row>
    <row r="10310" spans="3:7" x14ac:dyDescent="0.3">
      <c r="C10310" s="109"/>
      <c r="D10310" s="109"/>
      <c r="E10310" s="109"/>
      <c r="F10310" s="110"/>
      <c r="G10310" s="109"/>
    </row>
    <row r="10311" spans="3:7" x14ac:dyDescent="0.3">
      <c r="C10311" s="109"/>
      <c r="D10311" s="109"/>
      <c r="E10311" s="109"/>
      <c r="F10311" s="110"/>
      <c r="G10311" s="109"/>
    </row>
    <row r="10312" spans="3:7" x14ac:dyDescent="0.3">
      <c r="C10312" s="109"/>
      <c r="D10312" s="109"/>
      <c r="E10312" s="109"/>
      <c r="F10312" s="110"/>
      <c r="G10312" s="109"/>
    </row>
    <row r="10313" spans="3:7" x14ac:dyDescent="0.3">
      <c r="C10313" s="109"/>
      <c r="D10313" s="109"/>
      <c r="E10313" s="109"/>
      <c r="F10313" s="110"/>
      <c r="G10313" s="109"/>
    </row>
    <row r="10314" spans="3:7" x14ac:dyDescent="0.3">
      <c r="C10314" s="109"/>
      <c r="D10314" s="109"/>
      <c r="E10314" s="109"/>
      <c r="F10314" s="110"/>
      <c r="G10314" s="109"/>
    </row>
    <row r="10315" spans="3:7" x14ac:dyDescent="0.3">
      <c r="C10315" s="109"/>
      <c r="D10315" s="109"/>
      <c r="E10315" s="109"/>
      <c r="F10315" s="110"/>
      <c r="G10315" s="109"/>
    </row>
    <row r="10316" spans="3:7" x14ac:dyDescent="0.3">
      <c r="C10316" s="109"/>
      <c r="D10316" s="109"/>
      <c r="E10316" s="109"/>
      <c r="F10316" s="110"/>
      <c r="G10316" s="109"/>
    </row>
    <row r="10317" spans="3:7" x14ac:dyDescent="0.3">
      <c r="C10317" s="109"/>
      <c r="D10317" s="109"/>
      <c r="E10317" s="109"/>
      <c r="F10317" s="110"/>
      <c r="G10317" s="109"/>
    </row>
    <row r="10318" spans="3:7" x14ac:dyDescent="0.3">
      <c r="C10318" s="109"/>
      <c r="D10318" s="109"/>
      <c r="E10318" s="109"/>
      <c r="F10318" s="110"/>
      <c r="G10318" s="109"/>
    </row>
    <row r="10319" spans="3:7" x14ac:dyDescent="0.3">
      <c r="C10319" s="109"/>
      <c r="D10319" s="109"/>
      <c r="E10319" s="109"/>
      <c r="F10319" s="110"/>
      <c r="G10319" s="109"/>
    </row>
    <row r="10320" spans="3:7" x14ac:dyDescent="0.3">
      <c r="C10320" s="109"/>
      <c r="D10320" s="109"/>
      <c r="E10320" s="109"/>
      <c r="F10320" s="110"/>
      <c r="G10320" s="109"/>
    </row>
    <row r="10321" spans="3:7" x14ac:dyDescent="0.3">
      <c r="C10321" s="109"/>
      <c r="D10321" s="109"/>
      <c r="E10321" s="109"/>
      <c r="F10321" s="110"/>
      <c r="G10321" s="109"/>
    </row>
    <row r="10322" spans="3:7" x14ac:dyDescent="0.3">
      <c r="C10322" s="109"/>
      <c r="D10322" s="109"/>
      <c r="E10322" s="109"/>
      <c r="F10322" s="110"/>
      <c r="G10322" s="109"/>
    </row>
    <row r="10323" spans="3:7" x14ac:dyDescent="0.3">
      <c r="C10323" s="109"/>
      <c r="D10323" s="109"/>
      <c r="E10323" s="109"/>
      <c r="F10323" s="110"/>
      <c r="G10323" s="109"/>
    </row>
    <row r="10324" spans="3:7" x14ac:dyDescent="0.3">
      <c r="C10324" s="109"/>
      <c r="D10324" s="109"/>
      <c r="E10324" s="109"/>
      <c r="F10324" s="110"/>
      <c r="G10324" s="109"/>
    </row>
    <row r="10325" spans="3:7" x14ac:dyDescent="0.3">
      <c r="C10325" s="109"/>
      <c r="D10325" s="109"/>
      <c r="E10325" s="109"/>
      <c r="F10325" s="110"/>
      <c r="G10325" s="109"/>
    </row>
    <row r="10326" spans="3:7" x14ac:dyDescent="0.3">
      <c r="C10326" s="109"/>
      <c r="D10326" s="109"/>
      <c r="E10326" s="109"/>
      <c r="F10326" s="110"/>
      <c r="G10326" s="109"/>
    </row>
    <row r="10327" spans="3:7" x14ac:dyDescent="0.3">
      <c r="C10327" s="109"/>
      <c r="D10327" s="109"/>
      <c r="E10327" s="109"/>
      <c r="F10327" s="110"/>
      <c r="G10327" s="109"/>
    </row>
    <row r="10328" spans="3:7" x14ac:dyDescent="0.3">
      <c r="C10328" s="109"/>
      <c r="D10328" s="109"/>
      <c r="E10328" s="109"/>
      <c r="F10328" s="110"/>
      <c r="G10328" s="109"/>
    </row>
    <row r="10329" spans="3:7" x14ac:dyDescent="0.3">
      <c r="C10329" s="109"/>
      <c r="D10329" s="109"/>
      <c r="E10329" s="109"/>
      <c r="F10329" s="110"/>
      <c r="G10329" s="109"/>
    </row>
    <row r="10330" spans="3:7" x14ac:dyDescent="0.3">
      <c r="C10330" s="109"/>
      <c r="D10330" s="109"/>
      <c r="E10330" s="109"/>
      <c r="F10330" s="110"/>
      <c r="G10330" s="109"/>
    </row>
    <row r="10331" spans="3:7" x14ac:dyDescent="0.3">
      <c r="C10331" s="109"/>
      <c r="D10331" s="109"/>
      <c r="E10331" s="109"/>
      <c r="F10331" s="110"/>
      <c r="G10331" s="109"/>
    </row>
    <row r="10332" spans="3:7" x14ac:dyDescent="0.3">
      <c r="C10332" s="109"/>
      <c r="D10332" s="109"/>
      <c r="E10332" s="109"/>
      <c r="F10332" s="110"/>
      <c r="G10332" s="109"/>
    </row>
    <row r="10333" spans="3:7" x14ac:dyDescent="0.3">
      <c r="C10333" s="109"/>
      <c r="D10333" s="109"/>
      <c r="E10333" s="109"/>
      <c r="F10333" s="110"/>
      <c r="G10333" s="109"/>
    </row>
    <row r="10334" spans="3:7" x14ac:dyDescent="0.3">
      <c r="C10334" s="109"/>
      <c r="D10334" s="109"/>
      <c r="E10334" s="109"/>
      <c r="F10334" s="110"/>
      <c r="G10334" s="109"/>
    </row>
    <row r="10335" spans="3:7" x14ac:dyDescent="0.3">
      <c r="C10335" s="109"/>
      <c r="D10335" s="109"/>
      <c r="E10335" s="109"/>
      <c r="F10335" s="110"/>
      <c r="G10335" s="109"/>
    </row>
    <row r="10336" spans="3:7" x14ac:dyDescent="0.3">
      <c r="C10336" s="109"/>
      <c r="D10336" s="109"/>
      <c r="E10336" s="109"/>
      <c r="F10336" s="110"/>
      <c r="G10336" s="109"/>
    </row>
    <row r="10337" spans="3:7" x14ac:dyDescent="0.3">
      <c r="C10337" s="109"/>
      <c r="D10337" s="109"/>
      <c r="E10337" s="109"/>
      <c r="F10337" s="110"/>
      <c r="G10337" s="109"/>
    </row>
    <row r="10338" spans="3:7" x14ac:dyDescent="0.3">
      <c r="C10338" s="109"/>
      <c r="D10338" s="109"/>
      <c r="E10338" s="109"/>
      <c r="F10338" s="110"/>
      <c r="G10338" s="109"/>
    </row>
    <row r="10339" spans="3:7" x14ac:dyDescent="0.3">
      <c r="C10339" s="109"/>
      <c r="D10339" s="109"/>
      <c r="E10339" s="109"/>
      <c r="F10339" s="110"/>
      <c r="G10339" s="109"/>
    </row>
    <row r="10340" spans="3:7" x14ac:dyDescent="0.3">
      <c r="C10340" s="109"/>
      <c r="D10340" s="109"/>
      <c r="E10340" s="109"/>
      <c r="F10340" s="110"/>
      <c r="G10340" s="109"/>
    </row>
    <row r="10341" spans="3:7" x14ac:dyDescent="0.3">
      <c r="C10341" s="109"/>
      <c r="D10341" s="109"/>
      <c r="E10341" s="109"/>
      <c r="F10341" s="110"/>
      <c r="G10341" s="109"/>
    </row>
    <row r="10342" spans="3:7" x14ac:dyDescent="0.3">
      <c r="C10342" s="109"/>
      <c r="D10342" s="109"/>
      <c r="E10342" s="109"/>
      <c r="F10342" s="110"/>
      <c r="G10342" s="109"/>
    </row>
    <row r="10343" spans="3:7" x14ac:dyDescent="0.3">
      <c r="C10343" s="109"/>
      <c r="D10343" s="109"/>
      <c r="E10343" s="109"/>
      <c r="F10343" s="110"/>
      <c r="G10343" s="109"/>
    </row>
    <row r="10344" spans="3:7" x14ac:dyDescent="0.3">
      <c r="C10344" s="109"/>
      <c r="D10344" s="109"/>
      <c r="E10344" s="109"/>
      <c r="F10344" s="110"/>
      <c r="G10344" s="109"/>
    </row>
    <row r="10345" spans="3:7" x14ac:dyDescent="0.3">
      <c r="C10345" s="109"/>
      <c r="D10345" s="109"/>
      <c r="E10345" s="109"/>
      <c r="F10345" s="110"/>
      <c r="G10345" s="109"/>
    </row>
    <row r="10346" spans="3:7" x14ac:dyDescent="0.3">
      <c r="C10346" s="109"/>
      <c r="D10346" s="109"/>
      <c r="E10346" s="109"/>
      <c r="F10346" s="110"/>
      <c r="G10346" s="109"/>
    </row>
    <row r="10347" spans="3:7" x14ac:dyDescent="0.3">
      <c r="C10347" s="109"/>
      <c r="D10347" s="109"/>
      <c r="E10347" s="109"/>
      <c r="F10347" s="110"/>
      <c r="G10347" s="109"/>
    </row>
    <row r="10348" spans="3:7" x14ac:dyDescent="0.3">
      <c r="C10348" s="109"/>
      <c r="D10348" s="109"/>
      <c r="E10348" s="109"/>
      <c r="F10348" s="110"/>
      <c r="G10348" s="109"/>
    </row>
    <row r="10349" spans="3:7" x14ac:dyDescent="0.3">
      <c r="C10349" s="109"/>
      <c r="D10349" s="109"/>
      <c r="E10349" s="109"/>
      <c r="F10349" s="110"/>
      <c r="G10349" s="109"/>
    </row>
    <row r="10350" spans="3:7" x14ac:dyDescent="0.3">
      <c r="C10350" s="109"/>
      <c r="D10350" s="109"/>
      <c r="E10350" s="109"/>
      <c r="F10350" s="110"/>
      <c r="G10350" s="109"/>
    </row>
    <row r="10351" spans="3:7" x14ac:dyDescent="0.3">
      <c r="C10351" s="109"/>
      <c r="D10351" s="109"/>
      <c r="E10351" s="109"/>
      <c r="F10351" s="110"/>
      <c r="G10351" s="109"/>
    </row>
    <row r="10352" spans="3:7" x14ac:dyDescent="0.3">
      <c r="C10352" s="109"/>
      <c r="D10352" s="109"/>
      <c r="E10352" s="109"/>
      <c r="F10352" s="110"/>
      <c r="G10352" s="109"/>
    </row>
    <row r="10353" spans="3:7" x14ac:dyDescent="0.3">
      <c r="C10353" s="109"/>
      <c r="D10353" s="109"/>
      <c r="E10353" s="109"/>
      <c r="F10353" s="110"/>
      <c r="G10353" s="109"/>
    </row>
    <row r="10354" spans="3:7" x14ac:dyDescent="0.3">
      <c r="C10354" s="109"/>
      <c r="D10354" s="109"/>
      <c r="E10354" s="109"/>
      <c r="F10354" s="110"/>
      <c r="G10354" s="109"/>
    </row>
    <row r="10355" spans="3:7" x14ac:dyDescent="0.3">
      <c r="C10355" s="109"/>
      <c r="D10355" s="109"/>
      <c r="E10355" s="109"/>
      <c r="F10355" s="110"/>
      <c r="G10355" s="109"/>
    </row>
    <row r="10356" spans="3:7" x14ac:dyDescent="0.3">
      <c r="C10356" s="109"/>
      <c r="D10356" s="109"/>
      <c r="E10356" s="109"/>
      <c r="F10356" s="110"/>
      <c r="G10356" s="109"/>
    </row>
    <row r="10357" spans="3:7" x14ac:dyDescent="0.3">
      <c r="C10357" s="109"/>
      <c r="D10357" s="109"/>
      <c r="E10357" s="109"/>
      <c r="F10357" s="110"/>
      <c r="G10357" s="109"/>
    </row>
    <row r="10358" spans="3:7" x14ac:dyDescent="0.3">
      <c r="C10358" s="109"/>
      <c r="D10358" s="109"/>
      <c r="E10358" s="109"/>
      <c r="F10358" s="110"/>
      <c r="G10358" s="109"/>
    </row>
    <row r="10359" spans="3:7" x14ac:dyDescent="0.3">
      <c r="C10359" s="109"/>
      <c r="D10359" s="109"/>
      <c r="E10359" s="109"/>
      <c r="F10359" s="110"/>
      <c r="G10359" s="109"/>
    </row>
    <row r="10360" spans="3:7" x14ac:dyDescent="0.3">
      <c r="C10360" s="109"/>
      <c r="D10360" s="109"/>
      <c r="E10360" s="109"/>
      <c r="F10360" s="110"/>
      <c r="G10360" s="109"/>
    </row>
    <row r="10361" spans="3:7" x14ac:dyDescent="0.3">
      <c r="C10361" s="109"/>
      <c r="D10361" s="109"/>
      <c r="E10361" s="109"/>
      <c r="F10361" s="110"/>
      <c r="G10361" s="109"/>
    </row>
    <row r="10362" spans="3:7" x14ac:dyDescent="0.3">
      <c r="C10362" s="109"/>
      <c r="D10362" s="109"/>
      <c r="E10362" s="109"/>
      <c r="F10362" s="110"/>
      <c r="G10362" s="109"/>
    </row>
    <row r="10363" spans="3:7" x14ac:dyDescent="0.3">
      <c r="C10363" s="109"/>
      <c r="D10363" s="109"/>
      <c r="E10363" s="109"/>
      <c r="F10363" s="110"/>
      <c r="G10363" s="109"/>
    </row>
    <row r="10364" spans="3:7" x14ac:dyDescent="0.3">
      <c r="C10364" s="109"/>
      <c r="D10364" s="109"/>
      <c r="E10364" s="109"/>
      <c r="F10364" s="110"/>
      <c r="G10364" s="109"/>
    </row>
    <row r="10365" spans="3:7" x14ac:dyDescent="0.3">
      <c r="C10365" s="109"/>
      <c r="D10365" s="109"/>
      <c r="E10365" s="109"/>
      <c r="F10365" s="110"/>
      <c r="G10365" s="109"/>
    </row>
    <row r="10366" spans="3:7" x14ac:dyDescent="0.3">
      <c r="C10366" s="109"/>
      <c r="D10366" s="109"/>
      <c r="E10366" s="109"/>
      <c r="F10366" s="110"/>
      <c r="G10366" s="109"/>
    </row>
    <row r="10367" spans="3:7" x14ac:dyDescent="0.3">
      <c r="C10367" s="109"/>
      <c r="D10367" s="109"/>
      <c r="E10367" s="109"/>
      <c r="F10367" s="110"/>
      <c r="G10367" s="109"/>
    </row>
    <row r="10368" spans="3:7" x14ac:dyDescent="0.3">
      <c r="C10368" s="109"/>
      <c r="D10368" s="109"/>
      <c r="E10368" s="109"/>
      <c r="F10368" s="110"/>
      <c r="G10368" s="109"/>
    </row>
    <row r="10369" spans="3:7" x14ac:dyDescent="0.3">
      <c r="C10369" s="109"/>
      <c r="D10369" s="109"/>
      <c r="E10369" s="109"/>
      <c r="F10369" s="110"/>
      <c r="G10369" s="109"/>
    </row>
    <row r="10370" spans="3:7" x14ac:dyDescent="0.3">
      <c r="C10370" s="109"/>
      <c r="D10370" s="109"/>
      <c r="E10370" s="109"/>
      <c r="F10370" s="110"/>
      <c r="G10370" s="109"/>
    </row>
    <row r="10371" spans="3:7" x14ac:dyDescent="0.3">
      <c r="C10371" s="109"/>
      <c r="D10371" s="109"/>
      <c r="E10371" s="109"/>
      <c r="F10371" s="110"/>
      <c r="G10371" s="109"/>
    </row>
    <row r="10372" spans="3:7" x14ac:dyDescent="0.3">
      <c r="C10372" s="109"/>
      <c r="D10372" s="109"/>
      <c r="E10372" s="109"/>
      <c r="F10372" s="110"/>
      <c r="G10372" s="109"/>
    </row>
    <row r="10373" spans="3:7" x14ac:dyDescent="0.3">
      <c r="C10373" s="109"/>
      <c r="D10373" s="109"/>
      <c r="E10373" s="109"/>
      <c r="F10373" s="110"/>
      <c r="G10373" s="109"/>
    </row>
    <row r="10374" spans="3:7" x14ac:dyDescent="0.3">
      <c r="C10374" s="109"/>
      <c r="D10374" s="109"/>
      <c r="E10374" s="109"/>
      <c r="F10374" s="110"/>
      <c r="G10374" s="109"/>
    </row>
    <row r="10375" spans="3:7" x14ac:dyDescent="0.3">
      <c r="C10375" s="109"/>
      <c r="D10375" s="109"/>
      <c r="E10375" s="109"/>
      <c r="F10375" s="110"/>
      <c r="G10375" s="109"/>
    </row>
    <row r="10376" spans="3:7" x14ac:dyDescent="0.3">
      <c r="C10376" s="109"/>
      <c r="D10376" s="109"/>
      <c r="E10376" s="109"/>
      <c r="F10376" s="110"/>
      <c r="G10376" s="109"/>
    </row>
    <row r="10377" spans="3:7" x14ac:dyDescent="0.3">
      <c r="C10377" s="109"/>
      <c r="D10377" s="109"/>
      <c r="E10377" s="109"/>
      <c r="F10377" s="110"/>
      <c r="G10377" s="109"/>
    </row>
    <row r="10378" spans="3:7" x14ac:dyDescent="0.3">
      <c r="C10378" s="109"/>
      <c r="D10378" s="109"/>
      <c r="E10378" s="109"/>
      <c r="F10378" s="110"/>
      <c r="G10378" s="109"/>
    </row>
    <row r="10379" spans="3:7" x14ac:dyDescent="0.3">
      <c r="C10379" s="109"/>
      <c r="D10379" s="109"/>
      <c r="E10379" s="109"/>
      <c r="F10379" s="110"/>
      <c r="G10379" s="109"/>
    </row>
    <row r="10380" spans="3:7" x14ac:dyDescent="0.3">
      <c r="C10380" s="109"/>
      <c r="D10380" s="109"/>
      <c r="E10380" s="109"/>
      <c r="F10380" s="110"/>
      <c r="G10380" s="109"/>
    </row>
    <row r="10381" spans="3:7" x14ac:dyDescent="0.3">
      <c r="C10381" s="109"/>
      <c r="D10381" s="109"/>
      <c r="E10381" s="109"/>
      <c r="F10381" s="110"/>
      <c r="G10381" s="109"/>
    </row>
    <row r="10382" spans="3:7" x14ac:dyDescent="0.3">
      <c r="C10382" s="109"/>
      <c r="D10382" s="109"/>
      <c r="E10382" s="109"/>
      <c r="F10382" s="110"/>
      <c r="G10382" s="109"/>
    </row>
    <row r="10383" spans="3:7" x14ac:dyDescent="0.3">
      <c r="C10383" s="109"/>
      <c r="D10383" s="109"/>
      <c r="E10383" s="109"/>
      <c r="F10383" s="110"/>
      <c r="G10383" s="109"/>
    </row>
    <row r="10384" spans="3:7" x14ac:dyDescent="0.3">
      <c r="C10384" s="109"/>
      <c r="D10384" s="109"/>
      <c r="E10384" s="109"/>
      <c r="F10384" s="110"/>
      <c r="G10384" s="109"/>
    </row>
    <row r="10385" spans="3:7" x14ac:dyDescent="0.3">
      <c r="C10385" s="109"/>
      <c r="D10385" s="109"/>
      <c r="E10385" s="109"/>
      <c r="F10385" s="110"/>
      <c r="G10385" s="109"/>
    </row>
    <row r="10386" spans="3:7" x14ac:dyDescent="0.3">
      <c r="C10386" s="109"/>
      <c r="D10386" s="109"/>
      <c r="E10386" s="109"/>
      <c r="F10386" s="110"/>
      <c r="G10386" s="109"/>
    </row>
    <row r="10387" spans="3:7" x14ac:dyDescent="0.3">
      <c r="C10387" s="109"/>
      <c r="D10387" s="109"/>
      <c r="E10387" s="109"/>
      <c r="F10387" s="110"/>
      <c r="G10387" s="109"/>
    </row>
    <row r="10388" spans="3:7" x14ac:dyDescent="0.3">
      <c r="C10388" s="109"/>
      <c r="D10388" s="109"/>
      <c r="E10388" s="109"/>
      <c r="F10388" s="110"/>
      <c r="G10388" s="109"/>
    </row>
    <row r="10389" spans="3:7" x14ac:dyDescent="0.3">
      <c r="C10389" s="109"/>
      <c r="D10389" s="109"/>
      <c r="E10389" s="109"/>
      <c r="F10389" s="110"/>
      <c r="G10389" s="109"/>
    </row>
    <row r="10390" spans="3:7" x14ac:dyDescent="0.3">
      <c r="C10390" s="109"/>
      <c r="D10390" s="109"/>
      <c r="E10390" s="109"/>
      <c r="F10390" s="110"/>
      <c r="G10390" s="109"/>
    </row>
    <row r="10391" spans="3:7" x14ac:dyDescent="0.3">
      <c r="C10391" s="109"/>
      <c r="D10391" s="109"/>
      <c r="E10391" s="109"/>
      <c r="F10391" s="110"/>
      <c r="G10391" s="109"/>
    </row>
    <row r="10392" spans="3:7" x14ac:dyDescent="0.3">
      <c r="C10392" s="109"/>
      <c r="D10392" s="109"/>
      <c r="E10392" s="109"/>
      <c r="F10392" s="110"/>
      <c r="G10392" s="109"/>
    </row>
    <row r="10393" spans="3:7" x14ac:dyDescent="0.3">
      <c r="C10393" s="109"/>
      <c r="D10393" s="109"/>
      <c r="E10393" s="109"/>
      <c r="F10393" s="110"/>
      <c r="G10393" s="109"/>
    </row>
    <row r="10394" spans="3:7" x14ac:dyDescent="0.3">
      <c r="C10394" s="109"/>
      <c r="D10394" s="109"/>
      <c r="E10394" s="109"/>
      <c r="F10394" s="110"/>
      <c r="G10394" s="109"/>
    </row>
    <row r="10395" spans="3:7" x14ac:dyDescent="0.3">
      <c r="C10395" s="109"/>
      <c r="D10395" s="109"/>
      <c r="E10395" s="109"/>
      <c r="F10395" s="110"/>
      <c r="G10395" s="109"/>
    </row>
    <row r="10396" spans="3:7" x14ac:dyDescent="0.3">
      <c r="C10396" s="109"/>
      <c r="D10396" s="109"/>
      <c r="E10396" s="109"/>
      <c r="F10396" s="110"/>
      <c r="G10396" s="109"/>
    </row>
    <row r="10397" spans="3:7" x14ac:dyDescent="0.3">
      <c r="C10397" s="109"/>
      <c r="D10397" s="109"/>
      <c r="E10397" s="109"/>
      <c r="F10397" s="110"/>
      <c r="G10397" s="109"/>
    </row>
    <row r="10398" spans="3:7" x14ac:dyDescent="0.3">
      <c r="C10398" s="109"/>
      <c r="D10398" s="109"/>
      <c r="E10398" s="109"/>
      <c r="F10398" s="110"/>
      <c r="G10398" s="109"/>
    </row>
    <row r="10399" spans="3:7" x14ac:dyDescent="0.3">
      <c r="C10399" s="109"/>
      <c r="D10399" s="109"/>
      <c r="E10399" s="109"/>
      <c r="F10399" s="110"/>
      <c r="G10399" s="109"/>
    </row>
    <row r="10400" spans="3:7" x14ac:dyDescent="0.3">
      <c r="C10400" s="109"/>
      <c r="D10400" s="109"/>
      <c r="E10400" s="109"/>
      <c r="F10400" s="110"/>
      <c r="G10400" s="109"/>
    </row>
    <row r="10401" spans="3:7" x14ac:dyDescent="0.3">
      <c r="C10401" s="109"/>
      <c r="D10401" s="109"/>
      <c r="E10401" s="109"/>
      <c r="F10401" s="110"/>
      <c r="G10401" s="109"/>
    </row>
    <row r="10402" spans="3:7" x14ac:dyDescent="0.3">
      <c r="C10402" s="109"/>
      <c r="D10402" s="109"/>
      <c r="E10402" s="109"/>
      <c r="F10402" s="110"/>
      <c r="G10402" s="109"/>
    </row>
    <row r="10403" spans="3:7" x14ac:dyDescent="0.3">
      <c r="C10403" s="109"/>
      <c r="D10403" s="109"/>
      <c r="E10403" s="109"/>
      <c r="F10403" s="110"/>
      <c r="G10403" s="109"/>
    </row>
    <row r="10404" spans="3:7" x14ac:dyDescent="0.3">
      <c r="C10404" s="109"/>
      <c r="D10404" s="109"/>
      <c r="E10404" s="109"/>
      <c r="F10404" s="110"/>
      <c r="G10404" s="109"/>
    </row>
    <row r="10405" spans="3:7" x14ac:dyDescent="0.3">
      <c r="C10405" s="109"/>
      <c r="D10405" s="109"/>
      <c r="E10405" s="109"/>
      <c r="F10405" s="110"/>
      <c r="G10405" s="109"/>
    </row>
    <row r="10406" spans="3:7" x14ac:dyDescent="0.3">
      <c r="C10406" s="109"/>
      <c r="D10406" s="109"/>
      <c r="E10406" s="109"/>
      <c r="F10406" s="110"/>
      <c r="G10406" s="109"/>
    </row>
    <row r="10407" spans="3:7" x14ac:dyDescent="0.3">
      <c r="C10407" s="109"/>
      <c r="D10407" s="109"/>
      <c r="E10407" s="109"/>
      <c r="F10407" s="110"/>
      <c r="G10407" s="109"/>
    </row>
    <row r="10408" spans="3:7" x14ac:dyDescent="0.3">
      <c r="C10408" s="109"/>
      <c r="D10408" s="109"/>
      <c r="E10408" s="109"/>
      <c r="F10408" s="110"/>
      <c r="G10408" s="109"/>
    </row>
    <row r="10409" spans="3:7" x14ac:dyDescent="0.3">
      <c r="C10409" s="109"/>
      <c r="D10409" s="109"/>
      <c r="E10409" s="109"/>
      <c r="F10409" s="110"/>
      <c r="G10409" s="109"/>
    </row>
    <row r="10410" spans="3:7" x14ac:dyDescent="0.3">
      <c r="C10410" s="109"/>
      <c r="D10410" s="109"/>
      <c r="E10410" s="109"/>
      <c r="F10410" s="110"/>
      <c r="G10410" s="109"/>
    </row>
    <row r="10411" spans="3:7" x14ac:dyDescent="0.3">
      <c r="C10411" s="109"/>
      <c r="D10411" s="109"/>
      <c r="E10411" s="109"/>
      <c r="F10411" s="110"/>
      <c r="G10411" s="109"/>
    </row>
    <row r="10412" spans="3:7" x14ac:dyDescent="0.3">
      <c r="C10412" s="109"/>
      <c r="D10412" s="109"/>
      <c r="E10412" s="109"/>
      <c r="F10412" s="110"/>
      <c r="G10412" s="109"/>
    </row>
    <row r="10413" spans="3:7" x14ac:dyDescent="0.3">
      <c r="C10413" s="109"/>
      <c r="D10413" s="109"/>
      <c r="E10413" s="109"/>
      <c r="F10413" s="110"/>
      <c r="G10413" s="109"/>
    </row>
    <row r="10414" spans="3:7" x14ac:dyDescent="0.3">
      <c r="C10414" s="109"/>
      <c r="D10414" s="109"/>
      <c r="E10414" s="109"/>
      <c r="F10414" s="110"/>
      <c r="G10414" s="109"/>
    </row>
    <row r="10415" spans="3:7" x14ac:dyDescent="0.3">
      <c r="C10415" s="109"/>
      <c r="D10415" s="109"/>
      <c r="E10415" s="109"/>
      <c r="F10415" s="110"/>
      <c r="G10415" s="109"/>
    </row>
    <row r="10416" spans="3:7" x14ac:dyDescent="0.3">
      <c r="C10416" s="109"/>
      <c r="D10416" s="109"/>
      <c r="E10416" s="109"/>
      <c r="F10416" s="110"/>
      <c r="G10416" s="109"/>
    </row>
    <row r="10417" spans="3:7" x14ac:dyDescent="0.3">
      <c r="C10417" s="109"/>
      <c r="D10417" s="109"/>
      <c r="E10417" s="109"/>
      <c r="F10417" s="110"/>
      <c r="G10417" s="109"/>
    </row>
    <row r="10418" spans="3:7" x14ac:dyDescent="0.3">
      <c r="C10418" s="109"/>
      <c r="D10418" s="109"/>
      <c r="E10418" s="109"/>
      <c r="F10418" s="110"/>
      <c r="G10418" s="109"/>
    </row>
    <row r="10419" spans="3:7" x14ac:dyDescent="0.3">
      <c r="C10419" s="109"/>
      <c r="D10419" s="109"/>
      <c r="E10419" s="109"/>
      <c r="F10419" s="110"/>
      <c r="G10419" s="109"/>
    </row>
    <row r="10420" spans="3:7" x14ac:dyDescent="0.3">
      <c r="C10420" s="109"/>
      <c r="D10420" s="109"/>
      <c r="E10420" s="109"/>
      <c r="F10420" s="110"/>
      <c r="G10420" s="109"/>
    </row>
    <row r="10421" spans="3:7" x14ac:dyDescent="0.3">
      <c r="C10421" s="109"/>
      <c r="D10421" s="109"/>
      <c r="E10421" s="109"/>
      <c r="F10421" s="110"/>
      <c r="G10421" s="109"/>
    </row>
    <row r="10422" spans="3:7" x14ac:dyDescent="0.3">
      <c r="C10422" s="109"/>
      <c r="D10422" s="109"/>
      <c r="E10422" s="109"/>
      <c r="F10422" s="110"/>
      <c r="G10422" s="109"/>
    </row>
    <row r="10423" spans="3:7" x14ac:dyDescent="0.3">
      <c r="C10423" s="109"/>
      <c r="D10423" s="109"/>
      <c r="E10423" s="109"/>
      <c r="F10423" s="110"/>
      <c r="G10423" s="109"/>
    </row>
    <row r="10424" spans="3:7" x14ac:dyDescent="0.3">
      <c r="C10424" s="109"/>
      <c r="D10424" s="109"/>
      <c r="E10424" s="109"/>
      <c r="F10424" s="110"/>
      <c r="G10424" s="109"/>
    </row>
    <row r="10425" spans="3:7" x14ac:dyDescent="0.3">
      <c r="C10425" s="109"/>
      <c r="D10425" s="109"/>
      <c r="E10425" s="109"/>
      <c r="F10425" s="110"/>
      <c r="G10425" s="109"/>
    </row>
    <row r="10426" spans="3:7" x14ac:dyDescent="0.3">
      <c r="C10426" s="109"/>
      <c r="D10426" s="109"/>
      <c r="E10426" s="109"/>
      <c r="F10426" s="110"/>
      <c r="G10426" s="109"/>
    </row>
    <row r="10427" spans="3:7" x14ac:dyDescent="0.3">
      <c r="C10427" s="109"/>
      <c r="D10427" s="109"/>
      <c r="E10427" s="109"/>
      <c r="F10427" s="110"/>
      <c r="G10427" s="109"/>
    </row>
    <row r="10428" spans="3:7" x14ac:dyDescent="0.3">
      <c r="C10428" s="109"/>
      <c r="D10428" s="109"/>
      <c r="E10428" s="109"/>
      <c r="F10428" s="110"/>
      <c r="G10428" s="109"/>
    </row>
    <row r="10429" spans="3:7" x14ac:dyDescent="0.3">
      <c r="C10429" s="109"/>
      <c r="D10429" s="109"/>
      <c r="E10429" s="109"/>
      <c r="F10429" s="110"/>
      <c r="G10429" s="109"/>
    </row>
    <row r="10430" spans="3:7" x14ac:dyDescent="0.3">
      <c r="C10430" s="109"/>
      <c r="D10430" s="109"/>
      <c r="E10430" s="109"/>
      <c r="F10430" s="110"/>
      <c r="G10430" s="109"/>
    </row>
    <row r="10431" spans="3:7" x14ac:dyDescent="0.3">
      <c r="C10431" s="109"/>
      <c r="D10431" s="109"/>
      <c r="E10431" s="109"/>
      <c r="F10431" s="110"/>
      <c r="G10431" s="109"/>
    </row>
    <row r="10432" spans="3:7" x14ac:dyDescent="0.3">
      <c r="C10432" s="109"/>
      <c r="D10432" s="109"/>
      <c r="E10432" s="109"/>
      <c r="F10432" s="110"/>
      <c r="G10432" s="109"/>
    </row>
    <row r="10433" spans="3:7" x14ac:dyDescent="0.3">
      <c r="C10433" s="109"/>
      <c r="D10433" s="109"/>
      <c r="E10433" s="109"/>
      <c r="F10433" s="110"/>
      <c r="G10433" s="109"/>
    </row>
    <row r="10434" spans="3:7" x14ac:dyDescent="0.3">
      <c r="C10434" s="109"/>
      <c r="D10434" s="109"/>
      <c r="E10434" s="109"/>
      <c r="F10434" s="110"/>
      <c r="G10434" s="109"/>
    </row>
    <row r="10435" spans="3:7" x14ac:dyDescent="0.3">
      <c r="C10435" s="109"/>
      <c r="D10435" s="109"/>
      <c r="E10435" s="109"/>
      <c r="F10435" s="110"/>
      <c r="G10435" s="109"/>
    </row>
    <row r="10436" spans="3:7" x14ac:dyDescent="0.3">
      <c r="C10436" s="109"/>
      <c r="D10436" s="109"/>
      <c r="E10436" s="109"/>
      <c r="F10436" s="110"/>
      <c r="G10436" s="109"/>
    </row>
    <row r="10437" spans="3:7" x14ac:dyDescent="0.3">
      <c r="C10437" s="109"/>
      <c r="D10437" s="109"/>
      <c r="E10437" s="109"/>
      <c r="F10437" s="110"/>
      <c r="G10437" s="109"/>
    </row>
    <row r="10438" spans="3:7" x14ac:dyDescent="0.3">
      <c r="C10438" s="109"/>
      <c r="D10438" s="109"/>
      <c r="E10438" s="109"/>
      <c r="F10438" s="110"/>
      <c r="G10438" s="109"/>
    </row>
    <row r="10439" spans="3:7" x14ac:dyDescent="0.3">
      <c r="C10439" s="109"/>
      <c r="D10439" s="109"/>
      <c r="E10439" s="109"/>
      <c r="F10439" s="110"/>
      <c r="G10439" s="109"/>
    </row>
    <row r="10440" spans="3:7" x14ac:dyDescent="0.3">
      <c r="C10440" s="109"/>
      <c r="D10440" s="109"/>
      <c r="E10440" s="109"/>
      <c r="F10440" s="110"/>
      <c r="G10440" s="109"/>
    </row>
    <row r="10441" spans="3:7" x14ac:dyDescent="0.3">
      <c r="C10441" s="109"/>
      <c r="D10441" s="109"/>
      <c r="E10441" s="109"/>
      <c r="F10441" s="110"/>
      <c r="G10441" s="109"/>
    </row>
    <row r="10442" spans="3:7" x14ac:dyDescent="0.3">
      <c r="C10442" s="109"/>
      <c r="D10442" s="109"/>
      <c r="E10442" s="109"/>
      <c r="F10442" s="110"/>
      <c r="G10442" s="109"/>
    </row>
    <row r="10443" spans="3:7" x14ac:dyDescent="0.3">
      <c r="C10443" s="109"/>
      <c r="D10443" s="109"/>
      <c r="E10443" s="109"/>
      <c r="F10443" s="110"/>
      <c r="G10443" s="109"/>
    </row>
    <row r="10444" spans="3:7" x14ac:dyDescent="0.3">
      <c r="C10444" s="109"/>
      <c r="D10444" s="109"/>
      <c r="E10444" s="109"/>
      <c r="F10444" s="110"/>
      <c r="G10444" s="109"/>
    </row>
    <row r="10445" spans="3:7" x14ac:dyDescent="0.3">
      <c r="C10445" s="109"/>
      <c r="D10445" s="109"/>
      <c r="E10445" s="109"/>
      <c r="F10445" s="110"/>
      <c r="G10445" s="109"/>
    </row>
    <row r="10446" spans="3:7" x14ac:dyDescent="0.3">
      <c r="C10446" s="109"/>
      <c r="D10446" s="109"/>
      <c r="E10446" s="109"/>
      <c r="F10446" s="110"/>
      <c r="G10446" s="109"/>
    </row>
    <row r="10447" spans="3:7" x14ac:dyDescent="0.3">
      <c r="C10447" s="109"/>
      <c r="D10447" s="109"/>
      <c r="E10447" s="109"/>
      <c r="F10447" s="110"/>
      <c r="G10447" s="109"/>
    </row>
    <row r="10448" spans="3:7" x14ac:dyDescent="0.3">
      <c r="C10448" s="109"/>
      <c r="D10448" s="109"/>
      <c r="E10448" s="109"/>
      <c r="F10448" s="110"/>
      <c r="G10448" s="109"/>
    </row>
    <row r="10449" spans="3:7" x14ac:dyDescent="0.3">
      <c r="C10449" s="109"/>
      <c r="D10449" s="109"/>
      <c r="E10449" s="109"/>
      <c r="F10449" s="110"/>
      <c r="G10449" s="109"/>
    </row>
    <row r="10450" spans="3:7" x14ac:dyDescent="0.3">
      <c r="C10450" s="109"/>
      <c r="D10450" s="109"/>
      <c r="E10450" s="109"/>
      <c r="F10450" s="110"/>
      <c r="G10450" s="109"/>
    </row>
    <row r="10451" spans="3:7" x14ac:dyDescent="0.3">
      <c r="C10451" s="109"/>
      <c r="D10451" s="109"/>
      <c r="E10451" s="109"/>
      <c r="F10451" s="110"/>
      <c r="G10451" s="109"/>
    </row>
    <row r="10452" spans="3:7" x14ac:dyDescent="0.3">
      <c r="C10452" s="109"/>
      <c r="D10452" s="109"/>
      <c r="E10452" s="109"/>
      <c r="F10452" s="110"/>
      <c r="G10452" s="109"/>
    </row>
    <row r="10453" spans="3:7" x14ac:dyDescent="0.3">
      <c r="C10453" s="109"/>
      <c r="D10453" s="109"/>
      <c r="E10453" s="109"/>
      <c r="F10453" s="110"/>
      <c r="G10453" s="109"/>
    </row>
    <row r="10454" spans="3:7" x14ac:dyDescent="0.3">
      <c r="C10454" s="109"/>
      <c r="D10454" s="109"/>
      <c r="E10454" s="109"/>
      <c r="F10454" s="110"/>
      <c r="G10454" s="109"/>
    </row>
    <row r="10455" spans="3:7" x14ac:dyDescent="0.3">
      <c r="C10455" s="109"/>
      <c r="D10455" s="109"/>
      <c r="E10455" s="109"/>
      <c r="F10455" s="110"/>
      <c r="G10455" s="109"/>
    </row>
    <row r="10456" spans="3:7" x14ac:dyDescent="0.3">
      <c r="C10456" s="109"/>
      <c r="D10456" s="109"/>
      <c r="E10456" s="109"/>
      <c r="F10456" s="110"/>
      <c r="G10456" s="109"/>
    </row>
    <row r="10457" spans="3:7" x14ac:dyDescent="0.3">
      <c r="C10457" s="109"/>
      <c r="D10457" s="109"/>
      <c r="E10457" s="109"/>
      <c r="F10457" s="110"/>
      <c r="G10457" s="109"/>
    </row>
    <row r="10458" spans="3:7" x14ac:dyDescent="0.3">
      <c r="C10458" s="109"/>
      <c r="D10458" s="109"/>
      <c r="E10458" s="109"/>
      <c r="F10458" s="110"/>
      <c r="G10458" s="109"/>
    </row>
    <row r="10459" spans="3:7" x14ac:dyDescent="0.3">
      <c r="C10459" s="109"/>
      <c r="D10459" s="109"/>
      <c r="E10459" s="109"/>
      <c r="F10459" s="110"/>
      <c r="G10459" s="109"/>
    </row>
    <row r="10460" spans="3:7" x14ac:dyDescent="0.3">
      <c r="C10460" s="109"/>
      <c r="D10460" s="109"/>
      <c r="E10460" s="109"/>
      <c r="F10460" s="110"/>
      <c r="G10460" s="109"/>
    </row>
    <row r="10461" spans="3:7" x14ac:dyDescent="0.3">
      <c r="C10461" s="109"/>
      <c r="D10461" s="109"/>
      <c r="E10461" s="109"/>
      <c r="F10461" s="110"/>
      <c r="G10461" s="109"/>
    </row>
    <row r="10462" spans="3:7" x14ac:dyDescent="0.3">
      <c r="C10462" s="109"/>
      <c r="D10462" s="109"/>
      <c r="E10462" s="109"/>
      <c r="F10462" s="110"/>
      <c r="G10462" s="109"/>
    </row>
    <row r="10463" spans="3:7" x14ac:dyDescent="0.3">
      <c r="C10463" s="109"/>
      <c r="D10463" s="109"/>
      <c r="E10463" s="109"/>
      <c r="F10463" s="110"/>
      <c r="G10463" s="109"/>
    </row>
    <row r="10464" spans="3:7" x14ac:dyDescent="0.3">
      <c r="C10464" s="109"/>
      <c r="D10464" s="109"/>
      <c r="E10464" s="109"/>
      <c r="F10464" s="110"/>
      <c r="G10464" s="109"/>
    </row>
    <row r="10465" spans="3:7" x14ac:dyDescent="0.3">
      <c r="C10465" s="109"/>
      <c r="D10465" s="109"/>
      <c r="E10465" s="109"/>
      <c r="F10465" s="110"/>
      <c r="G10465" s="109"/>
    </row>
    <row r="10466" spans="3:7" x14ac:dyDescent="0.3">
      <c r="C10466" s="109"/>
      <c r="D10466" s="109"/>
      <c r="E10466" s="109"/>
      <c r="F10466" s="110"/>
      <c r="G10466" s="109"/>
    </row>
    <row r="10467" spans="3:7" x14ac:dyDescent="0.3">
      <c r="C10467" s="109"/>
      <c r="D10467" s="109"/>
      <c r="E10467" s="109"/>
      <c r="F10467" s="110"/>
      <c r="G10467" s="109"/>
    </row>
    <row r="10468" spans="3:7" x14ac:dyDescent="0.3">
      <c r="C10468" s="109"/>
      <c r="D10468" s="109"/>
      <c r="E10468" s="109"/>
      <c r="F10468" s="110"/>
      <c r="G10468" s="109"/>
    </row>
    <row r="10469" spans="3:7" x14ac:dyDescent="0.3">
      <c r="C10469" s="109"/>
      <c r="D10469" s="109"/>
      <c r="E10469" s="109"/>
      <c r="F10469" s="110"/>
      <c r="G10469" s="109"/>
    </row>
    <row r="10470" spans="3:7" x14ac:dyDescent="0.3">
      <c r="C10470" s="109"/>
      <c r="D10470" s="109"/>
      <c r="E10470" s="109"/>
      <c r="F10470" s="110"/>
      <c r="G10470" s="109"/>
    </row>
    <row r="10471" spans="3:7" x14ac:dyDescent="0.3">
      <c r="C10471" s="109"/>
      <c r="D10471" s="109"/>
      <c r="E10471" s="109"/>
      <c r="F10471" s="110"/>
      <c r="G10471" s="109"/>
    </row>
    <row r="10472" spans="3:7" x14ac:dyDescent="0.3">
      <c r="C10472" s="109"/>
      <c r="D10472" s="109"/>
      <c r="E10472" s="109"/>
      <c r="F10472" s="110"/>
      <c r="G10472" s="109"/>
    </row>
    <row r="10473" spans="3:7" x14ac:dyDescent="0.3">
      <c r="C10473" s="109"/>
      <c r="D10473" s="109"/>
      <c r="E10473" s="109"/>
      <c r="F10473" s="110"/>
      <c r="G10473" s="109"/>
    </row>
    <row r="10474" spans="3:7" x14ac:dyDescent="0.3">
      <c r="C10474" s="109"/>
      <c r="D10474" s="109"/>
      <c r="E10474" s="109"/>
      <c r="F10474" s="110"/>
      <c r="G10474" s="109"/>
    </row>
    <row r="10475" spans="3:7" x14ac:dyDescent="0.3">
      <c r="C10475" s="109"/>
      <c r="D10475" s="109"/>
      <c r="E10475" s="109"/>
      <c r="F10475" s="110"/>
      <c r="G10475" s="109"/>
    </row>
    <row r="10476" spans="3:7" x14ac:dyDescent="0.3">
      <c r="C10476" s="109"/>
      <c r="D10476" s="109"/>
      <c r="E10476" s="109"/>
      <c r="F10476" s="110"/>
      <c r="G10476" s="109"/>
    </row>
    <row r="10477" spans="3:7" x14ac:dyDescent="0.3">
      <c r="C10477" s="109"/>
      <c r="D10477" s="109"/>
      <c r="E10477" s="109"/>
      <c r="F10477" s="110"/>
      <c r="G10477" s="109"/>
    </row>
    <row r="10478" spans="3:7" x14ac:dyDescent="0.3">
      <c r="C10478" s="109"/>
      <c r="D10478" s="109"/>
      <c r="E10478" s="109"/>
      <c r="F10478" s="110"/>
      <c r="G10478" s="109"/>
    </row>
    <row r="10479" spans="3:7" x14ac:dyDescent="0.3">
      <c r="C10479" s="109"/>
      <c r="D10479" s="109"/>
      <c r="E10479" s="109"/>
      <c r="F10479" s="110"/>
      <c r="G10479" s="109"/>
    </row>
    <row r="10480" spans="3:7" x14ac:dyDescent="0.3">
      <c r="C10480" s="109"/>
      <c r="D10480" s="109"/>
      <c r="E10480" s="109"/>
      <c r="F10480" s="110"/>
      <c r="G10480" s="109"/>
    </row>
    <row r="10481" spans="3:7" x14ac:dyDescent="0.3">
      <c r="C10481" s="109"/>
      <c r="D10481" s="109"/>
      <c r="E10481" s="109"/>
      <c r="F10481" s="110"/>
      <c r="G10481" s="109"/>
    </row>
    <row r="10482" spans="3:7" x14ac:dyDescent="0.3">
      <c r="C10482" s="109"/>
      <c r="D10482" s="109"/>
      <c r="E10482" s="109"/>
      <c r="F10482" s="110"/>
      <c r="G10482" s="109"/>
    </row>
    <row r="10483" spans="3:7" x14ac:dyDescent="0.3">
      <c r="C10483" s="109"/>
      <c r="D10483" s="109"/>
      <c r="E10483" s="109"/>
      <c r="F10483" s="110"/>
      <c r="G10483" s="109"/>
    </row>
    <row r="10484" spans="3:7" x14ac:dyDescent="0.3">
      <c r="C10484" s="109"/>
      <c r="D10484" s="109"/>
      <c r="E10484" s="109"/>
      <c r="F10484" s="110"/>
      <c r="G10484" s="109"/>
    </row>
    <row r="10485" spans="3:7" x14ac:dyDescent="0.3">
      <c r="C10485" s="109"/>
      <c r="D10485" s="109"/>
      <c r="E10485" s="109"/>
      <c r="F10485" s="110"/>
      <c r="G10485" s="109"/>
    </row>
    <row r="10486" spans="3:7" x14ac:dyDescent="0.3">
      <c r="C10486" s="109"/>
      <c r="D10486" s="109"/>
      <c r="E10486" s="109"/>
      <c r="F10486" s="110"/>
      <c r="G10486" s="109"/>
    </row>
    <row r="10487" spans="3:7" x14ac:dyDescent="0.3">
      <c r="C10487" s="109"/>
      <c r="D10487" s="109"/>
      <c r="E10487" s="109"/>
      <c r="F10487" s="110"/>
      <c r="G10487" s="109"/>
    </row>
    <row r="10488" spans="3:7" x14ac:dyDescent="0.3">
      <c r="C10488" s="109"/>
      <c r="D10488" s="109"/>
      <c r="E10488" s="109"/>
      <c r="F10488" s="110"/>
      <c r="G10488" s="109"/>
    </row>
    <row r="10489" spans="3:7" x14ac:dyDescent="0.3">
      <c r="C10489" s="109"/>
      <c r="D10489" s="109"/>
      <c r="E10489" s="109"/>
      <c r="F10489" s="110"/>
      <c r="G10489" s="109"/>
    </row>
    <row r="10490" spans="3:7" x14ac:dyDescent="0.3">
      <c r="C10490" s="109"/>
      <c r="D10490" s="109"/>
      <c r="E10490" s="109"/>
      <c r="F10490" s="110"/>
      <c r="G10490" s="109"/>
    </row>
    <row r="10491" spans="3:7" x14ac:dyDescent="0.3">
      <c r="C10491" s="109"/>
      <c r="D10491" s="109"/>
      <c r="E10491" s="109"/>
      <c r="F10491" s="110"/>
      <c r="G10491" s="109"/>
    </row>
    <row r="10492" spans="3:7" x14ac:dyDescent="0.3">
      <c r="C10492" s="109"/>
      <c r="D10492" s="109"/>
      <c r="E10492" s="109"/>
      <c r="F10492" s="110"/>
      <c r="G10492" s="109"/>
    </row>
    <row r="10493" spans="3:7" x14ac:dyDescent="0.3">
      <c r="C10493" s="109"/>
      <c r="D10493" s="109"/>
      <c r="E10493" s="109"/>
      <c r="F10493" s="110"/>
      <c r="G10493" s="109"/>
    </row>
    <row r="10494" spans="3:7" x14ac:dyDescent="0.3">
      <c r="C10494" s="109"/>
      <c r="D10494" s="109"/>
      <c r="E10494" s="109"/>
      <c r="F10494" s="110"/>
      <c r="G10494" s="109"/>
    </row>
    <row r="10495" spans="3:7" x14ac:dyDescent="0.3">
      <c r="C10495" s="109"/>
      <c r="D10495" s="109"/>
      <c r="E10495" s="109"/>
      <c r="F10495" s="110"/>
      <c r="G10495" s="109"/>
    </row>
    <row r="10496" spans="3:7" x14ac:dyDescent="0.3">
      <c r="C10496" s="109"/>
      <c r="D10496" s="109"/>
      <c r="E10496" s="109"/>
      <c r="F10496" s="110"/>
      <c r="G10496" s="109"/>
    </row>
    <row r="10497" spans="3:7" x14ac:dyDescent="0.3">
      <c r="C10497" s="109"/>
      <c r="D10497" s="109"/>
      <c r="E10497" s="109"/>
      <c r="F10497" s="110"/>
      <c r="G10497" s="109"/>
    </row>
    <row r="10498" spans="3:7" x14ac:dyDescent="0.3">
      <c r="C10498" s="109"/>
      <c r="D10498" s="109"/>
      <c r="E10498" s="109"/>
      <c r="F10498" s="110"/>
      <c r="G10498" s="109"/>
    </row>
    <row r="10499" spans="3:7" x14ac:dyDescent="0.3">
      <c r="C10499" s="109"/>
      <c r="D10499" s="109"/>
      <c r="E10499" s="109"/>
      <c r="F10499" s="110"/>
      <c r="G10499" s="109"/>
    </row>
    <row r="10500" spans="3:7" x14ac:dyDescent="0.3">
      <c r="C10500" s="109"/>
      <c r="D10500" s="109"/>
      <c r="E10500" s="109"/>
      <c r="F10500" s="110"/>
      <c r="G10500" s="109"/>
    </row>
    <row r="10501" spans="3:7" x14ac:dyDescent="0.3">
      <c r="C10501" s="109"/>
      <c r="D10501" s="109"/>
      <c r="E10501" s="109"/>
      <c r="F10501" s="110"/>
      <c r="G10501" s="109"/>
    </row>
    <row r="10502" spans="3:7" x14ac:dyDescent="0.3">
      <c r="C10502" s="109"/>
      <c r="D10502" s="109"/>
      <c r="E10502" s="109"/>
      <c r="F10502" s="110"/>
      <c r="G10502" s="109"/>
    </row>
    <row r="10503" spans="3:7" x14ac:dyDescent="0.3">
      <c r="C10503" s="109"/>
      <c r="D10503" s="109"/>
      <c r="E10503" s="109"/>
      <c r="F10503" s="110"/>
      <c r="G10503" s="109"/>
    </row>
    <row r="10504" spans="3:7" x14ac:dyDescent="0.3">
      <c r="C10504" s="109"/>
      <c r="D10504" s="109"/>
      <c r="E10504" s="109"/>
      <c r="F10504" s="110"/>
      <c r="G10504" s="109"/>
    </row>
    <row r="10505" spans="3:7" x14ac:dyDescent="0.3">
      <c r="C10505" s="109"/>
      <c r="D10505" s="109"/>
      <c r="E10505" s="109"/>
      <c r="F10505" s="110"/>
      <c r="G10505" s="109"/>
    </row>
    <row r="10506" spans="3:7" x14ac:dyDescent="0.3">
      <c r="C10506" s="109"/>
      <c r="D10506" s="109"/>
      <c r="E10506" s="109"/>
      <c r="F10506" s="110"/>
      <c r="G10506" s="109"/>
    </row>
    <row r="10507" spans="3:7" x14ac:dyDescent="0.3">
      <c r="C10507" s="109"/>
      <c r="D10507" s="109"/>
      <c r="E10507" s="109"/>
      <c r="F10507" s="110"/>
      <c r="G10507" s="109"/>
    </row>
    <row r="10508" spans="3:7" x14ac:dyDescent="0.3">
      <c r="C10508" s="109"/>
      <c r="D10508" s="109"/>
      <c r="E10508" s="109"/>
      <c r="F10508" s="110"/>
      <c r="G10508" s="109"/>
    </row>
    <row r="10509" spans="3:7" x14ac:dyDescent="0.3">
      <c r="C10509" s="109"/>
      <c r="D10509" s="109"/>
      <c r="E10509" s="109"/>
      <c r="F10509" s="110"/>
      <c r="G10509" s="109"/>
    </row>
    <row r="10510" spans="3:7" x14ac:dyDescent="0.3">
      <c r="C10510" s="109"/>
      <c r="D10510" s="109"/>
      <c r="E10510" s="109"/>
      <c r="F10510" s="110"/>
      <c r="G10510" s="109"/>
    </row>
    <row r="10511" spans="3:7" x14ac:dyDescent="0.3">
      <c r="C10511" s="109"/>
      <c r="D10511" s="109"/>
      <c r="E10511" s="109"/>
      <c r="F10511" s="110"/>
      <c r="G10511" s="109"/>
    </row>
    <row r="10512" spans="3:7" x14ac:dyDescent="0.3">
      <c r="C10512" s="109"/>
      <c r="D10512" s="109"/>
      <c r="E10512" s="109"/>
      <c r="F10512" s="110"/>
      <c r="G10512" s="109"/>
    </row>
    <row r="10513" spans="3:7" x14ac:dyDescent="0.3">
      <c r="C10513" s="109"/>
      <c r="D10513" s="109"/>
      <c r="E10513" s="109"/>
      <c r="F10513" s="110"/>
      <c r="G10513" s="109"/>
    </row>
    <row r="10514" spans="3:7" x14ac:dyDescent="0.3">
      <c r="C10514" s="109"/>
      <c r="D10514" s="109"/>
      <c r="E10514" s="109"/>
      <c r="F10514" s="110"/>
      <c r="G10514" s="109"/>
    </row>
    <row r="10515" spans="3:7" x14ac:dyDescent="0.3">
      <c r="C10515" s="109"/>
      <c r="D10515" s="109"/>
      <c r="E10515" s="109"/>
      <c r="F10515" s="110"/>
      <c r="G10515" s="109"/>
    </row>
    <row r="10516" spans="3:7" x14ac:dyDescent="0.3">
      <c r="C10516" s="109"/>
      <c r="D10516" s="109"/>
      <c r="E10516" s="109"/>
      <c r="F10516" s="110"/>
      <c r="G10516" s="109"/>
    </row>
    <row r="10517" spans="3:7" x14ac:dyDescent="0.3">
      <c r="C10517" s="109"/>
      <c r="D10517" s="109"/>
      <c r="E10517" s="109"/>
      <c r="F10517" s="110"/>
      <c r="G10517" s="109"/>
    </row>
    <row r="10518" spans="3:7" x14ac:dyDescent="0.3">
      <c r="C10518" s="109"/>
      <c r="D10518" s="109"/>
      <c r="E10518" s="109"/>
      <c r="F10518" s="110"/>
      <c r="G10518" s="109"/>
    </row>
    <row r="10519" spans="3:7" x14ac:dyDescent="0.3">
      <c r="C10519" s="109"/>
      <c r="D10519" s="109"/>
      <c r="E10519" s="109"/>
      <c r="F10519" s="110"/>
      <c r="G10519" s="109"/>
    </row>
    <row r="10520" spans="3:7" x14ac:dyDescent="0.3">
      <c r="C10520" s="109"/>
      <c r="D10520" s="109"/>
      <c r="E10520" s="109"/>
      <c r="F10520" s="110"/>
      <c r="G10520" s="109"/>
    </row>
    <row r="10521" spans="3:7" x14ac:dyDescent="0.3">
      <c r="C10521" s="109"/>
      <c r="D10521" s="109"/>
      <c r="E10521" s="109"/>
      <c r="F10521" s="110"/>
      <c r="G10521" s="109"/>
    </row>
    <row r="10522" spans="3:7" x14ac:dyDescent="0.3">
      <c r="C10522" s="109"/>
      <c r="D10522" s="109"/>
      <c r="E10522" s="109"/>
      <c r="F10522" s="110"/>
      <c r="G10522" s="109"/>
    </row>
    <row r="10523" spans="3:7" x14ac:dyDescent="0.3">
      <c r="C10523" s="109"/>
      <c r="D10523" s="109"/>
      <c r="E10523" s="109"/>
      <c r="F10523" s="110"/>
      <c r="G10523" s="109"/>
    </row>
    <row r="10524" spans="3:7" x14ac:dyDescent="0.3">
      <c r="C10524" s="109"/>
      <c r="D10524" s="109"/>
      <c r="E10524" s="109"/>
      <c r="F10524" s="110"/>
      <c r="G10524" s="109"/>
    </row>
    <row r="10525" spans="3:7" x14ac:dyDescent="0.3">
      <c r="C10525" s="109"/>
      <c r="D10525" s="109"/>
      <c r="E10525" s="109"/>
      <c r="F10525" s="110"/>
      <c r="G10525" s="109"/>
    </row>
    <row r="10526" spans="3:7" x14ac:dyDescent="0.3">
      <c r="C10526" s="109"/>
      <c r="D10526" s="109"/>
      <c r="E10526" s="109"/>
      <c r="F10526" s="110"/>
      <c r="G10526" s="109"/>
    </row>
    <row r="10527" spans="3:7" x14ac:dyDescent="0.3">
      <c r="C10527" s="109"/>
      <c r="D10527" s="109"/>
      <c r="E10527" s="109"/>
      <c r="F10527" s="110"/>
      <c r="G10527" s="109"/>
    </row>
    <row r="10528" spans="3:7" x14ac:dyDescent="0.3">
      <c r="C10528" s="109"/>
      <c r="D10528" s="109"/>
      <c r="E10528" s="109"/>
      <c r="F10528" s="110"/>
      <c r="G10528" s="109"/>
    </row>
    <row r="10529" spans="3:7" x14ac:dyDescent="0.3">
      <c r="C10529" s="109"/>
      <c r="D10529" s="109"/>
      <c r="E10529" s="109"/>
      <c r="F10529" s="110"/>
      <c r="G10529" s="109"/>
    </row>
    <row r="10530" spans="3:7" x14ac:dyDescent="0.3">
      <c r="C10530" s="109"/>
      <c r="D10530" s="109"/>
      <c r="E10530" s="109"/>
      <c r="F10530" s="110"/>
      <c r="G10530" s="109"/>
    </row>
    <row r="10531" spans="3:7" x14ac:dyDescent="0.3">
      <c r="C10531" s="109"/>
      <c r="D10531" s="109"/>
      <c r="E10531" s="109"/>
      <c r="F10531" s="110"/>
      <c r="G10531" s="109"/>
    </row>
    <row r="10532" spans="3:7" x14ac:dyDescent="0.3">
      <c r="C10532" s="109"/>
      <c r="D10532" s="109"/>
      <c r="E10532" s="109"/>
      <c r="F10532" s="110"/>
      <c r="G10532" s="109"/>
    </row>
    <row r="10533" spans="3:7" x14ac:dyDescent="0.3">
      <c r="C10533" s="109"/>
      <c r="D10533" s="109"/>
      <c r="E10533" s="109"/>
      <c r="F10533" s="110"/>
      <c r="G10533" s="109"/>
    </row>
    <row r="10534" spans="3:7" x14ac:dyDescent="0.3">
      <c r="C10534" s="109"/>
      <c r="D10534" s="109"/>
      <c r="E10534" s="109"/>
      <c r="F10534" s="110"/>
      <c r="G10534" s="109"/>
    </row>
    <row r="10535" spans="3:7" x14ac:dyDescent="0.3">
      <c r="C10535" s="109"/>
      <c r="D10535" s="109"/>
      <c r="E10535" s="109"/>
      <c r="F10535" s="110"/>
      <c r="G10535" s="109"/>
    </row>
    <row r="10536" spans="3:7" x14ac:dyDescent="0.3">
      <c r="C10536" s="109"/>
      <c r="D10536" s="109"/>
      <c r="E10536" s="109"/>
      <c r="F10536" s="110"/>
      <c r="G10536" s="109"/>
    </row>
    <row r="10537" spans="3:7" x14ac:dyDescent="0.3">
      <c r="C10537" s="109"/>
      <c r="D10537" s="109"/>
      <c r="E10537" s="109"/>
      <c r="F10537" s="110"/>
      <c r="G10537" s="109"/>
    </row>
    <row r="10538" spans="3:7" x14ac:dyDescent="0.3">
      <c r="C10538" s="109"/>
      <c r="D10538" s="109"/>
      <c r="E10538" s="109"/>
      <c r="F10538" s="110"/>
      <c r="G10538" s="109"/>
    </row>
    <row r="10539" spans="3:7" x14ac:dyDescent="0.3">
      <c r="C10539" s="109"/>
      <c r="D10539" s="109"/>
      <c r="E10539" s="109"/>
      <c r="F10539" s="110"/>
      <c r="G10539" s="109"/>
    </row>
    <row r="10540" spans="3:7" x14ac:dyDescent="0.3">
      <c r="C10540" s="109"/>
      <c r="D10540" s="109"/>
      <c r="E10540" s="109"/>
      <c r="F10540" s="110"/>
      <c r="G10540" s="109"/>
    </row>
    <row r="10541" spans="3:7" x14ac:dyDescent="0.3">
      <c r="C10541" s="109"/>
      <c r="D10541" s="109"/>
      <c r="E10541" s="109"/>
      <c r="F10541" s="110"/>
      <c r="G10541" s="109"/>
    </row>
    <row r="10542" spans="3:7" x14ac:dyDescent="0.3">
      <c r="C10542" s="109"/>
      <c r="D10542" s="109"/>
      <c r="E10542" s="109"/>
      <c r="F10542" s="110"/>
      <c r="G10542" s="109"/>
    </row>
    <row r="10543" spans="3:7" x14ac:dyDescent="0.3">
      <c r="C10543" s="109"/>
      <c r="D10543" s="109"/>
      <c r="E10543" s="109"/>
      <c r="F10543" s="110"/>
      <c r="G10543" s="109"/>
    </row>
    <row r="10544" spans="3:7" x14ac:dyDescent="0.3">
      <c r="C10544" s="109"/>
      <c r="D10544" s="109"/>
      <c r="E10544" s="109"/>
      <c r="F10544" s="110"/>
      <c r="G10544" s="109"/>
    </row>
    <row r="10545" spans="3:7" x14ac:dyDescent="0.3">
      <c r="C10545" s="109"/>
      <c r="D10545" s="109"/>
      <c r="E10545" s="109"/>
      <c r="F10545" s="110"/>
      <c r="G10545" s="109"/>
    </row>
    <row r="10546" spans="3:7" x14ac:dyDescent="0.3">
      <c r="C10546" s="109"/>
      <c r="D10546" s="109"/>
      <c r="E10546" s="109"/>
      <c r="F10546" s="110"/>
      <c r="G10546" s="109"/>
    </row>
    <row r="10547" spans="3:7" x14ac:dyDescent="0.3">
      <c r="C10547" s="109"/>
      <c r="D10547" s="109"/>
      <c r="E10547" s="109"/>
      <c r="F10547" s="110"/>
      <c r="G10547" s="109"/>
    </row>
    <row r="10548" spans="3:7" x14ac:dyDescent="0.3">
      <c r="C10548" s="109"/>
      <c r="D10548" s="109"/>
      <c r="E10548" s="109"/>
      <c r="F10548" s="110"/>
      <c r="G10548" s="109"/>
    </row>
    <row r="10549" spans="3:7" x14ac:dyDescent="0.3">
      <c r="C10549" s="109"/>
      <c r="D10549" s="109"/>
      <c r="E10549" s="109"/>
      <c r="F10549" s="110"/>
      <c r="G10549" s="109"/>
    </row>
    <row r="10550" spans="3:7" x14ac:dyDescent="0.3">
      <c r="C10550" s="109"/>
      <c r="D10550" s="109"/>
      <c r="E10550" s="109"/>
      <c r="F10550" s="110"/>
      <c r="G10550" s="109"/>
    </row>
    <row r="10551" spans="3:7" x14ac:dyDescent="0.3">
      <c r="C10551" s="109"/>
      <c r="D10551" s="109"/>
      <c r="E10551" s="109"/>
      <c r="F10551" s="110"/>
      <c r="G10551" s="109"/>
    </row>
    <row r="10552" spans="3:7" x14ac:dyDescent="0.3">
      <c r="C10552" s="109"/>
      <c r="D10552" s="109"/>
      <c r="E10552" s="109"/>
      <c r="F10552" s="110"/>
      <c r="G10552" s="109"/>
    </row>
    <row r="10553" spans="3:7" x14ac:dyDescent="0.3">
      <c r="C10553" s="109"/>
      <c r="D10553" s="109"/>
      <c r="E10553" s="109"/>
      <c r="F10553" s="110"/>
      <c r="G10553" s="109"/>
    </row>
    <row r="10554" spans="3:7" x14ac:dyDescent="0.3">
      <c r="C10554" s="109"/>
      <c r="D10554" s="109"/>
      <c r="E10554" s="109"/>
      <c r="F10554" s="110"/>
      <c r="G10554" s="109"/>
    </row>
    <row r="10555" spans="3:7" x14ac:dyDescent="0.3">
      <c r="C10555" s="109"/>
      <c r="D10555" s="109"/>
      <c r="E10555" s="109"/>
      <c r="F10555" s="110"/>
      <c r="G10555" s="109"/>
    </row>
    <row r="10556" spans="3:7" x14ac:dyDescent="0.3">
      <c r="C10556" s="109"/>
      <c r="D10556" s="109"/>
      <c r="E10556" s="109"/>
      <c r="F10556" s="110"/>
      <c r="G10556" s="109"/>
    </row>
    <row r="10557" spans="3:7" x14ac:dyDescent="0.3">
      <c r="C10557" s="109"/>
      <c r="D10557" s="109"/>
      <c r="E10557" s="109"/>
      <c r="F10557" s="110"/>
      <c r="G10557" s="109"/>
    </row>
    <row r="10558" spans="3:7" x14ac:dyDescent="0.3">
      <c r="C10558" s="109"/>
      <c r="D10558" s="109"/>
      <c r="E10558" s="109"/>
      <c r="F10558" s="110"/>
      <c r="G10558" s="109"/>
    </row>
    <row r="10559" spans="3:7" x14ac:dyDescent="0.3">
      <c r="C10559" s="109"/>
      <c r="D10559" s="109"/>
      <c r="E10559" s="109"/>
      <c r="F10559" s="110"/>
      <c r="G10559" s="109"/>
    </row>
    <row r="10560" spans="3:7" x14ac:dyDescent="0.3">
      <c r="C10560" s="109"/>
      <c r="D10560" s="109"/>
      <c r="E10560" s="109"/>
      <c r="F10560" s="110"/>
      <c r="G10560" s="109"/>
    </row>
    <row r="10561" spans="3:7" x14ac:dyDescent="0.3">
      <c r="C10561" s="109"/>
      <c r="D10561" s="109"/>
      <c r="E10561" s="109"/>
      <c r="F10561" s="110"/>
      <c r="G10561" s="109"/>
    </row>
    <row r="10562" spans="3:7" x14ac:dyDescent="0.3">
      <c r="C10562" s="109"/>
      <c r="D10562" s="109"/>
      <c r="E10562" s="109"/>
      <c r="F10562" s="110"/>
      <c r="G10562" s="109"/>
    </row>
    <row r="10563" spans="3:7" x14ac:dyDescent="0.3">
      <c r="C10563" s="109"/>
      <c r="D10563" s="109"/>
      <c r="E10563" s="109"/>
      <c r="F10563" s="110"/>
      <c r="G10563" s="109"/>
    </row>
    <row r="10564" spans="3:7" x14ac:dyDescent="0.3">
      <c r="C10564" s="109"/>
      <c r="D10564" s="109"/>
      <c r="E10564" s="109"/>
      <c r="F10564" s="110"/>
      <c r="G10564" s="109"/>
    </row>
    <row r="10565" spans="3:7" x14ac:dyDescent="0.3">
      <c r="C10565" s="109"/>
      <c r="D10565" s="109"/>
      <c r="E10565" s="109"/>
      <c r="F10565" s="110"/>
      <c r="G10565" s="109"/>
    </row>
    <row r="10566" spans="3:7" x14ac:dyDescent="0.3">
      <c r="C10566" s="109"/>
      <c r="D10566" s="109"/>
      <c r="E10566" s="109"/>
      <c r="F10566" s="110"/>
      <c r="G10566" s="109"/>
    </row>
    <row r="10567" spans="3:7" x14ac:dyDescent="0.3">
      <c r="C10567" s="109"/>
      <c r="D10567" s="109"/>
      <c r="E10567" s="109"/>
      <c r="F10567" s="110"/>
      <c r="G10567" s="109"/>
    </row>
    <row r="10568" spans="3:7" x14ac:dyDescent="0.3">
      <c r="C10568" s="109"/>
      <c r="D10568" s="109"/>
      <c r="E10568" s="109"/>
      <c r="F10568" s="110"/>
      <c r="G10568" s="109"/>
    </row>
    <row r="10569" spans="3:7" x14ac:dyDescent="0.3">
      <c r="C10569" s="109"/>
      <c r="D10569" s="109"/>
      <c r="E10569" s="109"/>
      <c r="F10569" s="110"/>
      <c r="G10569" s="109"/>
    </row>
    <row r="10570" spans="3:7" x14ac:dyDescent="0.3">
      <c r="C10570" s="109"/>
      <c r="D10570" s="109"/>
      <c r="E10570" s="109"/>
      <c r="F10570" s="110"/>
      <c r="G10570" s="109"/>
    </row>
    <row r="10571" spans="3:7" x14ac:dyDescent="0.3">
      <c r="C10571" s="109"/>
      <c r="D10571" s="109"/>
      <c r="E10571" s="109"/>
      <c r="F10571" s="110"/>
      <c r="G10571" s="109"/>
    </row>
    <row r="10572" spans="3:7" x14ac:dyDescent="0.3">
      <c r="C10572" s="109"/>
      <c r="D10572" s="109"/>
      <c r="E10572" s="109"/>
      <c r="F10572" s="110"/>
      <c r="G10572" s="109"/>
    </row>
    <row r="10573" spans="3:7" x14ac:dyDescent="0.3">
      <c r="C10573" s="109"/>
      <c r="D10573" s="109"/>
      <c r="E10573" s="109"/>
      <c r="F10573" s="110"/>
      <c r="G10573" s="109"/>
    </row>
    <row r="10574" spans="3:7" x14ac:dyDescent="0.3">
      <c r="C10574" s="109"/>
      <c r="D10574" s="109"/>
      <c r="E10574" s="109"/>
      <c r="F10574" s="110"/>
      <c r="G10574" s="109"/>
    </row>
    <row r="10575" spans="3:7" x14ac:dyDescent="0.3">
      <c r="C10575" s="109"/>
      <c r="D10575" s="109"/>
      <c r="E10575" s="109"/>
      <c r="F10575" s="110"/>
      <c r="G10575" s="109"/>
    </row>
    <row r="10576" spans="3:7" x14ac:dyDescent="0.3">
      <c r="C10576" s="109"/>
      <c r="D10576" s="109"/>
      <c r="E10576" s="109"/>
      <c r="F10576" s="110"/>
      <c r="G10576" s="109"/>
    </row>
    <row r="10577" spans="3:7" x14ac:dyDescent="0.3">
      <c r="C10577" s="109"/>
      <c r="D10577" s="109"/>
      <c r="E10577" s="109"/>
      <c r="F10577" s="110"/>
      <c r="G10577" s="109"/>
    </row>
    <row r="10578" spans="3:7" x14ac:dyDescent="0.3">
      <c r="C10578" s="109"/>
      <c r="D10578" s="109"/>
      <c r="E10578" s="109"/>
      <c r="F10578" s="110"/>
      <c r="G10578" s="109"/>
    </row>
    <row r="10579" spans="3:7" x14ac:dyDescent="0.3">
      <c r="C10579" s="109"/>
      <c r="D10579" s="109"/>
      <c r="E10579" s="109"/>
      <c r="F10579" s="110"/>
      <c r="G10579" s="109"/>
    </row>
    <row r="10580" spans="3:7" x14ac:dyDescent="0.3">
      <c r="C10580" s="109"/>
      <c r="D10580" s="109"/>
      <c r="E10580" s="109"/>
      <c r="F10580" s="110"/>
      <c r="G10580" s="109"/>
    </row>
    <row r="10581" spans="3:7" x14ac:dyDescent="0.3">
      <c r="C10581" s="109"/>
      <c r="D10581" s="109"/>
      <c r="E10581" s="109"/>
      <c r="F10581" s="110"/>
      <c r="G10581" s="109"/>
    </row>
    <row r="10582" spans="3:7" x14ac:dyDescent="0.3">
      <c r="C10582" s="109"/>
      <c r="D10582" s="109"/>
      <c r="E10582" s="109"/>
      <c r="F10582" s="110"/>
      <c r="G10582" s="109"/>
    </row>
    <row r="10583" spans="3:7" x14ac:dyDescent="0.3">
      <c r="C10583" s="109"/>
      <c r="D10583" s="109"/>
      <c r="E10583" s="109"/>
      <c r="F10583" s="110"/>
      <c r="G10583" s="109"/>
    </row>
    <row r="10584" spans="3:7" x14ac:dyDescent="0.3">
      <c r="C10584" s="109"/>
      <c r="D10584" s="109"/>
      <c r="E10584" s="109"/>
      <c r="F10584" s="110"/>
      <c r="G10584" s="109"/>
    </row>
    <row r="10585" spans="3:7" x14ac:dyDescent="0.3">
      <c r="C10585" s="109"/>
      <c r="D10585" s="109"/>
      <c r="E10585" s="109"/>
      <c r="F10585" s="110"/>
      <c r="G10585" s="109"/>
    </row>
    <row r="10586" spans="3:7" x14ac:dyDescent="0.3">
      <c r="C10586" s="109"/>
      <c r="D10586" s="109"/>
      <c r="E10586" s="109"/>
      <c r="F10586" s="110"/>
      <c r="G10586" s="109"/>
    </row>
    <row r="10587" spans="3:7" x14ac:dyDescent="0.3">
      <c r="C10587" s="109"/>
      <c r="D10587" s="109"/>
      <c r="E10587" s="109"/>
      <c r="F10587" s="110"/>
      <c r="G10587" s="109"/>
    </row>
    <row r="10588" spans="3:7" x14ac:dyDescent="0.3">
      <c r="C10588" s="109"/>
      <c r="D10588" s="109"/>
      <c r="E10588" s="109"/>
      <c r="F10588" s="110"/>
      <c r="G10588" s="109"/>
    </row>
    <row r="10589" spans="3:7" x14ac:dyDescent="0.3">
      <c r="C10589" s="109"/>
      <c r="D10589" s="109"/>
      <c r="E10589" s="109"/>
      <c r="F10589" s="110"/>
      <c r="G10589" s="109"/>
    </row>
    <row r="10590" spans="3:7" x14ac:dyDescent="0.3">
      <c r="C10590" s="109"/>
      <c r="D10590" s="109"/>
      <c r="E10590" s="109"/>
      <c r="F10590" s="110"/>
      <c r="G10590" s="109"/>
    </row>
    <row r="10591" spans="3:7" x14ac:dyDescent="0.3">
      <c r="C10591" s="109"/>
      <c r="D10591" s="109"/>
      <c r="E10591" s="109"/>
      <c r="F10591" s="110"/>
      <c r="G10591" s="109"/>
    </row>
    <row r="10592" spans="3:7" x14ac:dyDescent="0.3">
      <c r="C10592" s="109"/>
      <c r="D10592" s="109"/>
      <c r="E10592" s="109"/>
      <c r="F10592" s="110"/>
      <c r="G10592" s="109"/>
    </row>
    <row r="10593" spans="3:7" x14ac:dyDescent="0.3">
      <c r="C10593" s="109"/>
      <c r="D10593" s="109"/>
      <c r="E10593" s="109"/>
      <c r="F10593" s="110"/>
      <c r="G10593" s="109"/>
    </row>
    <row r="10594" spans="3:7" x14ac:dyDescent="0.3">
      <c r="C10594" s="109"/>
      <c r="D10594" s="109"/>
      <c r="E10594" s="109"/>
      <c r="F10594" s="110"/>
      <c r="G10594" s="109"/>
    </row>
    <row r="10595" spans="3:7" x14ac:dyDescent="0.3">
      <c r="C10595" s="109"/>
      <c r="D10595" s="109"/>
      <c r="E10595" s="109"/>
      <c r="F10595" s="110"/>
      <c r="G10595" s="109"/>
    </row>
    <row r="10596" spans="3:7" x14ac:dyDescent="0.3">
      <c r="C10596" s="109"/>
      <c r="D10596" s="109"/>
      <c r="E10596" s="109"/>
      <c r="F10596" s="110"/>
      <c r="G10596" s="109"/>
    </row>
    <row r="10597" spans="3:7" x14ac:dyDescent="0.3">
      <c r="C10597" s="109"/>
      <c r="D10597" s="109"/>
      <c r="E10597" s="109"/>
      <c r="F10597" s="110"/>
      <c r="G10597" s="109"/>
    </row>
    <row r="10598" spans="3:7" x14ac:dyDescent="0.3">
      <c r="C10598" s="109"/>
      <c r="D10598" s="109"/>
      <c r="E10598" s="109"/>
      <c r="F10598" s="110"/>
      <c r="G10598" s="109"/>
    </row>
    <row r="10599" spans="3:7" x14ac:dyDescent="0.3">
      <c r="C10599" s="109"/>
      <c r="D10599" s="109"/>
      <c r="E10599" s="109"/>
      <c r="F10599" s="110"/>
      <c r="G10599" s="109"/>
    </row>
    <row r="10600" spans="3:7" x14ac:dyDescent="0.3">
      <c r="C10600" s="109"/>
      <c r="D10600" s="109"/>
      <c r="E10600" s="109"/>
      <c r="F10600" s="110"/>
      <c r="G10600" s="109"/>
    </row>
    <row r="10601" spans="3:7" x14ac:dyDescent="0.3">
      <c r="C10601" s="109"/>
      <c r="D10601" s="109"/>
      <c r="E10601" s="109"/>
      <c r="F10601" s="110"/>
      <c r="G10601" s="109"/>
    </row>
    <row r="10602" spans="3:7" x14ac:dyDescent="0.3">
      <c r="C10602" s="109"/>
      <c r="D10602" s="109"/>
      <c r="E10602" s="109"/>
      <c r="F10602" s="110"/>
      <c r="G10602" s="109"/>
    </row>
    <row r="10603" spans="3:7" x14ac:dyDescent="0.3">
      <c r="C10603" s="109"/>
      <c r="D10603" s="109"/>
      <c r="E10603" s="109"/>
      <c r="F10603" s="110"/>
      <c r="G10603" s="109"/>
    </row>
    <row r="10604" spans="3:7" x14ac:dyDescent="0.3">
      <c r="C10604" s="109"/>
      <c r="D10604" s="109"/>
      <c r="E10604" s="109"/>
      <c r="F10604" s="110"/>
      <c r="G10604" s="109"/>
    </row>
    <row r="10605" spans="3:7" x14ac:dyDescent="0.3">
      <c r="C10605" s="109"/>
      <c r="D10605" s="109"/>
      <c r="E10605" s="109"/>
      <c r="F10605" s="110"/>
      <c r="G10605" s="109"/>
    </row>
    <row r="10606" spans="3:7" x14ac:dyDescent="0.3">
      <c r="C10606" s="109"/>
      <c r="D10606" s="109"/>
      <c r="E10606" s="109"/>
      <c r="F10606" s="110"/>
      <c r="G10606" s="109"/>
    </row>
    <row r="10607" spans="3:7" x14ac:dyDescent="0.3">
      <c r="C10607" s="109"/>
      <c r="D10607" s="109"/>
      <c r="E10607" s="109"/>
      <c r="F10607" s="110"/>
      <c r="G10607" s="109"/>
    </row>
    <row r="10608" spans="3:7" x14ac:dyDescent="0.3">
      <c r="C10608" s="109"/>
      <c r="D10608" s="109"/>
      <c r="E10608" s="109"/>
      <c r="F10608" s="110"/>
      <c r="G10608" s="109"/>
    </row>
    <row r="10609" spans="3:7" x14ac:dyDescent="0.3">
      <c r="C10609" s="109"/>
      <c r="D10609" s="109"/>
      <c r="E10609" s="109"/>
      <c r="F10609" s="110"/>
      <c r="G10609" s="109"/>
    </row>
    <row r="10610" spans="3:7" x14ac:dyDescent="0.3">
      <c r="C10610" s="109"/>
      <c r="D10610" s="109"/>
      <c r="E10610" s="109"/>
      <c r="F10610" s="110"/>
      <c r="G10610" s="109"/>
    </row>
    <row r="10611" spans="3:7" x14ac:dyDescent="0.3">
      <c r="C10611" s="109"/>
      <c r="D10611" s="109"/>
      <c r="E10611" s="109"/>
      <c r="F10611" s="110"/>
      <c r="G10611" s="109"/>
    </row>
    <row r="10612" spans="3:7" x14ac:dyDescent="0.3">
      <c r="C10612" s="109"/>
      <c r="D10612" s="109"/>
      <c r="E10612" s="109"/>
      <c r="F10612" s="110"/>
      <c r="G10612" s="109"/>
    </row>
    <row r="10613" spans="3:7" x14ac:dyDescent="0.3">
      <c r="C10613" s="109"/>
      <c r="D10613" s="109"/>
      <c r="E10613" s="109"/>
      <c r="F10613" s="110"/>
      <c r="G10613" s="109"/>
    </row>
    <row r="10614" spans="3:7" x14ac:dyDescent="0.3">
      <c r="C10614" s="109"/>
      <c r="D10614" s="109"/>
      <c r="E10614" s="109"/>
      <c r="F10614" s="110"/>
      <c r="G10614" s="109"/>
    </row>
    <row r="10615" spans="3:7" x14ac:dyDescent="0.3">
      <c r="C10615" s="109"/>
      <c r="D10615" s="109"/>
      <c r="E10615" s="109"/>
      <c r="F10615" s="110"/>
      <c r="G10615" s="109"/>
    </row>
    <row r="10616" spans="3:7" x14ac:dyDescent="0.3">
      <c r="C10616" s="109"/>
      <c r="D10616" s="109"/>
      <c r="E10616" s="109"/>
      <c r="F10616" s="110"/>
      <c r="G10616" s="109"/>
    </row>
    <row r="10617" spans="3:7" x14ac:dyDescent="0.3">
      <c r="C10617" s="109"/>
      <c r="D10617" s="109"/>
      <c r="E10617" s="109"/>
      <c r="F10617" s="110"/>
      <c r="G10617" s="109"/>
    </row>
    <row r="10618" spans="3:7" x14ac:dyDescent="0.3">
      <c r="C10618" s="109"/>
      <c r="D10618" s="109"/>
      <c r="E10618" s="109"/>
      <c r="F10618" s="110"/>
      <c r="G10618" s="109"/>
    </row>
    <row r="10619" spans="3:7" x14ac:dyDescent="0.3">
      <c r="C10619" s="109"/>
      <c r="D10619" s="109"/>
      <c r="E10619" s="109"/>
      <c r="F10619" s="110"/>
      <c r="G10619" s="109"/>
    </row>
    <row r="10620" spans="3:7" x14ac:dyDescent="0.3">
      <c r="C10620" s="109"/>
      <c r="D10620" s="109"/>
      <c r="E10620" s="109"/>
      <c r="F10620" s="110"/>
      <c r="G10620" s="109"/>
    </row>
    <row r="10621" spans="3:7" x14ac:dyDescent="0.3">
      <c r="C10621" s="109"/>
      <c r="D10621" s="109"/>
      <c r="E10621" s="109"/>
      <c r="F10621" s="110"/>
      <c r="G10621" s="109"/>
    </row>
    <row r="10622" spans="3:7" x14ac:dyDescent="0.3">
      <c r="C10622" s="109"/>
      <c r="D10622" s="109"/>
      <c r="E10622" s="109"/>
      <c r="F10622" s="110"/>
      <c r="G10622" s="109"/>
    </row>
    <row r="10623" spans="3:7" x14ac:dyDescent="0.3">
      <c r="C10623" s="109"/>
      <c r="D10623" s="109"/>
      <c r="E10623" s="109"/>
      <c r="F10623" s="110"/>
      <c r="G10623" s="109"/>
    </row>
    <row r="10624" spans="3:7" x14ac:dyDescent="0.3">
      <c r="C10624" s="109"/>
      <c r="D10624" s="109"/>
      <c r="E10624" s="109"/>
      <c r="F10624" s="110"/>
      <c r="G10624" s="109"/>
    </row>
    <row r="10625" spans="3:7" x14ac:dyDescent="0.3">
      <c r="C10625" s="109"/>
      <c r="D10625" s="109"/>
      <c r="E10625" s="109"/>
      <c r="F10625" s="110"/>
      <c r="G10625" s="109"/>
    </row>
    <row r="10626" spans="3:7" x14ac:dyDescent="0.3">
      <c r="C10626" s="109"/>
      <c r="D10626" s="109"/>
      <c r="E10626" s="109"/>
      <c r="F10626" s="110"/>
      <c r="G10626" s="109"/>
    </row>
    <row r="10627" spans="3:7" x14ac:dyDescent="0.3">
      <c r="C10627" s="109"/>
      <c r="D10627" s="109"/>
      <c r="E10627" s="109"/>
      <c r="F10627" s="110"/>
      <c r="G10627" s="109"/>
    </row>
    <row r="10628" spans="3:7" x14ac:dyDescent="0.3">
      <c r="C10628" s="109"/>
      <c r="D10628" s="109"/>
      <c r="E10628" s="109"/>
      <c r="F10628" s="110"/>
      <c r="G10628" s="109"/>
    </row>
    <row r="10629" spans="3:7" x14ac:dyDescent="0.3">
      <c r="C10629" s="109"/>
      <c r="D10629" s="109"/>
      <c r="E10629" s="109"/>
      <c r="F10629" s="110"/>
      <c r="G10629" s="109"/>
    </row>
    <row r="10630" spans="3:7" x14ac:dyDescent="0.3">
      <c r="C10630" s="109"/>
      <c r="D10630" s="109"/>
      <c r="E10630" s="109"/>
      <c r="F10630" s="110"/>
      <c r="G10630" s="109"/>
    </row>
    <row r="10631" spans="3:7" x14ac:dyDescent="0.3">
      <c r="C10631" s="109"/>
      <c r="D10631" s="109"/>
      <c r="E10631" s="109"/>
      <c r="F10631" s="110"/>
      <c r="G10631" s="109"/>
    </row>
    <row r="10632" spans="3:7" x14ac:dyDescent="0.3">
      <c r="C10632" s="109"/>
      <c r="D10632" s="109"/>
      <c r="E10632" s="109"/>
      <c r="F10632" s="110"/>
      <c r="G10632" s="109"/>
    </row>
    <row r="10633" spans="3:7" x14ac:dyDescent="0.3">
      <c r="C10633" s="109"/>
      <c r="D10633" s="109"/>
      <c r="E10633" s="109"/>
      <c r="F10633" s="110"/>
      <c r="G10633" s="109"/>
    </row>
    <row r="10634" spans="3:7" x14ac:dyDescent="0.3">
      <c r="C10634" s="109"/>
      <c r="D10634" s="109"/>
      <c r="E10634" s="109"/>
      <c r="F10634" s="110"/>
      <c r="G10634" s="109"/>
    </row>
    <row r="10635" spans="3:7" x14ac:dyDescent="0.3">
      <c r="C10635" s="109"/>
      <c r="D10635" s="109"/>
      <c r="E10635" s="109"/>
      <c r="F10635" s="110"/>
      <c r="G10635" s="109"/>
    </row>
    <row r="10636" spans="3:7" x14ac:dyDescent="0.3">
      <c r="C10636" s="109"/>
      <c r="D10636" s="109"/>
      <c r="E10636" s="109"/>
      <c r="F10636" s="110"/>
      <c r="G10636" s="109"/>
    </row>
    <row r="10637" spans="3:7" x14ac:dyDescent="0.3">
      <c r="C10637" s="109"/>
      <c r="D10637" s="109"/>
      <c r="E10637" s="109"/>
      <c r="F10637" s="110"/>
      <c r="G10637" s="109"/>
    </row>
    <row r="10638" spans="3:7" x14ac:dyDescent="0.3">
      <c r="C10638" s="109"/>
      <c r="D10638" s="109"/>
      <c r="E10638" s="109"/>
      <c r="F10638" s="110"/>
      <c r="G10638" s="109"/>
    </row>
    <row r="10639" spans="3:7" x14ac:dyDescent="0.3">
      <c r="C10639" s="109"/>
      <c r="D10639" s="109"/>
      <c r="E10639" s="109"/>
      <c r="F10639" s="110"/>
      <c r="G10639" s="109"/>
    </row>
    <row r="10640" spans="3:7" x14ac:dyDescent="0.3">
      <c r="C10640" s="109"/>
      <c r="D10640" s="109"/>
      <c r="E10640" s="109"/>
      <c r="F10640" s="110"/>
      <c r="G10640" s="109"/>
    </row>
    <row r="10641" spans="3:7" x14ac:dyDescent="0.3">
      <c r="C10641" s="109"/>
      <c r="D10641" s="109"/>
      <c r="E10641" s="109"/>
      <c r="F10641" s="110"/>
      <c r="G10641" s="109"/>
    </row>
    <row r="10642" spans="3:7" x14ac:dyDescent="0.3">
      <c r="C10642" s="109"/>
      <c r="D10642" s="109"/>
      <c r="E10642" s="109"/>
      <c r="F10642" s="110"/>
      <c r="G10642" s="109"/>
    </row>
    <row r="10643" spans="3:7" x14ac:dyDescent="0.3">
      <c r="C10643" s="109"/>
      <c r="D10643" s="109"/>
      <c r="E10643" s="109"/>
      <c r="F10643" s="110"/>
      <c r="G10643" s="109"/>
    </row>
    <row r="10644" spans="3:7" x14ac:dyDescent="0.3">
      <c r="C10644" s="109"/>
      <c r="D10644" s="109"/>
      <c r="E10644" s="109"/>
      <c r="F10644" s="110"/>
      <c r="G10644" s="109"/>
    </row>
    <row r="10645" spans="3:7" x14ac:dyDescent="0.3">
      <c r="C10645" s="109"/>
      <c r="D10645" s="109"/>
      <c r="E10645" s="109"/>
      <c r="F10645" s="110"/>
      <c r="G10645" s="109"/>
    </row>
    <row r="10646" spans="3:7" x14ac:dyDescent="0.3">
      <c r="C10646" s="109"/>
      <c r="D10646" s="109"/>
      <c r="E10646" s="109"/>
      <c r="F10646" s="110"/>
      <c r="G10646" s="109"/>
    </row>
    <row r="10647" spans="3:7" x14ac:dyDescent="0.3">
      <c r="C10647" s="109"/>
      <c r="D10647" s="109"/>
      <c r="E10647" s="109"/>
      <c r="F10647" s="110"/>
      <c r="G10647" s="109"/>
    </row>
    <row r="10648" spans="3:7" x14ac:dyDescent="0.3">
      <c r="C10648" s="109"/>
      <c r="D10648" s="109"/>
      <c r="E10648" s="109"/>
      <c r="F10648" s="110"/>
      <c r="G10648" s="109"/>
    </row>
    <row r="10649" spans="3:7" x14ac:dyDescent="0.3">
      <c r="C10649" s="109"/>
      <c r="D10649" s="109"/>
      <c r="E10649" s="109"/>
      <c r="F10649" s="110"/>
      <c r="G10649" s="109"/>
    </row>
    <row r="10650" spans="3:7" x14ac:dyDescent="0.3">
      <c r="C10650" s="109"/>
      <c r="D10650" s="109"/>
      <c r="E10650" s="109"/>
      <c r="F10650" s="110"/>
      <c r="G10650" s="109"/>
    </row>
    <row r="10651" spans="3:7" x14ac:dyDescent="0.3">
      <c r="C10651" s="109"/>
      <c r="D10651" s="109"/>
      <c r="E10651" s="109"/>
      <c r="F10651" s="110"/>
      <c r="G10651" s="109"/>
    </row>
    <row r="10652" spans="3:7" x14ac:dyDescent="0.3">
      <c r="C10652" s="109"/>
      <c r="D10652" s="109"/>
      <c r="E10652" s="109"/>
      <c r="F10652" s="110"/>
      <c r="G10652" s="109"/>
    </row>
    <row r="10653" spans="3:7" x14ac:dyDescent="0.3">
      <c r="C10653" s="109"/>
      <c r="D10653" s="109"/>
      <c r="E10653" s="109"/>
      <c r="F10653" s="110"/>
      <c r="G10653" s="109"/>
    </row>
    <row r="10654" spans="3:7" x14ac:dyDescent="0.3">
      <c r="C10654" s="109"/>
      <c r="D10654" s="109"/>
      <c r="E10654" s="109"/>
      <c r="F10654" s="110"/>
      <c r="G10654" s="109"/>
    </row>
    <row r="10655" spans="3:7" x14ac:dyDescent="0.3">
      <c r="C10655" s="109"/>
      <c r="D10655" s="109"/>
      <c r="E10655" s="109"/>
      <c r="F10655" s="110"/>
      <c r="G10655" s="109"/>
    </row>
    <row r="10656" spans="3:7" x14ac:dyDescent="0.3">
      <c r="C10656" s="109"/>
      <c r="D10656" s="109"/>
      <c r="E10656" s="109"/>
      <c r="F10656" s="110"/>
      <c r="G10656" s="109"/>
    </row>
    <row r="10657" spans="3:7" x14ac:dyDescent="0.3">
      <c r="C10657" s="109"/>
      <c r="D10657" s="109"/>
      <c r="E10657" s="109"/>
      <c r="F10657" s="110"/>
      <c r="G10657" s="109"/>
    </row>
    <row r="10658" spans="3:7" x14ac:dyDescent="0.3">
      <c r="C10658" s="109"/>
      <c r="D10658" s="109"/>
      <c r="E10658" s="109"/>
      <c r="F10658" s="110"/>
      <c r="G10658" s="109"/>
    </row>
    <row r="10659" spans="3:7" x14ac:dyDescent="0.3">
      <c r="C10659" s="109"/>
      <c r="D10659" s="109"/>
      <c r="E10659" s="109"/>
      <c r="F10659" s="110"/>
      <c r="G10659" s="109"/>
    </row>
    <row r="10660" spans="3:7" x14ac:dyDescent="0.3">
      <c r="C10660" s="109"/>
      <c r="D10660" s="109"/>
      <c r="E10660" s="109"/>
      <c r="F10660" s="110"/>
      <c r="G10660" s="109"/>
    </row>
    <row r="10661" spans="3:7" x14ac:dyDescent="0.3">
      <c r="C10661" s="109"/>
      <c r="D10661" s="109"/>
      <c r="E10661" s="109"/>
      <c r="F10661" s="110"/>
      <c r="G10661" s="109"/>
    </row>
    <row r="10662" spans="3:7" x14ac:dyDescent="0.3">
      <c r="C10662" s="109"/>
      <c r="D10662" s="109"/>
      <c r="E10662" s="109"/>
      <c r="F10662" s="110"/>
      <c r="G10662" s="109"/>
    </row>
    <row r="10663" spans="3:7" x14ac:dyDescent="0.3">
      <c r="C10663" s="109"/>
      <c r="D10663" s="109"/>
      <c r="E10663" s="109"/>
      <c r="F10663" s="110"/>
      <c r="G10663" s="109"/>
    </row>
    <row r="10664" spans="3:7" x14ac:dyDescent="0.3">
      <c r="C10664" s="109"/>
      <c r="D10664" s="109"/>
      <c r="E10664" s="109"/>
      <c r="F10664" s="110"/>
      <c r="G10664" s="109"/>
    </row>
    <row r="10665" spans="3:7" x14ac:dyDescent="0.3">
      <c r="C10665" s="109"/>
      <c r="D10665" s="109"/>
      <c r="E10665" s="109"/>
      <c r="F10665" s="110"/>
      <c r="G10665" s="109"/>
    </row>
    <row r="10666" spans="3:7" x14ac:dyDescent="0.3">
      <c r="C10666" s="109"/>
      <c r="D10666" s="109"/>
      <c r="E10666" s="109"/>
      <c r="F10666" s="110"/>
      <c r="G10666" s="109"/>
    </row>
    <row r="10667" spans="3:7" x14ac:dyDescent="0.3">
      <c r="C10667" s="109"/>
      <c r="D10667" s="109"/>
      <c r="E10667" s="109"/>
      <c r="F10667" s="110"/>
      <c r="G10667" s="109"/>
    </row>
    <row r="10668" spans="3:7" x14ac:dyDescent="0.3">
      <c r="C10668" s="109"/>
      <c r="D10668" s="109"/>
      <c r="E10668" s="109"/>
      <c r="F10668" s="110"/>
      <c r="G10668" s="109"/>
    </row>
    <row r="10669" spans="3:7" x14ac:dyDescent="0.3">
      <c r="C10669" s="109"/>
      <c r="D10669" s="109"/>
      <c r="E10669" s="109"/>
      <c r="F10669" s="110"/>
      <c r="G10669" s="109"/>
    </row>
    <row r="10670" spans="3:7" x14ac:dyDescent="0.3">
      <c r="C10670" s="109"/>
      <c r="D10670" s="109"/>
      <c r="E10670" s="109"/>
      <c r="F10670" s="110"/>
      <c r="G10670" s="109"/>
    </row>
    <row r="10671" spans="3:7" x14ac:dyDescent="0.3">
      <c r="C10671" s="109"/>
      <c r="D10671" s="109"/>
      <c r="E10671" s="109"/>
      <c r="F10671" s="110"/>
      <c r="G10671" s="109"/>
    </row>
    <row r="10672" spans="3:7" x14ac:dyDescent="0.3">
      <c r="C10672" s="109"/>
      <c r="D10672" s="109"/>
      <c r="E10672" s="109"/>
      <c r="F10672" s="110"/>
      <c r="G10672" s="109"/>
    </row>
    <row r="10673" spans="3:7" x14ac:dyDescent="0.3">
      <c r="C10673" s="109"/>
      <c r="D10673" s="109"/>
      <c r="E10673" s="109"/>
      <c r="F10673" s="110"/>
      <c r="G10673" s="109"/>
    </row>
    <row r="10674" spans="3:7" x14ac:dyDescent="0.3">
      <c r="C10674" s="109"/>
      <c r="D10674" s="109"/>
      <c r="E10674" s="109"/>
      <c r="F10674" s="110"/>
      <c r="G10674" s="109"/>
    </row>
    <row r="10675" spans="3:7" x14ac:dyDescent="0.3">
      <c r="C10675" s="109"/>
      <c r="D10675" s="109"/>
      <c r="E10675" s="109"/>
      <c r="F10675" s="110"/>
      <c r="G10675" s="109"/>
    </row>
    <row r="10676" spans="3:7" x14ac:dyDescent="0.3">
      <c r="C10676" s="109"/>
      <c r="D10676" s="109"/>
      <c r="E10676" s="109"/>
      <c r="F10676" s="110"/>
      <c r="G10676" s="109"/>
    </row>
    <row r="10677" spans="3:7" x14ac:dyDescent="0.3">
      <c r="C10677" s="109"/>
      <c r="D10677" s="109"/>
      <c r="E10677" s="109"/>
      <c r="F10677" s="110"/>
      <c r="G10677" s="109"/>
    </row>
    <row r="10678" spans="3:7" x14ac:dyDescent="0.3">
      <c r="C10678" s="109"/>
      <c r="D10678" s="109"/>
      <c r="E10678" s="109"/>
      <c r="F10678" s="110"/>
      <c r="G10678" s="109"/>
    </row>
    <row r="10679" spans="3:7" x14ac:dyDescent="0.3">
      <c r="C10679" s="109"/>
      <c r="D10679" s="109"/>
      <c r="E10679" s="109"/>
      <c r="F10679" s="110"/>
      <c r="G10679" s="109"/>
    </row>
    <row r="10680" spans="3:7" x14ac:dyDescent="0.3">
      <c r="C10680" s="109"/>
      <c r="D10680" s="109"/>
      <c r="E10680" s="109"/>
      <c r="F10680" s="110"/>
      <c r="G10680" s="109"/>
    </row>
    <row r="10681" spans="3:7" x14ac:dyDescent="0.3">
      <c r="C10681" s="109"/>
      <c r="D10681" s="109"/>
      <c r="E10681" s="109"/>
      <c r="F10681" s="110"/>
      <c r="G10681" s="109"/>
    </row>
    <row r="10682" spans="3:7" x14ac:dyDescent="0.3">
      <c r="C10682" s="109"/>
      <c r="D10682" s="109"/>
      <c r="E10682" s="109"/>
      <c r="F10682" s="110"/>
      <c r="G10682" s="109"/>
    </row>
    <row r="10683" spans="3:7" x14ac:dyDescent="0.3">
      <c r="C10683" s="109"/>
      <c r="D10683" s="109"/>
      <c r="E10683" s="109"/>
      <c r="F10683" s="110"/>
      <c r="G10683" s="109"/>
    </row>
    <row r="10684" spans="3:7" x14ac:dyDescent="0.3">
      <c r="C10684" s="109"/>
      <c r="D10684" s="109"/>
      <c r="E10684" s="109"/>
      <c r="F10684" s="110"/>
      <c r="G10684" s="109"/>
    </row>
    <row r="10685" spans="3:7" x14ac:dyDescent="0.3">
      <c r="C10685" s="109"/>
      <c r="D10685" s="109"/>
      <c r="E10685" s="109"/>
      <c r="F10685" s="110"/>
      <c r="G10685" s="109"/>
    </row>
    <row r="10686" spans="3:7" x14ac:dyDescent="0.3">
      <c r="C10686" s="109"/>
      <c r="D10686" s="109"/>
      <c r="E10686" s="109"/>
      <c r="F10686" s="110"/>
      <c r="G10686" s="109"/>
    </row>
    <row r="10687" spans="3:7" x14ac:dyDescent="0.3">
      <c r="C10687" s="109"/>
      <c r="D10687" s="109"/>
      <c r="E10687" s="109"/>
      <c r="F10687" s="110"/>
      <c r="G10687" s="109"/>
    </row>
    <row r="10688" spans="3:7" x14ac:dyDescent="0.3">
      <c r="C10688" s="109"/>
      <c r="D10688" s="109"/>
      <c r="E10688" s="109"/>
      <c r="F10688" s="110"/>
      <c r="G10688" s="109"/>
    </row>
    <row r="10689" spans="3:7" x14ac:dyDescent="0.3">
      <c r="C10689" s="109"/>
      <c r="D10689" s="109"/>
      <c r="E10689" s="109"/>
      <c r="F10689" s="110"/>
      <c r="G10689" s="109"/>
    </row>
    <row r="10690" spans="3:7" x14ac:dyDescent="0.3">
      <c r="C10690" s="109"/>
      <c r="D10690" s="109"/>
      <c r="E10690" s="109"/>
      <c r="F10690" s="110"/>
      <c r="G10690" s="109"/>
    </row>
    <row r="10691" spans="3:7" x14ac:dyDescent="0.3">
      <c r="C10691" s="109"/>
      <c r="D10691" s="109"/>
      <c r="E10691" s="109"/>
      <c r="F10691" s="110"/>
      <c r="G10691" s="109"/>
    </row>
    <row r="10692" spans="3:7" x14ac:dyDescent="0.3">
      <c r="C10692" s="109"/>
      <c r="D10692" s="109"/>
      <c r="E10692" s="109"/>
      <c r="F10692" s="110"/>
      <c r="G10692" s="109"/>
    </row>
    <row r="10693" spans="3:7" x14ac:dyDescent="0.3">
      <c r="C10693" s="109"/>
      <c r="D10693" s="109"/>
      <c r="E10693" s="109"/>
      <c r="F10693" s="110"/>
      <c r="G10693" s="109"/>
    </row>
    <row r="10694" spans="3:7" x14ac:dyDescent="0.3">
      <c r="C10694" s="109"/>
      <c r="D10694" s="109"/>
      <c r="E10694" s="109"/>
      <c r="F10694" s="110"/>
      <c r="G10694" s="109"/>
    </row>
    <row r="10695" spans="3:7" x14ac:dyDescent="0.3">
      <c r="C10695" s="109"/>
      <c r="D10695" s="109"/>
      <c r="E10695" s="109"/>
      <c r="F10695" s="110"/>
      <c r="G10695" s="109"/>
    </row>
    <row r="10696" spans="3:7" x14ac:dyDescent="0.3">
      <c r="C10696" s="109"/>
      <c r="D10696" s="109"/>
      <c r="E10696" s="109"/>
      <c r="F10696" s="110"/>
      <c r="G10696" s="109"/>
    </row>
    <row r="10697" spans="3:7" x14ac:dyDescent="0.3">
      <c r="C10697" s="109"/>
      <c r="D10697" s="109"/>
      <c r="E10697" s="109"/>
      <c r="F10697" s="110"/>
      <c r="G10697" s="109"/>
    </row>
    <row r="10698" spans="3:7" x14ac:dyDescent="0.3">
      <c r="C10698" s="109"/>
      <c r="D10698" s="109"/>
      <c r="E10698" s="109"/>
      <c r="F10698" s="110"/>
      <c r="G10698" s="109"/>
    </row>
    <row r="10699" spans="3:7" x14ac:dyDescent="0.3">
      <c r="C10699" s="109"/>
      <c r="D10699" s="109"/>
      <c r="E10699" s="109"/>
      <c r="F10699" s="110"/>
      <c r="G10699" s="109"/>
    </row>
    <row r="10700" spans="3:7" x14ac:dyDescent="0.3">
      <c r="C10700" s="109"/>
      <c r="D10700" s="109"/>
      <c r="E10700" s="109"/>
      <c r="F10700" s="110"/>
      <c r="G10700" s="109"/>
    </row>
    <row r="10701" spans="3:7" x14ac:dyDescent="0.3">
      <c r="C10701" s="109"/>
      <c r="D10701" s="109"/>
      <c r="E10701" s="109"/>
      <c r="F10701" s="110"/>
      <c r="G10701" s="109"/>
    </row>
    <row r="10702" spans="3:7" x14ac:dyDescent="0.3">
      <c r="C10702" s="109"/>
      <c r="D10702" s="109"/>
      <c r="E10702" s="109"/>
      <c r="F10702" s="110"/>
      <c r="G10702" s="109"/>
    </row>
    <row r="10703" spans="3:7" x14ac:dyDescent="0.3">
      <c r="C10703" s="109"/>
      <c r="D10703" s="109"/>
      <c r="E10703" s="109"/>
      <c r="F10703" s="110"/>
      <c r="G10703" s="109"/>
    </row>
    <row r="10704" spans="3:7" x14ac:dyDescent="0.3">
      <c r="C10704" s="109"/>
      <c r="D10704" s="109"/>
      <c r="E10704" s="109"/>
      <c r="F10704" s="110"/>
      <c r="G10704" s="109"/>
    </row>
    <row r="10705" spans="3:7" x14ac:dyDescent="0.3">
      <c r="C10705" s="109"/>
      <c r="D10705" s="109"/>
      <c r="E10705" s="109"/>
      <c r="F10705" s="110"/>
      <c r="G10705" s="109"/>
    </row>
    <row r="10706" spans="3:7" x14ac:dyDescent="0.3">
      <c r="C10706" s="109"/>
      <c r="D10706" s="109"/>
      <c r="E10706" s="109"/>
      <c r="F10706" s="110"/>
      <c r="G10706" s="109"/>
    </row>
    <row r="10707" spans="3:7" x14ac:dyDescent="0.3">
      <c r="C10707" s="109"/>
      <c r="D10707" s="109"/>
      <c r="E10707" s="109"/>
      <c r="F10707" s="110"/>
      <c r="G10707" s="109"/>
    </row>
    <row r="10708" spans="3:7" x14ac:dyDescent="0.3">
      <c r="C10708" s="109"/>
      <c r="D10708" s="109"/>
      <c r="E10708" s="109"/>
      <c r="F10708" s="110"/>
      <c r="G10708" s="109"/>
    </row>
    <row r="10709" spans="3:7" x14ac:dyDescent="0.3">
      <c r="C10709" s="109"/>
      <c r="D10709" s="109"/>
      <c r="E10709" s="109"/>
      <c r="F10709" s="110"/>
      <c r="G10709" s="109"/>
    </row>
    <row r="10710" spans="3:7" x14ac:dyDescent="0.3">
      <c r="C10710" s="109"/>
      <c r="D10710" s="109"/>
      <c r="E10710" s="109"/>
      <c r="F10710" s="110"/>
      <c r="G10710" s="109"/>
    </row>
    <row r="10711" spans="3:7" x14ac:dyDescent="0.3">
      <c r="C10711" s="109"/>
      <c r="D10711" s="109"/>
      <c r="E10711" s="109"/>
      <c r="F10711" s="110"/>
      <c r="G10711" s="109"/>
    </row>
    <row r="10712" spans="3:7" x14ac:dyDescent="0.3">
      <c r="C10712" s="109"/>
      <c r="D10712" s="109"/>
      <c r="E10712" s="109"/>
      <c r="F10712" s="110"/>
      <c r="G10712" s="109"/>
    </row>
    <row r="10713" spans="3:7" x14ac:dyDescent="0.3">
      <c r="C10713" s="109"/>
      <c r="D10713" s="109"/>
      <c r="E10713" s="109"/>
      <c r="F10713" s="110"/>
      <c r="G10713" s="109"/>
    </row>
    <row r="10714" spans="3:7" x14ac:dyDescent="0.3">
      <c r="C10714" s="109"/>
      <c r="D10714" s="109"/>
      <c r="E10714" s="109"/>
      <c r="F10714" s="110"/>
      <c r="G10714" s="109"/>
    </row>
    <row r="10715" spans="3:7" x14ac:dyDescent="0.3">
      <c r="C10715" s="109"/>
      <c r="D10715" s="109"/>
      <c r="E10715" s="109"/>
      <c r="F10715" s="110"/>
      <c r="G10715" s="109"/>
    </row>
    <row r="10716" spans="3:7" x14ac:dyDescent="0.3">
      <c r="C10716" s="109"/>
      <c r="D10716" s="109"/>
      <c r="E10716" s="109"/>
      <c r="F10716" s="110"/>
      <c r="G10716" s="109"/>
    </row>
    <row r="10717" spans="3:7" x14ac:dyDescent="0.3">
      <c r="C10717" s="109"/>
      <c r="D10717" s="109"/>
      <c r="E10717" s="109"/>
      <c r="F10717" s="110"/>
      <c r="G10717" s="109"/>
    </row>
    <row r="10718" spans="3:7" x14ac:dyDescent="0.3">
      <c r="C10718" s="109"/>
      <c r="D10718" s="109"/>
      <c r="E10718" s="109"/>
      <c r="F10718" s="110"/>
      <c r="G10718" s="109"/>
    </row>
    <row r="10719" spans="3:7" x14ac:dyDescent="0.3">
      <c r="C10719" s="109"/>
      <c r="D10719" s="109"/>
      <c r="E10719" s="109"/>
      <c r="F10719" s="110"/>
      <c r="G10719" s="109"/>
    </row>
    <row r="10720" spans="3:7" x14ac:dyDescent="0.3">
      <c r="C10720" s="109"/>
      <c r="D10720" s="109"/>
      <c r="E10720" s="109"/>
      <c r="F10720" s="110"/>
      <c r="G10720" s="109"/>
    </row>
    <row r="10721" spans="3:7" x14ac:dyDescent="0.3">
      <c r="C10721" s="109"/>
      <c r="D10721" s="109"/>
      <c r="E10721" s="109"/>
      <c r="F10721" s="110"/>
      <c r="G10721" s="109"/>
    </row>
    <row r="10722" spans="3:7" x14ac:dyDescent="0.3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4140625" defaultRowHeight="20.25" customHeight="1" x14ac:dyDescent="0.3"/>
  <cols>
    <col min="1" max="1" width="14.33203125" style="3" customWidth="1"/>
    <col min="2" max="2" width="28.5546875" style="3" customWidth="1"/>
    <col min="3" max="3" width="25.33203125" style="3" bestFit="1" customWidth="1"/>
    <col min="4" max="4" width="25.5546875" style="4" customWidth="1"/>
    <col min="5" max="5" width="31.44140625" style="3" customWidth="1"/>
    <col min="6" max="6" width="23.5546875" style="3" bestFit="1" customWidth="1"/>
    <col min="7" max="7" width="27.44140625" style="3" customWidth="1"/>
    <col min="8" max="9" width="33.33203125" style="3" customWidth="1"/>
    <col min="10" max="10" width="21.5546875" style="3" customWidth="1"/>
    <col min="11" max="11" width="13.5546875" style="3" customWidth="1"/>
    <col min="12" max="12" width="23.5546875" style="3" bestFit="1" customWidth="1"/>
    <col min="13" max="13" width="37.6640625" style="3" bestFit="1" customWidth="1"/>
    <col min="14" max="14" width="23.44140625" style="3" bestFit="1" customWidth="1"/>
    <col min="15" max="15" width="46" style="3" bestFit="1" customWidth="1"/>
    <col min="16" max="17" width="21.5546875" style="3" customWidth="1"/>
    <col min="18" max="18" width="46.44140625" style="3" bestFit="1" customWidth="1"/>
    <col min="19" max="19" width="27.44140625" style="3" bestFit="1" customWidth="1"/>
    <col min="20" max="20" width="41" style="3" bestFit="1" customWidth="1"/>
    <col min="21" max="21" width="46" style="3" bestFit="1" customWidth="1"/>
    <col min="22" max="32" width="21.5546875" style="3" customWidth="1"/>
    <col min="33" max="16384" width="11.44140625" style="3"/>
  </cols>
  <sheetData>
    <row r="1" spans="1:24" ht="25.5" customHeight="1" thickBot="1" x14ac:dyDescent="0.35">
      <c r="A1" s="2"/>
      <c r="B1" s="59"/>
      <c r="C1" s="59"/>
      <c r="D1" s="2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5">
      <c r="A2" s="2"/>
      <c r="B2" s="334" t="s">
        <v>13</v>
      </c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6"/>
    </row>
    <row r="3" spans="1:24" ht="20.25" customHeight="1" x14ac:dyDescent="0.3">
      <c r="B3" s="59"/>
      <c r="C3" s="59"/>
      <c r="D3" s="2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3">
      <c r="B4" s="339" t="s">
        <v>191</v>
      </c>
      <c r="C4" s="340"/>
      <c r="D4" s="340"/>
      <c r="E4" s="340"/>
      <c r="F4" s="340"/>
      <c r="G4" s="340"/>
      <c r="H4" s="340"/>
      <c r="I4" s="340"/>
      <c r="J4" s="340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3">
      <c r="B5" s="114" t="s">
        <v>134</v>
      </c>
      <c r="C5" s="112"/>
      <c r="D5" s="225"/>
      <c r="E5" s="225"/>
      <c r="F5" s="225"/>
      <c r="G5" s="225"/>
      <c r="H5" s="225"/>
      <c r="I5" s="225"/>
      <c r="J5" s="225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3">
      <c r="B6" s="59"/>
      <c r="C6" s="59"/>
      <c r="D6" s="2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3">
      <c r="B7" s="341" t="s">
        <v>4</v>
      </c>
      <c r="C7" s="341"/>
      <c r="D7" s="341"/>
      <c r="E7" s="341"/>
      <c r="F7" s="59"/>
      <c r="G7" s="342" t="s">
        <v>14</v>
      </c>
      <c r="H7" s="343"/>
      <c r="I7" s="343"/>
      <c r="J7" s="344"/>
      <c r="K7" s="59"/>
      <c r="L7" s="341" t="s">
        <v>140</v>
      </c>
      <c r="M7" s="341"/>
      <c r="N7" s="341"/>
      <c r="O7" s="341"/>
      <c r="P7" s="341"/>
      <c r="Q7" s="341"/>
      <c r="R7" s="341"/>
      <c r="S7" s="341"/>
      <c r="T7" s="341"/>
      <c r="U7" s="341"/>
      <c r="V7" s="341"/>
      <c r="W7" s="341"/>
      <c r="X7" s="341"/>
    </row>
    <row r="8" spans="1:24" ht="20.25" customHeight="1" x14ac:dyDescent="0.3">
      <c r="B8" s="59"/>
      <c r="C8" s="59"/>
      <c r="D8" s="2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3">
      <c r="B9" s="226" t="s">
        <v>105</v>
      </c>
      <c r="C9" s="226" t="s">
        <v>123</v>
      </c>
      <c r="D9" s="260" t="s">
        <v>94</v>
      </c>
      <c r="E9" s="59"/>
      <c r="F9" s="59"/>
      <c r="G9" s="226" t="s">
        <v>105</v>
      </c>
      <c r="H9" s="226" t="s">
        <v>123</v>
      </c>
      <c r="I9" s="260" t="s">
        <v>94</v>
      </c>
      <c r="J9" s="59"/>
      <c r="K9" s="59"/>
      <c r="L9" s="226" t="s">
        <v>105</v>
      </c>
      <c r="M9" s="226" t="s">
        <v>123</v>
      </c>
      <c r="N9" s="260" t="s">
        <v>94</v>
      </c>
      <c r="O9" s="261"/>
      <c r="P9" s="261"/>
      <c r="Q9" s="261"/>
      <c r="R9" s="261"/>
      <c r="S9" s="261"/>
      <c r="T9" s="261"/>
      <c r="U9" s="261"/>
      <c r="V9" s="261"/>
      <c r="W9" s="59"/>
      <c r="X9" s="59"/>
    </row>
    <row r="10" spans="1:24" ht="21.75" customHeight="1" x14ac:dyDescent="0.3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62">
        <f>IFERROR($J$14,"0")</f>
        <v>0</v>
      </c>
      <c r="H10" s="262">
        <f>IFERROR((G14+H14)*0.5+(I14)*0.8,"0")</f>
        <v>0</v>
      </c>
      <c r="I10" s="262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63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3">
      <c r="B11" s="59"/>
      <c r="C11" s="264"/>
      <c r="D11" s="83"/>
      <c r="E11" s="59"/>
      <c r="F11" s="59"/>
      <c r="G11" s="264"/>
      <c r="H11" s="83"/>
      <c r="I11" s="83"/>
      <c r="J11" s="59"/>
      <c r="K11" s="59"/>
      <c r="L11" s="264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3">
      <c r="A12" s="127"/>
      <c r="B12" s="226">
        <v>110500</v>
      </c>
      <c r="C12" s="226">
        <v>111000</v>
      </c>
      <c r="D12" s="226">
        <v>111500</v>
      </c>
      <c r="E12" s="227"/>
      <c r="F12" s="59"/>
      <c r="G12" s="226">
        <v>120400</v>
      </c>
      <c r="H12" s="226">
        <v>121300</v>
      </c>
      <c r="I12" s="226">
        <v>123016</v>
      </c>
      <c r="J12" s="59"/>
      <c r="K12" s="59"/>
      <c r="L12" s="226">
        <v>112001</v>
      </c>
      <c r="M12" s="226">
        <v>112003</v>
      </c>
      <c r="N12" s="226">
        <v>112005</v>
      </c>
      <c r="O12" s="226">
        <v>112006</v>
      </c>
      <c r="P12" s="226">
        <v>112007</v>
      </c>
      <c r="Q12" s="226">
        <v>112008</v>
      </c>
      <c r="R12" s="226">
        <v>120305</v>
      </c>
      <c r="S12" s="226">
        <v>120310</v>
      </c>
      <c r="T12" s="226">
        <v>120315</v>
      </c>
      <c r="U12" s="226">
        <v>120320</v>
      </c>
      <c r="V12" s="226">
        <v>120325</v>
      </c>
      <c r="W12" s="226">
        <v>120330</v>
      </c>
      <c r="X12" s="59"/>
    </row>
    <row r="13" spans="1:24" ht="59.25" customHeight="1" x14ac:dyDescent="0.3">
      <c r="A13" s="128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3">
      <c r="A14" s="129"/>
      <c r="B14" s="130">
        <v>0</v>
      </c>
      <c r="C14" s="130">
        <v>0</v>
      </c>
      <c r="D14" s="130">
        <v>0</v>
      </c>
      <c r="E14" s="43">
        <f>SUM(B14:D14)</f>
        <v>0</v>
      </c>
      <c r="F14" s="265"/>
      <c r="G14" s="130">
        <v>0</v>
      </c>
      <c r="H14" s="43">
        <v>0</v>
      </c>
      <c r="I14" s="43">
        <v>0</v>
      </c>
      <c r="J14" s="130">
        <f>SUM(G14:I14)</f>
        <v>0</v>
      </c>
      <c r="K14" s="265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554687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6640625" style="3" customWidth="1"/>
    <col min="11" max="11" width="18.6640625" style="3" customWidth="1"/>
    <col min="12" max="12" width="20.6640625" style="38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34" t="s">
        <v>151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74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IFERROR(SUM(Tabla16[SaldoCapital]),"0")</f>
        <v>0</v>
      </c>
      <c r="C5" s="254"/>
      <c r="D5" s="59"/>
      <c r="E5" s="59"/>
      <c r="F5" s="59"/>
      <c r="G5" s="59"/>
      <c r="H5" s="59"/>
      <c r="I5" s="59"/>
      <c r="J5" s="59"/>
      <c r="K5" s="272" t="s">
        <v>47</v>
      </c>
      <c r="L5" s="273">
        <f>(1-'Índice promedio de morosidad '!$I$6)*SUM(Tabla16[1ra Banda])</f>
        <v>0</v>
      </c>
      <c r="M5" s="273">
        <f>(1-'Índice promedio de morosidad '!$I$6)*SUM(Tabla16[[2da Banda ]])</f>
        <v>0</v>
      </c>
      <c r="N5" s="273">
        <f>(1-'Índice promedio de morosidad '!$I$6)*SUM(Tabla16[3ra Banda])</f>
        <v>0</v>
      </c>
      <c r="O5" s="273">
        <f>(1-'Índice promedio de morosidad '!$I$6)*SUM(Tabla16[4ta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183"/>
      <c r="K6" s="272" t="s">
        <v>48</v>
      </c>
      <c r="L6" s="273">
        <f>(1-'Índice promedio de morosidad '!$I$7)*SUM(Tabla16[1ra Banda])</f>
        <v>0</v>
      </c>
      <c r="M6" s="273">
        <f>(1-'Índice promedio de morosidad '!$I$7)*SUM(Tabla16[[2da Banda ]])</f>
        <v>0</v>
      </c>
      <c r="N6" s="273">
        <f>(1-'Índice promedio de morosidad '!$I$7)*SUM(Tabla16[3ra Banda])</f>
        <v>0</v>
      </c>
      <c r="O6" s="273">
        <f>(1-'Índice promedio de morosidad '!$I$7)*SUM(Tabla16[4ta Banda])</f>
        <v>0</v>
      </c>
    </row>
    <row r="7" spans="1:16" ht="20.25" customHeight="1" x14ac:dyDescent="0.3">
      <c r="A7" s="345" t="s">
        <v>147</v>
      </c>
      <c r="B7" s="345"/>
      <c r="C7" s="345"/>
      <c r="D7" s="345"/>
      <c r="E7" s="345"/>
      <c r="F7" s="345"/>
      <c r="G7" s="345"/>
      <c r="H7" s="345"/>
      <c r="I7" s="345"/>
      <c r="J7" s="275"/>
      <c r="K7" s="257"/>
      <c r="L7" s="240"/>
      <c r="M7" s="134"/>
      <c r="N7" s="134"/>
      <c r="O7" s="134"/>
      <c r="P7" s="134"/>
    </row>
    <row r="8" spans="1:16" ht="58.2" customHeight="1" x14ac:dyDescent="0.3">
      <c r="A8" s="216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258"/>
      <c r="B9" s="179"/>
      <c r="C9" s="179"/>
      <c r="D9" s="233"/>
      <c r="E9" s="233"/>
      <c r="F9" s="179"/>
      <c r="G9" s="179"/>
      <c r="H9" s="179"/>
      <c r="I9" s="179"/>
      <c r="J9" s="179">
        <f>(1+F9/100)^(I9/360)-1</f>
        <v>0</v>
      </c>
      <c r="K9" s="234">
        <f>IFERROR(ROUND(NPER(J9,-H9,B9,,),0),0)</f>
        <v>0</v>
      </c>
      <c r="L9" s="218">
        <f>IF(I9&gt;30,0,IF(I9=30,H9/2,H9))</f>
        <v>0</v>
      </c>
      <c r="M9" s="218">
        <f>+IF(I9&gt;30,0,IF(I9=30,H9/2,H9))</f>
        <v>0</v>
      </c>
      <c r="N9" s="218" t="b">
        <f>+IF(I9&gt;60,0,IF(AND(I9&gt;=30,I9&lt;60),H9,IF(I9=15,2*H9)))</f>
        <v>0</v>
      </c>
      <c r="O9" s="219" t="b">
        <f>IF(I9&gt;90,0,IF(AND(I9&gt;=30,I9&lt;90),H9,IF(I9=15,2*H9)))</f>
        <v>0</v>
      </c>
      <c r="P9" s="174"/>
    </row>
    <row r="10" spans="1:16" ht="20.25" customHeight="1" x14ac:dyDescent="0.3">
      <c r="A10" s="137"/>
      <c r="B10" s="137"/>
      <c r="C10" s="137"/>
      <c r="D10" s="194"/>
      <c r="E10" s="194"/>
      <c r="F10" s="137"/>
      <c r="G10" s="137"/>
      <c r="H10" s="137"/>
      <c r="I10" s="137"/>
      <c r="J10" s="197"/>
      <c r="K10" s="198"/>
      <c r="L10" s="196"/>
      <c r="M10" s="196"/>
      <c r="N10" s="196"/>
      <c r="O10" s="196"/>
      <c r="P10" s="127"/>
    </row>
    <row r="11" spans="1:16" ht="20.25" customHeight="1" x14ac:dyDescent="0.3">
      <c r="A11" s="137"/>
      <c r="B11" s="137"/>
      <c r="C11" s="137"/>
      <c r="D11" s="194"/>
      <c r="E11" s="194"/>
      <c r="F11" s="137"/>
      <c r="G11" s="137"/>
      <c r="H11" s="137"/>
      <c r="I11" s="137"/>
      <c r="J11" s="197"/>
      <c r="K11" s="198"/>
      <c r="L11" s="196"/>
      <c r="M11" s="196"/>
      <c r="N11" s="196"/>
      <c r="O11" s="196"/>
      <c r="P11" s="127"/>
    </row>
    <row r="12" spans="1:16" ht="20.25" customHeight="1" x14ac:dyDescent="0.3">
      <c r="A12" s="137"/>
      <c r="B12" s="137"/>
      <c r="C12" s="137"/>
      <c r="D12" s="194"/>
      <c r="E12" s="194"/>
      <c r="F12" s="137"/>
      <c r="G12" s="137"/>
      <c r="H12" s="137"/>
      <c r="I12" s="137"/>
      <c r="J12" s="197"/>
      <c r="K12" s="198"/>
      <c r="L12" s="196"/>
      <c r="M12" s="196"/>
      <c r="N12" s="196"/>
      <c r="O12" s="196"/>
      <c r="P12" s="127"/>
    </row>
    <row r="13" spans="1:16" ht="20.25" customHeight="1" x14ac:dyDescent="0.3">
      <c r="A13" s="137"/>
      <c r="B13" s="137"/>
      <c r="C13" s="137"/>
      <c r="D13" s="194"/>
      <c r="E13" s="194"/>
      <c r="F13" s="137"/>
      <c r="G13" s="137"/>
      <c r="H13" s="137"/>
      <c r="I13" s="137"/>
      <c r="J13" s="197"/>
      <c r="K13" s="198"/>
      <c r="L13" s="196"/>
      <c r="M13" s="196"/>
      <c r="N13" s="196"/>
      <c r="O13" s="196"/>
      <c r="P13" s="127"/>
    </row>
    <row r="14" spans="1:16" ht="20.25" customHeight="1" x14ac:dyDescent="0.3">
      <c r="A14" s="137"/>
      <c r="B14" s="137"/>
      <c r="C14" s="137"/>
      <c r="D14" s="194"/>
      <c r="E14" s="194"/>
      <c r="F14" s="137"/>
      <c r="G14" s="137"/>
      <c r="H14" s="137"/>
      <c r="I14" s="137"/>
      <c r="J14" s="197"/>
      <c r="K14" s="198"/>
      <c r="L14" s="196"/>
      <c r="M14" s="196"/>
      <c r="N14" s="196"/>
      <c r="O14" s="196"/>
      <c r="P14" s="127"/>
    </row>
    <row r="15" spans="1:16" ht="20.25" customHeight="1" x14ac:dyDescent="0.3">
      <c r="A15" s="137"/>
      <c r="B15" s="137"/>
      <c r="C15" s="137"/>
      <c r="D15" s="194"/>
      <c r="E15" s="194"/>
      <c r="F15" s="137"/>
      <c r="G15" s="137"/>
      <c r="H15" s="137"/>
      <c r="I15" s="137"/>
      <c r="J15" s="197"/>
      <c r="K15" s="198"/>
      <c r="L15" s="196"/>
      <c r="M15" s="196"/>
      <c r="N15" s="196"/>
      <c r="O15" s="196"/>
      <c r="P15" s="127"/>
    </row>
    <row r="16" spans="1:16" ht="20.25" customHeight="1" x14ac:dyDescent="0.3">
      <c r="A16" s="137"/>
      <c r="B16" s="137"/>
      <c r="C16" s="137"/>
      <c r="D16" s="194"/>
      <c r="E16" s="194"/>
      <c r="F16" s="137"/>
      <c r="G16" s="137"/>
      <c r="H16" s="137"/>
      <c r="I16" s="137"/>
      <c r="J16" s="197"/>
      <c r="K16" s="198"/>
      <c r="L16" s="196"/>
      <c r="M16" s="196"/>
      <c r="N16" s="196"/>
      <c r="O16" s="196"/>
      <c r="P16" s="127"/>
    </row>
    <row r="17" spans="1:16" ht="20.25" customHeight="1" x14ac:dyDescent="0.3">
      <c r="A17" s="137"/>
      <c r="B17" s="137"/>
      <c r="C17" s="137"/>
      <c r="D17" s="194"/>
      <c r="E17" s="194"/>
      <c r="F17" s="137"/>
      <c r="G17" s="137"/>
      <c r="H17" s="137"/>
      <c r="I17" s="137"/>
      <c r="J17" s="197"/>
      <c r="K17" s="198"/>
      <c r="L17" s="196"/>
      <c r="M17" s="196"/>
      <c r="N17" s="196"/>
      <c r="O17" s="196"/>
      <c r="P17" s="127"/>
    </row>
    <row r="18" spans="1:16" ht="20.25" customHeight="1" x14ac:dyDescent="0.3">
      <c r="A18" s="137"/>
      <c r="B18" s="137"/>
      <c r="C18" s="137"/>
      <c r="D18" s="194"/>
      <c r="E18" s="194"/>
      <c r="F18" s="137"/>
      <c r="G18" s="137"/>
      <c r="H18" s="137"/>
      <c r="I18" s="137"/>
      <c r="J18" s="197"/>
      <c r="K18" s="198"/>
      <c r="L18" s="196"/>
      <c r="M18" s="196"/>
      <c r="N18" s="196"/>
      <c r="O18" s="196"/>
      <c r="P18" s="127"/>
    </row>
    <row r="19" spans="1:16" ht="20.25" customHeight="1" x14ac:dyDescent="0.3">
      <c r="A19" s="137"/>
      <c r="B19" s="137"/>
      <c r="C19" s="137"/>
      <c r="D19" s="194"/>
      <c r="E19" s="194"/>
      <c r="F19" s="137"/>
      <c r="G19" s="137"/>
      <c r="H19" s="137"/>
      <c r="I19" s="137"/>
      <c r="J19" s="197"/>
      <c r="K19" s="198"/>
      <c r="L19" s="196"/>
      <c r="M19" s="196"/>
      <c r="N19" s="196"/>
      <c r="O19" s="196"/>
      <c r="P19" s="127"/>
    </row>
    <row r="20" spans="1:16" ht="20.25" customHeight="1" x14ac:dyDescent="0.3">
      <c r="A20" s="137"/>
      <c r="B20" s="137"/>
      <c r="C20" s="137"/>
      <c r="D20" s="194"/>
      <c r="E20" s="194"/>
      <c r="F20" s="137"/>
      <c r="G20" s="137"/>
      <c r="H20" s="137"/>
      <c r="I20" s="137"/>
      <c r="J20" s="197"/>
      <c r="K20" s="198"/>
      <c r="L20" s="196"/>
      <c r="M20" s="196"/>
      <c r="N20" s="196"/>
      <c r="O20" s="196"/>
      <c r="P20" s="127"/>
    </row>
    <row r="21" spans="1:16" ht="20.25" customHeight="1" x14ac:dyDescent="0.3">
      <c r="A21" s="137"/>
      <c r="B21" s="137"/>
      <c r="C21" s="137"/>
      <c r="D21" s="194"/>
      <c r="E21" s="194"/>
      <c r="F21" s="137"/>
      <c r="G21" s="137"/>
      <c r="H21" s="137"/>
      <c r="I21" s="137"/>
      <c r="J21" s="197"/>
      <c r="K21" s="198"/>
      <c r="L21" s="196"/>
      <c r="M21" s="196"/>
      <c r="N21" s="196"/>
      <c r="O21" s="196"/>
      <c r="P21" s="127"/>
    </row>
    <row r="22" spans="1:16" ht="20.25" customHeight="1" x14ac:dyDescent="0.3">
      <c r="A22" s="137"/>
      <c r="B22" s="137"/>
      <c r="C22" s="137"/>
      <c r="D22" s="194"/>
      <c r="E22" s="194"/>
      <c r="F22" s="137"/>
      <c r="G22" s="137"/>
      <c r="H22" s="137"/>
      <c r="I22" s="137"/>
      <c r="J22" s="197"/>
      <c r="K22" s="198"/>
      <c r="L22" s="196"/>
      <c r="M22" s="196"/>
      <c r="N22" s="196"/>
      <c r="O22" s="196"/>
      <c r="P22" s="127"/>
    </row>
    <row r="23" spans="1:16" ht="20.25" customHeight="1" x14ac:dyDescent="0.3">
      <c r="A23" s="137"/>
      <c r="B23" s="137"/>
      <c r="C23" s="137"/>
      <c r="D23" s="194"/>
      <c r="E23" s="194"/>
      <c r="F23" s="137"/>
      <c r="G23" s="137"/>
      <c r="H23" s="137"/>
      <c r="I23" s="137"/>
      <c r="J23" s="197"/>
      <c r="K23" s="198"/>
      <c r="L23" s="196"/>
      <c r="M23" s="196"/>
      <c r="N23" s="196"/>
      <c r="O23" s="196"/>
      <c r="P23" s="127"/>
    </row>
    <row r="24" spans="1:16" ht="20.25" customHeight="1" x14ac:dyDescent="0.3">
      <c r="A24" s="137"/>
      <c r="B24" s="137"/>
      <c r="C24" s="137"/>
      <c r="D24" s="194"/>
      <c r="E24" s="194"/>
      <c r="F24" s="137"/>
      <c r="G24" s="137"/>
      <c r="H24" s="137"/>
      <c r="I24" s="137"/>
      <c r="J24" s="197"/>
      <c r="K24" s="198"/>
      <c r="L24" s="196"/>
      <c r="M24" s="196"/>
      <c r="N24" s="196"/>
      <c r="O24" s="196"/>
      <c r="P24" s="127"/>
    </row>
    <row r="25" spans="1:16" ht="20.25" customHeight="1" x14ac:dyDescent="0.3">
      <c r="A25" s="137"/>
      <c r="B25" s="137"/>
      <c r="C25" s="137"/>
      <c r="D25" s="194"/>
      <c r="E25" s="194"/>
      <c r="F25" s="137"/>
      <c r="G25" s="137"/>
      <c r="H25" s="137"/>
      <c r="I25" s="137"/>
      <c r="J25" s="197"/>
      <c r="K25" s="198"/>
      <c r="L25" s="196"/>
      <c r="M25" s="196"/>
      <c r="N25" s="196"/>
      <c r="O25" s="196"/>
      <c r="P25" s="127"/>
    </row>
    <row r="26" spans="1:16" ht="20.25" customHeight="1" x14ac:dyDescent="0.3">
      <c r="A26" s="137"/>
      <c r="B26" s="137"/>
      <c r="C26" s="137"/>
      <c r="D26" s="194"/>
      <c r="E26" s="194"/>
      <c r="F26" s="137"/>
      <c r="G26" s="137"/>
      <c r="H26" s="137"/>
      <c r="I26" s="137"/>
      <c r="J26" s="197"/>
      <c r="K26" s="198"/>
      <c r="L26" s="196"/>
      <c r="M26" s="196"/>
      <c r="N26" s="196"/>
      <c r="O26" s="196"/>
      <c r="P26" s="127"/>
    </row>
    <row r="27" spans="1:16" ht="20.25" customHeight="1" x14ac:dyDescent="0.3">
      <c r="A27" s="137"/>
      <c r="B27" s="137"/>
      <c r="C27" s="137"/>
      <c r="D27" s="194"/>
      <c r="E27" s="194"/>
      <c r="F27" s="137"/>
      <c r="G27" s="137"/>
      <c r="H27" s="137"/>
      <c r="I27" s="137"/>
      <c r="J27" s="197"/>
      <c r="K27" s="198"/>
      <c r="L27" s="196"/>
      <c r="M27" s="196"/>
      <c r="N27" s="196"/>
      <c r="O27" s="196"/>
      <c r="P27" s="127"/>
    </row>
    <row r="28" spans="1:16" ht="20.25" customHeight="1" x14ac:dyDescent="0.3">
      <c r="A28" s="137"/>
      <c r="B28" s="137"/>
      <c r="C28" s="137"/>
      <c r="D28" s="194"/>
      <c r="E28" s="194"/>
      <c r="F28" s="137"/>
      <c r="G28" s="137"/>
      <c r="H28" s="137"/>
      <c r="I28" s="137"/>
      <c r="J28" s="197"/>
      <c r="K28" s="198"/>
      <c r="L28" s="196"/>
      <c r="M28" s="196"/>
      <c r="N28" s="196"/>
      <c r="O28" s="196"/>
      <c r="P28" s="127"/>
    </row>
    <row r="29" spans="1:16" ht="20.25" customHeight="1" x14ac:dyDescent="0.3">
      <c r="A29" s="137"/>
      <c r="B29" s="137"/>
      <c r="C29" s="137"/>
      <c r="D29" s="194"/>
      <c r="E29" s="194"/>
      <c r="F29" s="137"/>
      <c r="G29" s="137"/>
      <c r="H29" s="137"/>
      <c r="I29" s="137"/>
      <c r="J29" s="197"/>
      <c r="K29" s="198"/>
      <c r="L29" s="196"/>
      <c r="M29" s="196"/>
      <c r="N29" s="196"/>
      <c r="O29" s="196"/>
      <c r="P29" s="127"/>
    </row>
    <row r="30" spans="1:16" ht="20.25" customHeight="1" x14ac:dyDescent="0.3">
      <c r="A30" s="137"/>
      <c r="B30" s="137"/>
      <c r="C30" s="137"/>
      <c r="D30" s="194"/>
      <c r="E30" s="194"/>
      <c r="F30" s="137"/>
      <c r="G30" s="137"/>
      <c r="H30" s="137"/>
      <c r="I30" s="137"/>
      <c r="J30" s="197"/>
      <c r="K30" s="198"/>
      <c r="L30" s="196"/>
      <c r="M30" s="196"/>
      <c r="N30" s="196"/>
      <c r="O30" s="196"/>
      <c r="P30" s="127"/>
    </row>
    <row r="31" spans="1:16" ht="20.25" customHeight="1" x14ac:dyDescent="0.3">
      <c r="A31" s="137"/>
      <c r="B31" s="137"/>
      <c r="C31" s="137"/>
      <c r="D31" s="194"/>
      <c r="E31" s="194"/>
      <c r="F31" s="137"/>
      <c r="G31" s="137"/>
      <c r="H31" s="137"/>
      <c r="I31" s="137"/>
      <c r="J31" s="197"/>
      <c r="K31" s="198"/>
      <c r="L31" s="196"/>
      <c r="M31" s="196"/>
      <c r="N31" s="196"/>
      <c r="O31" s="196"/>
      <c r="P31" s="127"/>
    </row>
    <row r="32" spans="1:16" ht="20.25" customHeight="1" x14ac:dyDescent="0.3">
      <c r="A32" s="137"/>
      <c r="B32" s="137"/>
      <c r="C32" s="137"/>
      <c r="D32" s="194"/>
      <c r="E32" s="194"/>
      <c r="F32" s="137"/>
      <c r="G32" s="137"/>
      <c r="H32" s="137"/>
      <c r="I32" s="137"/>
      <c r="J32" s="197"/>
      <c r="K32" s="198"/>
      <c r="L32" s="196"/>
      <c r="M32" s="196"/>
      <c r="N32" s="196"/>
      <c r="O32" s="196"/>
      <c r="P32" s="127"/>
    </row>
    <row r="33" spans="1:16" ht="20.25" customHeight="1" x14ac:dyDescent="0.3">
      <c r="A33" s="137"/>
      <c r="B33" s="137"/>
      <c r="C33" s="137"/>
      <c r="D33" s="194"/>
      <c r="E33" s="194"/>
      <c r="F33" s="137"/>
      <c r="G33" s="137"/>
      <c r="H33" s="137"/>
      <c r="I33" s="137"/>
      <c r="J33" s="197"/>
      <c r="K33" s="198"/>
      <c r="L33" s="196"/>
      <c r="M33" s="196"/>
      <c r="N33" s="196"/>
      <c r="O33" s="196"/>
      <c r="P33" s="127"/>
    </row>
    <row r="34" spans="1:16" ht="20.25" customHeight="1" x14ac:dyDescent="0.3">
      <c r="A34" s="137"/>
      <c r="B34" s="137"/>
      <c r="C34" s="137"/>
      <c r="D34" s="194"/>
      <c r="E34" s="194"/>
      <c r="F34" s="137"/>
      <c r="G34" s="137"/>
      <c r="H34" s="137"/>
      <c r="I34" s="137"/>
      <c r="J34" s="197"/>
      <c r="K34" s="198"/>
      <c r="L34" s="196"/>
      <c r="M34" s="196"/>
      <c r="N34" s="196"/>
      <c r="O34" s="196"/>
      <c r="P34" s="127"/>
    </row>
    <row r="35" spans="1:16" ht="20.25" customHeight="1" x14ac:dyDescent="0.3">
      <c r="A35" s="137"/>
      <c r="B35" s="137"/>
      <c r="C35" s="137"/>
      <c r="D35" s="194"/>
      <c r="E35" s="194"/>
      <c r="F35" s="137"/>
      <c r="G35" s="137"/>
      <c r="H35" s="137"/>
      <c r="I35" s="137"/>
      <c r="J35" s="197"/>
      <c r="K35" s="198"/>
      <c r="L35" s="196"/>
      <c r="M35" s="196"/>
      <c r="N35" s="196"/>
      <c r="O35" s="196"/>
      <c r="P35" s="127"/>
    </row>
    <row r="36" spans="1:16" ht="20.25" customHeight="1" x14ac:dyDescent="0.3">
      <c r="A36" s="137"/>
      <c r="B36" s="137"/>
      <c r="C36" s="137"/>
      <c r="D36" s="194"/>
      <c r="E36" s="194"/>
      <c r="F36" s="137"/>
      <c r="G36" s="137"/>
      <c r="H36" s="137"/>
      <c r="I36" s="137"/>
      <c r="J36" s="197"/>
      <c r="K36" s="198"/>
      <c r="L36" s="196"/>
      <c r="M36" s="196"/>
      <c r="N36" s="196"/>
      <c r="O36" s="196"/>
      <c r="P36" s="127"/>
    </row>
    <row r="37" spans="1:16" ht="20.25" customHeight="1" x14ac:dyDescent="0.3">
      <c r="A37" s="137"/>
      <c r="B37" s="137"/>
      <c r="C37" s="137"/>
      <c r="D37" s="194"/>
      <c r="E37" s="194"/>
      <c r="F37" s="137"/>
      <c r="G37" s="137"/>
      <c r="H37" s="137"/>
      <c r="I37" s="137"/>
      <c r="J37" s="197"/>
      <c r="K37" s="198"/>
      <c r="L37" s="196"/>
      <c r="M37" s="196"/>
      <c r="N37" s="196"/>
      <c r="O37" s="196"/>
      <c r="P37" s="127"/>
    </row>
    <row r="38" spans="1:16" ht="20.25" customHeight="1" x14ac:dyDescent="0.3">
      <c r="A38" s="137"/>
      <c r="B38" s="137"/>
      <c r="C38" s="137"/>
      <c r="D38" s="194"/>
      <c r="E38" s="194"/>
      <c r="F38" s="137"/>
      <c r="G38" s="137"/>
      <c r="H38" s="137"/>
      <c r="I38" s="137"/>
      <c r="J38" s="197"/>
      <c r="K38" s="198"/>
      <c r="L38" s="196"/>
      <c r="M38" s="196"/>
      <c r="N38" s="196"/>
      <c r="O38" s="196"/>
      <c r="P38" s="127"/>
    </row>
    <row r="39" spans="1:16" ht="20.25" customHeight="1" x14ac:dyDescent="0.3">
      <c r="A39" s="137"/>
      <c r="B39" s="137"/>
      <c r="C39" s="137"/>
      <c r="D39" s="194"/>
      <c r="E39" s="194"/>
      <c r="F39" s="137"/>
      <c r="G39" s="137"/>
      <c r="H39" s="137"/>
      <c r="I39" s="137"/>
      <c r="J39" s="197"/>
      <c r="K39" s="198"/>
      <c r="L39" s="196"/>
      <c r="M39" s="196"/>
      <c r="N39" s="196"/>
      <c r="O39" s="196"/>
      <c r="P39" s="127"/>
    </row>
    <row r="40" spans="1:16" ht="20.25" customHeight="1" x14ac:dyDescent="0.3">
      <c r="A40" s="137"/>
      <c r="B40" s="137"/>
      <c r="C40" s="137"/>
      <c r="D40" s="194"/>
      <c r="E40" s="194"/>
      <c r="F40" s="137"/>
      <c r="G40" s="137"/>
      <c r="H40" s="137"/>
      <c r="I40" s="137"/>
      <c r="J40" s="197"/>
      <c r="K40" s="198"/>
      <c r="L40" s="196"/>
      <c r="M40" s="196"/>
      <c r="N40" s="196"/>
      <c r="O40" s="196"/>
      <c r="P40" s="127"/>
    </row>
    <row r="41" spans="1:16" ht="20.25" customHeight="1" x14ac:dyDescent="0.3">
      <c r="A41" s="137"/>
      <c r="B41" s="137"/>
      <c r="C41" s="137"/>
      <c r="D41" s="194"/>
      <c r="E41" s="194"/>
      <c r="F41" s="137"/>
      <c r="G41" s="137"/>
      <c r="H41" s="137"/>
      <c r="I41" s="137"/>
      <c r="J41" s="197"/>
      <c r="K41" s="198"/>
      <c r="L41" s="196"/>
      <c r="M41" s="196"/>
      <c r="N41" s="196"/>
      <c r="O41" s="196"/>
      <c r="P41" s="127"/>
    </row>
    <row r="42" spans="1:16" ht="20.25" customHeight="1" x14ac:dyDescent="0.3">
      <c r="A42" s="137"/>
      <c r="B42" s="137"/>
      <c r="C42" s="137"/>
      <c r="D42" s="194"/>
      <c r="E42" s="194"/>
      <c r="F42" s="137"/>
      <c r="G42" s="137"/>
      <c r="H42" s="137"/>
      <c r="I42" s="137"/>
      <c r="J42" s="197"/>
      <c r="K42" s="198"/>
      <c r="L42" s="196"/>
      <c r="M42" s="196"/>
      <c r="N42" s="196"/>
      <c r="O42" s="196"/>
      <c r="P42" s="127"/>
    </row>
    <row r="43" spans="1:16" ht="20.25" customHeight="1" x14ac:dyDescent="0.3">
      <c r="A43" s="137"/>
      <c r="B43" s="137"/>
      <c r="C43" s="137"/>
      <c r="D43" s="194"/>
      <c r="E43" s="194"/>
      <c r="F43" s="137"/>
      <c r="G43" s="137"/>
      <c r="H43" s="137"/>
      <c r="I43" s="137"/>
      <c r="J43" s="197"/>
      <c r="K43" s="198"/>
      <c r="L43" s="196"/>
      <c r="M43" s="196"/>
      <c r="N43" s="196"/>
      <c r="O43" s="196"/>
      <c r="P43" s="127"/>
    </row>
    <row r="44" spans="1:16" ht="20.25" customHeight="1" x14ac:dyDescent="0.3">
      <c r="A44" s="137"/>
      <c r="B44" s="137"/>
      <c r="C44" s="137"/>
      <c r="D44" s="194"/>
      <c r="E44" s="194"/>
      <c r="F44" s="137"/>
      <c r="G44" s="137"/>
      <c r="H44" s="137"/>
      <c r="I44" s="137"/>
      <c r="J44" s="197"/>
      <c r="K44" s="198"/>
      <c r="L44" s="196"/>
      <c r="M44" s="196"/>
      <c r="N44" s="196"/>
      <c r="O44" s="196"/>
      <c r="P44" s="127"/>
    </row>
    <row r="45" spans="1:16" ht="20.25" customHeight="1" x14ac:dyDescent="0.3">
      <c r="A45" s="137"/>
      <c r="B45" s="137"/>
      <c r="C45" s="137"/>
      <c r="D45" s="194"/>
      <c r="E45" s="194"/>
      <c r="F45" s="137"/>
      <c r="G45" s="137"/>
      <c r="H45" s="137"/>
      <c r="I45" s="137"/>
      <c r="J45" s="197"/>
      <c r="K45" s="198"/>
      <c r="L45" s="196"/>
      <c r="M45" s="196"/>
      <c r="N45" s="196"/>
      <c r="O45" s="196"/>
      <c r="P45" s="127"/>
    </row>
    <row r="46" spans="1:16" ht="20.25" customHeight="1" x14ac:dyDescent="0.3">
      <c r="A46" s="137"/>
      <c r="B46" s="137"/>
      <c r="C46" s="137"/>
      <c r="D46" s="194"/>
      <c r="E46" s="194"/>
      <c r="F46" s="137"/>
      <c r="G46" s="137"/>
      <c r="H46" s="137"/>
      <c r="I46" s="137"/>
      <c r="J46" s="197"/>
      <c r="K46" s="198"/>
      <c r="L46" s="196"/>
      <c r="M46" s="196"/>
      <c r="N46" s="196"/>
      <c r="O46" s="196"/>
      <c r="P46" s="127"/>
    </row>
    <row r="47" spans="1:16" ht="20.25" customHeight="1" x14ac:dyDescent="0.3">
      <c r="A47" s="137"/>
      <c r="B47" s="137"/>
      <c r="C47" s="137"/>
      <c r="D47" s="194"/>
      <c r="E47" s="194"/>
      <c r="F47" s="137"/>
      <c r="G47" s="137"/>
      <c r="H47" s="137"/>
      <c r="I47" s="137"/>
      <c r="J47" s="197"/>
      <c r="K47" s="198"/>
      <c r="L47" s="196"/>
      <c r="M47" s="196"/>
      <c r="N47" s="196"/>
      <c r="O47" s="196"/>
      <c r="P47" s="127"/>
    </row>
    <row r="48" spans="1:16" ht="20.25" customHeight="1" x14ac:dyDescent="0.3">
      <c r="A48" s="137"/>
      <c r="B48" s="137"/>
      <c r="C48" s="137"/>
      <c r="D48" s="194"/>
      <c r="E48" s="194"/>
      <c r="F48" s="137"/>
      <c r="G48" s="137"/>
      <c r="H48" s="137"/>
      <c r="I48" s="137"/>
      <c r="J48" s="197"/>
      <c r="K48" s="198"/>
      <c r="L48" s="196"/>
      <c r="M48" s="196"/>
      <c r="N48" s="196"/>
      <c r="O48" s="196"/>
      <c r="P48" s="127"/>
    </row>
    <row r="49" spans="1:16" ht="20.25" customHeight="1" x14ac:dyDescent="0.3">
      <c r="A49" s="137"/>
      <c r="B49" s="137"/>
      <c r="C49" s="137"/>
      <c r="D49" s="194"/>
      <c r="E49" s="194"/>
      <c r="F49" s="137"/>
      <c r="G49" s="137"/>
      <c r="H49" s="137"/>
      <c r="I49" s="137"/>
      <c r="J49" s="197"/>
      <c r="K49" s="198"/>
      <c r="L49" s="196"/>
      <c r="M49" s="196"/>
      <c r="N49" s="196"/>
      <c r="O49" s="196"/>
      <c r="P49" s="127"/>
    </row>
    <row r="50" spans="1:16" ht="20.25" customHeight="1" x14ac:dyDescent="0.3">
      <c r="A50" s="137"/>
      <c r="B50" s="137"/>
      <c r="C50" s="137"/>
      <c r="D50" s="194"/>
      <c r="E50" s="194"/>
      <c r="F50" s="137"/>
      <c r="G50" s="137"/>
      <c r="H50" s="137"/>
      <c r="I50" s="137"/>
      <c r="J50" s="197"/>
      <c r="K50" s="198"/>
      <c r="L50" s="196"/>
      <c r="M50" s="196"/>
      <c r="N50" s="196"/>
      <c r="O50" s="196"/>
      <c r="P50" s="127"/>
    </row>
    <row r="51" spans="1:16" ht="20.25" customHeight="1" x14ac:dyDescent="0.3">
      <c r="A51" s="137"/>
      <c r="B51" s="137"/>
      <c r="C51" s="137"/>
      <c r="D51" s="194"/>
      <c r="E51" s="194"/>
      <c r="F51" s="137"/>
      <c r="G51" s="137"/>
      <c r="H51" s="137"/>
      <c r="I51" s="137"/>
      <c r="J51" s="197"/>
      <c r="K51" s="198"/>
      <c r="L51" s="196"/>
      <c r="M51" s="196"/>
      <c r="N51" s="196"/>
      <c r="O51" s="196"/>
      <c r="P51" s="127"/>
    </row>
    <row r="52" spans="1:16" ht="20.25" customHeight="1" x14ac:dyDescent="0.3">
      <c r="A52" s="137"/>
      <c r="B52" s="137"/>
      <c r="C52" s="137"/>
      <c r="D52" s="194"/>
      <c r="E52" s="194"/>
      <c r="F52" s="137"/>
      <c r="G52" s="137"/>
      <c r="H52" s="137"/>
      <c r="I52" s="137"/>
      <c r="J52" s="197"/>
      <c r="K52" s="198"/>
      <c r="L52" s="196"/>
      <c r="M52" s="196"/>
      <c r="N52" s="196"/>
      <c r="O52" s="196"/>
      <c r="P52" s="127"/>
    </row>
    <row r="53" spans="1:16" ht="20.25" customHeight="1" x14ac:dyDescent="0.3">
      <c r="A53" s="137"/>
      <c r="B53" s="137"/>
      <c r="C53" s="137"/>
      <c r="D53" s="194"/>
      <c r="E53" s="194"/>
      <c r="F53" s="137"/>
      <c r="G53" s="137"/>
      <c r="H53" s="137"/>
      <c r="I53" s="137"/>
      <c r="J53" s="197"/>
      <c r="K53" s="198"/>
      <c r="L53" s="196"/>
      <c r="M53" s="196"/>
      <c r="N53" s="196"/>
      <c r="O53" s="196"/>
      <c r="P53" s="127"/>
    </row>
    <row r="54" spans="1:16" ht="20.25" customHeight="1" x14ac:dyDescent="0.3">
      <c r="A54" s="137"/>
      <c r="B54" s="137"/>
      <c r="C54" s="137"/>
      <c r="D54" s="194"/>
      <c r="E54" s="194"/>
      <c r="F54" s="137"/>
      <c r="G54" s="137"/>
      <c r="H54" s="137"/>
      <c r="I54" s="137"/>
      <c r="J54" s="197"/>
      <c r="K54" s="198"/>
      <c r="L54" s="196"/>
      <c r="M54" s="196"/>
      <c r="N54" s="196"/>
      <c r="O54" s="196"/>
      <c r="P54" s="127"/>
    </row>
    <row r="55" spans="1:16" ht="20.25" customHeight="1" x14ac:dyDescent="0.3">
      <c r="A55" s="137"/>
      <c r="B55" s="137"/>
      <c r="C55" s="137"/>
      <c r="D55" s="194"/>
      <c r="E55" s="194"/>
      <c r="F55" s="137"/>
      <c r="G55" s="137"/>
      <c r="H55" s="137"/>
      <c r="I55" s="137"/>
      <c r="J55" s="197"/>
      <c r="K55" s="198"/>
      <c r="L55" s="196"/>
      <c r="M55" s="196"/>
      <c r="N55" s="196"/>
      <c r="O55" s="196"/>
      <c r="P55" s="127"/>
    </row>
    <row r="56" spans="1:16" ht="20.25" customHeight="1" x14ac:dyDescent="0.3">
      <c r="A56" s="137"/>
      <c r="B56" s="137"/>
      <c r="C56" s="137"/>
      <c r="D56" s="194"/>
      <c r="E56" s="194"/>
      <c r="F56" s="137"/>
      <c r="G56" s="137"/>
      <c r="H56" s="137"/>
      <c r="I56" s="137"/>
      <c r="J56" s="197"/>
      <c r="K56" s="198"/>
      <c r="L56" s="196"/>
      <c r="M56" s="196"/>
      <c r="N56" s="196"/>
      <c r="O56" s="196"/>
      <c r="P56" s="127"/>
    </row>
    <row r="57" spans="1:16" ht="20.25" customHeight="1" x14ac:dyDescent="0.3">
      <c r="A57" s="137"/>
      <c r="B57" s="137"/>
      <c r="C57" s="137"/>
      <c r="D57" s="194"/>
      <c r="E57" s="194"/>
      <c r="F57" s="137"/>
      <c r="G57" s="137"/>
      <c r="H57" s="137"/>
      <c r="I57" s="137"/>
      <c r="J57" s="197"/>
      <c r="K57" s="198"/>
      <c r="L57" s="196"/>
      <c r="M57" s="196"/>
      <c r="N57" s="196"/>
      <c r="O57" s="196"/>
      <c r="P57" s="127"/>
    </row>
    <row r="58" spans="1:16" ht="20.25" customHeight="1" x14ac:dyDescent="0.3">
      <c r="A58" s="137"/>
      <c r="B58" s="137"/>
      <c r="C58" s="137"/>
      <c r="D58" s="194"/>
      <c r="E58" s="194"/>
      <c r="F58" s="137"/>
      <c r="G58" s="137"/>
      <c r="H58" s="137"/>
      <c r="I58" s="137"/>
      <c r="J58" s="197"/>
      <c r="K58" s="198"/>
      <c r="L58" s="196"/>
      <c r="M58" s="196"/>
      <c r="N58" s="196"/>
      <c r="O58" s="196"/>
      <c r="P58" s="127"/>
    </row>
    <row r="59" spans="1:16" ht="20.25" customHeight="1" x14ac:dyDescent="0.3">
      <c r="A59" s="137"/>
      <c r="B59" s="137"/>
      <c r="C59" s="137"/>
      <c r="D59" s="194"/>
      <c r="E59" s="194"/>
      <c r="F59" s="137"/>
      <c r="G59" s="137"/>
      <c r="H59" s="137"/>
      <c r="I59" s="137"/>
      <c r="J59" s="197"/>
      <c r="K59" s="198"/>
      <c r="L59" s="196"/>
      <c r="M59" s="196"/>
      <c r="N59" s="196"/>
      <c r="O59" s="196"/>
      <c r="P59" s="127"/>
    </row>
    <row r="60" spans="1:16" ht="20.25" customHeight="1" x14ac:dyDescent="0.3">
      <c r="A60" s="137"/>
      <c r="B60" s="137"/>
      <c r="C60" s="137"/>
      <c r="D60" s="194"/>
      <c r="E60" s="194"/>
      <c r="F60" s="137"/>
      <c r="G60" s="137"/>
      <c r="H60" s="137"/>
      <c r="I60" s="137"/>
      <c r="J60" s="197"/>
      <c r="K60" s="198"/>
      <c r="L60" s="196"/>
      <c r="M60" s="196"/>
      <c r="N60" s="196"/>
      <c r="O60" s="196"/>
      <c r="P60" s="127"/>
    </row>
    <row r="61" spans="1:16" ht="20.25" customHeight="1" x14ac:dyDescent="0.3">
      <c r="A61" s="137"/>
      <c r="B61" s="137"/>
      <c r="C61" s="137"/>
      <c r="D61" s="194"/>
      <c r="E61" s="194"/>
      <c r="F61" s="137"/>
      <c r="G61" s="137"/>
      <c r="H61" s="137"/>
      <c r="I61" s="137"/>
      <c r="J61" s="197"/>
      <c r="K61" s="198"/>
      <c r="L61" s="196"/>
      <c r="M61" s="196"/>
      <c r="N61" s="196"/>
      <c r="O61" s="196"/>
      <c r="P61" s="127"/>
    </row>
    <row r="62" spans="1:16" ht="20.25" customHeight="1" x14ac:dyDescent="0.3">
      <c r="A62" s="137"/>
      <c r="B62" s="137"/>
      <c r="C62" s="137"/>
      <c r="D62" s="194"/>
      <c r="E62" s="194"/>
      <c r="F62" s="137"/>
      <c r="G62" s="137"/>
      <c r="H62" s="137"/>
      <c r="I62" s="137"/>
      <c r="J62" s="197"/>
      <c r="K62" s="198"/>
      <c r="L62" s="196"/>
      <c r="M62" s="196"/>
      <c r="N62" s="196"/>
      <c r="O62" s="196"/>
      <c r="P62" s="127"/>
    </row>
    <row r="63" spans="1:16" ht="20.25" customHeight="1" x14ac:dyDescent="0.3">
      <c r="A63" s="137"/>
      <c r="B63" s="137"/>
      <c r="C63" s="137"/>
      <c r="D63" s="194"/>
      <c r="E63" s="194"/>
      <c r="F63" s="137"/>
      <c r="G63" s="137"/>
      <c r="H63" s="137"/>
      <c r="I63" s="137"/>
      <c r="J63" s="197"/>
      <c r="K63" s="198"/>
      <c r="L63" s="196"/>
      <c r="M63" s="196"/>
      <c r="N63" s="196"/>
      <c r="O63" s="196"/>
      <c r="P63" s="127"/>
    </row>
    <row r="64" spans="1:16" ht="20.25" customHeight="1" x14ac:dyDescent="0.3">
      <c r="A64" s="137"/>
      <c r="B64" s="137"/>
      <c r="C64" s="137"/>
      <c r="D64" s="194"/>
      <c r="E64" s="194"/>
      <c r="F64" s="137"/>
      <c r="G64" s="137"/>
      <c r="H64" s="137"/>
      <c r="I64" s="137"/>
      <c r="J64" s="197"/>
      <c r="K64" s="198"/>
      <c r="L64" s="196"/>
      <c r="M64" s="196"/>
      <c r="N64" s="196"/>
      <c r="O64" s="196"/>
      <c r="P64" s="127"/>
    </row>
    <row r="65" spans="1:16" ht="20.25" customHeight="1" x14ac:dyDescent="0.3">
      <c r="A65" s="137"/>
      <c r="B65" s="137"/>
      <c r="C65" s="137"/>
      <c r="D65" s="194"/>
      <c r="E65" s="194"/>
      <c r="F65" s="137"/>
      <c r="G65" s="137"/>
      <c r="H65" s="137"/>
      <c r="I65" s="137"/>
      <c r="J65" s="197"/>
      <c r="K65" s="198"/>
      <c r="L65" s="196"/>
      <c r="M65" s="196"/>
      <c r="N65" s="196"/>
      <c r="O65" s="196"/>
      <c r="P65" s="127"/>
    </row>
    <row r="66" spans="1:16" ht="20.25" customHeight="1" x14ac:dyDescent="0.3">
      <c r="A66" s="137"/>
      <c r="B66" s="137"/>
      <c r="C66" s="137"/>
      <c r="D66" s="194"/>
      <c r="E66" s="194"/>
      <c r="F66" s="137"/>
      <c r="G66" s="137"/>
      <c r="H66" s="137"/>
      <c r="I66" s="137"/>
      <c r="J66" s="197"/>
      <c r="K66" s="198"/>
      <c r="L66" s="196"/>
      <c r="M66" s="196"/>
      <c r="N66" s="196"/>
      <c r="O66" s="196"/>
      <c r="P66" s="127"/>
    </row>
    <row r="67" spans="1:16" ht="20.25" customHeight="1" x14ac:dyDescent="0.3">
      <c r="A67" s="137"/>
      <c r="B67" s="137"/>
      <c r="C67" s="137"/>
      <c r="D67" s="194"/>
      <c r="E67" s="194"/>
      <c r="F67" s="137"/>
      <c r="G67" s="137"/>
      <c r="H67" s="137"/>
      <c r="I67" s="137"/>
      <c r="J67" s="197"/>
      <c r="K67" s="198"/>
      <c r="L67" s="196"/>
      <c r="M67" s="196"/>
      <c r="N67" s="196"/>
      <c r="O67" s="196"/>
      <c r="P67" s="127"/>
    </row>
    <row r="68" spans="1:16" ht="20.25" customHeight="1" x14ac:dyDescent="0.3">
      <c r="A68" s="137"/>
      <c r="B68" s="137"/>
      <c r="C68" s="137"/>
      <c r="D68" s="194"/>
      <c r="E68" s="194"/>
      <c r="F68" s="137"/>
      <c r="G68" s="137"/>
      <c r="H68" s="137"/>
      <c r="I68" s="137"/>
      <c r="J68" s="197"/>
      <c r="K68" s="198"/>
      <c r="L68" s="196"/>
      <c r="M68" s="196"/>
      <c r="N68" s="196"/>
      <c r="O68" s="196"/>
      <c r="P68" s="127"/>
    </row>
    <row r="69" spans="1:16" ht="20.25" customHeight="1" x14ac:dyDescent="0.3">
      <c r="A69" s="137"/>
      <c r="B69" s="137"/>
      <c r="C69" s="137"/>
      <c r="D69" s="194"/>
      <c r="E69" s="194"/>
      <c r="F69" s="137"/>
      <c r="G69" s="137"/>
      <c r="H69" s="137"/>
      <c r="I69" s="137"/>
      <c r="J69" s="197"/>
      <c r="K69" s="198"/>
      <c r="L69" s="196"/>
      <c r="M69" s="196"/>
      <c r="N69" s="196"/>
      <c r="O69" s="196"/>
      <c r="P69" s="127"/>
    </row>
    <row r="70" spans="1:16" ht="20.25" customHeight="1" x14ac:dyDescent="0.3">
      <c r="A70" s="137"/>
      <c r="B70" s="137"/>
      <c r="C70" s="137"/>
      <c r="D70" s="194"/>
      <c r="E70" s="194"/>
      <c r="F70" s="137"/>
      <c r="G70" s="137"/>
      <c r="H70" s="137"/>
      <c r="I70" s="137"/>
      <c r="J70" s="197"/>
      <c r="K70" s="198"/>
      <c r="L70" s="196"/>
      <c r="M70" s="196"/>
      <c r="N70" s="196"/>
      <c r="O70" s="196"/>
      <c r="P70" s="127"/>
    </row>
    <row r="71" spans="1:16" ht="20.25" customHeight="1" x14ac:dyDescent="0.3">
      <c r="A71" s="137"/>
      <c r="B71" s="137"/>
      <c r="C71" s="137"/>
      <c r="D71" s="194"/>
      <c r="E71" s="194"/>
      <c r="F71" s="137"/>
      <c r="G71" s="137"/>
      <c r="H71" s="137"/>
      <c r="I71" s="137"/>
      <c r="J71" s="197"/>
      <c r="K71" s="198"/>
      <c r="L71" s="196"/>
      <c r="M71" s="196"/>
      <c r="N71" s="196"/>
      <c r="O71" s="196"/>
      <c r="P71" s="127"/>
    </row>
    <row r="72" spans="1:16" ht="20.25" customHeight="1" x14ac:dyDescent="0.3">
      <c r="A72" s="137"/>
      <c r="B72" s="137"/>
      <c r="C72" s="137"/>
      <c r="D72" s="194"/>
      <c r="E72" s="194"/>
      <c r="F72" s="137"/>
      <c r="G72" s="137"/>
      <c r="H72" s="137"/>
      <c r="I72" s="137"/>
      <c r="J72" s="197"/>
      <c r="K72" s="198"/>
      <c r="L72" s="196"/>
      <c r="M72" s="196"/>
      <c r="N72" s="196"/>
      <c r="O72" s="196"/>
      <c r="P72" s="127"/>
    </row>
    <row r="73" spans="1:16" ht="20.25" customHeight="1" x14ac:dyDescent="0.3">
      <c r="A73" s="137"/>
      <c r="B73" s="137"/>
      <c r="C73" s="137"/>
      <c r="D73" s="194"/>
      <c r="E73" s="194"/>
      <c r="F73" s="137"/>
      <c r="G73" s="137"/>
      <c r="H73" s="137"/>
      <c r="I73" s="137"/>
      <c r="J73" s="197"/>
      <c r="K73" s="198"/>
      <c r="L73" s="196"/>
      <c r="M73" s="196"/>
      <c r="N73" s="196"/>
      <c r="O73" s="196"/>
      <c r="P73" s="127"/>
    </row>
    <row r="74" spans="1:16" ht="20.25" customHeight="1" x14ac:dyDescent="0.3">
      <c r="A74" s="137"/>
      <c r="B74" s="137"/>
      <c r="C74" s="137"/>
      <c r="D74" s="194"/>
      <c r="E74" s="194"/>
      <c r="F74" s="137"/>
      <c r="G74" s="137"/>
      <c r="H74" s="137"/>
      <c r="I74" s="137"/>
      <c r="J74" s="197"/>
      <c r="K74" s="198"/>
      <c r="L74" s="196"/>
      <c r="M74" s="196"/>
      <c r="N74" s="196"/>
      <c r="O74" s="196"/>
      <c r="P74" s="127"/>
    </row>
    <row r="75" spans="1:16" ht="20.25" customHeight="1" x14ac:dyDescent="0.3">
      <c r="A75" s="137"/>
      <c r="B75" s="137"/>
      <c r="C75" s="137"/>
      <c r="D75" s="194"/>
      <c r="E75" s="194"/>
      <c r="F75" s="137"/>
      <c r="G75" s="137"/>
      <c r="H75" s="137"/>
      <c r="I75" s="137"/>
      <c r="J75" s="197"/>
      <c r="K75" s="198"/>
      <c r="L75" s="196"/>
      <c r="M75" s="196"/>
      <c r="N75" s="196"/>
      <c r="O75" s="196"/>
      <c r="P75" s="127"/>
    </row>
    <row r="76" spans="1:16" ht="20.25" customHeight="1" x14ac:dyDescent="0.3">
      <c r="A76" s="137"/>
      <c r="B76" s="137"/>
      <c r="C76" s="137"/>
      <c r="D76" s="194"/>
      <c r="E76" s="194"/>
      <c r="F76" s="137"/>
      <c r="G76" s="137"/>
      <c r="H76" s="137"/>
      <c r="I76" s="137"/>
      <c r="J76" s="197"/>
      <c r="K76" s="198"/>
      <c r="L76" s="196"/>
      <c r="M76" s="196"/>
      <c r="N76" s="196"/>
      <c r="O76" s="196"/>
      <c r="P76" s="127"/>
    </row>
    <row r="77" spans="1:16" ht="20.25" customHeight="1" x14ac:dyDescent="0.3">
      <c r="A77" s="137"/>
      <c r="B77" s="137"/>
      <c r="C77" s="137"/>
      <c r="D77" s="194"/>
      <c r="E77" s="194"/>
      <c r="F77" s="137"/>
      <c r="G77" s="137"/>
      <c r="H77" s="137"/>
      <c r="I77" s="137"/>
      <c r="J77" s="197"/>
      <c r="K77" s="198"/>
      <c r="L77" s="196"/>
      <c r="M77" s="196"/>
      <c r="N77" s="196"/>
      <c r="O77" s="196"/>
      <c r="P77" s="127"/>
    </row>
    <row r="78" spans="1:16" ht="20.25" customHeight="1" x14ac:dyDescent="0.3">
      <c r="A78" s="137"/>
      <c r="B78" s="137"/>
      <c r="C78" s="137"/>
      <c r="D78" s="194"/>
      <c r="E78" s="194"/>
      <c r="F78" s="137"/>
      <c r="G78" s="137"/>
      <c r="H78" s="137"/>
      <c r="I78" s="137"/>
      <c r="J78" s="197"/>
      <c r="K78" s="198"/>
      <c r="L78" s="196"/>
      <c r="M78" s="196"/>
      <c r="N78" s="196"/>
      <c r="O78" s="196"/>
      <c r="P78" s="127"/>
    </row>
    <row r="79" spans="1:16" ht="20.25" customHeight="1" x14ac:dyDescent="0.3">
      <c r="A79" s="137"/>
      <c r="B79" s="137"/>
      <c r="C79" s="137"/>
      <c r="D79" s="194"/>
      <c r="E79" s="194"/>
      <c r="F79" s="137"/>
      <c r="G79" s="137"/>
      <c r="H79" s="137"/>
      <c r="I79" s="137"/>
      <c r="J79" s="197"/>
      <c r="K79" s="198"/>
      <c r="L79" s="196"/>
      <c r="M79" s="196"/>
      <c r="N79" s="196"/>
      <c r="O79" s="196"/>
      <c r="P79" s="127"/>
    </row>
    <row r="80" spans="1:16" ht="20.25" customHeight="1" x14ac:dyDescent="0.3">
      <c r="A80" s="137"/>
      <c r="B80" s="137"/>
      <c r="C80" s="137"/>
      <c r="D80" s="194"/>
      <c r="E80" s="194"/>
      <c r="F80" s="137"/>
      <c r="G80" s="137"/>
      <c r="H80" s="137"/>
      <c r="I80" s="137"/>
      <c r="J80" s="197"/>
      <c r="K80" s="198"/>
      <c r="L80" s="196"/>
      <c r="M80" s="196"/>
      <c r="N80" s="196"/>
      <c r="O80" s="196"/>
      <c r="P80" s="127"/>
    </row>
    <row r="81" spans="1:16" ht="20.25" customHeight="1" x14ac:dyDescent="0.3">
      <c r="A81" s="137"/>
      <c r="B81" s="137"/>
      <c r="C81" s="137"/>
      <c r="D81" s="194"/>
      <c r="E81" s="194"/>
      <c r="F81" s="137"/>
      <c r="G81" s="137"/>
      <c r="H81" s="137"/>
      <c r="I81" s="137"/>
      <c r="J81" s="197"/>
      <c r="K81" s="198"/>
      <c r="L81" s="196"/>
      <c r="M81" s="196"/>
      <c r="N81" s="196"/>
      <c r="O81" s="196"/>
      <c r="P81" s="127"/>
    </row>
    <row r="82" spans="1:16" ht="20.25" customHeight="1" x14ac:dyDescent="0.3">
      <c r="A82" s="137"/>
      <c r="B82" s="137"/>
      <c r="C82" s="137"/>
      <c r="D82" s="194"/>
      <c r="E82" s="194"/>
      <c r="F82" s="137"/>
      <c r="G82" s="137"/>
      <c r="H82" s="137"/>
      <c r="I82" s="137"/>
      <c r="J82" s="197"/>
      <c r="K82" s="198"/>
      <c r="L82" s="196"/>
      <c r="M82" s="196"/>
      <c r="N82" s="196"/>
      <c r="O82" s="196"/>
      <c r="P82" s="127"/>
    </row>
    <row r="83" spans="1:16" ht="20.25" customHeight="1" x14ac:dyDescent="0.3">
      <c r="A83" s="137"/>
      <c r="B83" s="137"/>
      <c r="C83" s="137"/>
      <c r="D83" s="194"/>
      <c r="E83" s="194"/>
      <c r="F83" s="137"/>
      <c r="G83" s="137"/>
      <c r="H83" s="137"/>
      <c r="I83" s="137"/>
      <c r="J83" s="197"/>
      <c r="K83" s="198"/>
      <c r="L83" s="196"/>
      <c r="M83" s="196"/>
      <c r="N83" s="196"/>
      <c r="O83" s="196"/>
      <c r="P83" s="127"/>
    </row>
    <row r="84" spans="1:16" ht="20.25" customHeight="1" x14ac:dyDescent="0.3">
      <c r="A84" s="137"/>
      <c r="B84" s="137"/>
      <c r="C84" s="137"/>
      <c r="D84" s="194"/>
      <c r="E84" s="194"/>
      <c r="F84" s="137"/>
      <c r="G84" s="137"/>
      <c r="H84" s="137"/>
      <c r="I84" s="137"/>
      <c r="J84" s="197"/>
      <c r="K84" s="198"/>
      <c r="L84" s="196"/>
      <c r="M84" s="196"/>
      <c r="N84" s="196"/>
      <c r="O84" s="196"/>
      <c r="P84" s="127"/>
    </row>
    <row r="85" spans="1:16" ht="20.25" customHeight="1" x14ac:dyDescent="0.3">
      <c r="A85" s="137"/>
      <c r="B85" s="137"/>
      <c r="C85" s="137"/>
      <c r="D85" s="194"/>
      <c r="E85" s="194"/>
      <c r="F85" s="137"/>
      <c r="G85" s="137"/>
      <c r="H85" s="137"/>
      <c r="I85" s="137"/>
      <c r="J85" s="197"/>
      <c r="K85" s="198"/>
      <c r="L85" s="196"/>
      <c r="M85" s="196"/>
      <c r="N85" s="196"/>
      <c r="O85" s="196"/>
      <c r="P85" s="127"/>
    </row>
    <row r="86" spans="1:16" ht="20.25" customHeight="1" x14ac:dyDescent="0.3">
      <c r="A86" s="137"/>
      <c r="B86" s="137"/>
      <c r="C86" s="137"/>
      <c r="D86" s="194"/>
      <c r="E86" s="194"/>
      <c r="F86" s="137"/>
      <c r="G86" s="137"/>
      <c r="H86" s="137"/>
      <c r="I86" s="137"/>
      <c r="J86" s="197"/>
      <c r="K86" s="198"/>
      <c r="L86" s="196"/>
      <c r="M86" s="196"/>
      <c r="N86" s="196"/>
      <c r="O86" s="196"/>
      <c r="P86" s="127"/>
    </row>
    <row r="87" spans="1:16" ht="20.25" customHeight="1" x14ac:dyDescent="0.3">
      <c r="A87" s="137"/>
      <c r="B87" s="137"/>
      <c r="C87" s="137"/>
      <c r="D87" s="194"/>
      <c r="E87" s="194"/>
      <c r="F87" s="137"/>
      <c r="G87" s="137"/>
      <c r="H87" s="137"/>
      <c r="I87" s="137"/>
      <c r="J87" s="197"/>
      <c r="K87" s="198"/>
      <c r="L87" s="196"/>
      <c r="M87" s="196"/>
      <c r="N87" s="196"/>
      <c r="O87" s="196"/>
      <c r="P87" s="127"/>
    </row>
    <row r="88" spans="1:16" ht="20.25" customHeight="1" x14ac:dyDescent="0.3">
      <c r="A88" s="137"/>
      <c r="B88" s="137"/>
      <c r="C88" s="137"/>
      <c r="D88" s="194"/>
      <c r="E88" s="194"/>
      <c r="F88" s="137"/>
      <c r="G88" s="137"/>
      <c r="H88" s="137"/>
      <c r="I88" s="137"/>
      <c r="J88" s="197"/>
      <c r="K88" s="198"/>
      <c r="L88" s="196"/>
      <c r="M88" s="196"/>
      <c r="N88" s="196"/>
      <c r="O88" s="196"/>
      <c r="P88" s="127"/>
    </row>
    <row r="89" spans="1:16" ht="20.25" customHeight="1" x14ac:dyDescent="0.3">
      <c r="A89" s="137"/>
      <c r="B89" s="137"/>
      <c r="C89" s="137"/>
      <c r="D89" s="194"/>
      <c r="E89" s="194"/>
      <c r="F89" s="137"/>
      <c r="G89" s="137"/>
      <c r="H89" s="137"/>
      <c r="I89" s="137"/>
      <c r="J89" s="197"/>
      <c r="K89" s="198"/>
      <c r="L89" s="196"/>
      <c r="M89" s="196"/>
      <c r="N89" s="196"/>
      <c r="O89" s="196"/>
      <c r="P89" s="127"/>
    </row>
    <row r="90" spans="1:16" ht="20.25" customHeight="1" x14ac:dyDescent="0.3">
      <c r="A90" s="137"/>
      <c r="B90" s="137"/>
      <c r="C90" s="137"/>
      <c r="D90" s="194"/>
      <c r="E90" s="194"/>
      <c r="F90" s="137"/>
      <c r="G90" s="137"/>
      <c r="H90" s="137"/>
      <c r="I90" s="137"/>
      <c r="J90" s="197"/>
      <c r="K90" s="198"/>
      <c r="L90" s="196"/>
      <c r="M90" s="196"/>
      <c r="N90" s="196"/>
      <c r="O90" s="196"/>
      <c r="P90" s="127"/>
    </row>
    <row r="91" spans="1:16" ht="20.25" customHeight="1" x14ac:dyDescent="0.3">
      <c r="A91" s="137"/>
      <c r="B91" s="137"/>
      <c r="C91" s="137"/>
      <c r="D91" s="194"/>
      <c r="E91" s="194"/>
      <c r="F91" s="137"/>
      <c r="G91" s="137"/>
      <c r="H91" s="137"/>
      <c r="I91" s="137"/>
      <c r="J91" s="197"/>
      <c r="K91" s="198"/>
      <c r="L91" s="196"/>
      <c r="M91" s="196"/>
      <c r="N91" s="196"/>
      <c r="O91" s="196"/>
      <c r="P91" s="127"/>
    </row>
    <row r="92" spans="1:16" ht="20.25" customHeight="1" x14ac:dyDescent="0.3">
      <c r="A92" s="137"/>
      <c r="B92" s="137"/>
      <c r="C92" s="137"/>
      <c r="D92" s="194"/>
      <c r="E92" s="194"/>
      <c r="F92" s="137"/>
      <c r="G92" s="137"/>
      <c r="H92" s="137"/>
      <c r="I92" s="137"/>
      <c r="J92" s="197"/>
      <c r="K92" s="198"/>
      <c r="L92" s="196"/>
      <c r="M92" s="196"/>
      <c r="N92" s="196"/>
      <c r="O92" s="196"/>
      <c r="P92" s="127"/>
    </row>
    <row r="93" spans="1:16" ht="20.25" customHeight="1" x14ac:dyDescent="0.3">
      <c r="A93" s="137"/>
      <c r="B93" s="137"/>
      <c r="C93" s="137"/>
      <c r="D93" s="194"/>
      <c r="E93" s="194"/>
      <c r="F93" s="137"/>
      <c r="G93" s="137"/>
      <c r="H93" s="137"/>
      <c r="I93" s="137"/>
      <c r="J93" s="197"/>
      <c r="K93" s="198"/>
      <c r="L93" s="196"/>
      <c r="M93" s="196"/>
      <c r="N93" s="196"/>
      <c r="O93" s="196"/>
      <c r="P93" s="127"/>
    </row>
    <row r="94" spans="1:16" ht="20.25" customHeight="1" x14ac:dyDescent="0.3">
      <c r="A94" s="137"/>
      <c r="B94" s="137"/>
      <c r="C94" s="137"/>
      <c r="D94" s="194"/>
      <c r="E94" s="194"/>
      <c r="F94" s="137"/>
      <c r="G94" s="137"/>
      <c r="H94" s="137"/>
      <c r="I94" s="137"/>
      <c r="J94" s="197"/>
      <c r="K94" s="198"/>
      <c r="L94" s="196"/>
      <c r="M94" s="196"/>
      <c r="N94" s="196"/>
      <c r="O94" s="196"/>
      <c r="P94" s="127"/>
    </row>
    <row r="95" spans="1:16" ht="20.25" customHeight="1" x14ac:dyDescent="0.3">
      <c r="A95" s="137"/>
      <c r="B95" s="137"/>
      <c r="C95" s="137"/>
      <c r="D95" s="194"/>
      <c r="E95" s="194"/>
      <c r="F95" s="137"/>
      <c r="G95" s="137"/>
      <c r="H95" s="137"/>
      <c r="I95" s="137"/>
      <c r="J95" s="197"/>
      <c r="K95" s="198"/>
      <c r="L95" s="196"/>
      <c r="M95" s="196"/>
      <c r="N95" s="196"/>
      <c r="O95" s="196"/>
      <c r="P95" s="127"/>
    </row>
    <row r="96" spans="1:16" ht="20.25" customHeight="1" x14ac:dyDescent="0.3">
      <c r="A96" s="137"/>
      <c r="B96" s="137"/>
      <c r="C96" s="137"/>
      <c r="D96" s="194"/>
      <c r="E96" s="194"/>
      <c r="F96" s="137"/>
      <c r="G96" s="137"/>
      <c r="H96" s="137"/>
      <c r="I96" s="137"/>
      <c r="J96" s="197"/>
      <c r="K96" s="198"/>
      <c r="L96" s="196"/>
      <c r="M96" s="196"/>
      <c r="N96" s="196"/>
      <c r="O96" s="196"/>
      <c r="P96" s="127"/>
    </row>
    <row r="97" spans="1:16" ht="20.25" customHeight="1" x14ac:dyDescent="0.3">
      <c r="A97" s="137"/>
      <c r="B97" s="137"/>
      <c r="C97" s="137"/>
      <c r="D97" s="194"/>
      <c r="E97" s="194"/>
      <c r="F97" s="137"/>
      <c r="G97" s="137"/>
      <c r="H97" s="137"/>
      <c r="I97" s="137"/>
      <c r="J97" s="197"/>
      <c r="K97" s="198"/>
      <c r="L97" s="196"/>
      <c r="M97" s="196"/>
      <c r="N97" s="196"/>
      <c r="O97" s="196"/>
      <c r="P97" s="127"/>
    </row>
    <row r="98" spans="1:16" ht="20.25" customHeight="1" x14ac:dyDescent="0.3">
      <c r="A98" s="137"/>
      <c r="B98" s="137"/>
      <c r="C98" s="137"/>
      <c r="D98" s="194"/>
      <c r="E98" s="194"/>
      <c r="F98" s="137"/>
      <c r="G98" s="137"/>
      <c r="H98" s="137"/>
      <c r="I98" s="137"/>
      <c r="J98" s="197"/>
      <c r="K98" s="198"/>
      <c r="L98" s="196"/>
      <c r="M98" s="196"/>
      <c r="N98" s="196"/>
      <c r="O98" s="196"/>
      <c r="P98" s="127"/>
    </row>
    <row r="99" spans="1:16" ht="20.25" customHeight="1" x14ac:dyDescent="0.3">
      <c r="A99" s="137"/>
      <c r="B99" s="137"/>
      <c r="C99" s="137"/>
      <c r="D99" s="194"/>
      <c r="E99" s="194"/>
      <c r="F99" s="137"/>
      <c r="G99" s="137"/>
      <c r="H99" s="137"/>
      <c r="I99" s="137"/>
      <c r="J99" s="197"/>
      <c r="K99" s="198"/>
      <c r="L99" s="196"/>
      <c r="M99" s="196"/>
      <c r="N99" s="196"/>
      <c r="O99" s="196"/>
      <c r="P99" s="127"/>
    </row>
    <row r="100" spans="1:16" ht="20.25" customHeight="1" x14ac:dyDescent="0.3">
      <c r="A100" s="137"/>
      <c r="B100" s="137"/>
      <c r="C100" s="137"/>
      <c r="D100" s="194"/>
      <c r="E100" s="194"/>
      <c r="F100" s="137"/>
      <c r="G100" s="137"/>
      <c r="H100" s="137"/>
      <c r="I100" s="137"/>
      <c r="J100" s="197"/>
      <c r="K100" s="198"/>
      <c r="L100" s="196"/>
      <c r="M100" s="196"/>
      <c r="N100" s="196"/>
      <c r="O100" s="196"/>
      <c r="P100" s="127"/>
    </row>
    <row r="101" spans="1:16" ht="20.25" customHeight="1" x14ac:dyDescent="0.3">
      <c r="A101" s="137"/>
      <c r="B101" s="137"/>
      <c r="C101" s="137"/>
      <c r="D101" s="194"/>
      <c r="E101" s="194"/>
      <c r="F101" s="137"/>
      <c r="G101" s="137"/>
      <c r="H101" s="137"/>
      <c r="I101" s="137"/>
      <c r="J101" s="197"/>
      <c r="K101" s="198"/>
      <c r="L101" s="196"/>
      <c r="M101" s="196"/>
      <c r="N101" s="196"/>
      <c r="O101" s="196"/>
      <c r="P101" s="127"/>
    </row>
    <row r="102" spans="1:16" ht="20.25" customHeight="1" x14ac:dyDescent="0.3">
      <c r="A102" s="137"/>
      <c r="B102" s="137"/>
      <c r="C102" s="137"/>
      <c r="D102" s="194"/>
      <c r="E102" s="194"/>
      <c r="F102" s="137"/>
      <c r="G102" s="137"/>
      <c r="H102" s="137"/>
      <c r="I102" s="137"/>
      <c r="J102" s="197"/>
      <c r="K102" s="198"/>
      <c r="L102" s="196"/>
      <c r="M102" s="196"/>
      <c r="N102" s="196"/>
      <c r="O102" s="196"/>
      <c r="P102" s="127"/>
    </row>
    <row r="103" spans="1:16" ht="20.25" customHeight="1" x14ac:dyDescent="0.3">
      <c r="A103" s="137"/>
      <c r="B103" s="137"/>
      <c r="C103" s="137"/>
      <c r="D103" s="194"/>
      <c r="E103" s="194"/>
      <c r="F103" s="137"/>
      <c r="G103" s="137"/>
      <c r="H103" s="137"/>
      <c r="I103" s="137"/>
      <c r="J103" s="197"/>
      <c r="K103" s="198"/>
      <c r="L103" s="196"/>
      <c r="M103" s="196"/>
      <c r="N103" s="196"/>
      <c r="O103" s="196"/>
      <c r="P103" s="127"/>
    </row>
    <row r="104" spans="1:16" ht="20.25" customHeight="1" x14ac:dyDescent="0.3">
      <c r="A104" s="137"/>
      <c r="B104" s="137"/>
      <c r="C104" s="137"/>
      <c r="D104" s="194"/>
      <c r="E104" s="194"/>
      <c r="F104" s="137"/>
      <c r="G104" s="137"/>
      <c r="H104" s="137"/>
      <c r="I104" s="137"/>
      <c r="J104" s="197"/>
      <c r="K104" s="198"/>
      <c r="L104" s="196"/>
      <c r="M104" s="196"/>
      <c r="N104" s="196"/>
      <c r="O104" s="196"/>
      <c r="P104" s="127"/>
    </row>
    <row r="105" spans="1:16" ht="20.25" customHeight="1" x14ac:dyDescent="0.3">
      <c r="A105" s="137"/>
      <c r="B105" s="137"/>
      <c r="C105" s="137"/>
      <c r="D105" s="194"/>
      <c r="E105" s="194"/>
      <c r="F105" s="137"/>
      <c r="G105" s="137"/>
      <c r="H105" s="137"/>
      <c r="I105" s="137"/>
      <c r="J105" s="197"/>
      <c r="K105" s="198"/>
      <c r="L105" s="196"/>
      <c r="M105" s="196"/>
      <c r="N105" s="196"/>
      <c r="O105" s="196"/>
      <c r="P105" s="127"/>
    </row>
    <row r="106" spans="1:16" ht="20.25" customHeight="1" x14ac:dyDescent="0.3">
      <c r="A106" s="137"/>
      <c r="B106" s="137"/>
      <c r="C106" s="137"/>
      <c r="D106" s="194"/>
      <c r="E106" s="194"/>
      <c r="F106" s="137"/>
      <c r="G106" s="137"/>
      <c r="H106" s="137"/>
      <c r="I106" s="137"/>
      <c r="J106" s="197"/>
      <c r="K106" s="198"/>
      <c r="L106" s="196"/>
      <c r="M106" s="196"/>
      <c r="N106" s="196"/>
      <c r="O106" s="196"/>
      <c r="P106" s="127"/>
    </row>
    <row r="107" spans="1:16" ht="20.25" customHeight="1" x14ac:dyDescent="0.3">
      <c r="A107" s="137"/>
      <c r="B107" s="137"/>
      <c r="C107" s="137"/>
      <c r="D107" s="194"/>
      <c r="E107" s="194"/>
      <c r="F107" s="137"/>
      <c r="G107" s="137"/>
      <c r="H107" s="137"/>
      <c r="I107" s="137"/>
      <c r="J107" s="197"/>
      <c r="K107" s="198"/>
      <c r="L107" s="196"/>
      <c r="M107" s="196"/>
      <c r="N107" s="196"/>
      <c r="O107" s="196"/>
      <c r="P107" s="127"/>
    </row>
    <row r="108" spans="1:16" ht="20.25" customHeight="1" x14ac:dyDescent="0.3">
      <c r="A108" s="137"/>
      <c r="B108" s="137"/>
      <c r="C108" s="137"/>
      <c r="D108" s="194"/>
      <c r="E108" s="194"/>
      <c r="F108" s="137"/>
      <c r="G108" s="137"/>
      <c r="H108" s="137"/>
      <c r="I108" s="137"/>
      <c r="J108" s="197"/>
      <c r="K108" s="198"/>
      <c r="L108" s="196"/>
      <c r="M108" s="196"/>
      <c r="N108" s="196"/>
      <c r="O108" s="196"/>
      <c r="P108" s="127"/>
    </row>
    <row r="109" spans="1:16" ht="20.25" customHeight="1" x14ac:dyDescent="0.3">
      <c r="A109" s="137"/>
      <c r="B109" s="137"/>
      <c r="C109" s="137"/>
      <c r="D109" s="194"/>
      <c r="E109" s="194"/>
      <c r="F109" s="137"/>
      <c r="G109" s="137"/>
      <c r="H109" s="137"/>
      <c r="I109" s="137"/>
      <c r="J109" s="197"/>
      <c r="K109" s="198"/>
      <c r="L109" s="196"/>
      <c r="M109" s="196"/>
      <c r="N109" s="196"/>
      <c r="O109" s="196"/>
      <c r="P109" s="127"/>
    </row>
    <row r="110" spans="1:16" ht="20.25" customHeight="1" x14ac:dyDescent="0.3">
      <c r="A110" s="137"/>
      <c r="B110" s="137"/>
      <c r="C110" s="137"/>
      <c r="D110" s="194"/>
      <c r="E110" s="194"/>
      <c r="F110" s="137"/>
      <c r="G110" s="137"/>
      <c r="H110" s="137"/>
      <c r="I110" s="137"/>
      <c r="J110" s="197"/>
      <c r="K110" s="198"/>
      <c r="L110" s="196"/>
      <c r="M110" s="196"/>
      <c r="N110" s="196"/>
      <c r="O110" s="196"/>
      <c r="P110" s="127"/>
    </row>
    <row r="111" spans="1:16" ht="20.25" customHeight="1" x14ac:dyDescent="0.3">
      <c r="A111" s="137"/>
      <c r="B111" s="137"/>
      <c r="C111" s="137"/>
      <c r="D111" s="194"/>
      <c r="E111" s="194"/>
      <c r="F111" s="137"/>
      <c r="G111" s="137"/>
      <c r="H111" s="137"/>
      <c r="I111" s="137"/>
      <c r="J111" s="197"/>
      <c r="K111" s="198"/>
      <c r="L111" s="196"/>
      <c r="M111" s="196"/>
      <c r="N111" s="196"/>
      <c r="O111" s="196"/>
      <c r="P111" s="127"/>
    </row>
    <row r="112" spans="1:16" ht="20.25" customHeight="1" x14ac:dyDescent="0.3">
      <c r="A112" s="137"/>
      <c r="B112" s="137"/>
      <c r="C112" s="137"/>
      <c r="D112" s="194"/>
      <c r="E112" s="194"/>
      <c r="F112" s="137"/>
      <c r="G112" s="137"/>
      <c r="H112" s="137"/>
      <c r="I112" s="137"/>
      <c r="J112" s="197"/>
      <c r="K112" s="198"/>
      <c r="L112" s="196"/>
      <c r="M112" s="196"/>
      <c r="N112" s="196"/>
      <c r="O112" s="196"/>
      <c r="P112" s="127"/>
    </row>
    <row r="113" spans="1:16" ht="20.25" customHeight="1" x14ac:dyDescent="0.3">
      <c r="A113" s="137"/>
      <c r="B113" s="137"/>
      <c r="C113" s="137"/>
      <c r="D113" s="194"/>
      <c r="E113" s="194"/>
      <c r="F113" s="137"/>
      <c r="G113" s="137"/>
      <c r="H113" s="137"/>
      <c r="I113" s="137"/>
      <c r="J113" s="197"/>
      <c r="K113" s="198"/>
      <c r="L113" s="196"/>
      <c r="M113" s="196"/>
      <c r="N113" s="196"/>
      <c r="O113" s="196"/>
      <c r="P113" s="127"/>
    </row>
    <row r="114" spans="1:16" ht="20.25" customHeight="1" x14ac:dyDescent="0.3">
      <c r="A114" s="137"/>
      <c r="B114" s="137"/>
      <c r="C114" s="137"/>
      <c r="D114" s="194"/>
      <c r="E114" s="194"/>
      <c r="F114" s="137"/>
      <c r="G114" s="137"/>
      <c r="H114" s="137"/>
      <c r="I114" s="137"/>
      <c r="J114" s="197"/>
      <c r="K114" s="198"/>
      <c r="L114" s="196"/>
      <c r="M114" s="196"/>
      <c r="N114" s="196"/>
      <c r="O114" s="196"/>
      <c r="P114" s="127"/>
    </row>
    <row r="115" spans="1:16" ht="20.25" customHeight="1" x14ac:dyDescent="0.3">
      <c r="A115" s="137"/>
      <c r="B115" s="137"/>
      <c r="C115" s="137"/>
      <c r="D115" s="194"/>
      <c r="E115" s="194"/>
      <c r="F115" s="137"/>
      <c r="G115" s="137"/>
      <c r="H115" s="137"/>
      <c r="I115" s="137"/>
      <c r="J115" s="197"/>
      <c r="K115" s="198"/>
      <c r="L115" s="196"/>
      <c r="M115" s="196"/>
      <c r="N115" s="196"/>
      <c r="O115" s="196"/>
      <c r="P115" s="127"/>
    </row>
    <row r="116" spans="1:16" ht="20.25" customHeight="1" x14ac:dyDescent="0.3">
      <c r="A116" s="137"/>
      <c r="B116" s="137"/>
      <c r="C116" s="137"/>
      <c r="D116" s="194"/>
      <c r="E116" s="194"/>
      <c r="F116" s="137"/>
      <c r="G116" s="137"/>
      <c r="H116" s="137"/>
      <c r="I116" s="137"/>
      <c r="J116" s="197"/>
      <c r="K116" s="198"/>
      <c r="L116" s="196"/>
      <c r="M116" s="196"/>
      <c r="N116" s="196"/>
      <c r="O116" s="196"/>
      <c r="P116" s="127"/>
    </row>
    <row r="117" spans="1:16" ht="20.25" customHeight="1" x14ac:dyDescent="0.3">
      <c r="A117" s="137"/>
      <c r="B117" s="137"/>
      <c r="C117" s="137"/>
      <c r="D117" s="194"/>
      <c r="E117" s="194"/>
      <c r="F117" s="137"/>
      <c r="G117" s="137"/>
      <c r="H117" s="137"/>
      <c r="I117" s="137"/>
      <c r="J117" s="197"/>
      <c r="K117" s="198"/>
      <c r="L117" s="196"/>
      <c r="M117" s="196"/>
      <c r="N117" s="196"/>
      <c r="O117" s="196"/>
      <c r="P117" s="127"/>
    </row>
    <row r="118" spans="1:16" ht="20.25" customHeight="1" x14ac:dyDescent="0.3">
      <c r="A118" s="137"/>
      <c r="B118" s="137"/>
      <c r="C118" s="137"/>
      <c r="D118" s="194"/>
      <c r="E118" s="194"/>
      <c r="F118" s="137"/>
      <c r="G118" s="137"/>
      <c r="H118" s="137"/>
      <c r="I118" s="137"/>
      <c r="J118" s="197"/>
      <c r="K118" s="198"/>
      <c r="L118" s="196"/>
      <c r="M118" s="196"/>
      <c r="N118" s="196"/>
      <c r="O118" s="196"/>
      <c r="P118" s="127"/>
    </row>
    <row r="119" spans="1:16" ht="20.25" customHeight="1" x14ac:dyDescent="0.3">
      <c r="A119" s="137"/>
      <c r="B119" s="137"/>
      <c r="C119" s="137"/>
      <c r="D119" s="194"/>
      <c r="E119" s="194"/>
      <c r="F119" s="137"/>
      <c r="G119" s="137"/>
      <c r="H119" s="137"/>
      <c r="I119" s="137"/>
      <c r="J119" s="197"/>
      <c r="K119" s="198"/>
      <c r="L119" s="196"/>
      <c r="M119" s="196"/>
      <c r="N119" s="196"/>
      <c r="O119" s="196"/>
      <c r="P119" s="127"/>
    </row>
    <row r="120" spans="1:16" ht="20.25" customHeight="1" x14ac:dyDescent="0.3">
      <c r="A120" s="137"/>
      <c r="B120" s="137"/>
      <c r="C120" s="137"/>
      <c r="D120" s="194"/>
      <c r="E120" s="194"/>
      <c r="F120" s="137"/>
      <c r="G120" s="137"/>
      <c r="H120" s="137"/>
      <c r="I120" s="137"/>
      <c r="J120" s="197"/>
      <c r="K120" s="198"/>
      <c r="L120" s="196"/>
      <c r="M120" s="196"/>
      <c r="N120" s="196"/>
      <c r="O120" s="196"/>
      <c r="P120" s="127"/>
    </row>
    <row r="121" spans="1:16" ht="20.25" customHeight="1" x14ac:dyDescent="0.3">
      <c r="A121" s="137"/>
      <c r="B121" s="137"/>
      <c r="C121" s="137"/>
      <c r="D121" s="194"/>
      <c r="E121" s="194"/>
      <c r="F121" s="137"/>
      <c r="G121" s="137"/>
      <c r="H121" s="137"/>
      <c r="I121" s="137"/>
      <c r="J121" s="197"/>
      <c r="K121" s="198"/>
      <c r="L121" s="196"/>
      <c r="M121" s="196"/>
      <c r="N121" s="196"/>
      <c r="O121" s="196"/>
      <c r="P121" s="127"/>
    </row>
    <row r="122" spans="1:16" ht="20.25" customHeight="1" x14ac:dyDescent="0.3">
      <c r="A122" s="137"/>
      <c r="B122" s="137"/>
      <c r="C122" s="137"/>
      <c r="D122" s="194"/>
      <c r="E122" s="194"/>
      <c r="F122" s="137"/>
      <c r="G122" s="137"/>
      <c r="H122" s="137"/>
      <c r="I122" s="137"/>
      <c r="J122" s="197"/>
      <c r="K122" s="198"/>
      <c r="L122" s="196"/>
      <c r="M122" s="196"/>
      <c r="N122" s="196"/>
      <c r="O122" s="196"/>
      <c r="P122" s="127"/>
    </row>
    <row r="123" spans="1:16" ht="20.25" customHeight="1" x14ac:dyDescent="0.3">
      <c r="A123" s="137"/>
      <c r="B123" s="137"/>
      <c r="C123" s="137"/>
      <c r="D123" s="194"/>
      <c r="E123" s="194"/>
      <c r="F123" s="137"/>
      <c r="G123" s="137"/>
      <c r="H123" s="137"/>
      <c r="I123" s="137"/>
      <c r="J123" s="197"/>
      <c r="K123" s="198"/>
      <c r="L123" s="196"/>
      <c r="M123" s="196"/>
      <c r="N123" s="196"/>
      <c r="O123" s="196"/>
      <c r="P123" s="127"/>
    </row>
    <row r="124" spans="1:16" ht="20.25" customHeight="1" x14ac:dyDescent="0.3">
      <c r="A124" s="137"/>
      <c r="B124" s="137"/>
      <c r="C124" s="137"/>
      <c r="D124" s="194"/>
      <c r="E124" s="194"/>
      <c r="F124" s="137"/>
      <c r="G124" s="137"/>
      <c r="H124" s="137"/>
      <c r="I124" s="137"/>
      <c r="J124" s="197"/>
      <c r="K124" s="198"/>
      <c r="L124" s="196"/>
      <c r="M124" s="196"/>
      <c r="N124" s="196"/>
      <c r="O124" s="196"/>
      <c r="P124" s="127"/>
    </row>
    <row r="125" spans="1:16" ht="20.25" customHeight="1" x14ac:dyDescent="0.3">
      <c r="A125" s="137"/>
      <c r="B125" s="137"/>
      <c r="C125" s="137"/>
      <c r="D125" s="194"/>
      <c r="E125" s="194"/>
      <c r="F125" s="137"/>
      <c r="G125" s="137"/>
      <c r="H125" s="137"/>
      <c r="I125" s="137"/>
      <c r="J125" s="197"/>
      <c r="K125" s="198"/>
      <c r="L125" s="196"/>
      <c r="M125" s="196"/>
      <c r="N125" s="196"/>
      <c r="O125" s="196"/>
      <c r="P125" s="127"/>
    </row>
    <row r="126" spans="1:16" ht="20.25" customHeight="1" x14ac:dyDescent="0.3">
      <c r="A126" s="137"/>
      <c r="B126" s="137"/>
      <c r="C126" s="137"/>
      <c r="D126" s="194"/>
      <c r="E126" s="194"/>
      <c r="F126" s="137"/>
      <c r="G126" s="137"/>
      <c r="H126" s="137"/>
      <c r="I126" s="137"/>
      <c r="J126" s="197"/>
      <c r="K126" s="198"/>
      <c r="L126" s="196"/>
      <c r="M126" s="196"/>
      <c r="N126" s="196"/>
      <c r="O126" s="196"/>
      <c r="P126" s="127"/>
    </row>
    <row r="127" spans="1:16" ht="20.25" customHeight="1" x14ac:dyDescent="0.3">
      <c r="A127" s="137"/>
      <c r="B127" s="137"/>
      <c r="C127" s="137"/>
      <c r="D127" s="194"/>
      <c r="E127" s="194"/>
      <c r="F127" s="137"/>
      <c r="G127" s="137"/>
      <c r="H127" s="137"/>
      <c r="I127" s="137"/>
      <c r="J127" s="197"/>
      <c r="K127" s="198"/>
      <c r="L127" s="196"/>
      <c r="M127" s="196"/>
      <c r="N127" s="196"/>
      <c r="O127" s="196"/>
      <c r="P127" s="127"/>
    </row>
    <row r="128" spans="1:16" ht="20.25" customHeight="1" x14ac:dyDescent="0.3">
      <c r="A128" s="137"/>
      <c r="B128" s="137"/>
      <c r="C128" s="137"/>
      <c r="D128" s="194"/>
      <c r="E128" s="194"/>
      <c r="F128" s="137"/>
      <c r="G128" s="137"/>
      <c r="H128" s="137"/>
      <c r="I128" s="137"/>
      <c r="J128" s="197"/>
      <c r="K128" s="198"/>
      <c r="L128" s="196"/>
      <c r="M128" s="196"/>
      <c r="N128" s="196"/>
      <c r="O128" s="196"/>
      <c r="P128" s="127"/>
    </row>
    <row r="129" spans="1:16" ht="20.25" customHeight="1" x14ac:dyDescent="0.3">
      <c r="A129" s="137"/>
      <c r="B129" s="137"/>
      <c r="C129" s="137"/>
      <c r="D129" s="194"/>
      <c r="E129" s="194"/>
      <c r="F129" s="137"/>
      <c r="G129" s="137"/>
      <c r="H129" s="137"/>
      <c r="I129" s="137"/>
      <c r="J129" s="197"/>
      <c r="K129" s="198"/>
      <c r="L129" s="196"/>
      <c r="M129" s="196"/>
      <c r="N129" s="196"/>
      <c r="O129" s="196"/>
      <c r="P129" s="127"/>
    </row>
    <row r="130" spans="1:16" ht="20.25" customHeight="1" x14ac:dyDescent="0.3">
      <c r="A130" s="137"/>
      <c r="B130" s="137"/>
      <c r="C130" s="137"/>
      <c r="D130" s="194"/>
      <c r="E130" s="194"/>
      <c r="F130" s="137"/>
      <c r="G130" s="137"/>
      <c r="H130" s="137"/>
      <c r="I130" s="137"/>
      <c r="J130" s="197"/>
      <c r="K130" s="198"/>
      <c r="L130" s="196"/>
      <c r="M130" s="196"/>
      <c r="N130" s="196"/>
      <c r="O130" s="196"/>
      <c r="P130" s="127"/>
    </row>
    <row r="131" spans="1:16" ht="20.25" customHeight="1" x14ac:dyDescent="0.3">
      <c r="A131" s="137"/>
      <c r="B131" s="137"/>
      <c r="C131" s="137"/>
      <c r="D131" s="194"/>
      <c r="E131" s="194"/>
      <c r="F131" s="137"/>
      <c r="G131" s="137"/>
      <c r="H131" s="137"/>
      <c r="I131" s="137"/>
      <c r="J131" s="197"/>
      <c r="K131" s="198"/>
      <c r="L131" s="196"/>
      <c r="M131" s="196"/>
      <c r="N131" s="196"/>
      <c r="O131" s="196"/>
      <c r="P131" s="127"/>
    </row>
    <row r="132" spans="1:16" ht="20.25" customHeight="1" x14ac:dyDescent="0.3">
      <c r="A132" s="137"/>
      <c r="B132" s="137"/>
      <c r="C132" s="137"/>
      <c r="D132" s="194"/>
      <c r="E132" s="194"/>
      <c r="F132" s="137"/>
      <c r="G132" s="137"/>
      <c r="H132" s="137"/>
      <c r="I132" s="137"/>
      <c r="J132" s="197"/>
      <c r="K132" s="198"/>
      <c r="L132" s="196"/>
      <c r="M132" s="196"/>
      <c r="N132" s="196"/>
      <c r="O132" s="196"/>
      <c r="P132" s="127"/>
    </row>
    <row r="133" spans="1:16" ht="20.25" customHeight="1" x14ac:dyDescent="0.3">
      <c r="A133" s="137"/>
      <c r="B133" s="137"/>
      <c r="C133" s="137"/>
      <c r="D133" s="194"/>
      <c r="E133" s="194"/>
      <c r="F133" s="137"/>
      <c r="G133" s="137"/>
      <c r="H133" s="137"/>
      <c r="I133" s="137"/>
      <c r="J133" s="197"/>
      <c r="K133" s="198"/>
      <c r="L133" s="196"/>
      <c r="M133" s="196"/>
      <c r="N133" s="196"/>
      <c r="O133" s="196"/>
      <c r="P133" s="127"/>
    </row>
    <row r="134" spans="1:16" ht="20.25" customHeight="1" x14ac:dyDescent="0.3">
      <c r="A134" s="137"/>
      <c r="B134" s="137"/>
      <c r="C134" s="137"/>
      <c r="D134" s="194"/>
      <c r="E134" s="194"/>
      <c r="F134" s="137"/>
      <c r="G134" s="137"/>
      <c r="H134" s="137"/>
      <c r="I134" s="137"/>
      <c r="J134" s="197"/>
      <c r="K134" s="198"/>
      <c r="L134" s="196"/>
      <c r="M134" s="196"/>
      <c r="N134" s="196"/>
      <c r="O134" s="196"/>
      <c r="P134" s="127"/>
    </row>
    <row r="135" spans="1:16" ht="20.25" customHeight="1" x14ac:dyDescent="0.3">
      <c r="A135" s="137"/>
      <c r="B135" s="137"/>
      <c r="C135" s="137"/>
      <c r="D135" s="194"/>
      <c r="E135" s="194"/>
      <c r="F135" s="137"/>
      <c r="G135" s="137"/>
      <c r="H135" s="137"/>
      <c r="I135" s="137"/>
      <c r="J135" s="197"/>
      <c r="K135" s="198"/>
      <c r="L135" s="196"/>
      <c r="M135" s="196"/>
      <c r="N135" s="196"/>
      <c r="O135" s="196"/>
      <c r="P135" s="127"/>
    </row>
    <row r="136" spans="1:16" ht="20.25" customHeight="1" x14ac:dyDescent="0.3">
      <c r="A136" s="137"/>
      <c r="B136" s="137"/>
      <c r="C136" s="137"/>
      <c r="D136" s="194"/>
      <c r="E136" s="194"/>
      <c r="F136" s="137"/>
      <c r="G136" s="137"/>
      <c r="H136" s="137"/>
      <c r="I136" s="137"/>
      <c r="J136" s="197"/>
      <c r="K136" s="198"/>
      <c r="L136" s="196"/>
      <c r="M136" s="196"/>
      <c r="N136" s="196"/>
      <c r="O136" s="196"/>
      <c r="P136" s="127"/>
    </row>
    <row r="137" spans="1:16" ht="20.25" customHeight="1" x14ac:dyDescent="0.3">
      <c r="A137" s="137"/>
      <c r="B137" s="137"/>
      <c r="C137" s="137"/>
      <c r="D137" s="194"/>
      <c r="E137" s="194"/>
      <c r="F137" s="137"/>
      <c r="G137" s="137"/>
      <c r="H137" s="137"/>
      <c r="I137" s="137"/>
      <c r="J137" s="197"/>
      <c r="K137" s="198"/>
      <c r="L137" s="196"/>
      <c r="M137" s="196"/>
      <c r="N137" s="196"/>
      <c r="O137" s="196"/>
      <c r="P137" s="127"/>
    </row>
    <row r="138" spans="1:16" ht="20.25" customHeight="1" x14ac:dyDescent="0.3">
      <c r="A138" s="137"/>
      <c r="B138" s="137"/>
      <c r="C138" s="137"/>
      <c r="D138" s="194"/>
      <c r="E138" s="194"/>
      <c r="F138" s="137"/>
      <c r="G138" s="137"/>
      <c r="H138" s="137"/>
      <c r="I138" s="137"/>
      <c r="J138" s="197"/>
      <c r="K138" s="198"/>
      <c r="L138" s="196"/>
      <c r="M138" s="196"/>
      <c r="N138" s="196"/>
      <c r="O138" s="196"/>
      <c r="P138" s="127"/>
    </row>
    <row r="139" spans="1:16" ht="20.25" customHeight="1" x14ac:dyDescent="0.3">
      <c r="A139" s="137"/>
      <c r="B139" s="137"/>
      <c r="C139" s="137"/>
      <c r="D139" s="194"/>
      <c r="E139" s="194"/>
      <c r="F139" s="137"/>
      <c r="G139" s="137"/>
      <c r="H139" s="137"/>
      <c r="I139" s="137"/>
      <c r="J139" s="197"/>
      <c r="K139" s="198"/>
      <c r="L139" s="196"/>
      <c r="M139" s="196"/>
      <c r="N139" s="196"/>
      <c r="O139" s="196"/>
      <c r="P139" s="127"/>
    </row>
    <row r="140" spans="1:16" ht="20.25" customHeight="1" x14ac:dyDescent="0.3">
      <c r="A140" s="137"/>
      <c r="B140" s="137"/>
      <c r="C140" s="137"/>
      <c r="D140" s="194"/>
      <c r="E140" s="194"/>
      <c r="F140" s="137"/>
      <c r="G140" s="137"/>
      <c r="H140" s="137"/>
      <c r="I140" s="137"/>
      <c r="J140" s="197"/>
      <c r="K140" s="198"/>
      <c r="L140" s="196"/>
      <c r="M140" s="196"/>
      <c r="N140" s="196"/>
      <c r="O140" s="196"/>
      <c r="P140" s="127"/>
    </row>
    <row r="141" spans="1:16" ht="20.25" customHeight="1" x14ac:dyDescent="0.3">
      <c r="A141" s="137"/>
      <c r="B141" s="137"/>
      <c r="C141" s="137"/>
      <c r="D141" s="194"/>
      <c r="E141" s="194"/>
      <c r="F141" s="137"/>
      <c r="G141" s="137"/>
      <c r="H141" s="137"/>
      <c r="I141" s="137"/>
      <c r="J141" s="197"/>
      <c r="K141" s="198"/>
      <c r="L141" s="196"/>
      <c r="M141" s="196"/>
      <c r="N141" s="196"/>
      <c r="O141" s="196"/>
      <c r="P141" s="127"/>
    </row>
    <row r="142" spans="1:16" ht="20.25" customHeight="1" x14ac:dyDescent="0.3">
      <c r="A142" s="137"/>
      <c r="B142" s="137"/>
      <c r="C142" s="137"/>
      <c r="D142" s="194"/>
      <c r="E142" s="194"/>
      <c r="F142" s="137"/>
      <c r="G142" s="137"/>
      <c r="H142" s="137"/>
      <c r="I142" s="137"/>
      <c r="J142" s="197"/>
      <c r="K142" s="198"/>
      <c r="L142" s="196"/>
      <c r="M142" s="196"/>
      <c r="N142" s="196"/>
      <c r="O142" s="196"/>
      <c r="P142" s="127"/>
    </row>
    <row r="143" spans="1:16" ht="20.25" customHeight="1" x14ac:dyDescent="0.3">
      <c r="A143" s="137"/>
      <c r="B143" s="137"/>
      <c r="C143" s="137"/>
      <c r="D143" s="194"/>
      <c r="E143" s="194"/>
      <c r="F143" s="137"/>
      <c r="G143" s="137"/>
      <c r="H143" s="137"/>
      <c r="I143" s="137"/>
      <c r="J143" s="197"/>
      <c r="K143" s="198"/>
      <c r="L143" s="196"/>
      <c r="M143" s="196"/>
      <c r="N143" s="196"/>
      <c r="O143" s="196"/>
      <c r="P143" s="127"/>
    </row>
    <row r="144" spans="1:16" ht="20.25" customHeight="1" x14ac:dyDescent="0.3">
      <c r="A144" s="137"/>
      <c r="B144" s="137"/>
      <c r="C144" s="137"/>
      <c r="D144" s="194"/>
      <c r="E144" s="194"/>
      <c r="F144" s="137"/>
      <c r="G144" s="137"/>
      <c r="H144" s="137"/>
      <c r="I144" s="137"/>
      <c r="J144" s="197"/>
      <c r="K144" s="198"/>
      <c r="L144" s="196"/>
      <c r="M144" s="196"/>
      <c r="N144" s="196"/>
      <c r="O144" s="196"/>
      <c r="P144" s="127"/>
    </row>
    <row r="145" spans="1:16" ht="20.25" customHeight="1" x14ac:dyDescent="0.3">
      <c r="A145" s="137"/>
      <c r="B145" s="137"/>
      <c r="C145" s="137"/>
      <c r="D145" s="194"/>
      <c r="E145" s="194"/>
      <c r="F145" s="137"/>
      <c r="G145" s="137"/>
      <c r="H145" s="137"/>
      <c r="I145" s="137"/>
      <c r="J145" s="197"/>
      <c r="K145" s="198"/>
      <c r="L145" s="196"/>
      <c r="M145" s="196"/>
      <c r="N145" s="196"/>
      <c r="O145" s="196"/>
      <c r="P145" s="127"/>
    </row>
    <row r="146" spans="1:16" ht="20.25" customHeight="1" x14ac:dyDescent="0.3">
      <c r="A146" s="137"/>
      <c r="B146" s="137"/>
      <c r="C146" s="137"/>
      <c r="D146" s="194"/>
      <c r="E146" s="194"/>
      <c r="F146" s="137"/>
      <c r="G146" s="137"/>
      <c r="H146" s="137"/>
      <c r="I146" s="137"/>
      <c r="J146" s="197"/>
      <c r="K146" s="198"/>
      <c r="L146" s="196"/>
      <c r="M146" s="196"/>
      <c r="N146" s="196"/>
      <c r="O146" s="196"/>
      <c r="P146" s="127"/>
    </row>
    <row r="147" spans="1:16" ht="20.25" customHeight="1" x14ac:dyDescent="0.3">
      <c r="A147" s="137"/>
      <c r="B147" s="137"/>
      <c r="C147" s="137"/>
      <c r="D147" s="194"/>
      <c r="E147" s="194"/>
      <c r="F147" s="137"/>
      <c r="G147" s="137"/>
      <c r="H147" s="137"/>
      <c r="I147" s="137"/>
      <c r="J147" s="197"/>
      <c r="K147" s="198"/>
      <c r="L147" s="196"/>
      <c r="M147" s="196"/>
      <c r="N147" s="196"/>
      <c r="O147" s="196"/>
      <c r="P147" s="127"/>
    </row>
    <row r="148" spans="1:16" ht="20.25" customHeight="1" x14ac:dyDescent="0.3">
      <c r="A148" s="137"/>
      <c r="B148" s="137"/>
      <c r="C148" s="137"/>
      <c r="D148" s="194"/>
      <c r="E148" s="194"/>
      <c r="F148" s="137"/>
      <c r="G148" s="137"/>
      <c r="H148" s="137"/>
      <c r="I148" s="137"/>
      <c r="J148" s="197"/>
      <c r="K148" s="198"/>
      <c r="L148" s="196"/>
      <c r="M148" s="196"/>
      <c r="N148" s="196"/>
      <c r="O148" s="196"/>
      <c r="P148" s="127"/>
    </row>
    <row r="149" spans="1:16" ht="20.25" customHeight="1" x14ac:dyDescent="0.3">
      <c r="A149" s="137"/>
      <c r="B149" s="137"/>
      <c r="C149" s="137"/>
      <c r="D149" s="194"/>
      <c r="E149" s="194"/>
      <c r="F149" s="137"/>
      <c r="G149" s="137"/>
      <c r="H149" s="137"/>
      <c r="I149" s="137"/>
      <c r="J149" s="197"/>
      <c r="K149" s="198"/>
      <c r="L149" s="196"/>
      <c r="M149" s="196"/>
      <c r="N149" s="196"/>
      <c r="O149" s="196"/>
      <c r="P149" s="127"/>
    </row>
    <row r="150" spans="1:16" ht="20.25" customHeight="1" x14ac:dyDescent="0.3">
      <c r="A150" s="137"/>
      <c r="B150" s="137"/>
      <c r="C150" s="137"/>
      <c r="D150" s="194"/>
      <c r="E150" s="194"/>
      <c r="F150" s="137"/>
      <c r="G150" s="137"/>
      <c r="H150" s="137"/>
      <c r="I150" s="137"/>
      <c r="J150" s="197"/>
      <c r="K150" s="198"/>
      <c r="L150" s="196"/>
      <c r="M150" s="196"/>
      <c r="N150" s="196"/>
      <c r="O150" s="196"/>
      <c r="P150" s="127"/>
    </row>
    <row r="151" spans="1:16" ht="20.25" customHeight="1" x14ac:dyDescent="0.3">
      <c r="A151" s="137"/>
      <c r="B151" s="137"/>
      <c r="C151" s="137"/>
      <c r="D151" s="194"/>
      <c r="E151" s="194"/>
      <c r="F151" s="137"/>
      <c r="G151" s="137"/>
      <c r="H151" s="137"/>
      <c r="I151" s="137"/>
      <c r="J151" s="197"/>
      <c r="K151" s="198"/>
      <c r="L151" s="196"/>
      <c r="M151" s="196"/>
      <c r="N151" s="196"/>
      <c r="O151" s="196"/>
      <c r="P151" s="127"/>
    </row>
    <row r="152" spans="1:16" ht="20.25" customHeight="1" x14ac:dyDescent="0.3">
      <c r="A152" s="137"/>
      <c r="B152" s="137"/>
      <c r="C152" s="137"/>
      <c r="D152" s="194"/>
      <c r="E152" s="194"/>
      <c r="F152" s="137"/>
      <c r="G152" s="137"/>
      <c r="H152" s="137"/>
      <c r="I152" s="137"/>
      <c r="J152" s="197"/>
      <c r="K152" s="198"/>
      <c r="L152" s="196"/>
      <c r="M152" s="196"/>
      <c r="N152" s="196"/>
      <c r="O152" s="196"/>
      <c r="P152" s="127"/>
    </row>
    <row r="153" spans="1:16" ht="20.25" customHeight="1" x14ac:dyDescent="0.3">
      <c r="A153" s="137"/>
      <c r="B153" s="137"/>
      <c r="C153" s="137"/>
      <c r="D153" s="194"/>
      <c r="E153" s="194"/>
      <c r="F153" s="137"/>
      <c r="G153" s="137"/>
      <c r="H153" s="137"/>
      <c r="I153" s="137"/>
      <c r="J153" s="197"/>
      <c r="K153" s="198"/>
      <c r="L153" s="196"/>
      <c r="M153" s="196"/>
      <c r="N153" s="196"/>
      <c r="O153" s="196"/>
      <c r="P153" s="127"/>
    </row>
    <row r="154" spans="1:16" ht="20.25" customHeight="1" x14ac:dyDescent="0.3">
      <c r="A154" s="137"/>
      <c r="B154" s="137"/>
      <c r="C154" s="137"/>
      <c r="D154" s="194"/>
      <c r="E154" s="194"/>
      <c r="F154" s="137"/>
      <c r="G154" s="137"/>
      <c r="H154" s="137"/>
      <c r="I154" s="137"/>
      <c r="J154" s="197"/>
      <c r="K154" s="198"/>
      <c r="L154" s="196"/>
      <c r="M154" s="196"/>
      <c r="N154" s="196"/>
      <c r="O154" s="196"/>
      <c r="P154" s="127"/>
    </row>
    <row r="155" spans="1:16" ht="20.25" customHeight="1" x14ac:dyDescent="0.3">
      <c r="A155" s="137"/>
      <c r="B155" s="137"/>
      <c r="C155" s="137"/>
      <c r="D155" s="194"/>
      <c r="E155" s="194"/>
      <c r="F155" s="137"/>
      <c r="G155" s="137"/>
      <c r="H155" s="137"/>
      <c r="I155" s="137"/>
      <c r="J155" s="197"/>
      <c r="K155" s="198"/>
      <c r="L155" s="196"/>
      <c r="M155" s="196"/>
      <c r="N155" s="196"/>
      <c r="O155" s="196"/>
      <c r="P155" s="127"/>
    </row>
    <row r="156" spans="1:16" ht="20.25" customHeight="1" x14ac:dyDescent="0.3">
      <c r="A156" s="137"/>
      <c r="B156" s="137"/>
      <c r="C156" s="137"/>
      <c r="D156" s="194"/>
      <c r="E156" s="194"/>
      <c r="F156" s="137"/>
      <c r="G156" s="137"/>
      <c r="H156" s="137"/>
      <c r="I156" s="137"/>
      <c r="J156" s="197"/>
      <c r="K156" s="198"/>
      <c r="L156" s="196"/>
      <c r="M156" s="196"/>
      <c r="N156" s="196"/>
      <c r="O156" s="196"/>
      <c r="P156" s="127"/>
    </row>
    <row r="157" spans="1:16" ht="20.25" customHeight="1" x14ac:dyDescent="0.3">
      <c r="A157" s="137"/>
      <c r="B157" s="137"/>
      <c r="C157" s="137"/>
      <c r="D157" s="194"/>
      <c r="E157" s="194"/>
      <c r="F157" s="137"/>
      <c r="G157" s="137"/>
      <c r="H157" s="137"/>
      <c r="I157" s="137"/>
      <c r="J157" s="197"/>
      <c r="K157" s="198"/>
      <c r="L157" s="196"/>
      <c r="M157" s="196"/>
      <c r="N157" s="196"/>
      <c r="O157" s="196"/>
      <c r="P157" s="127"/>
    </row>
    <row r="158" spans="1:16" ht="20.25" customHeight="1" x14ac:dyDescent="0.3">
      <c r="A158" s="137"/>
      <c r="B158" s="137"/>
      <c r="C158" s="137"/>
      <c r="D158" s="194"/>
      <c r="E158" s="194"/>
      <c r="F158" s="137"/>
      <c r="G158" s="137"/>
      <c r="H158" s="137"/>
      <c r="I158" s="137"/>
      <c r="J158" s="197"/>
      <c r="K158" s="198"/>
      <c r="L158" s="196"/>
      <c r="M158" s="196"/>
      <c r="N158" s="196"/>
      <c r="O158" s="196"/>
      <c r="P158" s="127"/>
    </row>
    <row r="159" spans="1:16" ht="20.25" customHeight="1" x14ac:dyDescent="0.3">
      <c r="A159" s="137"/>
      <c r="B159" s="137"/>
      <c r="C159" s="137"/>
      <c r="D159" s="194"/>
      <c r="E159" s="194"/>
      <c r="F159" s="137"/>
      <c r="G159" s="137"/>
      <c r="H159" s="137"/>
      <c r="I159" s="137"/>
      <c r="J159" s="197"/>
      <c r="K159" s="198"/>
      <c r="L159" s="196"/>
      <c r="M159" s="196"/>
      <c r="N159" s="196"/>
      <c r="O159" s="196"/>
      <c r="P159" s="127"/>
    </row>
    <row r="160" spans="1:16" ht="20.25" customHeight="1" x14ac:dyDescent="0.3">
      <c r="A160" s="137"/>
      <c r="B160" s="137"/>
      <c r="C160" s="137"/>
      <c r="D160" s="194"/>
      <c r="E160" s="194"/>
      <c r="F160" s="137"/>
      <c r="G160" s="137"/>
      <c r="H160" s="137"/>
      <c r="I160" s="137"/>
      <c r="J160" s="197"/>
      <c r="K160" s="198"/>
      <c r="L160" s="196"/>
      <c r="M160" s="196"/>
      <c r="N160" s="196"/>
      <c r="O160" s="196"/>
      <c r="P160" s="127"/>
    </row>
    <row r="161" spans="1:16" ht="20.25" customHeight="1" x14ac:dyDescent="0.3">
      <c r="A161" s="137"/>
      <c r="B161" s="137"/>
      <c r="C161" s="137"/>
      <c r="D161" s="194"/>
      <c r="E161" s="194"/>
      <c r="F161" s="137"/>
      <c r="G161" s="137"/>
      <c r="H161" s="137"/>
      <c r="I161" s="137"/>
      <c r="J161" s="197"/>
      <c r="K161" s="198"/>
      <c r="L161" s="196"/>
      <c r="M161" s="196"/>
      <c r="N161" s="196"/>
      <c r="O161" s="196"/>
      <c r="P161" s="127"/>
    </row>
    <row r="162" spans="1:16" ht="20.25" customHeight="1" x14ac:dyDescent="0.3">
      <c r="A162" s="137"/>
      <c r="B162" s="137"/>
      <c r="C162" s="137"/>
      <c r="D162" s="194"/>
      <c r="E162" s="194"/>
      <c r="F162" s="137"/>
      <c r="G162" s="137"/>
      <c r="H162" s="137"/>
      <c r="I162" s="137"/>
      <c r="J162" s="197"/>
      <c r="K162" s="198"/>
      <c r="L162" s="196"/>
      <c r="M162" s="196"/>
      <c r="N162" s="196"/>
      <c r="O162" s="196"/>
      <c r="P162" s="127"/>
    </row>
    <row r="163" spans="1:16" ht="20.25" customHeight="1" x14ac:dyDescent="0.3">
      <c r="A163" s="137"/>
      <c r="B163" s="137"/>
      <c r="C163" s="137"/>
      <c r="D163" s="194"/>
      <c r="E163" s="194"/>
      <c r="F163" s="137"/>
      <c r="G163" s="137"/>
      <c r="H163" s="137"/>
      <c r="I163" s="137"/>
      <c r="J163" s="197"/>
      <c r="K163" s="198"/>
      <c r="L163" s="196"/>
      <c r="M163" s="196"/>
      <c r="N163" s="196"/>
      <c r="O163" s="196"/>
      <c r="P163" s="127"/>
    </row>
    <row r="164" spans="1:16" ht="20.25" customHeight="1" x14ac:dyDescent="0.3">
      <c r="A164" s="137"/>
      <c r="B164" s="137"/>
      <c r="C164" s="137"/>
      <c r="D164" s="194"/>
      <c r="E164" s="194"/>
      <c r="F164" s="137"/>
      <c r="G164" s="137"/>
      <c r="H164" s="137"/>
      <c r="I164" s="137"/>
      <c r="J164" s="197"/>
      <c r="K164" s="198"/>
      <c r="L164" s="196"/>
      <c r="M164" s="196"/>
      <c r="N164" s="196"/>
      <c r="O164" s="196"/>
      <c r="P164" s="127"/>
    </row>
    <row r="165" spans="1:16" ht="20.25" customHeight="1" x14ac:dyDescent="0.3">
      <c r="A165" s="137"/>
      <c r="B165" s="137"/>
      <c r="C165" s="137"/>
      <c r="D165" s="194"/>
      <c r="E165" s="194"/>
      <c r="F165" s="137"/>
      <c r="G165" s="137"/>
      <c r="H165" s="137"/>
      <c r="I165" s="137"/>
      <c r="J165" s="197"/>
      <c r="K165" s="198"/>
      <c r="L165" s="196"/>
      <c r="M165" s="196"/>
      <c r="N165" s="196"/>
      <c r="O165" s="196"/>
      <c r="P165" s="127"/>
    </row>
    <row r="166" spans="1:16" ht="20.25" customHeight="1" x14ac:dyDescent="0.3">
      <c r="A166" s="137"/>
      <c r="B166" s="137"/>
      <c r="C166" s="137"/>
      <c r="D166" s="194"/>
      <c r="E166" s="194"/>
      <c r="F166" s="137"/>
      <c r="G166" s="137"/>
      <c r="H166" s="137"/>
      <c r="I166" s="137"/>
      <c r="J166" s="197"/>
      <c r="K166" s="198"/>
      <c r="L166" s="196"/>
      <c r="M166" s="196"/>
      <c r="N166" s="196"/>
      <c r="O166" s="196"/>
      <c r="P166" s="127"/>
    </row>
    <row r="167" spans="1:16" ht="20.25" customHeight="1" x14ac:dyDescent="0.3">
      <c r="A167" s="137"/>
      <c r="B167" s="137"/>
      <c r="C167" s="137"/>
      <c r="D167" s="194"/>
      <c r="E167" s="194"/>
      <c r="F167" s="137"/>
      <c r="G167" s="137"/>
      <c r="H167" s="137"/>
      <c r="I167" s="137"/>
      <c r="J167" s="197"/>
      <c r="K167" s="198"/>
      <c r="L167" s="196"/>
      <c r="M167" s="196"/>
      <c r="N167" s="196"/>
      <c r="O167" s="196"/>
      <c r="P167" s="127"/>
    </row>
    <row r="168" spans="1:16" ht="20.25" customHeight="1" x14ac:dyDescent="0.3">
      <c r="A168" s="137"/>
      <c r="B168" s="137"/>
      <c r="C168" s="137"/>
      <c r="D168" s="194"/>
      <c r="E168" s="194"/>
      <c r="F168" s="137"/>
      <c r="G168" s="137"/>
      <c r="H168" s="137"/>
      <c r="I168" s="137"/>
      <c r="J168" s="197"/>
      <c r="K168" s="198"/>
      <c r="L168" s="196"/>
      <c r="M168" s="196"/>
      <c r="N168" s="196"/>
      <c r="O168" s="196"/>
      <c r="P168" s="127"/>
    </row>
    <row r="169" spans="1:16" ht="20.25" customHeight="1" x14ac:dyDescent="0.3">
      <c r="A169" s="137"/>
      <c r="B169" s="137"/>
      <c r="C169" s="137"/>
      <c r="D169" s="194"/>
      <c r="E169" s="194"/>
      <c r="F169" s="137"/>
      <c r="G169" s="137"/>
      <c r="H169" s="137"/>
      <c r="I169" s="137"/>
      <c r="J169" s="197"/>
      <c r="K169" s="198"/>
      <c r="L169" s="196"/>
      <c r="M169" s="196"/>
      <c r="N169" s="196"/>
      <c r="O169" s="196"/>
      <c r="P169" s="127"/>
    </row>
    <row r="170" spans="1:16" ht="20.25" customHeight="1" x14ac:dyDescent="0.3">
      <c r="A170" s="137"/>
      <c r="B170" s="137"/>
      <c r="C170" s="137"/>
      <c r="D170" s="194"/>
      <c r="E170" s="194"/>
      <c r="F170" s="137"/>
      <c r="G170" s="137"/>
      <c r="H170" s="137"/>
      <c r="I170" s="137"/>
      <c r="J170" s="197"/>
      <c r="K170" s="198"/>
      <c r="L170" s="196"/>
      <c r="M170" s="196"/>
      <c r="N170" s="196"/>
      <c r="O170" s="196"/>
      <c r="P170" s="127"/>
    </row>
    <row r="171" spans="1:16" ht="20.25" customHeight="1" x14ac:dyDescent="0.3">
      <c r="A171" s="137"/>
      <c r="B171" s="137"/>
      <c r="C171" s="137"/>
      <c r="D171" s="194"/>
      <c r="E171" s="194"/>
      <c r="F171" s="137"/>
      <c r="G171" s="137"/>
      <c r="H171" s="137"/>
      <c r="I171" s="137"/>
      <c r="J171" s="197"/>
      <c r="K171" s="198"/>
      <c r="L171" s="196"/>
      <c r="M171" s="196"/>
      <c r="N171" s="196"/>
      <c r="O171" s="196"/>
      <c r="P171" s="127"/>
    </row>
    <row r="172" spans="1:16" ht="20.25" customHeight="1" x14ac:dyDescent="0.3">
      <c r="A172" s="137"/>
      <c r="B172" s="137"/>
      <c r="C172" s="137"/>
      <c r="D172" s="194"/>
      <c r="E172" s="194"/>
      <c r="F172" s="137"/>
      <c r="G172" s="137"/>
      <c r="H172" s="137"/>
      <c r="I172" s="137"/>
      <c r="J172" s="197"/>
      <c r="K172" s="198"/>
      <c r="L172" s="196"/>
      <c r="M172" s="196"/>
      <c r="N172" s="196"/>
      <c r="O172" s="196"/>
      <c r="P172" s="127"/>
    </row>
    <row r="173" spans="1:16" ht="20.25" customHeight="1" x14ac:dyDescent="0.3">
      <c r="A173" s="137"/>
      <c r="B173" s="137"/>
      <c r="C173" s="137"/>
      <c r="D173" s="194"/>
      <c r="E173" s="194"/>
      <c r="F173" s="137"/>
      <c r="G173" s="137"/>
      <c r="H173" s="137"/>
      <c r="I173" s="137"/>
      <c r="J173" s="197"/>
      <c r="K173" s="198"/>
      <c r="L173" s="196"/>
      <c r="M173" s="196"/>
      <c r="N173" s="196"/>
      <c r="O173" s="196"/>
      <c r="P173" s="127"/>
    </row>
    <row r="174" spans="1:16" ht="20.25" customHeight="1" x14ac:dyDescent="0.3">
      <c r="A174" s="137"/>
      <c r="B174" s="137"/>
      <c r="C174" s="137"/>
      <c r="D174" s="194"/>
      <c r="E174" s="194"/>
      <c r="F174" s="137"/>
      <c r="G174" s="137"/>
      <c r="H174" s="137"/>
      <c r="I174" s="137"/>
      <c r="J174" s="197"/>
      <c r="K174" s="198"/>
      <c r="L174" s="196"/>
      <c r="M174" s="196"/>
      <c r="N174" s="196"/>
      <c r="O174" s="196"/>
      <c r="P174" s="127"/>
    </row>
    <row r="175" spans="1:16" ht="20.25" customHeight="1" x14ac:dyDescent="0.3">
      <c r="A175" s="137"/>
      <c r="B175" s="137"/>
      <c r="C175" s="137"/>
      <c r="D175" s="194"/>
      <c r="E175" s="194"/>
      <c r="F175" s="137"/>
      <c r="G175" s="137"/>
      <c r="H175" s="137"/>
      <c r="I175" s="137"/>
      <c r="J175" s="197"/>
      <c r="K175" s="198"/>
      <c r="L175" s="196"/>
      <c r="M175" s="196"/>
      <c r="N175" s="196"/>
      <c r="O175" s="196"/>
      <c r="P175" s="127"/>
    </row>
    <row r="176" spans="1:16" ht="20.25" customHeight="1" x14ac:dyDescent="0.3">
      <c r="A176" s="137"/>
      <c r="B176" s="137"/>
      <c r="C176" s="137"/>
      <c r="D176" s="194"/>
      <c r="E176" s="194"/>
      <c r="F176" s="137"/>
      <c r="G176" s="137"/>
      <c r="H176" s="137"/>
      <c r="I176" s="137"/>
      <c r="J176" s="197"/>
      <c r="K176" s="198"/>
      <c r="L176" s="196"/>
      <c r="M176" s="196"/>
      <c r="N176" s="196"/>
      <c r="O176" s="196"/>
      <c r="P176" s="127"/>
    </row>
    <row r="177" spans="1:16" ht="20.25" customHeight="1" x14ac:dyDescent="0.3">
      <c r="A177" s="137"/>
      <c r="B177" s="137"/>
      <c r="C177" s="137"/>
      <c r="D177" s="194"/>
      <c r="E177" s="194"/>
      <c r="F177" s="137"/>
      <c r="G177" s="137"/>
      <c r="H177" s="137"/>
      <c r="I177" s="137"/>
      <c r="J177" s="197"/>
      <c r="K177" s="198"/>
      <c r="L177" s="196"/>
      <c r="M177" s="196"/>
      <c r="N177" s="196"/>
      <c r="O177" s="196"/>
      <c r="P177" s="127"/>
    </row>
    <row r="178" spans="1:16" ht="20.25" customHeight="1" x14ac:dyDescent="0.3">
      <c r="A178" s="137"/>
      <c r="B178" s="137"/>
      <c r="C178" s="137"/>
      <c r="D178" s="194"/>
      <c r="E178" s="194"/>
      <c r="F178" s="137"/>
      <c r="G178" s="137"/>
      <c r="H178" s="137"/>
      <c r="I178" s="137"/>
      <c r="J178" s="197"/>
      <c r="K178" s="198"/>
      <c r="L178" s="196"/>
      <c r="M178" s="196"/>
      <c r="N178" s="196"/>
      <c r="O178" s="196"/>
      <c r="P178" s="127"/>
    </row>
    <row r="179" spans="1:16" ht="20.25" customHeight="1" x14ac:dyDescent="0.3">
      <c r="A179" s="137"/>
      <c r="B179" s="137"/>
      <c r="C179" s="137"/>
      <c r="D179" s="194"/>
      <c r="E179" s="194"/>
      <c r="F179" s="137"/>
      <c r="G179" s="137"/>
      <c r="H179" s="137"/>
      <c r="I179" s="137"/>
      <c r="J179" s="197"/>
      <c r="K179" s="198"/>
      <c r="L179" s="196"/>
      <c r="M179" s="196"/>
      <c r="N179" s="196"/>
      <c r="O179" s="196"/>
      <c r="P179" s="127"/>
    </row>
    <row r="180" spans="1:16" ht="20.25" customHeight="1" x14ac:dyDescent="0.3">
      <c r="A180" s="137"/>
      <c r="B180" s="137"/>
      <c r="C180" s="137"/>
      <c r="D180" s="194"/>
      <c r="E180" s="194"/>
      <c r="F180" s="137"/>
      <c r="G180" s="137"/>
      <c r="H180" s="137"/>
      <c r="I180" s="137"/>
      <c r="J180" s="197"/>
      <c r="K180" s="198"/>
      <c r="L180" s="196"/>
      <c r="M180" s="196"/>
      <c r="N180" s="196"/>
      <c r="O180" s="196"/>
      <c r="P180" s="127"/>
    </row>
    <row r="181" spans="1:16" ht="20.25" customHeight="1" x14ac:dyDescent="0.3">
      <c r="A181" s="137"/>
      <c r="B181" s="137"/>
      <c r="C181" s="137"/>
      <c r="D181" s="194"/>
      <c r="E181" s="194"/>
      <c r="F181" s="137"/>
      <c r="G181" s="137"/>
      <c r="H181" s="137"/>
      <c r="I181" s="137"/>
      <c r="J181" s="197"/>
      <c r="K181" s="198"/>
      <c r="L181" s="196"/>
      <c r="M181" s="196"/>
      <c r="N181" s="196"/>
      <c r="O181" s="196"/>
      <c r="P181" s="127"/>
    </row>
    <row r="182" spans="1:16" ht="20.25" customHeight="1" x14ac:dyDescent="0.3">
      <c r="A182" s="137"/>
      <c r="B182" s="137"/>
      <c r="C182" s="137"/>
      <c r="D182" s="194"/>
      <c r="E182" s="194"/>
      <c r="F182" s="137"/>
      <c r="G182" s="137"/>
      <c r="H182" s="137"/>
      <c r="I182" s="137"/>
      <c r="J182" s="197"/>
      <c r="K182" s="198"/>
      <c r="L182" s="196"/>
      <c r="M182" s="196"/>
      <c r="N182" s="196"/>
      <c r="O182" s="196"/>
      <c r="P182" s="127"/>
    </row>
    <row r="183" spans="1:16" ht="20.25" customHeight="1" x14ac:dyDescent="0.3">
      <c r="A183" s="137"/>
      <c r="B183" s="137"/>
      <c r="C183" s="137"/>
      <c r="D183" s="194"/>
      <c r="E183" s="194"/>
      <c r="F183" s="137"/>
      <c r="G183" s="137"/>
      <c r="H183" s="137"/>
      <c r="I183" s="137"/>
      <c r="J183" s="197"/>
      <c r="K183" s="198"/>
      <c r="L183" s="196"/>
      <c r="M183" s="196"/>
      <c r="N183" s="196"/>
      <c r="O183" s="196"/>
      <c r="P183" s="127"/>
    </row>
    <row r="184" spans="1:16" ht="20.25" customHeight="1" x14ac:dyDescent="0.3">
      <c r="A184" s="137"/>
      <c r="B184" s="137"/>
      <c r="C184" s="137"/>
      <c r="D184" s="194"/>
      <c r="E184" s="194"/>
      <c r="F184" s="137"/>
      <c r="G184" s="137"/>
      <c r="H184" s="137"/>
      <c r="I184" s="137"/>
      <c r="J184" s="197"/>
      <c r="K184" s="198"/>
      <c r="L184" s="196"/>
      <c r="M184" s="196"/>
      <c r="N184" s="196"/>
      <c r="O184" s="196"/>
      <c r="P184" s="127"/>
    </row>
    <row r="185" spans="1:16" ht="20.25" customHeight="1" x14ac:dyDescent="0.3">
      <c r="A185" s="137"/>
      <c r="B185" s="137"/>
      <c r="C185" s="137"/>
      <c r="D185" s="194"/>
      <c r="E185" s="194"/>
      <c r="F185" s="137"/>
      <c r="G185" s="137"/>
      <c r="H185" s="137"/>
      <c r="I185" s="137"/>
      <c r="J185" s="197"/>
      <c r="K185" s="198"/>
      <c r="L185" s="196"/>
      <c r="M185" s="196"/>
      <c r="N185" s="196"/>
      <c r="O185" s="196"/>
      <c r="P185" s="127"/>
    </row>
    <row r="186" spans="1:16" ht="20.25" customHeight="1" x14ac:dyDescent="0.3">
      <c r="A186" s="137"/>
      <c r="B186" s="137"/>
      <c r="C186" s="137"/>
      <c r="D186" s="194"/>
      <c r="E186" s="194"/>
      <c r="F186" s="137"/>
      <c r="G186" s="137"/>
      <c r="H186" s="137"/>
      <c r="I186" s="137"/>
      <c r="J186" s="197"/>
      <c r="K186" s="198"/>
      <c r="L186" s="196"/>
      <c r="M186" s="196"/>
      <c r="N186" s="196"/>
      <c r="O186" s="196"/>
      <c r="P186" s="127"/>
    </row>
    <row r="187" spans="1:16" ht="20.25" customHeight="1" x14ac:dyDescent="0.3">
      <c r="A187" s="137"/>
      <c r="B187" s="137"/>
      <c r="C187" s="137"/>
      <c r="D187" s="194"/>
      <c r="E187" s="194"/>
      <c r="F187" s="137"/>
      <c r="G187" s="137"/>
      <c r="H187" s="137"/>
      <c r="I187" s="137"/>
      <c r="J187" s="197"/>
      <c r="K187" s="198"/>
      <c r="L187" s="196"/>
      <c r="M187" s="196"/>
      <c r="N187" s="196"/>
      <c r="O187" s="196"/>
      <c r="P187" s="127"/>
    </row>
    <row r="188" spans="1:16" ht="20.25" customHeight="1" x14ac:dyDescent="0.3">
      <c r="A188" s="137"/>
      <c r="B188" s="137"/>
      <c r="C188" s="137"/>
      <c r="D188" s="194"/>
      <c r="E188" s="194"/>
      <c r="F188" s="137"/>
      <c r="G188" s="137"/>
      <c r="H188" s="137"/>
      <c r="I188" s="137"/>
      <c r="J188" s="197"/>
      <c r="K188" s="198"/>
      <c r="L188" s="196"/>
      <c r="M188" s="196"/>
      <c r="N188" s="196"/>
      <c r="O188" s="196"/>
      <c r="P188" s="127"/>
    </row>
    <row r="189" spans="1:16" ht="20.25" customHeight="1" x14ac:dyDescent="0.3">
      <c r="A189" s="137"/>
      <c r="B189" s="137"/>
      <c r="C189" s="137"/>
      <c r="D189" s="194"/>
      <c r="E189" s="194"/>
      <c r="F189" s="137"/>
      <c r="G189" s="137"/>
      <c r="H189" s="137"/>
      <c r="I189" s="137"/>
      <c r="J189" s="197"/>
      <c r="K189" s="198"/>
      <c r="L189" s="196"/>
      <c r="M189" s="196"/>
      <c r="N189" s="196"/>
      <c r="O189" s="196"/>
      <c r="P189" s="127"/>
    </row>
    <row r="190" spans="1:16" ht="20.25" customHeight="1" x14ac:dyDescent="0.3">
      <c r="A190" s="137"/>
      <c r="B190" s="137"/>
      <c r="C190" s="137"/>
      <c r="D190" s="194"/>
      <c r="E190" s="194"/>
      <c r="F190" s="137"/>
      <c r="G190" s="137"/>
      <c r="H190" s="137"/>
      <c r="I190" s="137"/>
      <c r="J190" s="197"/>
      <c r="K190" s="198"/>
      <c r="L190" s="196"/>
      <c r="M190" s="196"/>
      <c r="N190" s="196"/>
      <c r="O190" s="196"/>
      <c r="P190" s="127"/>
    </row>
    <row r="191" spans="1:16" ht="20.25" customHeight="1" x14ac:dyDescent="0.3">
      <c r="A191" s="137"/>
      <c r="B191" s="137"/>
      <c r="C191" s="137"/>
      <c r="D191" s="194"/>
      <c r="E191" s="194"/>
      <c r="F191" s="137"/>
      <c r="G191" s="137"/>
      <c r="H191" s="137"/>
      <c r="I191" s="137"/>
      <c r="J191" s="197"/>
      <c r="K191" s="198"/>
      <c r="L191" s="196"/>
      <c r="M191" s="196"/>
      <c r="N191" s="196"/>
      <c r="O191" s="196"/>
      <c r="P191" s="127"/>
    </row>
    <row r="192" spans="1:16" ht="20.25" customHeight="1" x14ac:dyDescent="0.3">
      <c r="A192" s="137"/>
      <c r="B192" s="137"/>
      <c r="C192" s="137"/>
      <c r="D192" s="194"/>
      <c r="E192" s="194"/>
      <c r="F192" s="137"/>
      <c r="G192" s="137"/>
      <c r="H192" s="137"/>
      <c r="I192" s="137"/>
      <c r="J192" s="197"/>
      <c r="K192" s="198"/>
      <c r="L192" s="196"/>
      <c r="M192" s="196"/>
      <c r="N192" s="196"/>
      <c r="O192" s="196"/>
      <c r="P192" s="127"/>
    </row>
    <row r="193" spans="1:16" ht="20.25" customHeight="1" x14ac:dyDescent="0.3">
      <c r="A193" s="137"/>
      <c r="B193" s="137"/>
      <c r="C193" s="137"/>
      <c r="D193" s="194"/>
      <c r="E193" s="194"/>
      <c r="F193" s="137"/>
      <c r="G193" s="137"/>
      <c r="H193" s="137"/>
      <c r="I193" s="137"/>
      <c r="J193" s="197"/>
      <c r="K193" s="198"/>
      <c r="L193" s="196"/>
      <c r="M193" s="196"/>
      <c r="N193" s="196"/>
      <c r="O193" s="196"/>
      <c r="P193" s="127"/>
    </row>
    <row r="194" spans="1:16" ht="20.25" customHeight="1" x14ac:dyDescent="0.3">
      <c r="A194" s="137"/>
      <c r="B194" s="137"/>
      <c r="C194" s="137"/>
      <c r="D194" s="194"/>
      <c r="E194" s="194"/>
      <c r="F194" s="137"/>
      <c r="G194" s="137"/>
      <c r="H194" s="137"/>
      <c r="I194" s="137"/>
      <c r="J194" s="197"/>
      <c r="K194" s="198"/>
      <c r="L194" s="196"/>
      <c r="M194" s="196"/>
      <c r="N194" s="196"/>
      <c r="O194" s="196"/>
      <c r="P194" s="127"/>
    </row>
    <row r="195" spans="1:16" ht="20.25" customHeight="1" x14ac:dyDescent="0.3">
      <c r="A195" s="137"/>
      <c r="B195" s="137"/>
      <c r="C195" s="137"/>
      <c r="D195" s="194"/>
      <c r="E195" s="194"/>
      <c r="F195" s="137"/>
      <c r="G195" s="137"/>
      <c r="H195" s="137"/>
      <c r="I195" s="137"/>
      <c r="J195" s="197"/>
      <c r="K195" s="198"/>
      <c r="L195" s="196"/>
      <c r="M195" s="196"/>
      <c r="N195" s="196"/>
      <c r="O195" s="196"/>
      <c r="P195" s="127"/>
    </row>
    <row r="196" spans="1:16" ht="20.25" customHeight="1" x14ac:dyDescent="0.3">
      <c r="A196" s="137"/>
      <c r="B196" s="137"/>
      <c r="C196" s="137"/>
      <c r="D196" s="194"/>
      <c r="E196" s="194"/>
      <c r="F196" s="137"/>
      <c r="G196" s="137"/>
      <c r="H196" s="137"/>
      <c r="I196" s="137"/>
      <c r="J196" s="197"/>
      <c r="K196" s="198"/>
      <c r="L196" s="196"/>
      <c r="M196" s="196"/>
      <c r="N196" s="196"/>
      <c r="O196" s="196"/>
      <c r="P196" s="127"/>
    </row>
    <row r="197" spans="1:16" ht="20.25" customHeight="1" x14ac:dyDescent="0.3">
      <c r="A197" s="137"/>
      <c r="B197" s="137"/>
      <c r="C197" s="137"/>
      <c r="D197" s="194"/>
      <c r="E197" s="194"/>
      <c r="F197" s="137"/>
      <c r="G197" s="137"/>
      <c r="H197" s="137"/>
      <c r="I197" s="137"/>
      <c r="J197" s="197"/>
      <c r="K197" s="198"/>
      <c r="L197" s="196"/>
      <c r="M197" s="196"/>
      <c r="N197" s="196"/>
      <c r="O197" s="196"/>
      <c r="P197" s="127"/>
    </row>
    <row r="198" spans="1:16" ht="20.25" customHeight="1" x14ac:dyDescent="0.3">
      <c r="A198" s="137"/>
      <c r="B198" s="137"/>
      <c r="C198" s="137"/>
      <c r="D198" s="194"/>
      <c r="E198" s="194"/>
      <c r="F198" s="137"/>
      <c r="G198" s="137"/>
      <c r="H198" s="137"/>
      <c r="I198" s="137"/>
      <c r="J198" s="197"/>
      <c r="K198" s="198"/>
      <c r="L198" s="196"/>
      <c r="M198" s="196"/>
      <c r="N198" s="196"/>
      <c r="O198" s="196"/>
      <c r="P198" s="127"/>
    </row>
    <row r="199" spans="1:16" ht="20.25" customHeight="1" x14ac:dyDescent="0.3">
      <c r="A199" s="137"/>
      <c r="B199" s="137"/>
      <c r="C199" s="137"/>
      <c r="D199" s="194"/>
      <c r="E199" s="194"/>
      <c r="F199" s="137"/>
      <c r="G199" s="137"/>
      <c r="H199" s="137"/>
      <c r="I199" s="137"/>
      <c r="J199" s="197"/>
      <c r="K199" s="198"/>
      <c r="L199" s="196"/>
      <c r="M199" s="196"/>
      <c r="N199" s="196"/>
      <c r="O199" s="196"/>
      <c r="P199" s="127"/>
    </row>
    <row r="200" spans="1:16" ht="20.25" customHeight="1" x14ac:dyDescent="0.3">
      <c r="A200" s="137"/>
      <c r="B200" s="137"/>
      <c r="C200" s="137"/>
      <c r="D200" s="194"/>
      <c r="E200" s="194"/>
      <c r="F200" s="137"/>
      <c r="G200" s="137"/>
      <c r="H200" s="137"/>
      <c r="I200" s="137"/>
      <c r="J200" s="197"/>
      <c r="K200" s="198"/>
      <c r="L200" s="196"/>
      <c r="M200" s="196"/>
      <c r="N200" s="196"/>
      <c r="O200" s="196"/>
      <c r="P200" s="127"/>
    </row>
    <row r="201" spans="1:16" ht="20.25" customHeight="1" x14ac:dyDescent="0.3">
      <c r="A201" s="137"/>
      <c r="B201" s="137"/>
      <c r="C201" s="137"/>
      <c r="D201" s="194"/>
      <c r="E201" s="194"/>
      <c r="F201" s="137"/>
      <c r="G201" s="137"/>
      <c r="H201" s="137"/>
      <c r="I201" s="137"/>
      <c r="J201" s="197"/>
      <c r="K201" s="198"/>
      <c r="L201" s="196"/>
      <c r="M201" s="196"/>
      <c r="N201" s="196"/>
      <c r="O201" s="196"/>
      <c r="P201" s="127"/>
    </row>
    <row r="202" spans="1:16" ht="20.25" customHeight="1" x14ac:dyDescent="0.3">
      <c r="A202" s="137"/>
      <c r="B202" s="137"/>
      <c r="C202" s="137"/>
      <c r="D202" s="194"/>
      <c r="E202" s="194"/>
      <c r="F202" s="137"/>
      <c r="G202" s="137"/>
      <c r="H202" s="137"/>
      <c r="I202" s="137"/>
      <c r="J202" s="197"/>
      <c r="K202" s="198"/>
      <c r="L202" s="196"/>
      <c r="M202" s="196"/>
      <c r="N202" s="196"/>
      <c r="O202" s="196"/>
      <c r="P202" s="127"/>
    </row>
    <row r="203" spans="1:16" ht="20.25" customHeight="1" x14ac:dyDescent="0.3">
      <c r="A203" s="137"/>
      <c r="B203" s="137"/>
      <c r="C203" s="137"/>
      <c r="D203" s="194"/>
      <c r="E203" s="194"/>
      <c r="F203" s="137"/>
      <c r="G203" s="137"/>
      <c r="H203" s="137"/>
      <c r="I203" s="137"/>
      <c r="J203" s="197"/>
      <c r="K203" s="198"/>
      <c r="L203" s="196"/>
      <c r="M203" s="196"/>
      <c r="N203" s="196"/>
      <c r="O203" s="196"/>
      <c r="P203" s="127"/>
    </row>
    <row r="204" spans="1:16" ht="20.25" customHeight="1" x14ac:dyDescent="0.3">
      <c r="A204" s="137"/>
      <c r="B204" s="137"/>
      <c r="C204" s="137"/>
      <c r="D204" s="194"/>
      <c r="E204" s="194"/>
      <c r="F204" s="137"/>
      <c r="G204" s="137"/>
      <c r="H204" s="137"/>
      <c r="I204" s="137"/>
      <c r="J204" s="197"/>
      <c r="K204" s="198"/>
      <c r="L204" s="196"/>
      <c r="M204" s="196"/>
      <c r="N204" s="196"/>
      <c r="O204" s="196"/>
      <c r="P204" s="127"/>
    </row>
    <row r="205" spans="1:16" ht="20.25" customHeight="1" x14ac:dyDescent="0.3">
      <c r="A205" s="137"/>
      <c r="B205" s="137"/>
      <c r="C205" s="137"/>
      <c r="D205" s="194"/>
      <c r="E205" s="194"/>
      <c r="F205" s="137"/>
      <c r="G205" s="137"/>
      <c r="H205" s="137"/>
      <c r="I205" s="137"/>
      <c r="J205" s="197"/>
      <c r="K205" s="198"/>
      <c r="L205" s="196"/>
      <c r="M205" s="196"/>
      <c r="N205" s="196"/>
      <c r="O205" s="196"/>
      <c r="P205" s="127"/>
    </row>
    <row r="206" spans="1:16" ht="20.25" customHeight="1" x14ac:dyDescent="0.3">
      <c r="A206" s="137"/>
      <c r="B206" s="137"/>
      <c r="C206" s="137"/>
      <c r="D206" s="194"/>
      <c r="E206" s="194"/>
      <c r="F206" s="137"/>
      <c r="G206" s="137"/>
      <c r="H206" s="137"/>
      <c r="I206" s="137"/>
      <c r="J206" s="197"/>
      <c r="K206" s="198"/>
      <c r="L206" s="196"/>
      <c r="M206" s="196"/>
      <c r="N206" s="196"/>
      <c r="O206" s="196"/>
      <c r="P206" s="127"/>
    </row>
    <row r="207" spans="1:16" ht="20.25" customHeight="1" x14ac:dyDescent="0.3">
      <c r="A207" s="137"/>
      <c r="B207" s="137"/>
      <c r="C207" s="137"/>
      <c r="D207" s="194"/>
      <c r="E207" s="194"/>
      <c r="F207" s="137"/>
      <c r="G207" s="137"/>
      <c r="H207" s="137"/>
      <c r="I207" s="137"/>
      <c r="J207" s="197"/>
      <c r="K207" s="198"/>
      <c r="L207" s="196"/>
      <c r="M207" s="196"/>
      <c r="N207" s="196"/>
      <c r="O207" s="196"/>
      <c r="P207" s="127"/>
    </row>
    <row r="208" spans="1:16" ht="20.25" customHeight="1" x14ac:dyDescent="0.3">
      <c r="A208" s="137"/>
      <c r="B208" s="137"/>
      <c r="C208" s="137"/>
      <c r="D208" s="194"/>
      <c r="E208" s="194"/>
      <c r="F208" s="137"/>
      <c r="G208" s="137"/>
      <c r="H208" s="137"/>
      <c r="I208" s="137"/>
      <c r="J208" s="197"/>
      <c r="K208" s="198"/>
      <c r="L208" s="196"/>
      <c r="M208" s="196"/>
      <c r="N208" s="196"/>
      <c r="O208" s="196"/>
      <c r="P208" s="127"/>
    </row>
    <row r="209" spans="1:16" ht="20.25" customHeight="1" x14ac:dyDescent="0.3">
      <c r="A209" s="137"/>
      <c r="B209" s="137"/>
      <c r="C209" s="137"/>
      <c r="D209" s="194"/>
      <c r="E209" s="194"/>
      <c r="F209" s="137"/>
      <c r="G209" s="137"/>
      <c r="H209" s="137"/>
      <c r="I209" s="137"/>
      <c r="J209" s="197"/>
      <c r="K209" s="198"/>
      <c r="L209" s="196"/>
      <c r="M209" s="196"/>
      <c r="N209" s="196"/>
      <c r="O209" s="196"/>
      <c r="P209" s="127"/>
    </row>
    <row r="210" spans="1:16" ht="20.25" customHeight="1" x14ac:dyDescent="0.3">
      <c r="A210" s="137"/>
      <c r="B210" s="137"/>
      <c r="C210" s="137"/>
      <c r="D210" s="194"/>
      <c r="E210" s="194"/>
      <c r="F210" s="137"/>
      <c r="G210" s="137"/>
      <c r="H210" s="137"/>
      <c r="I210" s="137"/>
      <c r="J210" s="197"/>
      <c r="K210" s="198"/>
      <c r="L210" s="196"/>
      <c r="M210" s="196"/>
      <c r="N210" s="196"/>
      <c r="O210" s="196"/>
      <c r="P210" s="127"/>
    </row>
    <row r="211" spans="1:16" ht="20.25" customHeight="1" x14ac:dyDescent="0.3">
      <c r="A211" s="137"/>
      <c r="B211" s="137"/>
      <c r="C211" s="137"/>
      <c r="D211" s="194"/>
      <c r="E211" s="194"/>
      <c r="F211" s="137"/>
      <c r="G211" s="137"/>
      <c r="H211" s="137"/>
      <c r="I211" s="137"/>
      <c r="J211" s="197"/>
      <c r="K211" s="198"/>
      <c r="L211" s="196"/>
      <c r="M211" s="196"/>
      <c r="N211" s="196"/>
      <c r="O211" s="196"/>
      <c r="P211" s="127"/>
    </row>
    <row r="212" spans="1:16" ht="20.25" customHeight="1" x14ac:dyDescent="0.3">
      <c r="A212" s="137"/>
      <c r="B212" s="137"/>
      <c r="C212" s="137"/>
      <c r="D212" s="194"/>
      <c r="E212" s="194"/>
      <c r="F212" s="137"/>
      <c r="G212" s="137"/>
      <c r="H212" s="137"/>
      <c r="I212" s="137"/>
      <c r="J212" s="197"/>
      <c r="K212" s="198"/>
      <c r="L212" s="196"/>
      <c r="M212" s="196"/>
      <c r="N212" s="196"/>
      <c r="O212" s="196"/>
      <c r="P212" s="127"/>
    </row>
    <row r="213" spans="1:16" ht="20.25" customHeight="1" x14ac:dyDescent="0.3">
      <c r="A213" s="137"/>
      <c r="B213" s="137"/>
      <c r="C213" s="137"/>
      <c r="D213" s="194"/>
      <c r="E213" s="194"/>
      <c r="F213" s="137"/>
      <c r="G213" s="137"/>
      <c r="H213" s="137"/>
      <c r="I213" s="137"/>
      <c r="J213" s="197"/>
      <c r="K213" s="198"/>
      <c r="L213" s="196"/>
      <c r="M213" s="196"/>
      <c r="N213" s="196"/>
      <c r="O213" s="196"/>
      <c r="P213" s="127"/>
    </row>
    <row r="214" spans="1:16" ht="20.25" customHeight="1" x14ac:dyDescent="0.3">
      <c r="A214" s="137"/>
      <c r="B214" s="137"/>
      <c r="C214" s="137"/>
      <c r="D214" s="194"/>
      <c r="E214" s="194"/>
      <c r="F214" s="137"/>
      <c r="G214" s="137"/>
      <c r="H214" s="137"/>
      <c r="I214" s="137"/>
      <c r="J214" s="197"/>
      <c r="K214" s="198"/>
      <c r="L214" s="196"/>
      <c r="M214" s="196"/>
      <c r="N214" s="196"/>
      <c r="O214" s="196"/>
      <c r="P214" s="127"/>
    </row>
    <row r="215" spans="1:16" ht="20.25" customHeight="1" x14ac:dyDescent="0.3">
      <c r="A215" s="137"/>
      <c r="B215" s="137"/>
      <c r="C215" s="137"/>
      <c r="D215" s="194"/>
      <c r="E215" s="194"/>
      <c r="F215" s="137"/>
      <c r="G215" s="137"/>
      <c r="H215" s="137"/>
      <c r="I215" s="137"/>
      <c r="J215" s="197"/>
      <c r="K215" s="198"/>
      <c r="L215" s="196"/>
      <c r="M215" s="196"/>
      <c r="N215" s="196"/>
      <c r="O215" s="196"/>
      <c r="P215" s="127"/>
    </row>
    <row r="216" spans="1:16" ht="20.25" customHeight="1" x14ac:dyDescent="0.3">
      <c r="A216" s="137"/>
      <c r="B216" s="137"/>
      <c r="C216" s="137"/>
      <c r="D216" s="194"/>
      <c r="E216" s="194"/>
      <c r="F216" s="137"/>
      <c r="G216" s="137"/>
      <c r="H216" s="137"/>
      <c r="I216" s="137"/>
      <c r="J216" s="197"/>
      <c r="K216" s="198"/>
      <c r="L216" s="196"/>
      <c r="M216" s="196"/>
      <c r="N216" s="196"/>
      <c r="O216" s="196"/>
      <c r="P216" s="127"/>
    </row>
    <row r="217" spans="1:16" ht="20.25" customHeight="1" x14ac:dyDescent="0.3">
      <c r="A217" s="137"/>
      <c r="B217" s="137"/>
      <c r="C217" s="137"/>
      <c r="D217" s="194"/>
      <c r="E217" s="194"/>
      <c r="F217" s="137"/>
      <c r="G217" s="137"/>
      <c r="H217" s="137"/>
      <c r="I217" s="137"/>
      <c r="J217" s="197"/>
      <c r="K217" s="198"/>
      <c r="L217" s="196"/>
      <c r="M217" s="196"/>
      <c r="N217" s="196"/>
      <c r="O217" s="196"/>
      <c r="P217" s="127"/>
    </row>
    <row r="218" spans="1:16" ht="20.25" customHeight="1" x14ac:dyDescent="0.3">
      <c r="A218" s="137"/>
      <c r="B218" s="137"/>
      <c r="C218" s="137"/>
      <c r="D218" s="194"/>
      <c r="E218" s="194"/>
      <c r="F218" s="137"/>
      <c r="G218" s="137"/>
      <c r="H218" s="137"/>
      <c r="I218" s="137"/>
      <c r="J218" s="197"/>
      <c r="K218" s="198"/>
      <c r="L218" s="196"/>
      <c r="M218" s="196"/>
      <c r="N218" s="196"/>
      <c r="O218" s="196"/>
      <c r="P218" s="127"/>
    </row>
    <row r="219" spans="1:16" ht="20.25" customHeight="1" x14ac:dyDescent="0.3">
      <c r="A219" s="137"/>
      <c r="B219" s="137"/>
      <c r="C219" s="137"/>
      <c r="D219" s="194"/>
      <c r="E219" s="194"/>
      <c r="F219" s="137"/>
      <c r="G219" s="137"/>
      <c r="H219" s="137"/>
      <c r="I219" s="137"/>
      <c r="J219" s="197"/>
      <c r="K219" s="198"/>
      <c r="L219" s="196"/>
      <c r="M219" s="196"/>
      <c r="N219" s="196"/>
      <c r="O219" s="196"/>
      <c r="P219" s="127"/>
    </row>
    <row r="220" spans="1:16" ht="20.25" customHeight="1" x14ac:dyDescent="0.3">
      <c r="A220" s="137"/>
      <c r="B220" s="137"/>
      <c r="C220" s="137"/>
      <c r="D220" s="194"/>
      <c r="E220" s="194"/>
      <c r="F220" s="137"/>
      <c r="G220" s="137"/>
      <c r="H220" s="137"/>
      <c r="I220" s="137"/>
      <c r="J220" s="197"/>
      <c r="K220" s="198"/>
      <c r="L220" s="196"/>
      <c r="M220" s="196"/>
      <c r="N220" s="196"/>
      <c r="O220" s="196"/>
      <c r="P220" s="127"/>
    </row>
    <row r="221" spans="1:16" ht="20.25" customHeight="1" x14ac:dyDescent="0.3">
      <c r="A221" s="137"/>
      <c r="B221" s="137"/>
      <c r="C221" s="137"/>
      <c r="D221" s="194"/>
      <c r="E221" s="194"/>
      <c r="F221" s="137"/>
      <c r="G221" s="137"/>
      <c r="H221" s="137"/>
      <c r="I221" s="137"/>
      <c r="J221" s="197"/>
      <c r="K221" s="198"/>
      <c r="L221" s="196"/>
      <c r="M221" s="196"/>
      <c r="N221" s="196"/>
      <c r="O221" s="196"/>
      <c r="P221" s="127"/>
    </row>
    <row r="222" spans="1:16" ht="20.25" customHeight="1" x14ac:dyDescent="0.3">
      <c r="A222" s="137"/>
      <c r="B222" s="137"/>
      <c r="C222" s="137"/>
      <c r="D222" s="194"/>
      <c r="E222" s="194"/>
      <c r="F222" s="137"/>
      <c r="G222" s="137"/>
      <c r="H222" s="137"/>
      <c r="I222" s="137"/>
      <c r="J222" s="197"/>
      <c r="K222" s="198"/>
      <c r="L222" s="196"/>
      <c r="M222" s="196"/>
      <c r="N222" s="196"/>
      <c r="O222" s="196"/>
      <c r="P222" s="127"/>
    </row>
    <row r="223" spans="1:16" ht="20.25" customHeight="1" x14ac:dyDescent="0.3">
      <c r="A223" s="137"/>
      <c r="B223" s="137"/>
      <c r="C223" s="137"/>
      <c r="D223" s="194"/>
      <c r="E223" s="194"/>
      <c r="F223" s="137"/>
      <c r="G223" s="137"/>
      <c r="H223" s="137"/>
      <c r="I223" s="137"/>
      <c r="J223" s="197"/>
      <c r="K223" s="198"/>
      <c r="L223" s="196"/>
      <c r="M223" s="196"/>
      <c r="N223" s="196"/>
      <c r="O223" s="196"/>
      <c r="P223" s="127"/>
    </row>
    <row r="224" spans="1:16" ht="20.25" customHeight="1" x14ac:dyDescent="0.3">
      <c r="A224" s="137"/>
      <c r="B224" s="137"/>
      <c r="C224" s="137"/>
      <c r="D224" s="194"/>
      <c r="E224" s="194"/>
      <c r="F224" s="137"/>
      <c r="G224" s="137"/>
      <c r="H224" s="137"/>
      <c r="I224" s="137"/>
      <c r="J224" s="197"/>
      <c r="K224" s="198"/>
      <c r="L224" s="196"/>
      <c r="M224" s="196"/>
      <c r="N224" s="196"/>
      <c r="O224" s="196"/>
      <c r="P224" s="127"/>
    </row>
    <row r="225" spans="1:16" ht="20.25" customHeight="1" x14ac:dyDescent="0.3">
      <c r="A225" s="137"/>
      <c r="B225" s="137"/>
      <c r="C225" s="137"/>
      <c r="D225" s="194"/>
      <c r="E225" s="194"/>
      <c r="F225" s="137"/>
      <c r="G225" s="137"/>
      <c r="H225" s="137"/>
      <c r="I225" s="137"/>
      <c r="J225" s="197"/>
      <c r="K225" s="198"/>
      <c r="L225" s="196"/>
      <c r="M225" s="196"/>
      <c r="N225" s="196"/>
      <c r="O225" s="196"/>
      <c r="P225" s="127"/>
    </row>
    <row r="226" spans="1:16" ht="20.25" customHeight="1" x14ac:dyDescent="0.3">
      <c r="A226" s="137"/>
      <c r="B226" s="137"/>
      <c r="C226" s="137"/>
      <c r="D226" s="194"/>
      <c r="E226" s="194"/>
      <c r="F226" s="137"/>
      <c r="G226" s="137"/>
      <c r="H226" s="137"/>
      <c r="I226" s="137"/>
      <c r="J226" s="197"/>
      <c r="K226" s="198"/>
      <c r="L226" s="196"/>
      <c r="M226" s="196"/>
      <c r="N226" s="196"/>
      <c r="O226" s="196"/>
      <c r="P226" s="127"/>
    </row>
    <row r="227" spans="1:16" ht="20.25" customHeight="1" x14ac:dyDescent="0.3">
      <c r="A227" s="137"/>
      <c r="B227" s="137"/>
      <c r="C227" s="137"/>
      <c r="D227" s="194"/>
      <c r="E227" s="194"/>
      <c r="F227" s="137"/>
      <c r="G227" s="137"/>
      <c r="H227" s="137"/>
      <c r="I227" s="137"/>
      <c r="J227" s="197"/>
      <c r="K227" s="198"/>
      <c r="L227" s="196"/>
      <c r="M227" s="196"/>
      <c r="N227" s="196"/>
      <c r="O227" s="196"/>
      <c r="P227" s="127"/>
    </row>
    <row r="228" spans="1:16" ht="20.25" customHeight="1" x14ac:dyDescent="0.3">
      <c r="A228" s="137"/>
      <c r="B228" s="137"/>
      <c r="C228" s="137"/>
      <c r="D228" s="194"/>
      <c r="E228" s="194"/>
      <c r="F228" s="137"/>
      <c r="G228" s="137"/>
      <c r="H228" s="137"/>
      <c r="I228" s="137"/>
      <c r="J228" s="197"/>
      <c r="K228" s="198"/>
      <c r="L228" s="196"/>
      <c r="M228" s="196"/>
      <c r="N228" s="196"/>
      <c r="O228" s="196"/>
      <c r="P228" s="127"/>
    </row>
    <row r="229" spans="1:16" ht="20.25" customHeight="1" x14ac:dyDescent="0.3">
      <c r="A229" s="137"/>
      <c r="B229" s="137"/>
      <c r="C229" s="137"/>
      <c r="D229" s="194"/>
      <c r="E229" s="194"/>
      <c r="F229" s="137"/>
      <c r="G229" s="137"/>
      <c r="H229" s="137"/>
      <c r="I229" s="137"/>
      <c r="J229" s="197"/>
      <c r="K229" s="198"/>
      <c r="L229" s="196"/>
      <c r="M229" s="196"/>
      <c r="N229" s="196"/>
      <c r="O229" s="196"/>
      <c r="P229" s="127"/>
    </row>
    <row r="230" spans="1:16" ht="20.25" customHeight="1" x14ac:dyDescent="0.3">
      <c r="A230" s="137"/>
      <c r="B230" s="137"/>
      <c r="C230" s="137"/>
      <c r="D230" s="194"/>
      <c r="E230" s="194"/>
      <c r="F230" s="137"/>
      <c r="G230" s="137"/>
      <c r="H230" s="137"/>
      <c r="I230" s="137"/>
      <c r="J230" s="197"/>
      <c r="K230" s="198"/>
      <c r="L230" s="196"/>
      <c r="M230" s="196"/>
      <c r="N230" s="196"/>
      <c r="O230" s="196"/>
      <c r="P230" s="127"/>
    </row>
    <row r="231" spans="1:16" ht="20.25" customHeight="1" x14ac:dyDescent="0.3">
      <c r="A231" s="137"/>
      <c r="B231" s="137"/>
      <c r="C231" s="137"/>
      <c r="D231" s="194"/>
      <c r="E231" s="194"/>
      <c r="F231" s="137"/>
      <c r="G231" s="137"/>
      <c r="H231" s="137"/>
      <c r="I231" s="137"/>
      <c r="J231" s="197"/>
      <c r="K231" s="198"/>
      <c r="L231" s="196"/>
      <c r="M231" s="196"/>
      <c r="N231" s="196"/>
      <c r="O231" s="196"/>
      <c r="P231" s="127"/>
    </row>
    <row r="232" spans="1:16" ht="20.25" customHeight="1" x14ac:dyDescent="0.3">
      <c r="A232" s="137"/>
      <c r="B232" s="137"/>
      <c r="C232" s="137"/>
      <c r="D232" s="194"/>
      <c r="E232" s="194"/>
      <c r="F232" s="137"/>
      <c r="G232" s="137"/>
      <c r="H232" s="137"/>
      <c r="I232" s="137"/>
      <c r="J232" s="197"/>
      <c r="K232" s="198"/>
      <c r="L232" s="196"/>
      <c r="M232" s="196"/>
      <c r="N232" s="196"/>
      <c r="O232" s="196"/>
      <c r="P232" s="127"/>
    </row>
    <row r="233" spans="1:16" ht="20.25" customHeight="1" x14ac:dyDescent="0.3">
      <c r="A233" s="137"/>
      <c r="B233" s="137"/>
      <c r="C233" s="137"/>
      <c r="D233" s="194"/>
      <c r="E233" s="194"/>
      <c r="F233" s="137"/>
      <c r="G233" s="137"/>
      <c r="H233" s="137"/>
      <c r="I233" s="137"/>
      <c r="J233" s="197"/>
      <c r="K233" s="198"/>
      <c r="L233" s="196"/>
      <c r="M233" s="196"/>
      <c r="N233" s="196"/>
      <c r="O233" s="196"/>
      <c r="P233" s="127"/>
    </row>
    <row r="234" spans="1:16" ht="20.25" customHeight="1" x14ac:dyDescent="0.3">
      <c r="A234" s="137"/>
      <c r="B234" s="137"/>
      <c r="C234" s="137"/>
      <c r="D234" s="194"/>
      <c r="E234" s="194"/>
      <c r="F234" s="137"/>
      <c r="G234" s="137"/>
      <c r="H234" s="137"/>
      <c r="I234" s="137"/>
      <c r="J234" s="197"/>
      <c r="K234" s="198"/>
      <c r="L234" s="196"/>
      <c r="M234" s="196"/>
      <c r="N234" s="196"/>
      <c r="O234" s="196"/>
      <c r="P234" s="127"/>
    </row>
    <row r="235" spans="1:16" ht="20.25" customHeight="1" x14ac:dyDescent="0.3">
      <c r="A235" s="137"/>
      <c r="B235" s="137"/>
      <c r="C235" s="137"/>
      <c r="D235" s="194"/>
      <c r="E235" s="194"/>
      <c r="F235" s="137"/>
      <c r="G235" s="137"/>
      <c r="H235" s="137"/>
      <c r="I235" s="137"/>
      <c r="J235" s="197"/>
      <c r="K235" s="198"/>
      <c r="L235" s="196"/>
      <c r="M235" s="196"/>
      <c r="N235" s="196"/>
      <c r="O235" s="196"/>
      <c r="P235" s="127"/>
    </row>
    <row r="236" spans="1:16" ht="20.25" customHeight="1" x14ac:dyDescent="0.3">
      <c r="A236" s="137"/>
      <c r="B236" s="137"/>
      <c r="C236" s="137"/>
      <c r="D236" s="194"/>
      <c r="E236" s="194"/>
      <c r="F236" s="137"/>
      <c r="G236" s="137"/>
      <c r="H236" s="137"/>
      <c r="I236" s="137"/>
      <c r="J236" s="197"/>
      <c r="K236" s="198"/>
      <c r="L236" s="196"/>
      <c r="M236" s="196"/>
      <c r="N236" s="196"/>
      <c r="O236" s="196"/>
      <c r="P236" s="127"/>
    </row>
    <row r="237" spans="1:16" ht="20.25" customHeight="1" x14ac:dyDescent="0.3">
      <c r="A237" s="137"/>
      <c r="B237" s="137"/>
      <c r="C237" s="137"/>
      <c r="D237" s="194"/>
      <c r="E237" s="194"/>
      <c r="F237" s="137"/>
      <c r="G237" s="137"/>
      <c r="H237" s="137"/>
      <c r="I237" s="137"/>
      <c r="J237" s="197"/>
      <c r="K237" s="198"/>
      <c r="L237" s="196"/>
      <c r="M237" s="196"/>
      <c r="N237" s="196"/>
      <c r="O237" s="196"/>
      <c r="P237" s="127"/>
    </row>
    <row r="238" spans="1:16" ht="20.25" customHeight="1" x14ac:dyDescent="0.3">
      <c r="A238" s="137"/>
      <c r="B238" s="137"/>
      <c r="C238" s="137"/>
      <c r="D238" s="194"/>
      <c r="E238" s="194"/>
      <c r="F238" s="137"/>
      <c r="G238" s="137"/>
      <c r="H238" s="137"/>
      <c r="I238" s="137"/>
      <c r="J238" s="197"/>
      <c r="K238" s="198"/>
      <c r="L238" s="196"/>
      <c r="M238" s="196"/>
      <c r="N238" s="196"/>
      <c r="O238" s="196"/>
      <c r="P238" s="127"/>
    </row>
    <row r="239" spans="1:16" ht="20.25" customHeight="1" x14ac:dyDescent="0.3">
      <c r="A239" s="137"/>
      <c r="B239" s="137"/>
      <c r="C239" s="137"/>
      <c r="D239" s="194"/>
      <c r="E239" s="194"/>
      <c r="F239" s="137"/>
      <c r="G239" s="137"/>
      <c r="H239" s="137"/>
      <c r="I239" s="137"/>
      <c r="J239" s="197"/>
      <c r="K239" s="198"/>
      <c r="L239" s="196"/>
      <c r="M239" s="196"/>
      <c r="N239" s="196"/>
      <c r="O239" s="196"/>
      <c r="P239" s="127"/>
    </row>
    <row r="240" spans="1:16" ht="20.25" customHeight="1" x14ac:dyDescent="0.3">
      <c r="A240" s="137"/>
      <c r="B240" s="137"/>
      <c r="C240" s="137"/>
      <c r="D240" s="194"/>
      <c r="E240" s="194"/>
      <c r="F240" s="137"/>
      <c r="G240" s="137"/>
      <c r="H240" s="137"/>
      <c r="I240" s="137"/>
      <c r="J240" s="197"/>
      <c r="K240" s="198"/>
      <c r="L240" s="196"/>
      <c r="M240" s="196"/>
      <c r="N240" s="196"/>
      <c r="O240" s="196"/>
      <c r="P240" s="127"/>
    </row>
    <row r="241" spans="1:16" ht="20.25" customHeight="1" x14ac:dyDescent="0.3">
      <c r="A241" s="137"/>
      <c r="B241" s="137"/>
      <c r="C241" s="137"/>
      <c r="D241" s="194"/>
      <c r="E241" s="194"/>
      <c r="F241" s="137"/>
      <c r="G241" s="137"/>
      <c r="H241" s="137"/>
      <c r="I241" s="137"/>
      <c r="J241" s="197"/>
      <c r="K241" s="198"/>
      <c r="L241" s="196"/>
      <c r="M241" s="196"/>
      <c r="N241" s="196"/>
      <c r="O241" s="196"/>
      <c r="P241" s="127"/>
    </row>
    <row r="242" spans="1:16" ht="20.25" customHeight="1" x14ac:dyDescent="0.3">
      <c r="A242" s="137"/>
      <c r="B242" s="137"/>
      <c r="C242" s="137"/>
      <c r="D242" s="194"/>
      <c r="E242" s="194"/>
      <c r="F242" s="137"/>
      <c r="G242" s="137"/>
      <c r="H242" s="137"/>
      <c r="I242" s="137"/>
      <c r="J242" s="197"/>
      <c r="K242" s="198"/>
      <c r="L242" s="196"/>
      <c r="M242" s="196"/>
      <c r="N242" s="196"/>
      <c r="O242" s="196"/>
      <c r="P242" s="127"/>
    </row>
    <row r="243" spans="1:16" ht="20.25" customHeight="1" x14ac:dyDescent="0.3">
      <c r="A243" s="137"/>
      <c r="B243" s="137"/>
      <c r="C243" s="137"/>
      <c r="D243" s="194"/>
      <c r="E243" s="194"/>
      <c r="F243" s="137"/>
      <c r="G243" s="137"/>
      <c r="H243" s="137"/>
      <c r="I243" s="137"/>
      <c r="J243" s="197"/>
      <c r="K243" s="198"/>
      <c r="L243" s="196"/>
      <c r="M243" s="196"/>
      <c r="N243" s="196"/>
      <c r="O243" s="196"/>
      <c r="P243" s="127"/>
    </row>
    <row r="244" spans="1:16" ht="20.25" customHeight="1" x14ac:dyDescent="0.3">
      <c r="A244" s="137"/>
      <c r="B244" s="137"/>
      <c r="C244" s="137"/>
      <c r="D244" s="194"/>
      <c r="E244" s="194"/>
      <c r="F244" s="137"/>
      <c r="G244" s="137"/>
      <c r="H244" s="137"/>
      <c r="I244" s="137"/>
      <c r="J244" s="197"/>
      <c r="K244" s="198"/>
      <c r="L244" s="196"/>
      <c r="M244" s="196"/>
      <c r="N244" s="196"/>
      <c r="O244" s="196"/>
      <c r="P244" s="127"/>
    </row>
    <row r="245" spans="1:16" ht="20.25" customHeight="1" x14ac:dyDescent="0.3">
      <c r="A245" s="137"/>
      <c r="B245" s="137"/>
      <c r="C245" s="137"/>
      <c r="D245" s="194"/>
      <c r="E245" s="194"/>
      <c r="F245" s="137"/>
      <c r="G245" s="137"/>
      <c r="H245" s="137"/>
      <c r="I245" s="137"/>
      <c r="J245" s="197"/>
      <c r="K245" s="198"/>
      <c r="L245" s="196"/>
      <c r="M245" s="196"/>
      <c r="N245" s="196"/>
      <c r="O245" s="196"/>
      <c r="P245" s="127"/>
    </row>
    <row r="246" spans="1:16" ht="20.25" customHeight="1" x14ac:dyDescent="0.3">
      <c r="A246" s="137"/>
      <c r="B246" s="137"/>
      <c r="C246" s="137"/>
      <c r="D246" s="194"/>
      <c r="E246" s="194"/>
      <c r="F246" s="137"/>
      <c r="G246" s="137"/>
      <c r="H246" s="137"/>
      <c r="I246" s="137"/>
      <c r="J246" s="197"/>
      <c r="K246" s="198"/>
      <c r="L246" s="196"/>
      <c r="M246" s="196"/>
      <c r="N246" s="196"/>
      <c r="O246" s="196"/>
      <c r="P246" s="127"/>
    </row>
    <row r="247" spans="1:16" ht="20.25" customHeight="1" x14ac:dyDescent="0.3">
      <c r="A247" s="137"/>
      <c r="B247" s="137"/>
      <c r="C247" s="137"/>
      <c r="D247" s="194"/>
      <c r="E247" s="194"/>
      <c r="F247" s="137"/>
      <c r="G247" s="137"/>
      <c r="H247" s="137"/>
      <c r="I247" s="137"/>
      <c r="J247" s="197"/>
      <c r="K247" s="198"/>
      <c r="L247" s="196"/>
      <c r="M247" s="196"/>
      <c r="N247" s="196"/>
      <c r="O247" s="196"/>
      <c r="P247" s="127"/>
    </row>
    <row r="248" spans="1:16" ht="20.25" customHeight="1" x14ac:dyDescent="0.3">
      <c r="A248" s="137"/>
      <c r="B248" s="137"/>
      <c r="C248" s="137"/>
      <c r="D248" s="194"/>
      <c r="E248" s="194"/>
      <c r="F248" s="137"/>
      <c r="G248" s="137"/>
      <c r="H248" s="137"/>
      <c r="I248" s="137"/>
      <c r="J248" s="197"/>
      <c r="K248" s="198"/>
      <c r="L248" s="196"/>
      <c r="M248" s="196"/>
      <c r="N248" s="196"/>
      <c r="O248" s="196"/>
      <c r="P248" s="127"/>
    </row>
    <row r="249" spans="1:16" ht="20.25" customHeight="1" x14ac:dyDescent="0.3">
      <c r="A249" s="137"/>
      <c r="B249" s="137"/>
      <c r="C249" s="137"/>
      <c r="D249" s="194"/>
      <c r="E249" s="194"/>
      <c r="F249" s="137"/>
      <c r="G249" s="137"/>
      <c r="H249" s="137"/>
      <c r="I249" s="137"/>
      <c r="J249" s="197"/>
      <c r="K249" s="198"/>
      <c r="L249" s="196"/>
      <c r="M249" s="196"/>
      <c r="N249" s="196"/>
      <c r="O249" s="196"/>
      <c r="P249" s="127"/>
    </row>
    <row r="250" spans="1:16" ht="20.25" customHeight="1" x14ac:dyDescent="0.3">
      <c r="A250" s="137"/>
      <c r="B250" s="137"/>
      <c r="C250" s="137"/>
      <c r="D250" s="194"/>
      <c r="E250" s="194"/>
      <c r="F250" s="137"/>
      <c r="G250" s="137"/>
      <c r="H250" s="137"/>
      <c r="I250" s="137"/>
      <c r="J250" s="197"/>
      <c r="K250" s="198"/>
      <c r="L250" s="196"/>
      <c r="M250" s="196"/>
      <c r="N250" s="196"/>
      <c r="O250" s="196"/>
      <c r="P250" s="127"/>
    </row>
    <row r="251" spans="1:16" ht="20.25" customHeight="1" x14ac:dyDescent="0.3">
      <c r="A251" s="137"/>
      <c r="B251" s="137"/>
      <c r="C251" s="137"/>
      <c r="D251" s="194"/>
      <c r="E251" s="194"/>
      <c r="F251" s="137"/>
      <c r="G251" s="137"/>
      <c r="H251" s="137"/>
      <c r="I251" s="137"/>
      <c r="J251" s="197"/>
      <c r="K251" s="198"/>
      <c r="L251" s="196"/>
      <c r="M251" s="196"/>
      <c r="N251" s="196"/>
      <c r="O251" s="196"/>
      <c r="P251" s="127"/>
    </row>
    <row r="252" spans="1:16" ht="20.25" customHeight="1" x14ac:dyDescent="0.3">
      <c r="A252" s="137"/>
      <c r="B252" s="137"/>
      <c r="C252" s="137"/>
      <c r="D252" s="194"/>
      <c r="E252" s="194"/>
      <c r="F252" s="137"/>
      <c r="G252" s="137"/>
      <c r="H252" s="137"/>
      <c r="I252" s="137"/>
      <c r="J252" s="197"/>
      <c r="K252" s="198"/>
      <c r="L252" s="196"/>
      <c r="M252" s="196"/>
      <c r="N252" s="196"/>
      <c r="O252" s="196"/>
      <c r="P252" s="127"/>
    </row>
    <row r="253" spans="1:16" ht="20.25" customHeight="1" x14ac:dyDescent="0.3">
      <c r="A253" s="137"/>
      <c r="B253" s="137"/>
      <c r="C253" s="137"/>
      <c r="D253" s="194"/>
      <c r="E253" s="194"/>
      <c r="F253" s="137"/>
      <c r="G253" s="137"/>
      <c r="H253" s="137"/>
      <c r="I253" s="137"/>
      <c r="J253" s="197"/>
      <c r="K253" s="198"/>
      <c r="L253" s="196"/>
      <c r="M253" s="196"/>
      <c r="N253" s="196"/>
      <c r="O253" s="196"/>
      <c r="P253" s="127"/>
    </row>
    <row r="254" spans="1:16" ht="20.25" customHeight="1" x14ac:dyDescent="0.3">
      <c r="A254" s="137"/>
      <c r="B254" s="137"/>
      <c r="C254" s="137"/>
      <c r="D254" s="194"/>
      <c r="E254" s="194"/>
      <c r="F254" s="137"/>
      <c r="G254" s="137"/>
      <c r="H254" s="137"/>
      <c r="I254" s="137"/>
      <c r="J254" s="197"/>
      <c r="K254" s="198"/>
      <c r="L254" s="196"/>
      <c r="M254" s="196"/>
      <c r="N254" s="196"/>
      <c r="O254" s="196"/>
      <c r="P254" s="127"/>
    </row>
    <row r="255" spans="1:16" ht="20.25" customHeight="1" x14ac:dyDescent="0.3">
      <c r="A255" s="137"/>
      <c r="B255" s="137"/>
      <c r="C255" s="137"/>
      <c r="D255" s="194"/>
      <c r="E255" s="194"/>
      <c r="F255" s="137"/>
      <c r="G255" s="137"/>
      <c r="H255" s="137"/>
      <c r="I255" s="137"/>
      <c r="J255" s="197"/>
      <c r="K255" s="198"/>
      <c r="L255" s="196"/>
      <c r="M255" s="196"/>
      <c r="N255" s="196"/>
      <c r="O255" s="196"/>
      <c r="P255" s="127"/>
    </row>
    <row r="256" spans="1:16" ht="20.25" customHeight="1" x14ac:dyDescent="0.3">
      <c r="A256" s="137"/>
      <c r="B256" s="137"/>
      <c r="C256" s="137"/>
      <c r="D256" s="194"/>
      <c r="E256" s="194"/>
      <c r="F256" s="137"/>
      <c r="G256" s="137"/>
      <c r="H256" s="137"/>
      <c r="I256" s="137"/>
      <c r="J256" s="197"/>
      <c r="K256" s="198"/>
      <c r="L256" s="196"/>
      <c r="M256" s="196"/>
      <c r="N256" s="196"/>
      <c r="O256" s="196"/>
      <c r="P256" s="127"/>
    </row>
    <row r="257" spans="1:16" ht="20.25" customHeight="1" x14ac:dyDescent="0.3">
      <c r="A257" s="137"/>
      <c r="B257" s="137"/>
      <c r="C257" s="137"/>
      <c r="D257" s="194"/>
      <c r="E257" s="194"/>
      <c r="F257" s="137"/>
      <c r="G257" s="137"/>
      <c r="H257" s="137"/>
      <c r="I257" s="137"/>
      <c r="J257" s="197"/>
      <c r="K257" s="198"/>
      <c r="L257" s="196"/>
      <c r="M257" s="196"/>
      <c r="N257" s="196"/>
      <c r="O257" s="196"/>
      <c r="P257" s="127"/>
    </row>
    <row r="258" spans="1:16" ht="20.25" customHeight="1" x14ac:dyDescent="0.3">
      <c r="A258" s="137"/>
      <c r="B258" s="137"/>
      <c r="C258" s="137"/>
      <c r="D258" s="194"/>
      <c r="E258" s="194"/>
      <c r="F258" s="137"/>
      <c r="G258" s="137"/>
      <c r="H258" s="137"/>
      <c r="I258" s="137"/>
      <c r="J258" s="197"/>
      <c r="K258" s="198"/>
      <c r="L258" s="196"/>
      <c r="M258" s="196"/>
      <c r="N258" s="196"/>
      <c r="O258" s="196"/>
      <c r="P258" s="127"/>
    </row>
    <row r="259" spans="1:16" ht="20.25" customHeight="1" x14ac:dyDescent="0.3">
      <c r="A259" s="137"/>
      <c r="B259" s="137"/>
      <c r="C259" s="137"/>
      <c r="D259" s="194"/>
      <c r="E259" s="194"/>
      <c r="F259" s="137"/>
      <c r="G259" s="137"/>
      <c r="H259" s="137"/>
      <c r="I259" s="137"/>
      <c r="J259" s="197"/>
      <c r="K259" s="198"/>
      <c r="L259" s="196"/>
      <c r="M259" s="196"/>
      <c r="N259" s="196"/>
      <c r="O259" s="196"/>
      <c r="P259" s="127"/>
    </row>
    <row r="260" spans="1:16" ht="20.25" customHeight="1" x14ac:dyDescent="0.3">
      <c r="A260" s="137"/>
      <c r="B260" s="137"/>
      <c r="C260" s="137"/>
      <c r="D260" s="194"/>
      <c r="E260" s="194"/>
      <c r="F260" s="137"/>
      <c r="G260" s="137"/>
      <c r="H260" s="137"/>
      <c r="I260" s="137"/>
      <c r="J260" s="197"/>
      <c r="K260" s="198"/>
      <c r="L260" s="196"/>
      <c r="M260" s="196"/>
      <c r="N260" s="196"/>
      <c r="O260" s="196"/>
      <c r="P260" s="127"/>
    </row>
    <row r="261" spans="1:16" ht="20.25" customHeight="1" x14ac:dyDescent="0.3">
      <c r="A261" s="137"/>
      <c r="B261" s="137"/>
      <c r="C261" s="137"/>
      <c r="D261" s="194"/>
      <c r="E261" s="194"/>
      <c r="F261" s="137"/>
      <c r="G261" s="137"/>
      <c r="H261" s="137"/>
      <c r="I261" s="137"/>
      <c r="J261" s="197"/>
      <c r="K261" s="198"/>
      <c r="L261" s="196"/>
      <c r="M261" s="196"/>
      <c r="N261" s="196"/>
      <c r="O261" s="196"/>
      <c r="P261" s="127"/>
    </row>
    <row r="262" spans="1:16" ht="20.25" customHeight="1" x14ac:dyDescent="0.3">
      <c r="A262" s="137"/>
      <c r="B262" s="137"/>
      <c r="C262" s="137"/>
      <c r="D262" s="194"/>
      <c r="E262" s="194"/>
      <c r="F262" s="137"/>
      <c r="G262" s="137"/>
      <c r="H262" s="137"/>
      <c r="I262" s="137"/>
      <c r="J262" s="197"/>
      <c r="K262" s="198"/>
      <c r="L262" s="196"/>
      <c r="M262" s="196"/>
      <c r="N262" s="196"/>
      <c r="O262" s="196"/>
      <c r="P262" s="127"/>
    </row>
    <row r="263" spans="1:16" ht="20.25" customHeight="1" x14ac:dyDescent="0.3">
      <c r="A263" s="137"/>
      <c r="B263" s="137"/>
      <c r="C263" s="137"/>
      <c r="D263" s="194"/>
      <c r="E263" s="194"/>
      <c r="F263" s="137"/>
      <c r="G263" s="137"/>
      <c r="H263" s="137"/>
      <c r="I263" s="137"/>
      <c r="J263" s="197"/>
      <c r="K263" s="198"/>
      <c r="L263" s="196"/>
      <c r="M263" s="196"/>
      <c r="N263" s="196"/>
      <c r="O263" s="196"/>
      <c r="P263" s="127"/>
    </row>
    <row r="264" spans="1:16" ht="20.25" customHeight="1" x14ac:dyDescent="0.3">
      <c r="A264" s="137"/>
      <c r="B264" s="137"/>
      <c r="C264" s="137"/>
      <c r="D264" s="194"/>
      <c r="E264" s="194"/>
      <c r="F264" s="137"/>
      <c r="G264" s="137"/>
      <c r="H264" s="137"/>
      <c r="I264" s="137"/>
      <c r="J264" s="197"/>
      <c r="K264" s="198"/>
      <c r="L264" s="196"/>
      <c r="M264" s="196"/>
      <c r="N264" s="196"/>
      <c r="O264" s="196"/>
      <c r="P264" s="127"/>
    </row>
    <row r="265" spans="1:16" ht="20.25" customHeight="1" x14ac:dyDescent="0.3">
      <c r="A265" s="137"/>
      <c r="B265" s="137"/>
      <c r="C265" s="137"/>
      <c r="D265" s="194"/>
      <c r="E265" s="194"/>
      <c r="F265" s="137"/>
      <c r="G265" s="137"/>
      <c r="H265" s="137"/>
      <c r="I265" s="137"/>
      <c r="J265" s="197"/>
      <c r="K265" s="198"/>
      <c r="L265" s="196"/>
      <c r="M265" s="196"/>
      <c r="N265" s="196"/>
      <c r="O265" s="196"/>
      <c r="P265" s="127"/>
    </row>
    <row r="266" spans="1:16" ht="20.25" customHeight="1" x14ac:dyDescent="0.3">
      <c r="A266" s="137"/>
      <c r="B266" s="137"/>
      <c r="C266" s="137"/>
      <c r="D266" s="194"/>
      <c r="E266" s="194"/>
      <c r="F266" s="137"/>
      <c r="G266" s="137"/>
      <c r="H266" s="137"/>
      <c r="I266" s="137"/>
      <c r="J266" s="197"/>
      <c r="K266" s="198"/>
      <c r="L266" s="196"/>
      <c r="M266" s="196"/>
      <c r="N266" s="196"/>
      <c r="O266" s="196"/>
      <c r="P266" s="127"/>
    </row>
    <row r="267" spans="1:16" ht="20.25" customHeight="1" x14ac:dyDescent="0.3">
      <c r="A267" s="137"/>
      <c r="B267" s="137"/>
      <c r="C267" s="137"/>
      <c r="D267" s="194"/>
      <c r="E267" s="194"/>
      <c r="F267" s="137"/>
      <c r="G267" s="137"/>
      <c r="H267" s="137"/>
      <c r="I267" s="137"/>
      <c r="J267" s="197"/>
      <c r="K267" s="198"/>
      <c r="L267" s="196"/>
      <c r="M267" s="196"/>
      <c r="N267" s="196"/>
      <c r="O267" s="196"/>
      <c r="P267" s="127"/>
    </row>
    <row r="268" spans="1:16" ht="20.25" customHeight="1" x14ac:dyDescent="0.3">
      <c r="A268" s="137"/>
      <c r="B268" s="137"/>
      <c r="C268" s="137"/>
      <c r="D268" s="194"/>
      <c r="E268" s="194"/>
      <c r="F268" s="137"/>
      <c r="G268" s="137"/>
      <c r="H268" s="137"/>
      <c r="I268" s="137"/>
      <c r="J268" s="197"/>
      <c r="K268" s="198"/>
      <c r="L268" s="196"/>
      <c r="M268" s="196"/>
      <c r="N268" s="196"/>
      <c r="O268" s="196"/>
      <c r="P268" s="127"/>
    </row>
    <row r="269" spans="1:16" ht="20.25" customHeight="1" x14ac:dyDescent="0.3">
      <c r="A269" s="137"/>
      <c r="B269" s="137"/>
      <c r="C269" s="137"/>
      <c r="D269" s="194"/>
      <c r="E269" s="194"/>
      <c r="F269" s="137"/>
      <c r="G269" s="137"/>
      <c r="H269" s="137"/>
      <c r="I269" s="137"/>
      <c r="J269" s="197"/>
      <c r="K269" s="198"/>
      <c r="L269" s="196"/>
      <c r="M269" s="196"/>
      <c r="N269" s="196"/>
      <c r="O269" s="196"/>
      <c r="P269" s="127"/>
    </row>
    <row r="270" spans="1:16" ht="20.25" customHeight="1" x14ac:dyDescent="0.3">
      <c r="A270" s="137"/>
      <c r="B270" s="137"/>
      <c r="C270" s="137"/>
      <c r="D270" s="194"/>
      <c r="E270" s="194"/>
      <c r="F270" s="137"/>
      <c r="G270" s="137"/>
      <c r="H270" s="137"/>
      <c r="I270" s="137"/>
      <c r="J270" s="197"/>
      <c r="K270" s="198"/>
      <c r="L270" s="196"/>
      <c r="M270" s="196"/>
      <c r="N270" s="196"/>
      <c r="O270" s="196"/>
      <c r="P270" s="127"/>
    </row>
    <row r="271" spans="1:16" ht="20.25" customHeight="1" x14ac:dyDescent="0.3">
      <c r="A271" s="137"/>
      <c r="B271" s="137"/>
      <c r="C271" s="137"/>
      <c r="D271" s="194"/>
      <c r="E271" s="194"/>
      <c r="F271" s="137"/>
      <c r="G271" s="137"/>
      <c r="H271" s="137"/>
      <c r="I271" s="137"/>
      <c r="J271" s="197"/>
      <c r="K271" s="198"/>
      <c r="L271" s="196"/>
      <c r="M271" s="196"/>
      <c r="N271" s="196"/>
      <c r="O271" s="196"/>
      <c r="P271" s="127"/>
    </row>
    <row r="272" spans="1:16" ht="20.25" customHeight="1" x14ac:dyDescent="0.3">
      <c r="A272" s="137"/>
      <c r="B272" s="137"/>
      <c r="C272" s="137"/>
      <c r="D272" s="194"/>
      <c r="E272" s="194"/>
      <c r="F272" s="137"/>
      <c r="G272" s="137"/>
      <c r="H272" s="137"/>
      <c r="I272" s="137"/>
      <c r="J272" s="197"/>
      <c r="K272" s="198"/>
      <c r="L272" s="196"/>
      <c r="M272" s="196"/>
      <c r="N272" s="196"/>
      <c r="O272" s="196"/>
      <c r="P272" s="127"/>
    </row>
    <row r="273" spans="1:16" ht="20.25" customHeight="1" x14ac:dyDescent="0.3">
      <c r="A273" s="137"/>
      <c r="B273" s="137"/>
      <c r="C273" s="137"/>
      <c r="D273" s="194"/>
      <c r="E273" s="194"/>
      <c r="F273" s="137"/>
      <c r="G273" s="137"/>
      <c r="H273" s="137"/>
      <c r="I273" s="137"/>
      <c r="J273" s="197"/>
      <c r="K273" s="198"/>
      <c r="L273" s="196"/>
      <c r="M273" s="196"/>
      <c r="N273" s="196"/>
      <c r="O273" s="196"/>
      <c r="P273" s="127"/>
    </row>
    <row r="274" spans="1:16" ht="20.25" customHeight="1" x14ac:dyDescent="0.3">
      <c r="A274" s="137"/>
      <c r="B274" s="137"/>
      <c r="C274" s="137"/>
      <c r="D274" s="194"/>
      <c r="E274" s="194"/>
      <c r="F274" s="137"/>
      <c r="G274" s="137"/>
      <c r="H274" s="137"/>
      <c r="I274" s="137"/>
      <c r="J274" s="197"/>
      <c r="K274" s="198"/>
      <c r="L274" s="196"/>
      <c r="M274" s="196"/>
      <c r="N274" s="196"/>
      <c r="O274" s="196"/>
      <c r="P274" s="127"/>
    </row>
    <row r="275" spans="1:16" ht="20.25" customHeight="1" x14ac:dyDescent="0.3">
      <c r="A275" s="137"/>
      <c r="B275" s="137"/>
      <c r="C275" s="137"/>
      <c r="D275" s="194"/>
      <c r="E275" s="194"/>
      <c r="F275" s="137"/>
      <c r="G275" s="137"/>
      <c r="H275" s="137"/>
      <c r="I275" s="137"/>
      <c r="J275" s="197"/>
      <c r="K275" s="198"/>
      <c r="L275" s="196"/>
      <c r="M275" s="196"/>
      <c r="N275" s="196"/>
      <c r="O275" s="196"/>
      <c r="P275" s="127"/>
    </row>
    <row r="276" spans="1:16" ht="20.25" customHeight="1" x14ac:dyDescent="0.3">
      <c r="A276" s="137"/>
      <c r="B276" s="137"/>
      <c r="C276" s="137"/>
      <c r="D276" s="194"/>
      <c r="E276" s="194"/>
      <c r="F276" s="137"/>
      <c r="G276" s="137"/>
      <c r="H276" s="137"/>
      <c r="I276" s="137"/>
      <c r="J276" s="197"/>
      <c r="K276" s="198"/>
      <c r="L276" s="196"/>
      <c r="M276" s="196"/>
      <c r="N276" s="196"/>
      <c r="O276" s="196"/>
      <c r="P276" s="127"/>
    </row>
    <row r="277" spans="1:16" ht="20.25" customHeight="1" x14ac:dyDescent="0.3">
      <c r="A277" s="137"/>
      <c r="B277" s="137"/>
      <c r="C277" s="137"/>
      <c r="D277" s="194"/>
      <c r="E277" s="194"/>
      <c r="F277" s="137"/>
      <c r="G277" s="137"/>
      <c r="H277" s="137"/>
      <c r="I277" s="137"/>
      <c r="J277" s="197"/>
      <c r="K277" s="198"/>
      <c r="L277" s="196"/>
      <c r="M277" s="196"/>
      <c r="N277" s="196"/>
      <c r="O277" s="196"/>
      <c r="P277" s="127"/>
    </row>
    <row r="278" spans="1:16" ht="20.25" customHeight="1" x14ac:dyDescent="0.3">
      <c r="A278" s="137"/>
      <c r="B278" s="137"/>
      <c r="C278" s="137"/>
      <c r="D278" s="194"/>
      <c r="E278" s="194"/>
      <c r="F278" s="137"/>
      <c r="G278" s="137"/>
      <c r="H278" s="137"/>
      <c r="I278" s="137"/>
      <c r="J278" s="197"/>
      <c r="K278" s="198"/>
      <c r="L278" s="196"/>
      <c r="M278" s="196"/>
      <c r="N278" s="196"/>
      <c r="O278" s="196"/>
      <c r="P278" s="127"/>
    </row>
    <row r="279" spans="1:16" ht="20.25" customHeight="1" x14ac:dyDescent="0.3">
      <c r="A279" s="137"/>
      <c r="B279" s="137"/>
      <c r="C279" s="137"/>
      <c r="D279" s="194"/>
      <c r="E279" s="194"/>
      <c r="F279" s="137"/>
      <c r="G279" s="137"/>
      <c r="H279" s="137"/>
      <c r="I279" s="137"/>
      <c r="J279" s="197"/>
      <c r="K279" s="198"/>
      <c r="L279" s="196"/>
      <c r="M279" s="196"/>
      <c r="N279" s="196"/>
      <c r="O279" s="196"/>
      <c r="P279" s="127"/>
    </row>
    <row r="280" spans="1:16" ht="20.25" customHeight="1" x14ac:dyDescent="0.3">
      <c r="A280" s="137"/>
      <c r="B280" s="137"/>
      <c r="C280" s="137"/>
      <c r="D280" s="194"/>
      <c r="E280" s="194"/>
      <c r="F280" s="137"/>
      <c r="G280" s="137"/>
      <c r="H280" s="137"/>
      <c r="I280" s="137"/>
      <c r="J280" s="197"/>
      <c r="K280" s="198"/>
      <c r="L280" s="196"/>
      <c r="M280" s="196"/>
      <c r="N280" s="196"/>
      <c r="O280" s="196"/>
      <c r="P280" s="127"/>
    </row>
    <row r="281" spans="1:16" ht="20.25" customHeight="1" x14ac:dyDescent="0.3">
      <c r="A281" s="137"/>
      <c r="B281" s="137"/>
      <c r="C281" s="137"/>
      <c r="D281" s="194"/>
      <c r="E281" s="194"/>
      <c r="F281" s="137"/>
      <c r="G281" s="137"/>
      <c r="H281" s="137"/>
      <c r="I281" s="137"/>
      <c r="J281" s="197"/>
      <c r="K281" s="198"/>
      <c r="L281" s="196"/>
      <c r="M281" s="196"/>
      <c r="N281" s="196"/>
      <c r="O281" s="196"/>
      <c r="P281" s="127"/>
    </row>
    <row r="282" spans="1:16" ht="20.25" customHeight="1" x14ac:dyDescent="0.3">
      <c r="A282" s="137"/>
      <c r="B282" s="137"/>
      <c r="C282" s="137"/>
      <c r="D282" s="194"/>
      <c r="E282" s="194"/>
      <c r="F282" s="137"/>
      <c r="G282" s="137"/>
      <c r="H282" s="137"/>
      <c r="I282" s="137"/>
      <c r="J282" s="197"/>
      <c r="K282" s="198"/>
      <c r="L282" s="196"/>
      <c r="M282" s="196"/>
      <c r="N282" s="196"/>
      <c r="O282" s="196"/>
      <c r="P282" s="127"/>
    </row>
    <row r="283" spans="1:16" ht="20.25" customHeight="1" x14ac:dyDescent="0.3">
      <c r="A283" s="137"/>
      <c r="B283" s="137"/>
      <c r="C283" s="137"/>
      <c r="D283" s="194"/>
      <c r="E283" s="194"/>
      <c r="F283" s="137"/>
      <c r="G283" s="137"/>
      <c r="H283" s="137"/>
      <c r="I283" s="137"/>
      <c r="J283" s="197"/>
      <c r="K283" s="198"/>
      <c r="L283" s="196"/>
      <c r="M283" s="196"/>
      <c r="N283" s="196"/>
      <c r="O283" s="196"/>
      <c r="P283" s="127"/>
    </row>
    <row r="284" spans="1:16" ht="20.25" customHeight="1" x14ac:dyDescent="0.3">
      <c r="A284" s="137"/>
      <c r="B284" s="137"/>
      <c r="C284" s="137"/>
      <c r="D284" s="194"/>
      <c r="E284" s="194"/>
      <c r="F284" s="137"/>
      <c r="G284" s="137"/>
      <c r="H284" s="137"/>
      <c r="I284" s="137"/>
      <c r="J284" s="197"/>
      <c r="K284" s="198"/>
      <c r="L284" s="196"/>
      <c r="M284" s="196"/>
      <c r="N284" s="196"/>
      <c r="O284" s="196"/>
      <c r="P284" s="127"/>
    </row>
    <row r="285" spans="1:16" ht="20.25" customHeight="1" x14ac:dyDescent="0.3">
      <c r="A285" s="137"/>
      <c r="B285" s="137"/>
      <c r="C285" s="137"/>
      <c r="D285" s="194"/>
      <c r="E285" s="194"/>
      <c r="F285" s="137"/>
      <c r="G285" s="137"/>
      <c r="H285" s="137"/>
      <c r="I285" s="137"/>
      <c r="J285" s="197"/>
      <c r="K285" s="198"/>
      <c r="L285" s="196"/>
      <c r="M285" s="196"/>
      <c r="N285" s="196"/>
      <c r="O285" s="196"/>
      <c r="P285" s="127"/>
    </row>
    <row r="286" spans="1:16" ht="20.25" customHeight="1" x14ac:dyDescent="0.3">
      <c r="A286" s="137"/>
      <c r="B286" s="137"/>
      <c r="C286" s="137"/>
      <c r="D286" s="194"/>
      <c r="E286" s="194"/>
      <c r="F286" s="137"/>
      <c r="G286" s="137"/>
      <c r="H286" s="137"/>
      <c r="I286" s="137"/>
      <c r="J286" s="197"/>
      <c r="K286" s="198"/>
      <c r="L286" s="196"/>
      <c r="M286" s="196"/>
      <c r="N286" s="196"/>
      <c r="O286" s="196"/>
      <c r="P286" s="127"/>
    </row>
    <row r="287" spans="1:16" ht="20.25" customHeight="1" x14ac:dyDescent="0.3">
      <c r="A287" s="137"/>
      <c r="B287" s="137"/>
      <c r="C287" s="137"/>
      <c r="D287" s="194"/>
      <c r="E287" s="194"/>
      <c r="F287" s="137"/>
      <c r="G287" s="137"/>
      <c r="H287" s="137"/>
      <c r="I287" s="137"/>
      <c r="J287" s="197"/>
      <c r="K287" s="198"/>
      <c r="L287" s="196"/>
      <c r="M287" s="196"/>
      <c r="N287" s="196"/>
      <c r="O287" s="196"/>
      <c r="P287" s="127"/>
    </row>
    <row r="288" spans="1:16" ht="20.25" customHeight="1" x14ac:dyDescent="0.3">
      <c r="A288" s="137"/>
      <c r="B288" s="137"/>
      <c r="C288" s="137"/>
      <c r="D288" s="194"/>
      <c r="E288" s="194"/>
      <c r="F288" s="137"/>
      <c r="G288" s="137"/>
      <c r="H288" s="137"/>
      <c r="I288" s="137"/>
      <c r="J288" s="197"/>
      <c r="K288" s="198"/>
      <c r="L288" s="196"/>
      <c r="M288" s="196"/>
      <c r="N288" s="196"/>
      <c r="O288" s="196"/>
      <c r="P288" s="127"/>
    </row>
    <row r="289" spans="1:16" ht="20.25" customHeight="1" x14ac:dyDescent="0.3">
      <c r="A289" s="137"/>
      <c r="B289" s="137"/>
      <c r="C289" s="137"/>
      <c r="D289" s="194"/>
      <c r="E289" s="194"/>
      <c r="F289" s="137"/>
      <c r="G289" s="137"/>
      <c r="H289" s="137"/>
      <c r="I289" s="137"/>
      <c r="J289" s="197"/>
      <c r="K289" s="198"/>
      <c r="L289" s="196"/>
      <c r="M289" s="196"/>
      <c r="N289" s="196"/>
      <c r="O289" s="196"/>
      <c r="P289" s="127"/>
    </row>
    <row r="290" spans="1:16" ht="20.25" customHeight="1" x14ac:dyDescent="0.3">
      <c r="A290" s="137"/>
      <c r="B290" s="137"/>
      <c r="C290" s="137"/>
      <c r="D290" s="194"/>
      <c r="E290" s="194"/>
      <c r="F290" s="137"/>
      <c r="G290" s="137"/>
      <c r="H290" s="137"/>
      <c r="I290" s="137"/>
      <c r="J290" s="197"/>
      <c r="K290" s="198"/>
      <c r="L290" s="196"/>
      <c r="M290" s="196"/>
      <c r="N290" s="196"/>
      <c r="O290" s="196"/>
      <c r="P290" s="127"/>
    </row>
    <row r="291" spans="1:16" ht="20.25" customHeight="1" x14ac:dyDescent="0.3">
      <c r="A291" s="137"/>
      <c r="B291" s="137"/>
      <c r="C291" s="137"/>
      <c r="D291" s="194"/>
      <c r="E291" s="194"/>
      <c r="F291" s="137"/>
      <c r="G291" s="137"/>
      <c r="H291" s="137"/>
      <c r="I291" s="137"/>
      <c r="J291" s="197"/>
      <c r="K291" s="198"/>
      <c r="L291" s="196"/>
      <c r="M291" s="196"/>
      <c r="N291" s="196"/>
      <c r="O291" s="196"/>
      <c r="P291" s="127"/>
    </row>
    <row r="292" spans="1:16" ht="20.25" customHeight="1" x14ac:dyDescent="0.3">
      <c r="A292" s="137"/>
      <c r="B292" s="137"/>
      <c r="C292" s="137"/>
      <c r="D292" s="194"/>
      <c r="E292" s="194"/>
      <c r="F292" s="137"/>
      <c r="G292" s="137"/>
      <c r="H292" s="137"/>
      <c r="I292" s="137"/>
      <c r="J292" s="197"/>
      <c r="K292" s="198"/>
      <c r="L292" s="196"/>
      <c r="M292" s="196"/>
      <c r="N292" s="196"/>
      <c r="O292" s="196"/>
      <c r="P292" s="127"/>
    </row>
    <row r="293" spans="1:16" ht="20.25" customHeight="1" x14ac:dyDescent="0.3">
      <c r="A293" s="137"/>
      <c r="B293" s="137"/>
      <c r="C293" s="137"/>
      <c r="D293" s="194"/>
      <c r="E293" s="194"/>
      <c r="F293" s="137"/>
      <c r="G293" s="137"/>
      <c r="H293" s="137"/>
      <c r="I293" s="137"/>
      <c r="J293" s="197"/>
      <c r="K293" s="198"/>
      <c r="L293" s="196"/>
      <c r="M293" s="196"/>
      <c r="N293" s="196"/>
      <c r="O293" s="196"/>
      <c r="P293" s="127"/>
    </row>
    <row r="294" spans="1:16" ht="20.25" customHeight="1" x14ac:dyDescent="0.3">
      <c r="A294" s="137"/>
      <c r="B294" s="137"/>
      <c r="C294" s="137"/>
      <c r="D294" s="194"/>
      <c r="E294" s="194"/>
      <c r="F294" s="137"/>
      <c r="G294" s="137"/>
      <c r="H294" s="137"/>
      <c r="I294" s="137"/>
      <c r="J294" s="197"/>
      <c r="K294" s="198"/>
      <c r="L294" s="196"/>
      <c r="M294" s="196"/>
      <c r="N294" s="196"/>
      <c r="O294" s="196"/>
      <c r="P294" s="127"/>
    </row>
    <row r="295" spans="1:16" ht="20.25" customHeight="1" x14ac:dyDescent="0.3">
      <c r="A295" s="137"/>
      <c r="B295" s="137"/>
      <c r="C295" s="137"/>
      <c r="D295" s="194"/>
      <c r="E295" s="194"/>
      <c r="F295" s="137"/>
      <c r="G295" s="137"/>
      <c r="H295" s="137"/>
      <c r="I295" s="137"/>
      <c r="J295" s="197"/>
      <c r="K295" s="198"/>
      <c r="L295" s="196"/>
      <c r="M295" s="196"/>
      <c r="N295" s="196"/>
      <c r="O295" s="196"/>
      <c r="P295" s="127"/>
    </row>
    <row r="296" spans="1:16" ht="20.25" customHeight="1" x14ac:dyDescent="0.3">
      <c r="A296" s="137"/>
      <c r="B296" s="137"/>
      <c r="C296" s="137"/>
      <c r="D296" s="194"/>
      <c r="E296" s="194"/>
      <c r="F296" s="137"/>
      <c r="G296" s="137"/>
      <c r="H296" s="137"/>
      <c r="I296" s="137"/>
      <c r="J296" s="197"/>
      <c r="K296" s="198"/>
      <c r="L296" s="196"/>
      <c r="M296" s="196"/>
      <c r="N296" s="196"/>
      <c r="O296" s="196"/>
      <c r="P296" s="127"/>
    </row>
    <row r="297" spans="1:16" ht="20.25" customHeight="1" x14ac:dyDescent="0.3">
      <c r="A297" s="137"/>
      <c r="B297" s="137"/>
      <c r="C297" s="137"/>
      <c r="D297" s="194"/>
      <c r="E297" s="194"/>
      <c r="F297" s="137"/>
      <c r="G297" s="137"/>
      <c r="H297" s="137"/>
      <c r="I297" s="137"/>
      <c r="J297" s="197"/>
      <c r="K297" s="198"/>
      <c r="L297" s="196"/>
      <c r="M297" s="196"/>
      <c r="N297" s="196"/>
      <c r="O297" s="196"/>
      <c r="P297" s="127"/>
    </row>
    <row r="298" spans="1:16" ht="20.25" customHeight="1" x14ac:dyDescent="0.3">
      <c r="A298" s="137"/>
      <c r="B298" s="137"/>
      <c r="C298" s="137"/>
      <c r="D298" s="194"/>
      <c r="E298" s="194"/>
      <c r="F298" s="137"/>
      <c r="G298" s="137"/>
      <c r="H298" s="137"/>
      <c r="I298" s="137"/>
      <c r="J298" s="197"/>
      <c r="K298" s="198"/>
      <c r="L298" s="196"/>
      <c r="M298" s="196"/>
      <c r="N298" s="196"/>
      <c r="O298" s="196"/>
      <c r="P298" s="127"/>
    </row>
    <row r="299" spans="1:16" ht="20.25" customHeight="1" x14ac:dyDescent="0.3">
      <c r="A299" s="137"/>
      <c r="B299" s="137"/>
      <c r="C299" s="137"/>
      <c r="D299" s="194"/>
      <c r="E299" s="194"/>
      <c r="F299" s="137"/>
      <c r="G299" s="137"/>
      <c r="H299" s="137"/>
      <c r="I299" s="137"/>
      <c r="J299" s="197"/>
      <c r="K299" s="198"/>
      <c r="L299" s="196"/>
      <c r="M299" s="196"/>
      <c r="N299" s="196"/>
      <c r="O299" s="196"/>
      <c r="P299" s="127"/>
    </row>
    <row r="300" spans="1:16" ht="20.25" customHeight="1" x14ac:dyDescent="0.3">
      <c r="A300" s="137"/>
      <c r="B300" s="137"/>
      <c r="C300" s="137"/>
      <c r="D300" s="194"/>
      <c r="E300" s="194"/>
      <c r="F300" s="137"/>
      <c r="G300" s="137"/>
      <c r="H300" s="137"/>
      <c r="I300" s="137"/>
      <c r="J300" s="197"/>
      <c r="K300" s="198"/>
      <c r="L300" s="196"/>
      <c r="M300" s="196"/>
      <c r="N300" s="196"/>
      <c r="O300" s="196"/>
      <c r="P300" s="127"/>
    </row>
    <row r="301" spans="1:16" ht="20.25" customHeight="1" x14ac:dyDescent="0.3">
      <c r="A301" s="137"/>
      <c r="B301" s="137"/>
      <c r="C301" s="137"/>
      <c r="D301" s="194"/>
      <c r="E301" s="194"/>
      <c r="F301" s="137"/>
      <c r="G301" s="137"/>
      <c r="H301" s="137"/>
      <c r="I301" s="137"/>
      <c r="J301" s="197"/>
      <c r="K301" s="198"/>
      <c r="L301" s="196"/>
      <c r="M301" s="196"/>
      <c r="N301" s="196"/>
      <c r="O301" s="196"/>
      <c r="P301" s="127"/>
    </row>
    <row r="302" spans="1:16" ht="20.25" customHeight="1" x14ac:dyDescent="0.3">
      <c r="A302" s="137"/>
      <c r="B302" s="137"/>
      <c r="C302" s="137"/>
      <c r="D302" s="194"/>
      <c r="E302" s="194"/>
      <c r="F302" s="137"/>
      <c r="G302" s="137"/>
      <c r="H302" s="137"/>
      <c r="I302" s="137"/>
      <c r="J302" s="197"/>
      <c r="K302" s="198"/>
      <c r="L302" s="196"/>
      <c r="M302" s="196"/>
      <c r="N302" s="196"/>
      <c r="O302" s="196"/>
      <c r="P302" s="127"/>
    </row>
    <row r="303" spans="1:16" ht="20.25" customHeight="1" x14ac:dyDescent="0.3">
      <c r="A303" s="137"/>
      <c r="B303" s="137"/>
      <c r="C303" s="137"/>
      <c r="D303" s="194"/>
      <c r="E303" s="194"/>
      <c r="F303" s="137"/>
      <c r="G303" s="137"/>
      <c r="H303" s="137"/>
      <c r="I303" s="137"/>
      <c r="J303" s="197"/>
      <c r="K303" s="198"/>
      <c r="L303" s="196"/>
      <c r="M303" s="196"/>
      <c r="N303" s="196"/>
      <c r="O303" s="196"/>
      <c r="P303" s="127"/>
    </row>
    <row r="304" spans="1:16" ht="20.25" customHeight="1" x14ac:dyDescent="0.3">
      <c r="A304" s="137"/>
      <c r="B304" s="137"/>
      <c r="C304" s="137"/>
      <c r="D304" s="194"/>
      <c r="E304" s="194"/>
      <c r="F304" s="137"/>
      <c r="G304" s="137"/>
      <c r="H304" s="137"/>
      <c r="I304" s="137"/>
      <c r="J304" s="197"/>
      <c r="K304" s="198"/>
      <c r="L304" s="196"/>
      <c r="M304" s="196"/>
      <c r="N304" s="196"/>
      <c r="O304" s="196"/>
      <c r="P304" s="127"/>
    </row>
    <row r="305" spans="1:16" ht="20.25" customHeight="1" x14ac:dyDescent="0.3">
      <c r="A305" s="137"/>
      <c r="B305" s="137"/>
      <c r="C305" s="137"/>
      <c r="D305" s="194"/>
      <c r="E305" s="194"/>
      <c r="F305" s="137"/>
      <c r="G305" s="137"/>
      <c r="H305" s="137"/>
      <c r="I305" s="137"/>
      <c r="J305" s="197"/>
      <c r="K305" s="198"/>
      <c r="L305" s="196"/>
      <c r="M305" s="196"/>
      <c r="N305" s="196"/>
      <c r="O305" s="196"/>
      <c r="P305" s="127"/>
    </row>
    <row r="306" spans="1:16" ht="20.25" customHeight="1" x14ac:dyDescent="0.3">
      <c r="A306" s="137"/>
      <c r="B306" s="137"/>
      <c r="C306" s="137"/>
      <c r="D306" s="194"/>
      <c r="E306" s="194"/>
      <c r="F306" s="137"/>
      <c r="G306" s="137"/>
      <c r="H306" s="137"/>
      <c r="I306" s="137"/>
      <c r="J306" s="197"/>
      <c r="K306" s="198"/>
      <c r="L306" s="196"/>
      <c r="M306" s="196"/>
      <c r="N306" s="196"/>
      <c r="O306" s="196"/>
      <c r="P306" s="127"/>
    </row>
    <row r="307" spans="1:16" ht="20.25" customHeight="1" x14ac:dyDescent="0.3">
      <c r="A307" s="137"/>
      <c r="B307" s="137"/>
      <c r="C307" s="137"/>
      <c r="D307" s="194"/>
      <c r="E307" s="194"/>
      <c r="F307" s="137"/>
      <c r="G307" s="137"/>
      <c r="H307" s="137"/>
      <c r="I307" s="137"/>
      <c r="J307" s="197"/>
      <c r="K307" s="198"/>
      <c r="L307" s="196"/>
      <c r="M307" s="196"/>
      <c r="N307" s="196"/>
      <c r="O307" s="196"/>
      <c r="P307" s="127"/>
    </row>
    <row r="308" spans="1:16" ht="20.25" customHeight="1" x14ac:dyDescent="0.3">
      <c r="A308" s="137"/>
      <c r="B308" s="137"/>
      <c r="C308" s="137"/>
      <c r="D308" s="194"/>
      <c r="E308" s="194"/>
      <c r="F308" s="137"/>
      <c r="G308" s="137"/>
      <c r="H308" s="137"/>
      <c r="I308" s="137"/>
      <c r="J308" s="197"/>
      <c r="K308" s="198"/>
      <c r="L308" s="196"/>
      <c r="M308" s="196"/>
      <c r="N308" s="196"/>
      <c r="O308" s="196"/>
      <c r="P308" s="127"/>
    </row>
    <row r="309" spans="1:16" ht="20.25" customHeight="1" x14ac:dyDescent="0.3">
      <c r="A309" s="137"/>
      <c r="B309" s="137"/>
      <c r="C309" s="137"/>
      <c r="D309" s="194"/>
      <c r="E309" s="194"/>
      <c r="F309" s="137"/>
      <c r="G309" s="137"/>
      <c r="H309" s="137"/>
      <c r="I309" s="137"/>
      <c r="J309" s="197"/>
      <c r="K309" s="198"/>
      <c r="L309" s="196"/>
      <c r="M309" s="196"/>
      <c r="N309" s="196"/>
      <c r="O309" s="196"/>
      <c r="P309" s="127"/>
    </row>
    <row r="310" spans="1:16" ht="20.25" customHeight="1" x14ac:dyDescent="0.3">
      <c r="A310" s="137"/>
      <c r="B310" s="137"/>
      <c r="C310" s="137"/>
      <c r="D310" s="194"/>
      <c r="E310" s="194"/>
      <c r="F310" s="137"/>
      <c r="G310" s="137"/>
      <c r="H310" s="137"/>
      <c r="I310" s="137"/>
      <c r="J310" s="197"/>
      <c r="K310" s="198"/>
      <c r="L310" s="196"/>
      <c r="M310" s="196"/>
      <c r="N310" s="196"/>
      <c r="O310" s="196"/>
      <c r="P310" s="127"/>
    </row>
    <row r="311" spans="1:16" ht="20.25" customHeight="1" x14ac:dyDescent="0.3">
      <c r="A311" s="137"/>
      <c r="B311" s="137"/>
      <c r="C311" s="137"/>
      <c r="D311" s="194"/>
      <c r="E311" s="194"/>
      <c r="F311" s="137"/>
      <c r="G311" s="137"/>
      <c r="H311" s="137"/>
      <c r="I311" s="137"/>
      <c r="J311" s="197"/>
      <c r="K311" s="198"/>
      <c r="L311" s="196"/>
      <c r="M311" s="196"/>
      <c r="N311" s="196"/>
      <c r="O311" s="196"/>
      <c r="P311" s="127"/>
    </row>
    <row r="312" spans="1:16" ht="20.25" customHeight="1" x14ac:dyDescent="0.3">
      <c r="A312" s="137"/>
      <c r="B312" s="137"/>
      <c r="C312" s="137"/>
      <c r="D312" s="194"/>
      <c r="E312" s="194"/>
      <c r="F312" s="137"/>
      <c r="G312" s="137"/>
      <c r="H312" s="137"/>
      <c r="I312" s="137"/>
      <c r="J312" s="197"/>
      <c r="K312" s="198"/>
      <c r="L312" s="196"/>
      <c r="M312" s="196"/>
      <c r="N312" s="196"/>
      <c r="O312" s="196"/>
      <c r="P312" s="127"/>
    </row>
    <row r="313" spans="1:16" ht="20.25" customHeight="1" x14ac:dyDescent="0.3">
      <c r="A313" s="137"/>
      <c r="B313" s="137"/>
      <c r="C313" s="137"/>
      <c r="D313" s="194"/>
      <c r="E313" s="194"/>
      <c r="F313" s="137"/>
      <c r="G313" s="137"/>
      <c r="H313" s="137"/>
      <c r="I313" s="137"/>
      <c r="J313" s="197"/>
      <c r="K313" s="198"/>
      <c r="L313" s="196"/>
      <c r="M313" s="196"/>
      <c r="N313" s="196"/>
      <c r="O313" s="196"/>
      <c r="P313" s="127"/>
    </row>
    <row r="314" spans="1:16" ht="20.25" customHeight="1" x14ac:dyDescent="0.3">
      <c r="A314" s="137"/>
      <c r="B314" s="137"/>
      <c r="C314" s="137"/>
      <c r="D314" s="194"/>
      <c r="E314" s="194"/>
      <c r="F314" s="137"/>
      <c r="G314" s="137"/>
      <c r="H314" s="137"/>
      <c r="I314" s="137"/>
      <c r="J314" s="197"/>
      <c r="K314" s="198"/>
      <c r="L314" s="196"/>
      <c r="M314" s="196"/>
      <c r="N314" s="196"/>
      <c r="O314" s="196"/>
      <c r="P314" s="127"/>
    </row>
    <row r="315" spans="1:16" ht="20.25" customHeight="1" x14ac:dyDescent="0.3">
      <c r="A315" s="137"/>
      <c r="B315" s="137"/>
      <c r="C315" s="137"/>
      <c r="D315" s="194"/>
      <c r="E315" s="194"/>
      <c r="F315" s="137"/>
      <c r="G315" s="137"/>
      <c r="H315" s="137"/>
      <c r="I315" s="137"/>
      <c r="J315" s="197"/>
      <c r="K315" s="198"/>
      <c r="L315" s="196"/>
      <c r="M315" s="196"/>
      <c r="N315" s="196"/>
      <c r="O315" s="196"/>
      <c r="P315" s="127"/>
    </row>
    <row r="316" spans="1:16" ht="20.25" customHeight="1" x14ac:dyDescent="0.3">
      <c r="A316" s="137"/>
      <c r="B316" s="137"/>
      <c r="C316" s="137"/>
      <c r="D316" s="194"/>
      <c r="E316" s="194"/>
      <c r="F316" s="137"/>
      <c r="G316" s="137"/>
      <c r="H316" s="137"/>
      <c r="I316" s="137"/>
      <c r="J316" s="197"/>
      <c r="K316" s="198"/>
      <c r="L316" s="196"/>
      <c r="M316" s="196"/>
      <c r="N316" s="196"/>
      <c r="O316" s="196"/>
      <c r="P316" s="127"/>
    </row>
    <row r="317" spans="1:16" ht="20.25" customHeight="1" x14ac:dyDescent="0.3">
      <c r="A317" s="137"/>
      <c r="B317" s="137"/>
      <c r="C317" s="137"/>
      <c r="D317" s="194"/>
      <c r="E317" s="194"/>
      <c r="F317" s="137"/>
      <c r="G317" s="137"/>
      <c r="H317" s="137"/>
      <c r="I317" s="137"/>
      <c r="J317" s="197"/>
      <c r="K317" s="198"/>
      <c r="L317" s="196"/>
      <c r="M317" s="196"/>
      <c r="N317" s="196"/>
      <c r="O317" s="196"/>
      <c r="P317" s="127"/>
    </row>
    <row r="318" spans="1:16" ht="20.25" customHeight="1" x14ac:dyDescent="0.3">
      <c r="A318" s="137"/>
      <c r="B318" s="137"/>
      <c r="C318" s="137"/>
      <c r="D318" s="194"/>
      <c r="E318" s="194"/>
      <c r="F318" s="137"/>
      <c r="G318" s="137"/>
      <c r="H318" s="137"/>
      <c r="I318" s="137"/>
      <c r="J318" s="197"/>
      <c r="K318" s="198"/>
      <c r="L318" s="196"/>
      <c r="M318" s="196"/>
      <c r="N318" s="196"/>
      <c r="O318" s="196"/>
      <c r="P318" s="127"/>
    </row>
    <row r="319" spans="1:16" ht="20.25" customHeight="1" x14ac:dyDescent="0.3">
      <c r="A319" s="137"/>
      <c r="B319" s="137"/>
      <c r="C319" s="137"/>
      <c r="D319" s="194"/>
      <c r="E319" s="194"/>
      <c r="F319" s="137"/>
      <c r="G319" s="137"/>
      <c r="H319" s="137"/>
      <c r="I319" s="137"/>
      <c r="J319" s="197"/>
      <c r="K319" s="198"/>
      <c r="L319" s="196"/>
      <c r="M319" s="196"/>
      <c r="N319" s="196"/>
      <c r="O319" s="196"/>
      <c r="P319" s="127"/>
    </row>
    <row r="320" spans="1:16" ht="20.25" customHeight="1" x14ac:dyDescent="0.3">
      <c r="A320" s="137"/>
      <c r="B320" s="137"/>
      <c r="C320" s="137"/>
      <c r="D320" s="194"/>
      <c r="E320" s="194"/>
      <c r="F320" s="137"/>
      <c r="G320" s="137"/>
      <c r="H320" s="137"/>
      <c r="I320" s="137"/>
      <c r="J320" s="197"/>
      <c r="K320" s="198"/>
      <c r="L320" s="196"/>
      <c r="M320" s="196"/>
      <c r="N320" s="196"/>
      <c r="O320" s="196"/>
      <c r="P320" s="127"/>
    </row>
    <row r="321" spans="1:16" ht="20.25" customHeight="1" x14ac:dyDescent="0.3">
      <c r="A321" s="137"/>
      <c r="B321" s="137"/>
      <c r="C321" s="137"/>
      <c r="D321" s="194"/>
      <c r="E321" s="194"/>
      <c r="F321" s="137"/>
      <c r="G321" s="137"/>
      <c r="H321" s="137"/>
      <c r="I321" s="137"/>
      <c r="J321" s="197"/>
      <c r="K321" s="198"/>
      <c r="L321" s="196"/>
      <c r="M321" s="196"/>
      <c r="N321" s="196"/>
      <c r="O321" s="196"/>
      <c r="P321" s="127"/>
    </row>
    <row r="322" spans="1:16" ht="20.25" customHeight="1" x14ac:dyDescent="0.3">
      <c r="A322" s="137"/>
      <c r="B322" s="137"/>
      <c r="C322" s="137"/>
      <c r="D322" s="194"/>
      <c r="E322" s="194"/>
      <c r="F322" s="137"/>
      <c r="G322" s="137"/>
      <c r="H322" s="137"/>
      <c r="I322" s="137"/>
      <c r="J322" s="197"/>
      <c r="K322" s="198"/>
      <c r="L322" s="196"/>
      <c r="M322" s="196"/>
      <c r="N322" s="196"/>
      <c r="O322" s="196"/>
      <c r="P322" s="127"/>
    </row>
    <row r="323" spans="1:16" ht="20.25" customHeight="1" x14ac:dyDescent="0.3">
      <c r="A323" s="137"/>
      <c r="B323" s="137"/>
      <c r="C323" s="137"/>
      <c r="D323" s="194"/>
      <c r="E323" s="194"/>
      <c r="F323" s="137"/>
      <c r="G323" s="137"/>
      <c r="H323" s="137"/>
      <c r="I323" s="137"/>
      <c r="J323" s="197"/>
      <c r="K323" s="198"/>
      <c r="L323" s="196"/>
      <c r="M323" s="196"/>
      <c r="N323" s="196"/>
      <c r="O323" s="196"/>
      <c r="P323" s="127"/>
    </row>
    <row r="324" spans="1:16" ht="20.25" customHeight="1" x14ac:dyDescent="0.3">
      <c r="A324" s="137"/>
      <c r="B324" s="137"/>
      <c r="C324" s="137"/>
      <c r="D324" s="194"/>
      <c r="E324" s="194"/>
      <c r="F324" s="137"/>
      <c r="G324" s="137"/>
      <c r="H324" s="137"/>
      <c r="I324" s="137"/>
      <c r="J324" s="197"/>
      <c r="K324" s="198"/>
      <c r="L324" s="196"/>
      <c r="M324" s="196"/>
      <c r="N324" s="196"/>
      <c r="O324" s="196"/>
      <c r="P324" s="127"/>
    </row>
    <row r="325" spans="1:16" ht="20.25" customHeight="1" x14ac:dyDescent="0.3">
      <c r="A325" s="137"/>
      <c r="B325" s="137"/>
      <c r="C325" s="137"/>
      <c r="D325" s="194"/>
      <c r="E325" s="194"/>
      <c r="F325" s="137"/>
      <c r="G325" s="137"/>
      <c r="H325" s="137"/>
      <c r="I325" s="137"/>
      <c r="J325" s="197"/>
      <c r="K325" s="198"/>
      <c r="L325" s="196"/>
      <c r="M325" s="196"/>
      <c r="N325" s="196"/>
      <c r="O325" s="196"/>
      <c r="P325" s="127"/>
    </row>
    <row r="326" spans="1:16" ht="20.25" customHeight="1" x14ac:dyDescent="0.3">
      <c r="A326" s="137"/>
      <c r="B326" s="137"/>
      <c r="C326" s="137"/>
      <c r="D326" s="194"/>
      <c r="E326" s="194"/>
      <c r="F326" s="137"/>
      <c r="G326" s="137"/>
      <c r="H326" s="137"/>
      <c r="I326" s="137"/>
      <c r="J326" s="197"/>
      <c r="K326" s="198"/>
      <c r="L326" s="196"/>
      <c r="M326" s="196"/>
      <c r="N326" s="196"/>
      <c r="O326" s="196"/>
      <c r="P326" s="127"/>
    </row>
    <row r="327" spans="1:16" ht="20.25" customHeight="1" x14ac:dyDescent="0.3">
      <c r="A327" s="137"/>
      <c r="B327" s="137"/>
      <c r="C327" s="137"/>
      <c r="D327" s="194"/>
      <c r="E327" s="194"/>
      <c r="F327" s="137"/>
      <c r="G327" s="137"/>
      <c r="H327" s="137"/>
      <c r="I327" s="137"/>
      <c r="J327" s="197"/>
      <c r="K327" s="198"/>
      <c r="L327" s="196"/>
      <c r="M327" s="196"/>
      <c r="N327" s="196"/>
      <c r="O327" s="196"/>
      <c r="P327" s="127"/>
    </row>
    <row r="328" spans="1:16" ht="20.25" customHeight="1" x14ac:dyDescent="0.3">
      <c r="A328" s="137"/>
      <c r="B328" s="137"/>
      <c r="C328" s="137"/>
      <c r="D328" s="194"/>
      <c r="E328" s="194"/>
      <c r="F328" s="137"/>
      <c r="G328" s="137"/>
      <c r="H328" s="137"/>
      <c r="I328" s="137"/>
      <c r="J328" s="197"/>
      <c r="K328" s="198"/>
      <c r="L328" s="196"/>
      <c r="M328" s="196"/>
      <c r="N328" s="196"/>
      <c r="O328" s="196"/>
      <c r="P328" s="127"/>
    </row>
    <row r="329" spans="1:16" ht="20.25" customHeight="1" x14ac:dyDescent="0.3">
      <c r="A329" s="137"/>
      <c r="B329" s="137"/>
      <c r="C329" s="137"/>
      <c r="D329" s="194"/>
      <c r="E329" s="194"/>
      <c r="F329" s="137"/>
      <c r="G329" s="137"/>
      <c r="H329" s="137"/>
      <c r="I329" s="137"/>
      <c r="J329" s="197"/>
      <c r="K329" s="198"/>
      <c r="L329" s="196"/>
      <c r="M329" s="196"/>
      <c r="N329" s="196"/>
      <c r="O329" s="196"/>
      <c r="P329" s="127"/>
    </row>
    <row r="330" spans="1:16" ht="20.25" customHeight="1" x14ac:dyDescent="0.3">
      <c r="A330" s="137"/>
      <c r="B330" s="137"/>
      <c r="C330" s="137"/>
      <c r="D330" s="194"/>
      <c r="E330" s="194"/>
      <c r="F330" s="137"/>
      <c r="G330" s="137"/>
      <c r="H330" s="137"/>
      <c r="I330" s="137"/>
      <c r="J330" s="197"/>
      <c r="K330" s="198"/>
      <c r="L330" s="196"/>
      <c r="M330" s="196"/>
      <c r="N330" s="196"/>
      <c r="O330" s="196"/>
      <c r="P330" s="127"/>
    </row>
    <row r="331" spans="1:16" ht="20.25" customHeight="1" x14ac:dyDescent="0.3">
      <c r="A331" s="137"/>
      <c r="B331" s="137"/>
      <c r="C331" s="137"/>
      <c r="D331" s="194"/>
      <c r="E331" s="194"/>
      <c r="F331" s="137"/>
      <c r="G331" s="137"/>
      <c r="H331" s="137"/>
      <c r="I331" s="137"/>
      <c r="J331" s="197"/>
      <c r="K331" s="198"/>
      <c r="L331" s="196"/>
      <c r="M331" s="196"/>
      <c r="N331" s="196"/>
      <c r="O331" s="196"/>
      <c r="P331" s="127"/>
    </row>
    <row r="332" spans="1:16" ht="20.25" customHeight="1" x14ac:dyDescent="0.3">
      <c r="A332" s="137"/>
      <c r="B332" s="137"/>
      <c r="C332" s="137"/>
      <c r="D332" s="194"/>
      <c r="E332" s="194"/>
      <c r="F332" s="137"/>
      <c r="G332" s="137"/>
      <c r="H332" s="137"/>
      <c r="I332" s="137"/>
      <c r="J332" s="197"/>
      <c r="K332" s="198"/>
      <c r="L332" s="196"/>
      <c r="M332" s="196"/>
      <c r="N332" s="196"/>
      <c r="O332" s="196"/>
      <c r="P332" s="127"/>
    </row>
    <row r="333" spans="1:16" ht="20.25" customHeight="1" x14ac:dyDescent="0.3">
      <c r="A333" s="137"/>
      <c r="B333" s="137"/>
      <c r="C333" s="137"/>
      <c r="D333" s="194"/>
      <c r="E333" s="194"/>
      <c r="F333" s="137"/>
      <c r="G333" s="137"/>
      <c r="H333" s="137"/>
      <c r="I333" s="137"/>
      <c r="J333" s="197"/>
      <c r="K333" s="198"/>
      <c r="L333" s="196"/>
      <c r="M333" s="196"/>
      <c r="N333" s="196"/>
      <c r="O333" s="196"/>
      <c r="P333" s="127"/>
    </row>
    <row r="334" spans="1:16" ht="20.25" customHeight="1" x14ac:dyDescent="0.3">
      <c r="A334" s="137"/>
      <c r="B334" s="137"/>
      <c r="C334" s="137"/>
      <c r="D334" s="194"/>
      <c r="E334" s="194"/>
      <c r="F334" s="137"/>
      <c r="G334" s="137"/>
      <c r="H334" s="137"/>
      <c r="I334" s="137"/>
      <c r="J334" s="197"/>
      <c r="K334" s="198"/>
      <c r="L334" s="196"/>
      <c r="M334" s="196"/>
      <c r="N334" s="196"/>
      <c r="O334" s="196"/>
      <c r="P334" s="127"/>
    </row>
    <row r="335" spans="1:16" ht="20.25" customHeight="1" x14ac:dyDescent="0.3">
      <c r="A335" s="137"/>
      <c r="B335" s="137"/>
      <c r="C335" s="137"/>
      <c r="D335" s="194"/>
      <c r="E335" s="194"/>
      <c r="F335" s="137"/>
      <c r="G335" s="137"/>
      <c r="H335" s="137"/>
      <c r="I335" s="137"/>
      <c r="J335" s="197"/>
      <c r="K335" s="198"/>
      <c r="L335" s="196"/>
      <c r="M335" s="196"/>
      <c r="N335" s="196"/>
      <c r="O335" s="196"/>
      <c r="P335" s="127"/>
    </row>
    <row r="336" spans="1:16" ht="20.25" customHeight="1" x14ac:dyDescent="0.3">
      <c r="A336" s="137"/>
      <c r="B336" s="137"/>
      <c r="C336" s="137"/>
      <c r="D336" s="194"/>
      <c r="E336" s="194"/>
      <c r="F336" s="137"/>
      <c r="G336" s="137"/>
      <c r="H336" s="137"/>
      <c r="I336" s="137"/>
      <c r="J336" s="197"/>
      <c r="K336" s="198"/>
      <c r="L336" s="196"/>
      <c r="M336" s="196"/>
      <c r="N336" s="196"/>
      <c r="O336" s="196"/>
      <c r="P336" s="127"/>
    </row>
    <row r="337" spans="1:16" ht="20.25" customHeight="1" x14ac:dyDescent="0.3">
      <c r="A337" s="137"/>
      <c r="B337" s="137"/>
      <c r="C337" s="137"/>
      <c r="D337" s="194"/>
      <c r="E337" s="194"/>
      <c r="F337" s="137"/>
      <c r="G337" s="137"/>
      <c r="H337" s="137"/>
      <c r="I337" s="137"/>
      <c r="J337" s="197"/>
      <c r="K337" s="198"/>
      <c r="L337" s="196"/>
      <c r="M337" s="196"/>
      <c r="N337" s="196"/>
      <c r="O337" s="196"/>
      <c r="P337" s="127"/>
    </row>
    <row r="338" spans="1:16" ht="20.25" customHeight="1" x14ac:dyDescent="0.3">
      <c r="A338" s="137"/>
      <c r="B338" s="137"/>
      <c r="C338" s="137"/>
      <c r="D338" s="194"/>
      <c r="E338" s="194"/>
      <c r="F338" s="137"/>
      <c r="G338" s="137"/>
      <c r="H338" s="137"/>
      <c r="I338" s="137"/>
      <c r="J338" s="197"/>
      <c r="K338" s="198"/>
      <c r="L338" s="196"/>
      <c r="M338" s="196"/>
      <c r="N338" s="196"/>
      <c r="O338" s="196"/>
      <c r="P338" s="127"/>
    </row>
    <row r="339" spans="1:16" ht="20.25" customHeight="1" x14ac:dyDescent="0.3">
      <c r="A339" s="137"/>
      <c r="B339" s="137"/>
      <c r="C339" s="137"/>
      <c r="D339" s="194"/>
      <c r="E339" s="194"/>
      <c r="F339" s="137"/>
      <c r="G339" s="137"/>
      <c r="H339" s="137"/>
      <c r="I339" s="137"/>
      <c r="J339" s="197"/>
      <c r="K339" s="198"/>
      <c r="L339" s="196"/>
      <c r="M339" s="196"/>
      <c r="N339" s="196"/>
      <c r="O339" s="196"/>
      <c r="P339" s="127"/>
    </row>
    <row r="340" spans="1:16" ht="20.25" customHeight="1" x14ac:dyDescent="0.3">
      <c r="A340" s="137"/>
      <c r="B340" s="137"/>
      <c r="C340" s="137"/>
      <c r="D340" s="194"/>
      <c r="E340" s="194"/>
      <c r="F340" s="137"/>
      <c r="G340" s="137"/>
      <c r="H340" s="137"/>
      <c r="I340" s="137"/>
      <c r="J340" s="197"/>
      <c r="K340" s="198"/>
      <c r="L340" s="196"/>
      <c r="M340" s="196"/>
      <c r="N340" s="196"/>
      <c r="O340" s="196"/>
      <c r="P340" s="127"/>
    </row>
    <row r="341" spans="1:16" ht="20.25" customHeight="1" x14ac:dyDescent="0.3">
      <c r="A341" s="137"/>
      <c r="B341" s="137"/>
      <c r="C341" s="137"/>
      <c r="D341" s="194"/>
      <c r="E341" s="194"/>
      <c r="F341" s="137"/>
      <c r="G341" s="137"/>
      <c r="H341" s="137"/>
      <c r="I341" s="137"/>
      <c r="J341" s="197"/>
      <c r="K341" s="198"/>
      <c r="L341" s="196"/>
      <c r="M341" s="196"/>
      <c r="N341" s="196"/>
      <c r="O341" s="196"/>
      <c r="P341" s="127"/>
    </row>
    <row r="342" spans="1:16" ht="20.25" customHeight="1" x14ac:dyDescent="0.3">
      <c r="A342" s="137"/>
      <c r="B342" s="137"/>
      <c r="C342" s="137"/>
      <c r="D342" s="194"/>
      <c r="E342" s="194"/>
      <c r="F342" s="137"/>
      <c r="G342" s="137"/>
      <c r="H342" s="137"/>
      <c r="I342" s="137"/>
      <c r="J342" s="197"/>
      <c r="K342" s="198"/>
      <c r="L342" s="196"/>
      <c r="M342" s="196"/>
      <c r="N342" s="196"/>
      <c r="O342" s="196"/>
      <c r="P342" s="127"/>
    </row>
    <row r="343" spans="1:16" ht="20.25" customHeight="1" x14ac:dyDescent="0.3">
      <c r="A343" s="137"/>
      <c r="B343" s="137"/>
      <c r="C343" s="137"/>
      <c r="D343" s="194"/>
      <c r="E343" s="194"/>
      <c r="F343" s="137"/>
      <c r="G343" s="137"/>
      <c r="H343" s="137"/>
      <c r="I343" s="137"/>
      <c r="J343" s="197"/>
      <c r="K343" s="198"/>
      <c r="L343" s="196"/>
      <c r="M343" s="196"/>
      <c r="N343" s="196"/>
      <c r="O343" s="196"/>
      <c r="P343" s="127"/>
    </row>
    <row r="344" spans="1:16" ht="20.25" customHeight="1" x14ac:dyDescent="0.3">
      <c r="A344" s="137"/>
      <c r="B344" s="137"/>
      <c r="C344" s="137"/>
      <c r="D344" s="194"/>
      <c r="E344" s="194"/>
      <c r="F344" s="137"/>
      <c r="G344" s="137"/>
      <c r="H344" s="137"/>
      <c r="I344" s="137"/>
      <c r="J344" s="197"/>
      <c r="K344" s="198"/>
      <c r="L344" s="196"/>
      <c r="M344" s="196"/>
      <c r="N344" s="196"/>
      <c r="O344" s="196"/>
      <c r="P344" s="127"/>
    </row>
    <row r="345" spans="1:16" ht="20.25" customHeight="1" x14ac:dyDescent="0.3">
      <c r="A345" s="137"/>
      <c r="B345" s="137"/>
      <c r="C345" s="137"/>
      <c r="D345" s="194"/>
      <c r="E345" s="194"/>
      <c r="F345" s="137"/>
      <c r="G345" s="137"/>
      <c r="H345" s="137"/>
      <c r="I345" s="137"/>
      <c r="J345" s="197"/>
      <c r="K345" s="198"/>
      <c r="L345" s="196"/>
      <c r="M345" s="196"/>
      <c r="N345" s="196"/>
      <c r="O345" s="196"/>
      <c r="P345" s="127"/>
    </row>
    <row r="346" spans="1:16" ht="20.25" customHeight="1" x14ac:dyDescent="0.3">
      <c r="A346" s="137"/>
      <c r="B346" s="137"/>
      <c r="C346" s="137"/>
      <c r="D346" s="194"/>
      <c r="E346" s="194"/>
      <c r="F346" s="137"/>
      <c r="G346" s="137"/>
      <c r="H346" s="137"/>
      <c r="I346" s="137"/>
      <c r="J346" s="197"/>
      <c r="K346" s="198"/>
      <c r="L346" s="196"/>
      <c r="M346" s="196"/>
      <c r="N346" s="196"/>
      <c r="O346" s="196"/>
      <c r="P346" s="127"/>
    </row>
    <row r="347" spans="1:16" ht="20.25" customHeight="1" x14ac:dyDescent="0.3">
      <c r="A347" s="137"/>
      <c r="B347" s="137"/>
      <c r="C347" s="137"/>
      <c r="D347" s="194"/>
      <c r="E347" s="194"/>
      <c r="F347" s="137"/>
      <c r="G347" s="137"/>
      <c r="H347" s="137"/>
      <c r="I347" s="137"/>
      <c r="J347" s="197"/>
      <c r="K347" s="198"/>
      <c r="L347" s="196"/>
      <c r="M347" s="196"/>
      <c r="N347" s="196"/>
      <c r="O347" s="196"/>
      <c r="P347" s="127"/>
    </row>
    <row r="348" spans="1:16" ht="20.25" customHeight="1" x14ac:dyDescent="0.3">
      <c r="A348" s="137"/>
      <c r="B348" s="137"/>
      <c r="C348" s="137"/>
      <c r="D348" s="194"/>
      <c r="E348" s="194"/>
      <c r="F348" s="137"/>
      <c r="G348" s="137"/>
      <c r="H348" s="137"/>
      <c r="I348" s="137"/>
      <c r="J348" s="197"/>
      <c r="K348" s="198"/>
      <c r="L348" s="196"/>
      <c r="M348" s="196"/>
      <c r="N348" s="196"/>
      <c r="O348" s="196"/>
      <c r="P348" s="127"/>
    </row>
    <row r="349" spans="1:16" ht="20.25" customHeight="1" x14ac:dyDescent="0.3">
      <c r="A349" s="137"/>
      <c r="B349" s="137"/>
      <c r="C349" s="137"/>
      <c r="D349" s="194"/>
      <c r="E349" s="194"/>
      <c r="F349" s="137"/>
      <c r="G349" s="137"/>
      <c r="H349" s="137"/>
      <c r="I349" s="137"/>
      <c r="J349" s="197"/>
      <c r="K349" s="198"/>
      <c r="L349" s="196"/>
      <c r="M349" s="196"/>
      <c r="N349" s="196"/>
      <c r="O349" s="196"/>
      <c r="P349" s="127"/>
    </row>
    <row r="350" spans="1:16" ht="20.25" customHeight="1" x14ac:dyDescent="0.3">
      <c r="A350" s="137"/>
      <c r="B350" s="137"/>
      <c r="C350" s="137"/>
      <c r="D350" s="194"/>
      <c r="E350" s="194"/>
      <c r="F350" s="137"/>
      <c r="G350" s="137"/>
      <c r="H350" s="137"/>
      <c r="I350" s="137"/>
      <c r="J350" s="197"/>
      <c r="K350" s="198"/>
      <c r="L350" s="196"/>
      <c r="M350" s="196"/>
      <c r="N350" s="196"/>
      <c r="O350" s="196"/>
      <c r="P350" s="127"/>
    </row>
    <row r="351" spans="1:16" ht="20.25" customHeight="1" x14ac:dyDescent="0.3">
      <c r="A351" s="137"/>
      <c r="B351" s="137"/>
      <c r="C351" s="137"/>
      <c r="D351" s="194"/>
      <c r="E351" s="194"/>
      <c r="F351" s="137"/>
      <c r="G351" s="137"/>
      <c r="H351" s="137"/>
      <c r="I351" s="137"/>
      <c r="J351" s="197"/>
      <c r="K351" s="198"/>
      <c r="L351" s="196"/>
      <c r="M351" s="196"/>
      <c r="N351" s="196"/>
      <c r="O351" s="196"/>
      <c r="P351" s="127"/>
    </row>
    <row r="352" spans="1:16" ht="20.25" customHeight="1" x14ac:dyDescent="0.3">
      <c r="A352" s="137"/>
      <c r="B352" s="137"/>
      <c r="C352" s="137"/>
      <c r="D352" s="194"/>
      <c r="E352" s="194"/>
      <c r="F352" s="137"/>
      <c r="G352" s="137"/>
      <c r="H352" s="137"/>
      <c r="I352" s="137"/>
      <c r="J352" s="197"/>
      <c r="K352" s="198"/>
      <c r="L352" s="196"/>
      <c r="M352" s="196"/>
      <c r="N352" s="196"/>
      <c r="O352" s="196"/>
      <c r="P352" s="127"/>
    </row>
    <row r="353" spans="1:16" ht="20.25" customHeight="1" x14ac:dyDescent="0.3">
      <c r="A353" s="137"/>
      <c r="B353" s="137"/>
      <c r="C353" s="137"/>
      <c r="D353" s="194"/>
      <c r="E353" s="194"/>
      <c r="F353" s="137"/>
      <c r="G353" s="137"/>
      <c r="H353" s="137"/>
      <c r="I353" s="137"/>
      <c r="J353" s="197"/>
      <c r="K353" s="198"/>
      <c r="L353" s="196"/>
      <c r="M353" s="196"/>
      <c r="N353" s="196"/>
      <c r="O353" s="196"/>
      <c r="P353" s="127"/>
    </row>
    <row r="354" spans="1:16" ht="20.25" customHeight="1" x14ac:dyDescent="0.3">
      <c r="A354" s="137"/>
      <c r="B354" s="137"/>
      <c r="C354" s="137"/>
      <c r="D354" s="194"/>
      <c r="E354" s="194"/>
      <c r="F354" s="137"/>
      <c r="G354" s="137"/>
      <c r="H354" s="137"/>
      <c r="I354" s="137"/>
      <c r="J354" s="197"/>
      <c r="K354" s="198"/>
      <c r="L354" s="196"/>
      <c r="M354" s="196"/>
      <c r="N354" s="196"/>
      <c r="O354" s="196"/>
      <c r="P354" s="127"/>
    </row>
    <row r="355" spans="1:16" ht="20.25" customHeight="1" x14ac:dyDescent="0.3">
      <c r="A355" s="137"/>
      <c r="B355" s="137"/>
      <c r="C355" s="137"/>
      <c r="D355" s="194"/>
      <c r="E355" s="194"/>
      <c r="F355" s="137"/>
      <c r="G355" s="137"/>
      <c r="H355" s="137"/>
      <c r="I355" s="137"/>
      <c r="J355" s="197"/>
      <c r="K355" s="198"/>
      <c r="L355" s="196"/>
      <c r="M355" s="196"/>
      <c r="N355" s="196"/>
      <c r="O355" s="196"/>
      <c r="P355" s="127"/>
    </row>
    <row r="356" spans="1:16" ht="20.25" customHeight="1" x14ac:dyDescent="0.3">
      <c r="A356" s="137"/>
      <c r="B356" s="137"/>
      <c r="C356" s="137"/>
      <c r="D356" s="194"/>
      <c r="E356" s="194"/>
      <c r="F356" s="137"/>
      <c r="G356" s="137"/>
      <c r="H356" s="137"/>
      <c r="I356" s="137"/>
      <c r="J356" s="197"/>
      <c r="K356" s="198"/>
      <c r="L356" s="196"/>
      <c r="M356" s="196"/>
      <c r="N356" s="196"/>
      <c r="O356" s="196"/>
      <c r="P356" s="127"/>
    </row>
    <row r="357" spans="1:16" ht="20.25" customHeight="1" x14ac:dyDescent="0.3">
      <c r="A357" s="137"/>
      <c r="B357" s="137"/>
      <c r="C357" s="137"/>
      <c r="D357" s="194"/>
      <c r="E357" s="194"/>
      <c r="F357" s="137"/>
      <c r="G357" s="137"/>
      <c r="H357" s="137"/>
      <c r="I357" s="137"/>
      <c r="J357" s="197"/>
      <c r="K357" s="198"/>
      <c r="L357" s="196"/>
      <c r="M357" s="196"/>
      <c r="N357" s="196"/>
      <c r="O357" s="196"/>
      <c r="P357" s="127"/>
    </row>
    <row r="358" spans="1:16" ht="20.25" customHeight="1" x14ac:dyDescent="0.3">
      <c r="A358" s="137"/>
      <c r="B358" s="137"/>
      <c r="C358" s="137"/>
      <c r="D358" s="194"/>
      <c r="E358" s="194"/>
      <c r="F358" s="137"/>
      <c r="G358" s="137"/>
      <c r="H358" s="137"/>
      <c r="I358" s="137"/>
      <c r="J358" s="197"/>
      <c r="K358" s="198"/>
      <c r="L358" s="196"/>
      <c r="M358" s="196"/>
      <c r="N358" s="196"/>
      <c r="O358" s="196"/>
      <c r="P358" s="127"/>
    </row>
    <row r="359" spans="1:16" ht="20.25" customHeight="1" x14ac:dyDescent="0.3">
      <c r="A359" s="137"/>
      <c r="B359" s="137"/>
      <c r="C359" s="137"/>
      <c r="D359" s="194"/>
      <c r="E359" s="194"/>
      <c r="F359" s="137"/>
      <c r="G359" s="137"/>
      <c r="H359" s="137"/>
      <c r="I359" s="137"/>
      <c r="J359" s="197"/>
      <c r="K359" s="198"/>
      <c r="L359" s="196"/>
      <c r="M359" s="196"/>
      <c r="N359" s="196"/>
      <c r="O359" s="196"/>
      <c r="P359" s="127"/>
    </row>
    <row r="360" spans="1:16" ht="20.25" customHeight="1" x14ac:dyDescent="0.3">
      <c r="A360" s="137"/>
      <c r="B360" s="137"/>
      <c r="C360" s="137"/>
      <c r="D360" s="194"/>
      <c r="E360" s="194"/>
      <c r="F360" s="137"/>
      <c r="G360" s="137"/>
      <c r="H360" s="137"/>
      <c r="I360" s="137"/>
      <c r="J360" s="197"/>
      <c r="K360" s="198"/>
      <c r="L360" s="196"/>
      <c r="M360" s="196"/>
      <c r="N360" s="196"/>
      <c r="O360" s="196"/>
      <c r="P360" s="127"/>
    </row>
    <row r="361" spans="1:16" ht="20.25" customHeight="1" x14ac:dyDescent="0.3">
      <c r="A361" s="137"/>
      <c r="B361" s="137"/>
      <c r="C361" s="137"/>
      <c r="D361" s="194"/>
      <c r="E361" s="194"/>
      <c r="F361" s="137"/>
      <c r="G361" s="137"/>
      <c r="H361" s="137"/>
      <c r="I361" s="137"/>
      <c r="J361" s="197"/>
      <c r="K361" s="198"/>
      <c r="L361" s="196"/>
      <c r="M361" s="196"/>
      <c r="N361" s="196"/>
      <c r="O361" s="196"/>
      <c r="P361" s="127"/>
    </row>
    <row r="362" spans="1:16" ht="20.25" customHeight="1" x14ac:dyDescent="0.3">
      <c r="A362" s="137"/>
      <c r="B362" s="137"/>
      <c r="C362" s="137"/>
      <c r="D362" s="194"/>
      <c r="E362" s="194"/>
      <c r="F362" s="137"/>
      <c r="G362" s="137"/>
      <c r="H362" s="137"/>
      <c r="I362" s="137"/>
      <c r="J362" s="197"/>
      <c r="K362" s="198"/>
      <c r="L362" s="196"/>
      <c r="M362" s="196"/>
      <c r="N362" s="196"/>
      <c r="O362" s="196"/>
      <c r="P362" s="127"/>
    </row>
    <row r="363" spans="1:16" ht="20.25" customHeight="1" x14ac:dyDescent="0.3">
      <c r="A363" s="137"/>
      <c r="B363" s="137"/>
      <c r="C363" s="137"/>
      <c r="D363" s="194"/>
      <c r="E363" s="194"/>
      <c r="F363" s="137"/>
      <c r="G363" s="137"/>
      <c r="H363" s="137"/>
      <c r="I363" s="137"/>
      <c r="J363" s="197"/>
      <c r="K363" s="198"/>
      <c r="L363" s="196"/>
      <c r="M363" s="196"/>
      <c r="N363" s="196"/>
      <c r="O363" s="196"/>
      <c r="P363" s="127"/>
    </row>
    <row r="364" spans="1:16" ht="20.25" customHeight="1" x14ac:dyDescent="0.3">
      <c r="A364" s="137"/>
      <c r="B364" s="137"/>
      <c r="C364" s="137"/>
      <c r="D364" s="194"/>
      <c r="E364" s="194"/>
      <c r="F364" s="137"/>
      <c r="G364" s="137"/>
      <c r="H364" s="137"/>
      <c r="I364" s="137"/>
      <c r="J364" s="197"/>
      <c r="K364" s="198"/>
      <c r="L364" s="196"/>
      <c r="M364" s="196"/>
      <c r="N364" s="196"/>
      <c r="O364" s="196"/>
      <c r="P364" s="127"/>
    </row>
    <row r="365" spans="1:16" ht="20.25" customHeight="1" x14ac:dyDescent="0.3">
      <c r="A365" s="137"/>
      <c r="B365" s="137"/>
      <c r="C365" s="137"/>
      <c r="D365" s="194"/>
      <c r="E365" s="194"/>
      <c r="F365" s="137"/>
      <c r="G365" s="137"/>
      <c r="H365" s="137"/>
      <c r="I365" s="137"/>
      <c r="J365" s="197"/>
      <c r="K365" s="198"/>
      <c r="L365" s="196"/>
      <c r="M365" s="196"/>
      <c r="N365" s="196"/>
      <c r="O365" s="196"/>
      <c r="P365" s="127"/>
    </row>
    <row r="366" spans="1:16" ht="20.25" customHeight="1" x14ac:dyDescent="0.3">
      <c r="A366" s="137"/>
      <c r="B366" s="137"/>
      <c r="C366" s="137"/>
      <c r="D366" s="194"/>
      <c r="E366" s="194"/>
      <c r="F366" s="137"/>
      <c r="G366" s="137"/>
      <c r="H366" s="137"/>
      <c r="I366" s="137"/>
      <c r="J366" s="197"/>
      <c r="K366" s="198"/>
      <c r="L366" s="196"/>
      <c r="M366" s="196"/>
      <c r="N366" s="196"/>
      <c r="O366" s="196"/>
      <c r="P366" s="127"/>
    </row>
    <row r="367" spans="1:16" ht="20.25" customHeight="1" x14ac:dyDescent="0.3">
      <c r="A367" s="137"/>
      <c r="B367" s="137"/>
      <c r="C367" s="137"/>
      <c r="D367" s="194"/>
      <c r="E367" s="194"/>
      <c r="F367" s="137"/>
      <c r="G367" s="137"/>
      <c r="H367" s="137"/>
      <c r="I367" s="137"/>
      <c r="J367" s="197"/>
      <c r="K367" s="198"/>
      <c r="L367" s="196"/>
      <c r="M367" s="196"/>
      <c r="N367" s="196"/>
      <c r="O367" s="196"/>
      <c r="P367" s="127"/>
    </row>
    <row r="368" spans="1:16" ht="20.25" customHeight="1" x14ac:dyDescent="0.3">
      <c r="A368" s="137"/>
      <c r="B368" s="137"/>
      <c r="C368" s="137"/>
      <c r="D368" s="194"/>
      <c r="E368" s="194"/>
      <c r="F368" s="137"/>
      <c r="G368" s="137"/>
      <c r="H368" s="137"/>
      <c r="I368" s="137"/>
      <c r="J368" s="197"/>
      <c r="K368" s="198"/>
      <c r="L368" s="196"/>
      <c r="M368" s="196"/>
      <c r="N368" s="196"/>
      <c r="O368" s="196"/>
      <c r="P368" s="127"/>
    </row>
    <row r="369" spans="1:16" ht="20.25" customHeight="1" x14ac:dyDescent="0.3">
      <c r="A369" s="137"/>
      <c r="B369" s="137"/>
      <c r="C369" s="137"/>
      <c r="D369" s="194"/>
      <c r="E369" s="194"/>
      <c r="F369" s="137"/>
      <c r="G369" s="137"/>
      <c r="H369" s="137"/>
      <c r="I369" s="137"/>
      <c r="J369" s="197"/>
      <c r="K369" s="198"/>
      <c r="L369" s="196"/>
      <c r="M369" s="196"/>
      <c r="N369" s="196"/>
      <c r="O369" s="196"/>
      <c r="P369" s="127"/>
    </row>
    <row r="370" spans="1:16" ht="20.25" customHeight="1" x14ac:dyDescent="0.3">
      <c r="A370" s="137"/>
      <c r="B370" s="137"/>
      <c r="C370" s="137"/>
      <c r="D370" s="194"/>
      <c r="E370" s="194"/>
      <c r="F370" s="137"/>
      <c r="G370" s="137"/>
      <c r="H370" s="137"/>
      <c r="I370" s="137"/>
      <c r="J370" s="197"/>
      <c r="K370" s="198"/>
      <c r="L370" s="196"/>
      <c r="M370" s="196"/>
      <c r="N370" s="196"/>
      <c r="O370" s="196"/>
      <c r="P370" s="127"/>
    </row>
    <row r="371" spans="1:16" ht="20.25" customHeight="1" x14ac:dyDescent="0.3">
      <c r="A371" s="137"/>
      <c r="B371" s="137"/>
      <c r="C371" s="137"/>
      <c r="D371" s="194"/>
      <c r="E371" s="194"/>
      <c r="F371" s="137"/>
      <c r="G371" s="137"/>
      <c r="H371" s="137"/>
      <c r="I371" s="137"/>
      <c r="J371" s="197"/>
      <c r="K371" s="198"/>
      <c r="L371" s="196"/>
      <c r="M371" s="196"/>
      <c r="N371" s="196"/>
      <c r="O371" s="196"/>
      <c r="P371" s="127"/>
    </row>
    <row r="372" spans="1:16" ht="20.25" customHeight="1" x14ac:dyDescent="0.3">
      <c r="A372" s="137"/>
      <c r="B372" s="137"/>
      <c r="C372" s="137"/>
      <c r="D372" s="194"/>
      <c r="E372" s="194"/>
      <c r="F372" s="137"/>
      <c r="G372" s="137"/>
      <c r="H372" s="137"/>
      <c r="I372" s="137"/>
      <c r="J372" s="197"/>
      <c r="K372" s="198"/>
      <c r="L372" s="196"/>
      <c r="M372" s="196"/>
      <c r="N372" s="196"/>
      <c r="O372" s="196"/>
      <c r="P372" s="127"/>
    </row>
    <row r="373" spans="1:16" ht="20.25" customHeight="1" x14ac:dyDescent="0.3">
      <c r="A373" s="137"/>
      <c r="B373" s="137"/>
      <c r="C373" s="137"/>
      <c r="D373" s="194"/>
      <c r="E373" s="194"/>
      <c r="F373" s="137"/>
      <c r="G373" s="137"/>
      <c r="H373" s="137"/>
      <c r="I373" s="137"/>
      <c r="J373" s="197"/>
      <c r="K373" s="198"/>
      <c r="L373" s="196"/>
      <c r="M373" s="196"/>
      <c r="N373" s="196"/>
      <c r="O373" s="196"/>
      <c r="P373" s="127"/>
    </row>
    <row r="374" spans="1:16" ht="20.25" customHeight="1" x14ac:dyDescent="0.3">
      <c r="A374" s="137"/>
      <c r="B374" s="137"/>
      <c r="C374" s="137"/>
      <c r="D374" s="194"/>
      <c r="E374" s="194"/>
      <c r="F374" s="137"/>
      <c r="G374" s="137"/>
      <c r="H374" s="137"/>
      <c r="I374" s="137"/>
      <c r="J374" s="197"/>
      <c r="K374" s="198"/>
      <c r="L374" s="196"/>
      <c r="M374" s="196"/>
      <c r="N374" s="196"/>
      <c r="O374" s="196"/>
      <c r="P374" s="127"/>
    </row>
    <row r="375" spans="1:16" ht="20.25" customHeight="1" x14ac:dyDescent="0.3">
      <c r="A375" s="137"/>
      <c r="B375" s="137"/>
      <c r="C375" s="137"/>
      <c r="D375" s="194"/>
      <c r="E375" s="194"/>
      <c r="F375" s="137"/>
      <c r="G375" s="137"/>
      <c r="H375" s="137"/>
      <c r="I375" s="137"/>
      <c r="J375" s="197"/>
      <c r="K375" s="198"/>
      <c r="L375" s="196"/>
      <c r="M375" s="196"/>
      <c r="N375" s="196"/>
      <c r="O375" s="196"/>
      <c r="P375" s="127"/>
    </row>
    <row r="376" spans="1:16" ht="20.25" customHeight="1" x14ac:dyDescent="0.3">
      <c r="A376" s="137"/>
      <c r="B376" s="137"/>
      <c r="C376" s="137"/>
      <c r="D376" s="194"/>
      <c r="E376" s="194"/>
      <c r="F376" s="137"/>
      <c r="G376" s="137"/>
      <c r="H376" s="137"/>
      <c r="I376" s="137"/>
      <c r="J376" s="197"/>
      <c r="K376" s="198"/>
      <c r="L376" s="196"/>
      <c r="M376" s="196"/>
      <c r="N376" s="196"/>
      <c r="O376" s="196"/>
      <c r="P376" s="127"/>
    </row>
    <row r="377" spans="1:16" ht="20.25" customHeight="1" x14ac:dyDescent="0.3">
      <c r="A377" s="137"/>
      <c r="B377" s="137"/>
      <c r="C377" s="137"/>
      <c r="D377" s="194"/>
      <c r="E377" s="194"/>
      <c r="F377" s="137"/>
      <c r="G377" s="137"/>
      <c r="H377" s="137"/>
      <c r="I377" s="137"/>
      <c r="J377" s="197"/>
      <c r="K377" s="198"/>
      <c r="L377" s="196"/>
      <c r="M377" s="196"/>
      <c r="N377" s="196"/>
      <c r="O377" s="196"/>
      <c r="P377" s="127"/>
    </row>
    <row r="378" spans="1:16" ht="20.25" customHeight="1" x14ac:dyDescent="0.3">
      <c r="A378" s="137"/>
      <c r="B378" s="137"/>
      <c r="C378" s="137"/>
      <c r="D378" s="194"/>
      <c r="E378" s="194"/>
      <c r="F378" s="137"/>
      <c r="G378" s="137"/>
      <c r="H378" s="137"/>
      <c r="I378" s="137"/>
      <c r="J378" s="197"/>
      <c r="K378" s="198"/>
      <c r="L378" s="196"/>
      <c r="M378" s="196"/>
      <c r="N378" s="196"/>
      <c r="O378" s="196"/>
      <c r="P378" s="127"/>
    </row>
    <row r="379" spans="1:16" ht="20.25" customHeight="1" x14ac:dyDescent="0.3">
      <c r="A379" s="137"/>
      <c r="B379" s="137"/>
      <c r="C379" s="137"/>
      <c r="D379" s="194"/>
      <c r="E379" s="194"/>
      <c r="F379" s="137"/>
      <c r="G379" s="137"/>
      <c r="H379" s="137"/>
      <c r="I379" s="137"/>
      <c r="J379" s="197"/>
      <c r="K379" s="198"/>
      <c r="L379" s="196"/>
      <c r="M379" s="196"/>
      <c r="N379" s="196"/>
      <c r="O379" s="196"/>
      <c r="P379" s="127"/>
    </row>
    <row r="380" spans="1:16" ht="20.25" customHeight="1" x14ac:dyDescent="0.3">
      <c r="A380" s="137"/>
      <c r="B380" s="137"/>
      <c r="C380" s="137"/>
      <c r="D380" s="194"/>
      <c r="E380" s="194"/>
      <c r="F380" s="137"/>
      <c r="G380" s="137"/>
      <c r="H380" s="137"/>
      <c r="I380" s="137"/>
      <c r="J380" s="197"/>
      <c r="K380" s="198"/>
      <c r="L380" s="196"/>
      <c r="M380" s="196"/>
      <c r="N380" s="196"/>
      <c r="O380" s="196"/>
      <c r="P380" s="127"/>
    </row>
    <row r="381" spans="1:16" ht="20.25" customHeight="1" x14ac:dyDescent="0.3">
      <c r="A381" s="137"/>
      <c r="B381" s="137"/>
      <c r="C381" s="137"/>
      <c r="D381" s="194"/>
      <c r="E381" s="194"/>
      <c r="F381" s="137"/>
      <c r="G381" s="137"/>
      <c r="H381" s="137"/>
      <c r="I381" s="137"/>
      <c r="J381" s="197"/>
      <c r="K381" s="198"/>
      <c r="L381" s="196"/>
      <c r="M381" s="196"/>
      <c r="N381" s="196"/>
      <c r="O381" s="196"/>
      <c r="P381" s="127"/>
    </row>
    <row r="382" spans="1:16" ht="20.25" customHeight="1" x14ac:dyDescent="0.3">
      <c r="A382" s="137"/>
      <c r="B382" s="137"/>
      <c r="C382" s="137"/>
      <c r="D382" s="194"/>
      <c r="E382" s="194"/>
      <c r="F382" s="137"/>
      <c r="G382" s="137"/>
      <c r="H382" s="137"/>
      <c r="I382" s="137"/>
      <c r="J382" s="197"/>
      <c r="K382" s="198"/>
      <c r="L382" s="196"/>
      <c r="M382" s="196"/>
      <c r="N382" s="196"/>
      <c r="O382" s="196"/>
      <c r="P382" s="127"/>
    </row>
    <row r="383" spans="1:16" ht="20.25" customHeight="1" x14ac:dyDescent="0.3">
      <c r="A383" s="137"/>
      <c r="B383" s="137"/>
      <c r="C383" s="137"/>
      <c r="D383" s="194"/>
      <c r="E383" s="194"/>
      <c r="F383" s="137"/>
      <c r="G383" s="137"/>
      <c r="H383" s="137"/>
      <c r="I383" s="137"/>
      <c r="J383" s="197"/>
      <c r="K383" s="198"/>
      <c r="L383" s="196"/>
      <c r="M383" s="196"/>
      <c r="N383" s="196"/>
      <c r="O383" s="196"/>
      <c r="P383" s="127"/>
    </row>
    <row r="384" spans="1:16" ht="20.25" customHeight="1" x14ac:dyDescent="0.3">
      <c r="A384" s="137"/>
      <c r="B384" s="137"/>
      <c r="C384" s="137"/>
      <c r="D384" s="194"/>
      <c r="E384" s="194"/>
      <c r="F384" s="137"/>
      <c r="G384" s="137"/>
      <c r="H384" s="137"/>
      <c r="I384" s="137"/>
      <c r="J384" s="197"/>
      <c r="K384" s="198"/>
      <c r="L384" s="196"/>
      <c r="M384" s="196"/>
      <c r="N384" s="196"/>
      <c r="O384" s="196"/>
      <c r="P384" s="127"/>
    </row>
    <row r="385" spans="1:16" ht="20.25" customHeight="1" x14ac:dyDescent="0.3">
      <c r="A385" s="137"/>
      <c r="B385" s="137"/>
      <c r="C385" s="137"/>
      <c r="D385" s="194"/>
      <c r="E385" s="194"/>
      <c r="F385" s="137"/>
      <c r="G385" s="137"/>
      <c r="H385" s="137"/>
      <c r="I385" s="137"/>
      <c r="J385" s="197"/>
      <c r="K385" s="198"/>
      <c r="L385" s="196"/>
      <c r="M385" s="196"/>
      <c r="N385" s="196"/>
      <c r="O385" s="196"/>
      <c r="P385" s="127"/>
    </row>
    <row r="386" spans="1:16" ht="20.25" customHeight="1" x14ac:dyDescent="0.3">
      <c r="A386" s="137"/>
      <c r="B386" s="137"/>
      <c r="C386" s="137"/>
      <c r="D386" s="194"/>
      <c r="E386" s="194"/>
      <c r="F386" s="137"/>
      <c r="G386" s="137"/>
      <c r="H386" s="137"/>
      <c r="I386" s="137"/>
      <c r="J386" s="197"/>
      <c r="K386" s="198"/>
      <c r="L386" s="196"/>
      <c r="M386" s="196"/>
      <c r="N386" s="196"/>
      <c r="O386" s="196"/>
      <c r="P386" s="127"/>
    </row>
    <row r="387" spans="1:16" ht="20.25" customHeight="1" x14ac:dyDescent="0.3">
      <c r="A387" s="137"/>
      <c r="B387" s="137"/>
      <c r="C387" s="137"/>
      <c r="D387" s="194"/>
      <c r="E387" s="194"/>
      <c r="F387" s="137"/>
      <c r="G387" s="137"/>
      <c r="H387" s="137"/>
      <c r="I387" s="137"/>
      <c r="J387" s="197"/>
      <c r="K387" s="198"/>
      <c r="L387" s="196"/>
      <c r="M387" s="196"/>
      <c r="N387" s="196"/>
      <c r="O387" s="196"/>
      <c r="P387" s="127"/>
    </row>
    <row r="388" spans="1:16" ht="20.25" customHeight="1" x14ac:dyDescent="0.3">
      <c r="A388" s="137"/>
      <c r="B388" s="137"/>
      <c r="C388" s="137"/>
      <c r="D388" s="194"/>
      <c r="E388" s="194"/>
      <c r="F388" s="137"/>
      <c r="G388" s="137"/>
      <c r="H388" s="137"/>
      <c r="I388" s="137"/>
      <c r="J388" s="197"/>
      <c r="K388" s="198"/>
      <c r="L388" s="196"/>
      <c r="M388" s="196"/>
      <c r="N388" s="196"/>
      <c r="O388" s="196"/>
      <c r="P388" s="127"/>
    </row>
    <row r="389" spans="1:16" ht="20.25" customHeight="1" x14ac:dyDescent="0.3">
      <c r="A389" s="137"/>
      <c r="B389" s="137"/>
      <c r="C389" s="137"/>
      <c r="D389" s="194"/>
      <c r="E389" s="194"/>
      <c r="F389" s="137"/>
      <c r="G389" s="137"/>
      <c r="H389" s="137"/>
      <c r="I389" s="137"/>
      <c r="J389" s="197"/>
      <c r="K389" s="198"/>
      <c r="L389" s="196"/>
      <c r="M389" s="196"/>
      <c r="N389" s="196"/>
      <c r="O389" s="196"/>
      <c r="P389" s="127"/>
    </row>
    <row r="390" spans="1:16" ht="20.25" customHeight="1" x14ac:dyDescent="0.3">
      <c r="A390" s="137"/>
      <c r="B390" s="137"/>
      <c r="C390" s="137"/>
      <c r="D390" s="194"/>
      <c r="E390" s="194"/>
      <c r="F390" s="137"/>
      <c r="G390" s="137"/>
      <c r="H390" s="137"/>
      <c r="I390" s="137"/>
      <c r="J390" s="197"/>
      <c r="K390" s="198"/>
      <c r="L390" s="196"/>
      <c r="M390" s="196"/>
      <c r="N390" s="196"/>
      <c r="O390" s="196"/>
      <c r="P390" s="127"/>
    </row>
    <row r="391" spans="1:16" ht="20.25" customHeight="1" x14ac:dyDescent="0.3">
      <c r="A391" s="137"/>
      <c r="B391" s="137"/>
      <c r="C391" s="137"/>
      <c r="D391" s="194"/>
      <c r="E391" s="194"/>
      <c r="F391" s="137"/>
      <c r="G391" s="137"/>
      <c r="H391" s="137"/>
      <c r="I391" s="137"/>
      <c r="J391" s="197"/>
      <c r="K391" s="198"/>
      <c r="L391" s="196"/>
      <c r="M391" s="196"/>
      <c r="N391" s="196"/>
      <c r="O391" s="196"/>
      <c r="P391" s="127"/>
    </row>
    <row r="392" spans="1:16" ht="20.25" customHeight="1" x14ac:dyDescent="0.3">
      <c r="A392" s="137"/>
      <c r="B392" s="137"/>
      <c r="C392" s="137"/>
      <c r="D392" s="194"/>
      <c r="E392" s="194"/>
      <c r="F392" s="137"/>
      <c r="G392" s="137"/>
      <c r="H392" s="137"/>
      <c r="I392" s="137"/>
      <c r="J392" s="197"/>
      <c r="K392" s="198"/>
      <c r="L392" s="196"/>
      <c r="M392" s="196"/>
      <c r="N392" s="196"/>
      <c r="O392" s="196"/>
      <c r="P392" s="127"/>
    </row>
    <row r="393" spans="1:16" ht="20.25" customHeight="1" x14ac:dyDescent="0.3">
      <c r="A393" s="137"/>
      <c r="B393" s="137"/>
      <c r="C393" s="137"/>
      <c r="D393" s="194"/>
      <c r="E393" s="194"/>
      <c r="F393" s="137"/>
      <c r="G393" s="137"/>
      <c r="H393" s="137"/>
      <c r="I393" s="137"/>
      <c r="J393" s="197"/>
      <c r="K393" s="198"/>
      <c r="L393" s="196"/>
      <c r="M393" s="196"/>
      <c r="N393" s="196"/>
      <c r="O393" s="196"/>
      <c r="P393" s="127"/>
    </row>
    <row r="394" spans="1:16" ht="20.25" customHeight="1" x14ac:dyDescent="0.3">
      <c r="A394" s="137"/>
      <c r="B394" s="137"/>
      <c r="C394" s="137"/>
      <c r="D394" s="194"/>
      <c r="E394" s="194"/>
      <c r="F394" s="137"/>
      <c r="G394" s="137"/>
      <c r="H394" s="137"/>
      <c r="I394" s="137"/>
      <c r="J394" s="197"/>
      <c r="K394" s="198"/>
      <c r="L394" s="196"/>
      <c r="M394" s="196"/>
      <c r="N394" s="196"/>
      <c r="O394" s="196"/>
      <c r="P394" s="127"/>
    </row>
    <row r="395" spans="1:16" ht="20.25" customHeight="1" x14ac:dyDescent="0.3">
      <c r="A395" s="137"/>
      <c r="B395" s="137"/>
      <c r="C395" s="137"/>
      <c r="D395" s="194"/>
      <c r="E395" s="194"/>
      <c r="F395" s="137"/>
      <c r="G395" s="137"/>
      <c r="H395" s="137"/>
      <c r="I395" s="137"/>
      <c r="J395" s="197"/>
      <c r="K395" s="198"/>
      <c r="L395" s="196"/>
      <c r="M395" s="196"/>
      <c r="N395" s="196"/>
      <c r="O395" s="196"/>
      <c r="P395" s="127"/>
    </row>
    <row r="396" spans="1:16" ht="20.25" customHeight="1" x14ac:dyDescent="0.3">
      <c r="A396" s="137"/>
      <c r="B396" s="137"/>
      <c r="C396" s="137"/>
      <c r="D396" s="194"/>
      <c r="E396" s="194"/>
      <c r="F396" s="137"/>
      <c r="G396" s="137"/>
      <c r="H396" s="137"/>
      <c r="I396" s="137"/>
      <c r="J396" s="197"/>
      <c r="K396" s="198"/>
      <c r="L396" s="196"/>
      <c r="M396" s="196"/>
      <c r="N396" s="196"/>
      <c r="O396" s="196"/>
      <c r="P396" s="127"/>
    </row>
    <row r="397" spans="1:16" ht="20.25" customHeight="1" x14ac:dyDescent="0.3">
      <c r="A397" s="137"/>
      <c r="B397" s="137"/>
      <c r="C397" s="137"/>
      <c r="D397" s="194"/>
      <c r="E397" s="194"/>
      <c r="F397" s="137"/>
      <c r="G397" s="137"/>
      <c r="H397" s="137"/>
      <c r="I397" s="137"/>
      <c r="J397" s="197"/>
      <c r="K397" s="198"/>
      <c r="L397" s="196"/>
      <c r="M397" s="196"/>
      <c r="N397" s="196"/>
      <c r="O397" s="196"/>
      <c r="P397" s="127"/>
    </row>
    <row r="398" spans="1:16" ht="20.25" customHeight="1" x14ac:dyDescent="0.3">
      <c r="A398" s="137"/>
      <c r="B398" s="137"/>
      <c r="C398" s="137"/>
      <c r="D398" s="194"/>
      <c r="E398" s="194"/>
      <c r="F398" s="137"/>
      <c r="G398" s="137"/>
      <c r="H398" s="137"/>
      <c r="I398" s="137"/>
      <c r="J398" s="197"/>
      <c r="K398" s="198"/>
      <c r="L398" s="196"/>
      <c r="M398" s="196"/>
      <c r="N398" s="196"/>
      <c r="O398" s="196"/>
      <c r="P398" s="127"/>
    </row>
    <row r="399" spans="1:16" ht="20.25" customHeight="1" x14ac:dyDescent="0.3">
      <c r="A399" s="137"/>
      <c r="B399" s="137"/>
      <c r="C399" s="137"/>
      <c r="D399" s="194"/>
      <c r="E399" s="194"/>
      <c r="F399" s="137"/>
      <c r="G399" s="137"/>
      <c r="H399" s="137"/>
      <c r="I399" s="137"/>
      <c r="J399" s="197"/>
      <c r="K399" s="198"/>
      <c r="L399" s="196"/>
      <c r="M399" s="196"/>
      <c r="N399" s="196"/>
      <c r="O399" s="196"/>
      <c r="P399" s="127"/>
    </row>
    <row r="400" spans="1:16" ht="20.25" customHeight="1" x14ac:dyDescent="0.3">
      <c r="A400" s="137"/>
      <c r="B400" s="137"/>
      <c r="C400" s="137"/>
      <c r="D400" s="194"/>
      <c r="E400" s="194"/>
      <c r="F400" s="137"/>
      <c r="G400" s="137"/>
      <c r="H400" s="137"/>
      <c r="I400" s="137"/>
      <c r="J400" s="197"/>
      <c r="K400" s="198"/>
      <c r="L400" s="196"/>
      <c r="M400" s="196"/>
      <c r="N400" s="196"/>
      <c r="O400" s="196"/>
      <c r="P400" s="127"/>
    </row>
    <row r="401" spans="1:16" ht="20.25" customHeight="1" x14ac:dyDescent="0.3">
      <c r="A401" s="137"/>
      <c r="B401" s="137"/>
      <c r="C401" s="137"/>
      <c r="D401" s="194"/>
      <c r="E401" s="194"/>
      <c r="F401" s="137"/>
      <c r="G401" s="137"/>
      <c r="H401" s="137"/>
      <c r="I401" s="137"/>
      <c r="J401" s="197"/>
      <c r="K401" s="198"/>
      <c r="L401" s="196"/>
      <c r="M401" s="196"/>
      <c r="N401" s="196"/>
      <c r="O401" s="196"/>
      <c r="P401" s="127"/>
    </row>
    <row r="402" spans="1:16" ht="20.25" customHeight="1" x14ac:dyDescent="0.3">
      <c r="A402" s="137"/>
      <c r="B402" s="137"/>
      <c r="C402" s="137"/>
      <c r="D402" s="194"/>
      <c r="E402" s="194"/>
      <c r="F402" s="137"/>
      <c r="G402" s="137"/>
      <c r="H402" s="137"/>
      <c r="I402" s="137"/>
      <c r="J402" s="197"/>
      <c r="K402" s="198"/>
      <c r="L402" s="196"/>
      <c r="M402" s="196"/>
      <c r="N402" s="196"/>
      <c r="O402" s="196"/>
      <c r="P402" s="127"/>
    </row>
    <row r="403" spans="1:16" ht="20.25" customHeight="1" x14ac:dyDescent="0.3">
      <c r="A403" s="137"/>
      <c r="B403" s="137"/>
      <c r="C403" s="137"/>
      <c r="D403" s="194"/>
      <c r="E403" s="194"/>
      <c r="F403" s="137"/>
      <c r="G403" s="137"/>
      <c r="H403" s="137"/>
      <c r="I403" s="137"/>
      <c r="J403" s="197"/>
      <c r="K403" s="198"/>
      <c r="L403" s="196"/>
      <c r="M403" s="196"/>
      <c r="N403" s="196"/>
      <c r="O403" s="196"/>
      <c r="P403" s="127"/>
    </row>
    <row r="404" spans="1:16" ht="20.25" customHeight="1" x14ac:dyDescent="0.3">
      <c r="A404" s="137"/>
      <c r="B404" s="137"/>
      <c r="C404" s="137"/>
      <c r="D404" s="194"/>
      <c r="E404" s="194"/>
      <c r="F404" s="137"/>
      <c r="G404" s="137"/>
      <c r="H404" s="137"/>
      <c r="I404" s="137"/>
      <c r="J404" s="197"/>
      <c r="K404" s="198"/>
      <c r="L404" s="196"/>
      <c r="M404" s="196"/>
      <c r="N404" s="196"/>
      <c r="O404" s="196"/>
      <c r="P404" s="127"/>
    </row>
    <row r="405" spans="1:16" ht="20.25" customHeight="1" x14ac:dyDescent="0.3">
      <c r="A405" s="137"/>
      <c r="B405" s="137"/>
      <c r="C405" s="137"/>
      <c r="D405" s="194"/>
      <c r="E405" s="194"/>
      <c r="F405" s="137"/>
      <c r="G405" s="137"/>
      <c r="H405" s="137"/>
      <c r="I405" s="137"/>
      <c r="J405" s="197"/>
      <c r="K405" s="198"/>
      <c r="L405" s="196"/>
      <c r="M405" s="196"/>
      <c r="N405" s="196"/>
      <c r="O405" s="196"/>
      <c r="P405" s="127"/>
    </row>
    <row r="406" spans="1:16" ht="20.25" customHeight="1" x14ac:dyDescent="0.3">
      <c r="A406" s="137"/>
      <c r="B406" s="137"/>
      <c r="C406" s="137"/>
      <c r="D406" s="194"/>
      <c r="E406" s="194"/>
      <c r="F406" s="137"/>
      <c r="G406" s="137"/>
      <c r="H406" s="137"/>
      <c r="I406" s="137"/>
      <c r="J406" s="197"/>
      <c r="K406" s="198"/>
      <c r="L406" s="196"/>
      <c r="M406" s="196"/>
      <c r="N406" s="196"/>
      <c r="O406" s="196"/>
      <c r="P406" s="127"/>
    </row>
    <row r="407" spans="1:16" ht="20.25" customHeight="1" x14ac:dyDescent="0.3">
      <c r="A407" s="137"/>
      <c r="B407" s="137"/>
      <c r="C407" s="137"/>
      <c r="D407" s="194"/>
      <c r="E407" s="194"/>
      <c r="F407" s="137"/>
      <c r="G407" s="137"/>
      <c r="H407" s="137"/>
      <c r="I407" s="137"/>
      <c r="J407" s="197"/>
      <c r="K407" s="198"/>
      <c r="L407" s="196"/>
      <c r="M407" s="196"/>
      <c r="N407" s="196"/>
      <c r="O407" s="196"/>
      <c r="P407" s="127"/>
    </row>
    <row r="408" spans="1:16" ht="20.25" customHeight="1" x14ac:dyDescent="0.3">
      <c r="A408" s="137"/>
      <c r="B408" s="137"/>
      <c r="C408" s="137"/>
      <c r="D408" s="194"/>
      <c r="E408" s="194"/>
      <c r="F408" s="137"/>
      <c r="G408" s="137"/>
      <c r="H408" s="137"/>
      <c r="I408" s="137"/>
      <c r="J408" s="197"/>
      <c r="K408" s="198"/>
      <c r="L408" s="196"/>
      <c r="M408" s="196"/>
      <c r="N408" s="196"/>
      <c r="O408" s="196"/>
      <c r="P408" s="127"/>
    </row>
    <row r="409" spans="1:16" ht="20.25" customHeight="1" x14ac:dyDescent="0.3">
      <c r="A409" s="137"/>
      <c r="B409" s="137"/>
      <c r="C409" s="137"/>
      <c r="D409" s="194"/>
      <c r="E409" s="194"/>
      <c r="F409" s="137"/>
      <c r="G409" s="137"/>
      <c r="H409" s="137"/>
      <c r="I409" s="137"/>
      <c r="J409" s="197"/>
      <c r="K409" s="198"/>
      <c r="L409" s="196"/>
      <c r="M409" s="196"/>
      <c r="N409" s="196"/>
      <c r="O409" s="196"/>
      <c r="P409" s="127"/>
    </row>
    <row r="410" spans="1:16" ht="20.25" customHeight="1" x14ac:dyDescent="0.3">
      <c r="A410" s="137"/>
      <c r="B410" s="137"/>
      <c r="C410" s="137"/>
      <c r="D410" s="194"/>
      <c r="E410" s="194"/>
      <c r="F410" s="137"/>
      <c r="G410" s="137"/>
      <c r="H410" s="137"/>
      <c r="I410" s="137"/>
      <c r="J410" s="197"/>
      <c r="K410" s="198"/>
      <c r="L410" s="196"/>
      <c r="M410" s="196"/>
      <c r="N410" s="196"/>
      <c r="O410" s="196"/>
      <c r="P410" s="127"/>
    </row>
    <row r="411" spans="1:16" ht="20.25" customHeight="1" x14ac:dyDescent="0.3">
      <c r="A411" s="137"/>
      <c r="B411" s="137"/>
      <c r="C411" s="137"/>
      <c r="D411" s="194"/>
      <c r="E411" s="194"/>
      <c r="F411" s="137"/>
      <c r="G411" s="137"/>
      <c r="H411" s="137"/>
      <c r="I411" s="137"/>
      <c r="J411" s="197"/>
      <c r="K411" s="198"/>
      <c r="L411" s="196"/>
      <c r="M411" s="196"/>
      <c r="N411" s="196"/>
      <c r="O411" s="196"/>
      <c r="P411" s="127"/>
    </row>
    <row r="412" spans="1:16" ht="20.25" customHeight="1" x14ac:dyDescent="0.3">
      <c r="A412" s="137"/>
      <c r="B412" s="137"/>
      <c r="C412" s="137"/>
      <c r="D412" s="194"/>
      <c r="E412" s="194"/>
      <c r="F412" s="137"/>
      <c r="G412" s="137"/>
      <c r="H412" s="137"/>
      <c r="I412" s="137"/>
      <c r="J412" s="197"/>
      <c r="K412" s="198"/>
      <c r="L412" s="196"/>
      <c r="M412" s="196"/>
      <c r="N412" s="196"/>
      <c r="O412" s="196"/>
      <c r="P412" s="127"/>
    </row>
    <row r="413" spans="1:16" ht="20.25" customHeight="1" x14ac:dyDescent="0.3">
      <c r="A413" s="137"/>
      <c r="B413" s="137"/>
      <c r="C413" s="137"/>
      <c r="D413" s="194"/>
      <c r="E413" s="194"/>
      <c r="F413" s="137"/>
      <c r="G413" s="137"/>
      <c r="H413" s="137"/>
      <c r="I413" s="137"/>
      <c r="J413" s="197"/>
      <c r="K413" s="198"/>
      <c r="L413" s="196"/>
      <c r="M413" s="196"/>
      <c r="N413" s="196"/>
      <c r="O413" s="196"/>
      <c r="P413" s="127"/>
    </row>
    <row r="414" spans="1:16" ht="20.25" customHeight="1" x14ac:dyDescent="0.3">
      <c r="A414" s="137"/>
      <c r="B414" s="137"/>
      <c r="C414" s="137"/>
      <c r="D414" s="194"/>
      <c r="E414" s="194"/>
      <c r="F414" s="137"/>
      <c r="G414" s="137"/>
      <c r="H414" s="137"/>
      <c r="I414" s="137"/>
      <c r="J414" s="197"/>
      <c r="K414" s="198"/>
      <c r="L414" s="196"/>
      <c r="M414" s="196"/>
      <c r="N414" s="196"/>
      <c r="O414" s="196"/>
      <c r="P414" s="127"/>
    </row>
    <row r="415" spans="1:16" ht="20.25" customHeight="1" x14ac:dyDescent="0.3">
      <c r="A415" s="137"/>
      <c r="B415" s="137"/>
      <c r="C415" s="137"/>
      <c r="D415" s="194"/>
      <c r="E415" s="194"/>
      <c r="F415" s="137"/>
      <c r="G415" s="137"/>
      <c r="H415" s="137"/>
      <c r="I415" s="137"/>
      <c r="J415" s="197"/>
      <c r="K415" s="198"/>
      <c r="L415" s="196"/>
      <c r="M415" s="196"/>
      <c r="N415" s="196"/>
      <c r="O415" s="196"/>
      <c r="P415" s="127"/>
    </row>
    <row r="416" spans="1:16" ht="20.25" customHeight="1" x14ac:dyDescent="0.3">
      <c r="A416" s="137"/>
      <c r="B416" s="137"/>
      <c r="C416" s="137"/>
      <c r="D416" s="194"/>
      <c r="E416" s="194"/>
      <c r="F416" s="137"/>
      <c r="G416" s="137"/>
      <c r="H416" s="137"/>
      <c r="I416" s="137"/>
      <c r="J416" s="197"/>
      <c r="K416" s="198"/>
      <c r="L416" s="196"/>
      <c r="M416" s="196"/>
      <c r="N416" s="196"/>
      <c r="O416" s="196"/>
      <c r="P416" s="127"/>
    </row>
    <row r="417" spans="1:16" ht="20.25" customHeight="1" x14ac:dyDescent="0.3">
      <c r="A417" s="137"/>
      <c r="B417" s="137"/>
      <c r="C417" s="137"/>
      <c r="D417" s="194"/>
      <c r="E417" s="194"/>
      <c r="F417" s="137"/>
      <c r="G417" s="137"/>
      <c r="H417" s="137"/>
      <c r="I417" s="137"/>
      <c r="J417" s="197"/>
      <c r="K417" s="198"/>
      <c r="L417" s="196"/>
      <c r="M417" s="196"/>
      <c r="N417" s="196"/>
      <c r="O417" s="196"/>
      <c r="P417" s="127"/>
    </row>
    <row r="418" spans="1:16" ht="20.25" customHeight="1" x14ac:dyDescent="0.3">
      <c r="A418" s="137"/>
      <c r="B418" s="137"/>
      <c r="C418" s="137"/>
      <c r="D418" s="194"/>
      <c r="E418" s="194"/>
      <c r="F418" s="137"/>
      <c r="G418" s="137"/>
      <c r="H418" s="137"/>
      <c r="I418" s="137"/>
      <c r="J418" s="197"/>
      <c r="K418" s="198"/>
      <c r="L418" s="196"/>
      <c r="M418" s="196"/>
      <c r="N418" s="196"/>
      <c r="O418" s="196"/>
      <c r="P418" s="127"/>
    </row>
    <row r="419" spans="1:16" ht="20.25" customHeight="1" x14ac:dyDescent="0.3">
      <c r="A419" s="137"/>
      <c r="B419" s="137"/>
      <c r="C419" s="137"/>
      <c r="D419" s="194"/>
      <c r="E419" s="194"/>
      <c r="F419" s="137"/>
      <c r="G419" s="137"/>
      <c r="H419" s="137"/>
      <c r="I419" s="137"/>
      <c r="J419" s="197"/>
      <c r="K419" s="198"/>
      <c r="L419" s="196"/>
      <c r="M419" s="196"/>
      <c r="N419" s="196"/>
      <c r="O419" s="196"/>
      <c r="P419" s="127"/>
    </row>
    <row r="420" spans="1:16" ht="20.25" customHeight="1" x14ac:dyDescent="0.3">
      <c r="A420" s="137"/>
      <c r="B420" s="137"/>
      <c r="C420" s="137"/>
      <c r="D420" s="194"/>
      <c r="E420" s="194"/>
      <c r="F420" s="137"/>
      <c r="G420" s="137"/>
      <c r="H420" s="137"/>
      <c r="I420" s="137"/>
      <c r="J420" s="197"/>
      <c r="K420" s="198"/>
      <c r="L420" s="196"/>
      <c r="M420" s="196"/>
      <c r="N420" s="196"/>
      <c r="O420" s="196"/>
      <c r="P420" s="127"/>
    </row>
    <row r="421" spans="1:16" ht="20.25" customHeight="1" x14ac:dyDescent="0.3">
      <c r="A421" s="137"/>
      <c r="B421" s="137"/>
      <c r="C421" s="137"/>
      <c r="D421" s="194"/>
      <c r="E421" s="194"/>
      <c r="F421" s="137"/>
      <c r="G421" s="137"/>
      <c r="H421" s="137"/>
      <c r="I421" s="137"/>
      <c r="J421" s="197"/>
      <c r="K421" s="198"/>
      <c r="L421" s="196"/>
      <c r="M421" s="196"/>
      <c r="N421" s="196"/>
      <c r="O421" s="196"/>
      <c r="P421" s="127"/>
    </row>
    <row r="422" spans="1:16" ht="20.25" customHeight="1" x14ac:dyDescent="0.3">
      <c r="A422" s="137"/>
      <c r="B422" s="137"/>
      <c r="C422" s="137"/>
      <c r="D422" s="194"/>
      <c r="E422" s="194"/>
      <c r="F422" s="137"/>
      <c r="G422" s="137"/>
      <c r="H422" s="137"/>
      <c r="I422" s="137"/>
      <c r="J422" s="197"/>
      <c r="K422" s="198"/>
      <c r="L422" s="196"/>
      <c r="M422" s="196"/>
      <c r="N422" s="196"/>
      <c r="O422" s="196"/>
      <c r="P422" s="127"/>
    </row>
    <row r="423" spans="1:16" ht="20.25" customHeight="1" x14ac:dyDescent="0.3">
      <c r="A423" s="137"/>
      <c r="B423" s="137"/>
      <c r="C423" s="137"/>
      <c r="D423" s="194"/>
      <c r="E423" s="194"/>
      <c r="F423" s="137"/>
      <c r="G423" s="137"/>
      <c r="H423" s="137"/>
      <c r="I423" s="137"/>
      <c r="J423" s="197"/>
      <c r="K423" s="198"/>
      <c r="L423" s="196"/>
      <c r="M423" s="196"/>
      <c r="N423" s="196"/>
      <c r="O423" s="196"/>
      <c r="P423" s="127"/>
    </row>
    <row r="424" spans="1:16" ht="20.25" customHeight="1" x14ac:dyDescent="0.3">
      <c r="A424" s="137"/>
      <c r="B424" s="137"/>
      <c r="C424" s="137"/>
      <c r="D424" s="194"/>
      <c r="E424" s="194"/>
      <c r="F424" s="137"/>
      <c r="G424" s="137"/>
      <c r="H424" s="137"/>
      <c r="I424" s="137"/>
      <c r="J424" s="197"/>
      <c r="K424" s="198"/>
      <c r="L424" s="196"/>
      <c r="M424" s="196"/>
      <c r="N424" s="196"/>
      <c r="O424" s="196"/>
      <c r="P424" s="127"/>
    </row>
    <row r="425" spans="1:16" ht="20.25" customHeight="1" x14ac:dyDescent="0.3">
      <c r="A425" s="137"/>
      <c r="B425" s="137"/>
      <c r="C425" s="137"/>
      <c r="D425" s="194"/>
      <c r="E425" s="194"/>
      <c r="F425" s="137"/>
      <c r="G425" s="137"/>
      <c r="H425" s="137"/>
      <c r="I425" s="137"/>
      <c r="J425" s="197"/>
      <c r="K425" s="198"/>
      <c r="L425" s="196"/>
      <c r="M425" s="196"/>
      <c r="N425" s="196"/>
      <c r="O425" s="196"/>
      <c r="P425" s="127"/>
    </row>
    <row r="426" spans="1:16" ht="20.25" customHeight="1" x14ac:dyDescent="0.3">
      <c r="A426" s="137"/>
      <c r="B426" s="137"/>
      <c r="C426" s="137"/>
      <c r="D426" s="194"/>
      <c r="E426" s="194"/>
      <c r="F426" s="137"/>
      <c r="G426" s="137"/>
      <c r="H426" s="137"/>
      <c r="I426" s="137"/>
      <c r="J426" s="197"/>
      <c r="K426" s="198"/>
      <c r="L426" s="196"/>
      <c r="M426" s="196"/>
      <c r="N426" s="196"/>
      <c r="O426" s="196"/>
      <c r="P426" s="127"/>
    </row>
    <row r="427" spans="1:16" ht="20.25" customHeight="1" x14ac:dyDescent="0.3">
      <c r="A427" s="137"/>
      <c r="B427" s="137"/>
      <c r="C427" s="137"/>
      <c r="D427" s="194"/>
      <c r="E427" s="194"/>
      <c r="F427" s="137"/>
      <c r="G427" s="137"/>
      <c r="H427" s="137"/>
      <c r="I427" s="137"/>
      <c r="J427" s="197"/>
      <c r="K427" s="198"/>
      <c r="L427" s="196"/>
      <c r="M427" s="196"/>
      <c r="N427" s="196"/>
      <c r="O427" s="196"/>
      <c r="P427" s="127"/>
    </row>
    <row r="428" spans="1:16" ht="20.25" customHeight="1" x14ac:dyDescent="0.3">
      <c r="A428" s="137"/>
      <c r="B428" s="137"/>
      <c r="C428" s="137"/>
      <c r="D428" s="194"/>
      <c r="E428" s="194"/>
      <c r="F428" s="137"/>
      <c r="G428" s="137"/>
      <c r="H428" s="137"/>
      <c r="I428" s="137"/>
      <c r="J428" s="197"/>
      <c r="K428" s="198"/>
      <c r="L428" s="196"/>
      <c r="M428" s="196"/>
      <c r="N428" s="196"/>
      <c r="O428" s="196"/>
      <c r="P428" s="127"/>
    </row>
    <row r="429" spans="1:16" ht="20.25" customHeight="1" x14ac:dyDescent="0.3">
      <c r="A429" s="137"/>
      <c r="B429" s="137"/>
      <c r="C429" s="137"/>
      <c r="D429" s="194"/>
      <c r="E429" s="194"/>
      <c r="F429" s="137"/>
      <c r="G429" s="137"/>
      <c r="H429" s="137"/>
      <c r="I429" s="137"/>
      <c r="J429" s="197"/>
      <c r="K429" s="198"/>
      <c r="L429" s="196"/>
      <c r="M429" s="196"/>
      <c r="N429" s="196"/>
      <c r="O429" s="196"/>
      <c r="P429" s="127"/>
    </row>
    <row r="430" spans="1:16" ht="20.25" customHeight="1" x14ac:dyDescent="0.3">
      <c r="A430" s="137"/>
      <c r="B430" s="137"/>
      <c r="C430" s="137"/>
      <c r="D430" s="194"/>
      <c r="E430" s="194"/>
      <c r="F430" s="137"/>
      <c r="G430" s="137"/>
      <c r="H430" s="137"/>
      <c r="I430" s="137"/>
      <c r="J430" s="197"/>
      <c r="K430" s="198"/>
      <c r="L430" s="196"/>
      <c r="M430" s="196"/>
      <c r="N430" s="196"/>
      <c r="O430" s="196"/>
      <c r="P430" s="127"/>
    </row>
    <row r="431" spans="1:16" ht="20.25" customHeight="1" x14ac:dyDescent="0.3">
      <c r="A431" s="137"/>
      <c r="B431" s="137"/>
      <c r="C431" s="137"/>
      <c r="D431" s="194"/>
      <c r="E431" s="194"/>
      <c r="F431" s="137"/>
      <c r="G431" s="137"/>
      <c r="H431" s="137"/>
      <c r="I431" s="137"/>
      <c r="J431" s="197"/>
      <c r="K431" s="198"/>
      <c r="L431" s="196"/>
      <c r="M431" s="196"/>
      <c r="N431" s="196"/>
      <c r="O431" s="196"/>
      <c r="P431" s="127"/>
    </row>
    <row r="432" spans="1:16" ht="20.25" customHeight="1" x14ac:dyDescent="0.3">
      <c r="A432" s="137"/>
      <c r="B432" s="137"/>
      <c r="C432" s="137"/>
      <c r="D432" s="194"/>
      <c r="E432" s="194"/>
      <c r="F432" s="137"/>
      <c r="G432" s="137"/>
      <c r="H432" s="137"/>
      <c r="I432" s="137"/>
      <c r="J432" s="197"/>
      <c r="K432" s="198"/>
      <c r="L432" s="196"/>
      <c r="M432" s="196"/>
      <c r="N432" s="196"/>
      <c r="O432" s="196"/>
      <c r="P432" s="127"/>
    </row>
    <row r="433" spans="1:16" ht="20.25" customHeight="1" x14ac:dyDescent="0.3">
      <c r="A433" s="137"/>
      <c r="B433" s="137"/>
      <c r="C433" s="137"/>
      <c r="D433" s="194"/>
      <c r="E433" s="194"/>
      <c r="F433" s="137"/>
      <c r="G433" s="137"/>
      <c r="H433" s="137"/>
      <c r="I433" s="137"/>
      <c r="J433" s="197"/>
      <c r="K433" s="198"/>
      <c r="L433" s="196"/>
      <c r="M433" s="196"/>
      <c r="N433" s="196"/>
      <c r="O433" s="196"/>
      <c r="P433" s="127"/>
    </row>
    <row r="434" spans="1:16" ht="20.25" customHeight="1" x14ac:dyDescent="0.3">
      <c r="A434" s="137"/>
      <c r="B434" s="137"/>
      <c r="C434" s="137"/>
      <c r="D434" s="194"/>
      <c r="E434" s="194"/>
      <c r="F434" s="137"/>
      <c r="G434" s="137"/>
      <c r="H434" s="137"/>
      <c r="I434" s="137"/>
      <c r="J434" s="197"/>
      <c r="K434" s="198"/>
      <c r="L434" s="196"/>
      <c r="M434" s="196"/>
      <c r="N434" s="196"/>
      <c r="O434" s="196"/>
      <c r="P434" s="127"/>
    </row>
    <row r="435" spans="1:16" ht="20.25" customHeight="1" x14ac:dyDescent="0.3">
      <c r="A435" s="137"/>
      <c r="B435" s="137"/>
      <c r="C435" s="137"/>
      <c r="D435" s="194"/>
      <c r="E435" s="194"/>
      <c r="F435" s="137"/>
      <c r="G435" s="137"/>
      <c r="H435" s="137"/>
      <c r="I435" s="137"/>
      <c r="J435" s="197"/>
      <c r="K435" s="198"/>
      <c r="L435" s="196"/>
      <c r="M435" s="196"/>
      <c r="N435" s="196"/>
      <c r="O435" s="196"/>
      <c r="P435" s="127"/>
    </row>
    <row r="436" spans="1:16" ht="20.25" customHeight="1" x14ac:dyDescent="0.3">
      <c r="A436" s="137"/>
      <c r="B436" s="137"/>
      <c r="C436" s="137"/>
      <c r="D436" s="194"/>
      <c r="E436" s="194"/>
      <c r="F436" s="137"/>
      <c r="G436" s="137"/>
      <c r="H436" s="137"/>
      <c r="I436" s="137"/>
      <c r="J436" s="197"/>
      <c r="K436" s="198"/>
      <c r="L436" s="196"/>
      <c r="M436" s="196"/>
      <c r="N436" s="196"/>
      <c r="O436" s="196"/>
      <c r="P436" s="127"/>
    </row>
    <row r="437" spans="1:16" ht="20.25" customHeight="1" x14ac:dyDescent="0.3">
      <c r="A437" s="137"/>
      <c r="B437" s="137"/>
      <c r="C437" s="137"/>
      <c r="D437" s="194"/>
      <c r="E437" s="194"/>
      <c r="F437" s="137"/>
      <c r="G437" s="137"/>
      <c r="H437" s="137"/>
      <c r="I437" s="137"/>
      <c r="J437" s="197"/>
      <c r="K437" s="198"/>
      <c r="L437" s="196"/>
      <c r="M437" s="196"/>
      <c r="N437" s="196"/>
      <c r="O437" s="196"/>
      <c r="P437" s="127"/>
    </row>
    <row r="438" spans="1:16" ht="20.25" customHeight="1" x14ac:dyDescent="0.3">
      <c r="A438" s="137"/>
      <c r="B438" s="137"/>
      <c r="C438" s="137"/>
      <c r="D438" s="194"/>
      <c r="E438" s="194"/>
      <c r="F438" s="137"/>
      <c r="G438" s="137"/>
      <c r="H438" s="137"/>
      <c r="I438" s="137"/>
      <c r="J438" s="197"/>
      <c r="K438" s="198"/>
      <c r="L438" s="196"/>
      <c r="M438" s="196"/>
      <c r="N438" s="196"/>
      <c r="O438" s="196"/>
      <c r="P438" s="127"/>
    </row>
    <row r="439" spans="1:16" ht="20.25" customHeight="1" x14ac:dyDescent="0.3">
      <c r="A439" s="137"/>
      <c r="B439" s="137"/>
      <c r="C439" s="137"/>
      <c r="D439" s="194"/>
      <c r="E439" s="194"/>
      <c r="F439" s="137"/>
      <c r="G439" s="137"/>
      <c r="H439" s="137"/>
      <c r="I439" s="137"/>
      <c r="J439" s="197"/>
      <c r="K439" s="198"/>
      <c r="L439" s="196"/>
      <c r="M439" s="196"/>
      <c r="N439" s="196"/>
      <c r="O439" s="196"/>
      <c r="P439" s="127"/>
    </row>
    <row r="440" spans="1:16" ht="20.25" customHeight="1" x14ac:dyDescent="0.3">
      <c r="A440" s="137"/>
      <c r="B440" s="137"/>
      <c r="C440" s="137"/>
      <c r="D440" s="194"/>
      <c r="E440" s="194"/>
      <c r="F440" s="137"/>
      <c r="G440" s="137"/>
      <c r="H440" s="137"/>
      <c r="I440" s="137"/>
      <c r="J440" s="197"/>
      <c r="K440" s="198"/>
      <c r="L440" s="196"/>
      <c r="M440" s="196"/>
      <c r="N440" s="196"/>
      <c r="O440" s="196"/>
      <c r="P440" s="127"/>
    </row>
    <row r="441" spans="1:16" ht="20.25" customHeight="1" x14ac:dyDescent="0.3">
      <c r="A441" s="137"/>
      <c r="B441" s="137"/>
      <c r="C441" s="137"/>
      <c r="D441" s="194"/>
      <c r="E441" s="194"/>
      <c r="F441" s="137"/>
      <c r="G441" s="137"/>
      <c r="H441" s="137"/>
      <c r="I441" s="137"/>
      <c r="J441" s="197"/>
      <c r="K441" s="198"/>
      <c r="L441" s="196"/>
      <c r="M441" s="196"/>
      <c r="N441" s="196"/>
      <c r="O441" s="196"/>
      <c r="P441" s="127"/>
    </row>
    <row r="442" spans="1:16" ht="20.25" customHeight="1" x14ac:dyDescent="0.3">
      <c r="A442" s="137"/>
      <c r="B442" s="137"/>
      <c r="C442" s="137"/>
      <c r="D442" s="194"/>
      <c r="E442" s="194"/>
      <c r="F442" s="137"/>
      <c r="G442" s="137"/>
      <c r="H442" s="137"/>
      <c r="I442" s="137"/>
      <c r="J442" s="197"/>
      <c r="K442" s="198"/>
      <c r="L442" s="196"/>
      <c r="M442" s="196"/>
      <c r="N442" s="196"/>
      <c r="O442" s="196"/>
      <c r="P442" s="127"/>
    </row>
    <row r="443" spans="1:16" ht="20.25" customHeight="1" x14ac:dyDescent="0.3">
      <c r="A443" s="137"/>
      <c r="B443" s="137"/>
      <c r="C443" s="137"/>
      <c r="D443" s="194"/>
      <c r="E443" s="194"/>
      <c r="F443" s="137"/>
      <c r="G443" s="137"/>
      <c r="H443" s="137"/>
      <c r="I443" s="137"/>
      <c r="J443" s="197"/>
      <c r="K443" s="198"/>
      <c r="L443" s="196"/>
      <c r="M443" s="196"/>
      <c r="N443" s="196"/>
      <c r="O443" s="196"/>
      <c r="P443" s="127"/>
    </row>
    <row r="444" spans="1:16" ht="20.25" customHeight="1" x14ac:dyDescent="0.3">
      <c r="A444" s="137"/>
      <c r="B444" s="137"/>
      <c r="C444" s="137"/>
      <c r="D444" s="194"/>
      <c r="E444" s="194"/>
      <c r="F444" s="137"/>
      <c r="G444" s="137"/>
      <c r="H444" s="137"/>
      <c r="I444" s="137"/>
      <c r="J444" s="197"/>
      <c r="K444" s="198"/>
      <c r="L444" s="196"/>
      <c r="M444" s="196"/>
      <c r="N444" s="196"/>
      <c r="O444" s="196"/>
      <c r="P444" s="127"/>
    </row>
    <row r="445" spans="1:16" ht="20.25" customHeight="1" x14ac:dyDescent="0.3">
      <c r="A445" s="137"/>
      <c r="B445" s="137"/>
      <c r="C445" s="137"/>
      <c r="D445" s="194"/>
      <c r="E445" s="194"/>
      <c r="F445" s="137"/>
      <c r="G445" s="137"/>
      <c r="H445" s="137"/>
      <c r="I445" s="137"/>
      <c r="J445" s="197"/>
      <c r="K445" s="198"/>
      <c r="L445" s="196"/>
      <c r="M445" s="196"/>
      <c r="N445" s="196"/>
      <c r="O445" s="196"/>
      <c r="P445" s="127"/>
    </row>
    <row r="446" spans="1:16" ht="20.25" customHeight="1" x14ac:dyDescent="0.3">
      <c r="A446" s="137"/>
      <c r="B446" s="137"/>
      <c r="C446" s="137"/>
      <c r="D446" s="194"/>
      <c r="E446" s="194"/>
      <c r="F446" s="137"/>
      <c r="G446" s="137"/>
      <c r="H446" s="137"/>
      <c r="I446" s="137"/>
      <c r="J446" s="197"/>
      <c r="K446" s="198"/>
      <c r="L446" s="196"/>
      <c r="M446" s="196"/>
      <c r="N446" s="196"/>
      <c r="O446" s="196"/>
      <c r="P446" s="127"/>
    </row>
    <row r="447" spans="1:16" ht="20.25" customHeight="1" x14ac:dyDescent="0.3">
      <c r="A447" s="137"/>
      <c r="B447" s="137"/>
      <c r="C447" s="137"/>
      <c r="D447" s="194"/>
      <c r="E447" s="194"/>
      <c r="F447" s="137"/>
      <c r="G447" s="137"/>
      <c r="H447" s="137"/>
      <c r="I447" s="137"/>
      <c r="J447" s="197"/>
      <c r="K447" s="198"/>
      <c r="L447" s="196"/>
      <c r="M447" s="196"/>
      <c r="N447" s="196"/>
      <c r="O447" s="196"/>
      <c r="P447" s="127"/>
    </row>
    <row r="448" spans="1:16" ht="20.25" customHeight="1" x14ac:dyDescent="0.3">
      <c r="A448" s="137"/>
      <c r="B448" s="137"/>
      <c r="C448" s="137"/>
      <c r="D448" s="194"/>
      <c r="E448" s="194"/>
      <c r="F448" s="137"/>
      <c r="G448" s="137"/>
      <c r="H448" s="137"/>
      <c r="I448" s="137"/>
      <c r="J448" s="197"/>
      <c r="K448" s="198"/>
      <c r="L448" s="196"/>
      <c r="M448" s="196"/>
      <c r="N448" s="196"/>
      <c r="O448" s="196"/>
      <c r="P448" s="127"/>
    </row>
    <row r="449" spans="1:16" ht="20.25" customHeight="1" x14ac:dyDescent="0.3">
      <c r="A449" s="137"/>
      <c r="B449" s="137"/>
      <c r="C449" s="137"/>
      <c r="D449" s="194"/>
      <c r="E449" s="194"/>
      <c r="F449" s="137"/>
      <c r="G449" s="137"/>
      <c r="H449" s="137"/>
      <c r="I449" s="137"/>
      <c r="J449" s="197"/>
      <c r="K449" s="198"/>
      <c r="L449" s="196"/>
      <c r="M449" s="196"/>
      <c r="N449" s="196"/>
      <c r="O449" s="196"/>
      <c r="P449" s="127"/>
    </row>
    <row r="450" spans="1:16" ht="20.25" customHeight="1" x14ac:dyDescent="0.3">
      <c r="A450" s="137"/>
      <c r="B450" s="137"/>
      <c r="C450" s="137"/>
      <c r="D450" s="194"/>
      <c r="E450" s="194"/>
      <c r="F450" s="137"/>
      <c r="G450" s="137"/>
      <c r="H450" s="137"/>
      <c r="I450" s="137"/>
      <c r="J450" s="197"/>
      <c r="K450" s="198"/>
      <c r="L450" s="196"/>
      <c r="M450" s="196"/>
      <c r="N450" s="196"/>
      <c r="O450" s="196"/>
      <c r="P450" s="127"/>
    </row>
    <row r="451" spans="1:16" ht="20.25" customHeight="1" x14ac:dyDescent="0.3">
      <c r="A451" s="137"/>
      <c r="B451" s="137"/>
      <c r="C451" s="137"/>
      <c r="D451" s="194"/>
      <c r="E451" s="194"/>
      <c r="F451" s="137"/>
      <c r="G451" s="137"/>
      <c r="H451" s="137"/>
      <c r="I451" s="137"/>
      <c r="J451" s="197"/>
      <c r="K451" s="198"/>
      <c r="L451" s="196"/>
      <c r="M451" s="196"/>
      <c r="N451" s="196"/>
      <c r="O451" s="196"/>
      <c r="P451" s="127"/>
    </row>
    <row r="452" spans="1:16" ht="20.25" customHeight="1" x14ac:dyDescent="0.3">
      <c r="A452" s="137"/>
      <c r="B452" s="137"/>
      <c r="C452" s="137"/>
      <c r="D452" s="194"/>
      <c r="E452" s="194"/>
      <c r="F452" s="137"/>
      <c r="G452" s="137"/>
      <c r="H452" s="137"/>
      <c r="I452" s="137"/>
      <c r="J452" s="197"/>
      <c r="K452" s="198"/>
      <c r="L452" s="196"/>
      <c r="M452" s="196"/>
      <c r="N452" s="196"/>
      <c r="O452" s="196"/>
      <c r="P452" s="127"/>
    </row>
    <row r="453" spans="1:16" ht="20.25" customHeight="1" x14ac:dyDescent="0.3">
      <c r="A453" s="137"/>
      <c r="B453" s="137"/>
      <c r="C453" s="137"/>
      <c r="D453" s="194"/>
      <c r="E453" s="194"/>
      <c r="F453" s="137"/>
      <c r="G453" s="137"/>
      <c r="H453" s="137"/>
      <c r="I453" s="137"/>
      <c r="J453" s="197"/>
      <c r="K453" s="198"/>
      <c r="L453" s="196"/>
      <c r="M453" s="196"/>
      <c r="N453" s="196"/>
      <c r="O453" s="196"/>
      <c r="P453" s="127"/>
    </row>
    <row r="454" spans="1:16" ht="20.25" customHeight="1" x14ac:dyDescent="0.3">
      <c r="A454" s="137"/>
      <c r="B454" s="137"/>
      <c r="C454" s="137"/>
      <c r="D454" s="194"/>
      <c r="E454" s="194"/>
      <c r="F454" s="137"/>
      <c r="G454" s="137"/>
      <c r="H454" s="137"/>
      <c r="I454" s="137"/>
      <c r="J454" s="197"/>
      <c r="K454" s="198"/>
      <c r="L454" s="196"/>
      <c r="M454" s="196"/>
      <c r="N454" s="196"/>
      <c r="O454" s="196"/>
      <c r="P454" s="127"/>
    </row>
    <row r="455" spans="1:16" ht="20.25" customHeight="1" x14ac:dyDescent="0.3">
      <c r="A455" s="137"/>
      <c r="B455" s="137"/>
      <c r="C455" s="137"/>
      <c r="D455" s="194"/>
      <c r="E455" s="194"/>
      <c r="F455" s="137"/>
      <c r="G455" s="137"/>
      <c r="H455" s="137"/>
      <c r="I455" s="137"/>
      <c r="J455" s="197"/>
      <c r="K455" s="198"/>
      <c r="L455" s="196"/>
      <c r="M455" s="196"/>
      <c r="N455" s="196"/>
      <c r="O455" s="196"/>
      <c r="P455" s="127"/>
    </row>
    <row r="456" spans="1:16" ht="20.25" customHeight="1" x14ac:dyDescent="0.3">
      <c r="A456" s="137"/>
      <c r="B456" s="137"/>
      <c r="C456" s="137"/>
      <c r="D456" s="194"/>
      <c r="E456" s="194"/>
      <c r="F456" s="137"/>
      <c r="G456" s="137"/>
      <c r="H456" s="137"/>
      <c r="I456" s="137"/>
      <c r="J456" s="197"/>
      <c r="K456" s="198"/>
      <c r="L456" s="196"/>
      <c r="M456" s="196"/>
      <c r="N456" s="196"/>
      <c r="O456" s="196"/>
      <c r="P456" s="127"/>
    </row>
    <row r="457" spans="1:16" ht="20.25" customHeight="1" x14ac:dyDescent="0.3">
      <c r="A457" s="137"/>
      <c r="B457" s="137"/>
      <c r="C457" s="137"/>
      <c r="D457" s="194"/>
      <c r="E457" s="194"/>
      <c r="F457" s="137"/>
      <c r="G457" s="137"/>
      <c r="H457" s="137"/>
      <c r="I457" s="137"/>
      <c r="J457" s="197"/>
      <c r="K457" s="198"/>
      <c r="L457" s="196"/>
      <c r="M457" s="196"/>
      <c r="N457" s="196"/>
      <c r="O457" s="196"/>
      <c r="P457" s="127"/>
    </row>
    <row r="458" spans="1:16" ht="20.25" customHeight="1" x14ac:dyDescent="0.3">
      <c r="A458" s="137"/>
      <c r="B458" s="137"/>
      <c r="C458" s="137"/>
      <c r="D458" s="194"/>
      <c r="E458" s="194"/>
      <c r="F458" s="137"/>
      <c r="G458" s="137"/>
      <c r="H458" s="137"/>
      <c r="I458" s="137"/>
      <c r="J458" s="197"/>
      <c r="K458" s="198"/>
      <c r="L458" s="196"/>
      <c r="M458" s="196"/>
      <c r="N458" s="196"/>
      <c r="O458" s="196"/>
      <c r="P458" s="127"/>
    </row>
    <row r="459" spans="1:16" ht="20.25" customHeight="1" x14ac:dyDescent="0.3">
      <c r="A459" s="137"/>
      <c r="B459" s="137"/>
      <c r="C459" s="137"/>
      <c r="D459" s="194"/>
      <c r="E459" s="194"/>
      <c r="F459" s="137"/>
      <c r="G459" s="137"/>
      <c r="H459" s="137"/>
      <c r="I459" s="137"/>
      <c r="J459" s="197"/>
      <c r="K459" s="198"/>
      <c r="L459" s="196"/>
      <c r="M459" s="196"/>
      <c r="N459" s="196"/>
      <c r="O459" s="196"/>
      <c r="P459" s="127"/>
    </row>
    <row r="460" spans="1:16" ht="20.25" customHeight="1" x14ac:dyDescent="0.3">
      <c r="A460" s="137"/>
      <c r="B460" s="137"/>
      <c r="C460" s="137"/>
      <c r="D460" s="194"/>
      <c r="E460" s="194"/>
      <c r="F460" s="137"/>
      <c r="G460" s="137"/>
      <c r="H460" s="137"/>
      <c r="I460" s="137"/>
      <c r="J460" s="197"/>
      <c r="K460" s="198"/>
      <c r="L460" s="196"/>
      <c r="M460" s="196"/>
      <c r="N460" s="196"/>
      <c r="O460" s="196"/>
      <c r="P460" s="127"/>
    </row>
    <row r="461" spans="1:16" ht="20.25" customHeight="1" x14ac:dyDescent="0.3">
      <c r="A461" s="137"/>
      <c r="B461" s="137"/>
      <c r="C461" s="137"/>
      <c r="D461" s="194"/>
      <c r="E461" s="194"/>
      <c r="F461" s="137"/>
      <c r="G461" s="137"/>
      <c r="H461" s="137"/>
      <c r="I461" s="137"/>
      <c r="J461" s="197"/>
      <c r="K461" s="198"/>
      <c r="L461" s="196"/>
      <c r="M461" s="196"/>
      <c r="N461" s="196"/>
      <c r="O461" s="196"/>
      <c r="P461" s="127"/>
    </row>
    <row r="462" spans="1:16" ht="20.25" customHeight="1" x14ac:dyDescent="0.3">
      <c r="A462" s="137"/>
      <c r="B462" s="137"/>
      <c r="C462" s="137"/>
      <c r="D462" s="194"/>
      <c r="E462" s="194"/>
      <c r="F462" s="137"/>
      <c r="G462" s="137"/>
      <c r="H462" s="137"/>
      <c r="I462" s="137"/>
      <c r="J462" s="197"/>
      <c r="K462" s="198"/>
      <c r="L462" s="196"/>
      <c r="M462" s="196"/>
      <c r="N462" s="196"/>
      <c r="O462" s="196"/>
      <c r="P462" s="127"/>
    </row>
    <row r="463" spans="1:16" ht="20.25" customHeight="1" x14ac:dyDescent="0.3">
      <c r="A463" s="137"/>
      <c r="B463" s="137"/>
      <c r="C463" s="137"/>
      <c r="D463" s="194"/>
      <c r="E463" s="194"/>
      <c r="F463" s="137"/>
      <c r="G463" s="137"/>
      <c r="H463" s="137"/>
      <c r="I463" s="137"/>
      <c r="J463" s="197"/>
      <c r="K463" s="198"/>
      <c r="L463" s="196"/>
      <c r="M463" s="196"/>
      <c r="N463" s="196"/>
      <c r="O463" s="196"/>
      <c r="P463" s="127"/>
    </row>
    <row r="464" spans="1:16" ht="20.25" customHeight="1" x14ac:dyDescent="0.3">
      <c r="A464" s="137"/>
      <c r="B464" s="137"/>
      <c r="C464" s="137"/>
      <c r="D464" s="194"/>
      <c r="E464" s="194"/>
      <c r="F464" s="137"/>
      <c r="G464" s="137"/>
      <c r="H464" s="137"/>
      <c r="I464" s="137"/>
      <c r="J464" s="197"/>
      <c r="K464" s="198"/>
      <c r="L464" s="196"/>
      <c r="M464" s="196"/>
      <c r="N464" s="196"/>
      <c r="O464" s="196"/>
      <c r="P464" s="127"/>
    </row>
    <row r="465" spans="1:16" ht="20.25" customHeight="1" x14ac:dyDescent="0.3">
      <c r="A465" s="137"/>
      <c r="B465" s="137"/>
      <c r="C465" s="137"/>
      <c r="D465" s="194"/>
      <c r="E465" s="194"/>
      <c r="F465" s="137"/>
      <c r="G465" s="137"/>
      <c r="H465" s="137"/>
      <c r="I465" s="137"/>
      <c r="J465" s="197"/>
      <c r="K465" s="198"/>
      <c r="L465" s="196"/>
      <c r="M465" s="196"/>
      <c r="N465" s="196"/>
      <c r="O465" s="196"/>
      <c r="P465" s="127"/>
    </row>
    <row r="466" spans="1:16" ht="20.25" customHeight="1" x14ac:dyDescent="0.3">
      <c r="A466" s="137"/>
      <c r="B466" s="137"/>
      <c r="C466" s="137"/>
      <c r="D466" s="194"/>
      <c r="E466" s="194"/>
      <c r="F466" s="137"/>
      <c r="G466" s="137"/>
      <c r="H466" s="137"/>
      <c r="I466" s="137"/>
      <c r="J466" s="197"/>
      <c r="K466" s="198"/>
      <c r="L466" s="196"/>
      <c r="M466" s="196"/>
      <c r="N466" s="196"/>
      <c r="O466" s="196"/>
      <c r="P466" s="127"/>
    </row>
    <row r="467" spans="1:16" ht="20.25" customHeight="1" x14ac:dyDescent="0.3">
      <c r="A467" s="137"/>
      <c r="B467" s="137"/>
      <c r="C467" s="137"/>
      <c r="D467" s="194"/>
      <c r="E467" s="194"/>
      <c r="F467" s="137"/>
      <c r="G467" s="137"/>
      <c r="H467" s="137"/>
      <c r="I467" s="137"/>
      <c r="J467" s="197"/>
      <c r="K467" s="198"/>
      <c r="L467" s="196"/>
      <c r="M467" s="196"/>
      <c r="N467" s="196"/>
      <c r="O467" s="196"/>
      <c r="P467" s="127"/>
    </row>
    <row r="468" spans="1:16" ht="20.25" customHeight="1" x14ac:dyDescent="0.3">
      <c r="A468" s="137"/>
      <c r="B468" s="137"/>
      <c r="C468" s="137"/>
      <c r="D468" s="194"/>
      <c r="E468" s="194"/>
      <c r="F468" s="137"/>
      <c r="G468" s="137"/>
      <c r="H468" s="137"/>
      <c r="I468" s="137"/>
      <c r="J468" s="197"/>
      <c r="K468" s="198"/>
      <c r="L468" s="196"/>
      <c r="M468" s="196"/>
      <c r="N468" s="196"/>
      <c r="O468" s="196"/>
      <c r="P468" s="127"/>
    </row>
    <row r="469" spans="1:16" ht="20.25" customHeight="1" x14ac:dyDescent="0.3">
      <c r="A469" s="137"/>
      <c r="B469" s="137"/>
      <c r="C469" s="137"/>
      <c r="D469" s="194"/>
      <c r="E469" s="194"/>
      <c r="F469" s="137"/>
      <c r="G469" s="137"/>
      <c r="H469" s="137"/>
      <c r="I469" s="137"/>
      <c r="J469" s="197"/>
      <c r="K469" s="198"/>
      <c r="L469" s="196"/>
      <c r="M469" s="196"/>
      <c r="N469" s="196"/>
      <c r="O469" s="196"/>
      <c r="P469" s="127"/>
    </row>
    <row r="470" spans="1:16" ht="20.25" customHeight="1" x14ac:dyDescent="0.3">
      <c r="A470" s="137"/>
      <c r="B470" s="137"/>
      <c r="C470" s="137"/>
      <c r="D470" s="194"/>
      <c r="E470" s="194"/>
      <c r="F470" s="137"/>
      <c r="G470" s="137"/>
      <c r="H470" s="137"/>
      <c r="I470" s="137"/>
      <c r="J470" s="197"/>
      <c r="K470" s="198"/>
      <c r="L470" s="196"/>
      <c r="M470" s="196"/>
      <c r="N470" s="196"/>
      <c r="O470" s="196"/>
      <c r="P470" s="127"/>
    </row>
    <row r="471" spans="1:16" ht="20.25" customHeight="1" x14ac:dyDescent="0.3">
      <c r="A471" s="137"/>
      <c r="B471" s="137"/>
      <c r="C471" s="137"/>
      <c r="D471" s="194"/>
      <c r="E471" s="194"/>
      <c r="F471" s="137"/>
      <c r="G471" s="137"/>
      <c r="H471" s="137"/>
      <c r="I471" s="137"/>
      <c r="J471" s="197"/>
      <c r="K471" s="198"/>
      <c r="L471" s="196"/>
      <c r="M471" s="196"/>
      <c r="N471" s="196"/>
      <c r="O471" s="196"/>
      <c r="P471" s="127"/>
    </row>
    <row r="472" spans="1:16" ht="20.25" customHeight="1" x14ac:dyDescent="0.3">
      <c r="A472" s="137"/>
      <c r="B472" s="137"/>
      <c r="C472" s="137"/>
      <c r="D472" s="194"/>
      <c r="E472" s="194"/>
      <c r="F472" s="137"/>
      <c r="G472" s="137"/>
      <c r="H472" s="137"/>
      <c r="I472" s="137"/>
      <c r="J472" s="197"/>
      <c r="K472" s="198"/>
      <c r="L472" s="196"/>
      <c r="M472" s="196"/>
      <c r="N472" s="196"/>
      <c r="O472" s="196"/>
      <c r="P472" s="127"/>
    </row>
    <row r="473" spans="1:16" ht="20.25" customHeight="1" x14ac:dyDescent="0.3">
      <c r="A473" s="137"/>
      <c r="B473" s="137"/>
      <c r="C473" s="137"/>
      <c r="D473" s="194"/>
      <c r="E473" s="194"/>
      <c r="F473" s="137"/>
      <c r="G473" s="137"/>
      <c r="H473" s="137"/>
      <c r="I473" s="137"/>
      <c r="J473" s="197"/>
      <c r="K473" s="198"/>
      <c r="L473" s="196"/>
      <c r="M473" s="196"/>
      <c r="N473" s="196"/>
      <c r="O473" s="196"/>
      <c r="P473" s="127"/>
    </row>
    <row r="474" spans="1:16" ht="20.25" customHeight="1" x14ac:dyDescent="0.3">
      <c r="A474" s="137"/>
      <c r="B474" s="137"/>
      <c r="C474" s="137"/>
      <c r="D474" s="194"/>
      <c r="E474" s="194"/>
      <c r="F474" s="137"/>
      <c r="G474" s="137"/>
      <c r="H474" s="137"/>
      <c r="I474" s="137"/>
      <c r="J474" s="197"/>
      <c r="K474" s="198"/>
      <c r="L474" s="196"/>
      <c r="M474" s="196"/>
      <c r="N474" s="196"/>
      <c r="O474" s="196"/>
      <c r="P474" s="127"/>
    </row>
    <row r="475" spans="1:16" ht="20.25" customHeight="1" x14ac:dyDescent="0.3">
      <c r="A475" s="137"/>
      <c r="B475" s="137"/>
      <c r="C475" s="137"/>
      <c r="D475" s="194"/>
      <c r="E475" s="194"/>
      <c r="F475" s="137"/>
      <c r="G475" s="137"/>
      <c r="H475" s="137"/>
      <c r="I475" s="137"/>
      <c r="J475" s="197"/>
      <c r="K475" s="198"/>
      <c r="L475" s="196"/>
      <c r="M475" s="196"/>
      <c r="N475" s="196"/>
      <c r="O475" s="196"/>
      <c r="P475" s="127"/>
    </row>
    <row r="476" spans="1:16" ht="20.25" customHeight="1" x14ac:dyDescent="0.3">
      <c r="A476" s="137"/>
      <c r="B476" s="137"/>
      <c r="C476" s="137"/>
      <c r="D476" s="194"/>
      <c r="E476" s="194"/>
      <c r="F476" s="137"/>
      <c r="G476" s="137"/>
      <c r="H476" s="137"/>
      <c r="I476" s="137"/>
      <c r="J476" s="197"/>
      <c r="K476" s="198"/>
      <c r="L476" s="196"/>
      <c r="M476" s="196"/>
      <c r="N476" s="196"/>
      <c r="O476" s="196"/>
      <c r="P476" s="127"/>
    </row>
    <row r="477" spans="1:16" ht="20.25" customHeight="1" x14ac:dyDescent="0.3">
      <c r="A477" s="137"/>
      <c r="B477" s="137"/>
      <c r="C477" s="137"/>
      <c r="D477" s="194"/>
      <c r="E477" s="194"/>
      <c r="F477" s="137"/>
      <c r="G477" s="137"/>
      <c r="H477" s="137"/>
      <c r="I477" s="137"/>
      <c r="J477" s="197"/>
      <c r="K477" s="198"/>
      <c r="L477" s="196"/>
      <c r="M477" s="196"/>
      <c r="N477" s="196"/>
      <c r="O477" s="196"/>
      <c r="P477" s="127"/>
    </row>
    <row r="478" spans="1:16" ht="20.25" customHeight="1" x14ac:dyDescent="0.3">
      <c r="A478" s="137"/>
      <c r="B478" s="137"/>
      <c r="C478" s="137"/>
      <c r="D478" s="194"/>
      <c r="E478" s="194"/>
      <c r="F478" s="137"/>
      <c r="G478" s="137"/>
      <c r="H478" s="137"/>
      <c r="I478" s="137"/>
      <c r="J478" s="197"/>
      <c r="K478" s="198"/>
      <c r="L478" s="196"/>
      <c r="M478" s="196"/>
      <c r="N478" s="196"/>
      <c r="O478" s="196"/>
      <c r="P478" s="127"/>
    </row>
    <row r="479" spans="1:16" ht="20.25" customHeight="1" x14ac:dyDescent="0.3">
      <c r="A479" s="137"/>
      <c r="B479" s="137"/>
      <c r="C479" s="137"/>
      <c r="D479" s="194"/>
      <c r="E479" s="194"/>
      <c r="F479" s="137"/>
      <c r="G479" s="137"/>
      <c r="H479" s="137"/>
      <c r="I479" s="137"/>
      <c r="J479" s="197"/>
      <c r="K479" s="198"/>
      <c r="L479" s="196"/>
      <c r="M479" s="196"/>
      <c r="N479" s="196"/>
      <c r="O479" s="196"/>
      <c r="P479" s="127"/>
    </row>
    <row r="480" spans="1:16" ht="20.25" customHeight="1" x14ac:dyDescent="0.3">
      <c r="A480" s="137"/>
      <c r="B480" s="137"/>
      <c r="C480" s="137"/>
      <c r="D480" s="194"/>
      <c r="E480" s="194"/>
      <c r="F480" s="137"/>
      <c r="G480" s="137"/>
      <c r="H480" s="137"/>
      <c r="I480" s="137"/>
      <c r="J480" s="197"/>
      <c r="K480" s="198"/>
      <c r="L480" s="196"/>
      <c r="M480" s="196"/>
      <c r="N480" s="196"/>
      <c r="O480" s="196"/>
      <c r="P480" s="127"/>
    </row>
    <row r="481" spans="1:16" ht="20.25" customHeight="1" x14ac:dyDescent="0.3">
      <c r="A481" s="137"/>
      <c r="B481" s="137"/>
      <c r="C481" s="137"/>
      <c r="D481" s="194"/>
      <c r="E481" s="194"/>
      <c r="F481" s="137"/>
      <c r="G481" s="137"/>
      <c r="H481" s="137"/>
      <c r="I481" s="137"/>
      <c r="J481" s="197"/>
      <c r="K481" s="198"/>
      <c r="L481" s="196"/>
      <c r="M481" s="196"/>
      <c r="N481" s="196"/>
      <c r="O481" s="196"/>
      <c r="P481" s="127"/>
    </row>
    <row r="482" spans="1:16" ht="20.25" customHeight="1" x14ac:dyDescent="0.3">
      <c r="A482" s="137"/>
      <c r="B482" s="137"/>
      <c r="C482" s="137"/>
      <c r="D482" s="194"/>
      <c r="E482" s="194"/>
      <c r="F482" s="137"/>
      <c r="G482" s="137"/>
      <c r="H482" s="137"/>
      <c r="I482" s="137"/>
      <c r="J482" s="197"/>
      <c r="K482" s="198"/>
      <c r="L482" s="196"/>
      <c r="M482" s="196"/>
      <c r="N482" s="196"/>
      <c r="O482" s="196"/>
      <c r="P482" s="127"/>
    </row>
    <row r="483" spans="1:16" ht="20.25" customHeight="1" x14ac:dyDescent="0.3">
      <c r="A483" s="137"/>
      <c r="B483" s="137"/>
      <c r="C483" s="137"/>
      <c r="D483" s="194"/>
      <c r="E483" s="194"/>
      <c r="F483" s="137"/>
      <c r="G483" s="137"/>
      <c r="H483" s="137"/>
      <c r="I483" s="137"/>
      <c r="J483" s="197"/>
      <c r="K483" s="198"/>
      <c r="L483" s="196"/>
      <c r="M483" s="196"/>
      <c r="N483" s="196"/>
      <c r="O483" s="196"/>
      <c r="P483" s="127"/>
    </row>
    <row r="484" spans="1:16" ht="20.25" customHeight="1" x14ac:dyDescent="0.3">
      <c r="A484" s="137"/>
      <c r="B484" s="137"/>
      <c r="C484" s="137"/>
      <c r="D484" s="194"/>
      <c r="E484" s="194"/>
      <c r="F484" s="137"/>
      <c r="G484" s="137"/>
      <c r="H484" s="137"/>
      <c r="I484" s="137"/>
      <c r="J484" s="197"/>
      <c r="K484" s="198"/>
      <c r="L484" s="196"/>
      <c r="M484" s="196"/>
      <c r="N484" s="196"/>
      <c r="O484" s="196"/>
      <c r="P484" s="127"/>
    </row>
    <row r="485" spans="1:16" ht="20.25" customHeight="1" x14ac:dyDescent="0.3">
      <c r="A485" s="137"/>
      <c r="B485" s="137"/>
      <c r="C485" s="137"/>
      <c r="D485" s="194"/>
      <c r="E485" s="194"/>
      <c r="F485" s="137"/>
      <c r="G485" s="137"/>
      <c r="H485" s="137"/>
      <c r="I485" s="137"/>
      <c r="J485" s="197"/>
      <c r="K485" s="198"/>
      <c r="L485" s="196"/>
      <c r="M485" s="196"/>
      <c r="N485" s="196"/>
      <c r="O485" s="196"/>
      <c r="P485" s="127"/>
    </row>
    <row r="486" spans="1:16" ht="20.25" customHeight="1" x14ac:dyDescent="0.3">
      <c r="A486" s="137"/>
      <c r="B486" s="137"/>
      <c r="C486" s="137"/>
      <c r="D486" s="194"/>
      <c r="E486" s="194"/>
      <c r="F486" s="137"/>
      <c r="G486" s="137"/>
      <c r="H486" s="137"/>
      <c r="I486" s="137"/>
      <c r="J486" s="197"/>
      <c r="K486" s="198"/>
      <c r="L486" s="196"/>
      <c r="M486" s="196"/>
      <c r="N486" s="196"/>
      <c r="O486" s="196"/>
      <c r="P486" s="127"/>
    </row>
    <row r="487" spans="1:16" ht="20.25" customHeight="1" x14ac:dyDescent="0.3">
      <c r="A487" s="137"/>
      <c r="B487" s="137"/>
      <c r="C487" s="137"/>
      <c r="D487" s="194"/>
      <c r="E487" s="194"/>
      <c r="F487" s="137"/>
      <c r="G487" s="137"/>
      <c r="H487" s="137"/>
      <c r="I487" s="137"/>
      <c r="J487" s="197"/>
      <c r="K487" s="198"/>
      <c r="L487" s="196"/>
      <c r="M487" s="196"/>
      <c r="N487" s="196"/>
      <c r="O487" s="196"/>
      <c r="P487" s="127"/>
    </row>
    <row r="488" spans="1:16" ht="20.25" customHeight="1" x14ac:dyDescent="0.3">
      <c r="A488" s="137"/>
      <c r="B488" s="137"/>
      <c r="C488" s="137"/>
      <c r="D488" s="194"/>
      <c r="E488" s="194"/>
      <c r="F488" s="137"/>
      <c r="G488" s="137"/>
      <c r="H488" s="137"/>
      <c r="I488" s="137"/>
      <c r="J488" s="197"/>
      <c r="K488" s="198"/>
      <c r="L488" s="196"/>
      <c r="M488" s="196"/>
      <c r="N488" s="196"/>
      <c r="O488" s="196"/>
      <c r="P488" s="127"/>
    </row>
    <row r="489" spans="1:16" ht="20.25" customHeight="1" x14ac:dyDescent="0.3">
      <c r="A489" s="137"/>
      <c r="B489" s="137"/>
      <c r="C489" s="137"/>
      <c r="D489" s="194"/>
      <c r="E489" s="194"/>
      <c r="F489" s="137"/>
      <c r="G489" s="137"/>
      <c r="H489" s="137"/>
      <c r="I489" s="137"/>
      <c r="J489" s="197"/>
      <c r="K489" s="198"/>
      <c r="L489" s="196"/>
      <c r="M489" s="196"/>
      <c r="N489" s="196"/>
      <c r="O489" s="196"/>
      <c r="P489" s="127"/>
    </row>
    <row r="490" spans="1:16" ht="20.25" customHeight="1" x14ac:dyDescent="0.3">
      <c r="A490" s="137"/>
      <c r="B490" s="137"/>
      <c r="C490" s="137"/>
      <c r="D490" s="194"/>
      <c r="E490" s="194"/>
      <c r="F490" s="137"/>
      <c r="G490" s="137"/>
      <c r="H490" s="137"/>
      <c r="I490" s="137"/>
      <c r="J490" s="197"/>
      <c r="K490" s="198"/>
      <c r="L490" s="196"/>
      <c r="M490" s="196"/>
      <c r="N490" s="196"/>
      <c r="O490" s="196"/>
      <c r="P490" s="127"/>
    </row>
    <row r="491" spans="1:16" ht="20.25" customHeight="1" x14ac:dyDescent="0.3">
      <c r="A491" s="137"/>
      <c r="B491" s="137"/>
      <c r="C491" s="137"/>
      <c r="D491" s="194"/>
      <c r="E491" s="194"/>
      <c r="F491" s="137"/>
      <c r="G491" s="137"/>
      <c r="H491" s="137"/>
      <c r="I491" s="137"/>
      <c r="J491" s="197"/>
      <c r="K491" s="198"/>
      <c r="L491" s="196"/>
      <c r="M491" s="196"/>
      <c r="N491" s="196"/>
      <c r="O491" s="196"/>
      <c r="P491" s="127"/>
    </row>
    <row r="492" spans="1:16" ht="20.25" customHeight="1" x14ac:dyDescent="0.3">
      <c r="A492" s="137"/>
      <c r="B492" s="137"/>
      <c r="C492" s="137"/>
      <c r="D492" s="194"/>
      <c r="E492" s="194"/>
      <c r="F492" s="137"/>
      <c r="G492" s="137"/>
      <c r="H492" s="137"/>
      <c r="I492" s="137"/>
      <c r="J492" s="197"/>
      <c r="K492" s="198"/>
      <c r="L492" s="196"/>
      <c r="M492" s="196"/>
      <c r="N492" s="196"/>
      <c r="O492" s="196"/>
      <c r="P492" s="127"/>
    </row>
    <row r="493" spans="1:16" ht="20.25" customHeight="1" x14ac:dyDescent="0.3">
      <c r="A493" s="137"/>
      <c r="B493" s="137"/>
      <c r="C493" s="137"/>
      <c r="D493" s="194"/>
      <c r="E493" s="194"/>
      <c r="F493" s="137"/>
      <c r="G493" s="137"/>
      <c r="H493" s="137"/>
      <c r="I493" s="137"/>
      <c r="J493" s="197"/>
      <c r="K493" s="198"/>
      <c r="L493" s="196"/>
      <c r="M493" s="196"/>
      <c r="N493" s="196"/>
      <c r="O493" s="196"/>
      <c r="P493" s="127"/>
    </row>
    <row r="494" spans="1:16" ht="20.25" customHeight="1" x14ac:dyDescent="0.3">
      <c r="A494" s="137"/>
      <c r="B494" s="137"/>
      <c r="C494" s="137"/>
      <c r="D494" s="194"/>
      <c r="E494" s="194"/>
      <c r="F494" s="137"/>
      <c r="G494" s="137"/>
      <c r="H494" s="137"/>
      <c r="I494" s="137"/>
      <c r="J494" s="197"/>
      <c r="K494" s="198"/>
      <c r="L494" s="196"/>
      <c r="M494" s="196"/>
      <c r="N494" s="196"/>
      <c r="O494" s="196"/>
      <c r="P494" s="127"/>
    </row>
    <row r="495" spans="1:16" ht="20.25" customHeight="1" x14ac:dyDescent="0.3">
      <c r="A495" s="137"/>
      <c r="B495" s="137"/>
      <c r="C495" s="137"/>
      <c r="D495" s="194"/>
      <c r="E495" s="194"/>
      <c r="F495" s="137"/>
      <c r="G495" s="137"/>
      <c r="H495" s="137"/>
      <c r="I495" s="137"/>
      <c r="J495" s="197"/>
      <c r="K495" s="198"/>
      <c r="L495" s="196"/>
      <c r="M495" s="196"/>
      <c r="N495" s="196"/>
      <c r="O495" s="196"/>
      <c r="P495" s="127"/>
    </row>
    <row r="496" spans="1:16" ht="20.25" customHeight="1" x14ac:dyDescent="0.3">
      <c r="A496" s="137"/>
      <c r="B496" s="137"/>
      <c r="C496" s="137"/>
      <c r="D496" s="194"/>
      <c r="E496" s="194"/>
      <c r="F496" s="137"/>
      <c r="G496" s="137"/>
      <c r="H496" s="137"/>
      <c r="I496" s="137"/>
      <c r="J496" s="197"/>
      <c r="K496" s="198"/>
      <c r="L496" s="196"/>
      <c r="M496" s="196"/>
      <c r="N496" s="196"/>
      <c r="O496" s="196"/>
      <c r="P496" s="127"/>
    </row>
    <row r="497" spans="1:16" ht="20.25" customHeight="1" x14ac:dyDescent="0.3">
      <c r="A497" s="137"/>
      <c r="B497" s="137"/>
      <c r="C497" s="137"/>
      <c r="D497" s="194"/>
      <c r="E497" s="194"/>
      <c r="F497" s="137"/>
      <c r="G497" s="137"/>
      <c r="H497" s="137"/>
      <c r="I497" s="137"/>
      <c r="J497" s="197"/>
      <c r="K497" s="198"/>
      <c r="L497" s="196"/>
      <c r="M497" s="196"/>
      <c r="N497" s="196"/>
      <c r="O497" s="196"/>
      <c r="P497" s="127"/>
    </row>
    <row r="498" spans="1:16" ht="20.25" customHeight="1" x14ac:dyDescent="0.3">
      <c r="A498" s="137"/>
      <c r="B498" s="137"/>
      <c r="C498" s="137"/>
      <c r="D498" s="194"/>
      <c r="E498" s="194"/>
      <c r="F498" s="137"/>
      <c r="G498" s="137"/>
      <c r="H498" s="137"/>
      <c r="I498" s="137"/>
      <c r="J498" s="197"/>
      <c r="K498" s="198"/>
      <c r="L498" s="196"/>
      <c r="M498" s="196"/>
      <c r="N498" s="196"/>
      <c r="O498" s="196"/>
      <c r="P498" s="127"/>
    </row>
    <row r="499" spans="1:16" ht="20.25" customHeight="1" x14ac:dyDescent="0.3">
      <c r="A499" s="137"/>
      <c r="B499" s="137"/>
      <c r="C499" s="137"/>
      <c r="D499" s="194"/>
      <c r="E499" s="194"/>
      <c r="F499" s="137"/>
      <c r="G499" s="137"/>
      <c r="H499" s="137"/>
      <c r="I499" s="137"/>
      <c r="J499" s="197"/>
      <c r="K499" s="198"/>
      <c r="L499" s="196"/>
      <c r="M499" s="196"/>
      <c r="N499" s="196"/>
      <c r="O499" s="196"/>
      <c r="P499" s="127"/>
    </row>
    <row r="500" spans="1:16" ht="20.25" customHeight="1" x14ac:dyDescent="0.3">
      <c r="A500" s="137"/>
      <c r="B500" s="137"/>
      <c r="C500" s="137"/>
      <c r="D500" s="194"/>
      <c r="E500" s="194"/>
      <c r="F500" s="137"/>
      <c r="G500" s="137"/>
      <c r="H500" s="137"/>
      <c r="I500" s="137"/>
      <c r="J500" s="197"/>
      <c r="K500" s="198"/>
      <c r="L500" s="196"/>
      <c r="M500" s="196"/>
      <c r="N500" s="196"/>
      <c r="O500" s="196"/>
      <c r="P500" s="127"/>
    </row>
    <row r="501" spans="1:16" ht="20.25" customHeight="1" x14ac:dyDescent="0.3">
      <c r="A501" s="137"/>
      <c r="B501" s="137"/>
      <c r="C501" s="137"/>
      <c r="D501" s="194"/>
      <c r="E501" s="194"/>
      <c r="F501" s="137"/>
      <c r="G501" s="137"/>
      <c r="H501" s="137"/>
      <c r="I501" s="137"/>
      <c r="J501" s="197"/>
      <c r="K501" s="198"/>
      <c r="L501" s="196"/>
      <c r="M501" s="196"/>
      <c r="N501" s="196"/>
      <c r="O501" s="196"/>
      <c r="P501" s="127"/>
    </row>
    <row r="502" spans="1:16" ht="20.25" customHeight="1" x14ac:dyDescent="0.3">
      <c r="A502" s="137"/>
      <c r="B502" s="137"/>
      <c r="C502" s="137"/>
      <c r="D502" s="194"/>
      <c r="E502" s="194"/>
      <c r="F502" s="137"/>
      <c r="G502" s="137"/>
      <c r="H502" s="137"/>
      <c r="I502" s="137"/>
      <c r="J502" s="197"/>
      <c r="K502" s="198"/>
      <c r="L502" s="196"/>
      <c r="M502" s="196"/>
      <c r="N502" s="196"/>
      <c r="O502" s="196"/>
      <c r="P502" s="127"/>
    </row>
    <row r="503" spans="1:16" ht="20.25" customHeight="1" x14ac:dyDescent="0.3">
      <c r="A503" s="137"/>
      <c r="B503" s="137"/>
      <c r="C503" s="137"/>
      <c r="D503" s="194"/>
      <c r="E503" s="194"/>
      <c r="F503" s="137"/>
      <c r="G503" s="137"/>
      <c r="H503" s="137"/>
      <c r="I503" s="137"/>
      <c r="J503" s="197"/>
      <c r="K503" s="198"/>
      <c r="L503" s="196"/>
      <c r="M503" s="196"/>
      <c r="N503" s="196"/>
      <c r="O503" s="196"/>
      <c r="P503" s="127"/>
    </row>
    <row r="504" spans="1:16" ht="20.25" customHeight="1" x14ac:dyDescent="0.3">
      <c r="A504" s="137"/>
      <c r="B504" s="137"/>
      <c r="C504" s="137"/>
      <c r="D504" s="194"/>
      <c r="E504" s="194"/>
      <c r="F504" s="137"/>
      <c r="G504" s="137"/>
      <c r="H504" s="137"/>
      <c r="I504" s="137"/>
      <c r="J504" s="197"/>
      <c r="K504" s="198"/>
      <c r="L504" s="196"/>
      <c r="M504" s="196"/>
      <c r="N504" s="196"/>
      <c r="O504" s="196"/>
      <c r="P504" s="127"/>
    </row>
    <row r="505" spans="1:16" ht="20.25" customHeight="1" x14ac:dyDescent="0.3">
      <c r="A505" s="137"/>
      <c r="B505" s="137"/>
      <c r="C505" s="137"/>
      <c r="D505" s="194"/>
      <c r="E505" s="194"/>
      <c r="F505" s="137"/>
      <c r="G505" s="137"/>
      <c r="H505" s="137"/>
      <c r="I505" s="137"/>
      <c r="J505" s="197"/>
      <c r="K505" s="198"/>
      <c r="L505" s="196"/>
      <c r="M505" s="196"/>
      <c r="N505" s="196"/>
      <c r="O505" s="196"/>
      <c r="P505" s="127"/>
    </row>
    <row r="506" spans="1:16" ht="20.25" customHeight="1" x14ac:dyDescent="0.3">
      <c r="A506" s="137"/>
      <c r="B506" s="137"/>
      <c r="C506" s="137"/>
      <c r="D506" s="194"/>
      <c r="E506" s="194"/>
      <c r="F506" s="137"/>
      <c r="G506" s="137"/>
      <c r="H506" s="137"/>
      <c r="I506" s="137"/>
      <c r="J506" s="197"/>
      <c r="K506" s="198"/>
      <c r="L506" s="196"/>
      <c r="M506" s="196"/>
      <c r="N506" s="196"/>
      <c r="O506" s="196"/>
      <c r="P506" s="127"/>
    </row>
    <row r="507" spans="1:16" ht="20.25" customHeight="1" x14ac:dyDescent="0.3">
      <c r="A507" s="137"/>
      <c r="B507" s="137"/>
      <c r="C507" s="137"/>
      <c r="D507" s="194"/>
      <c r="E507" s="194"/>
      <c r="F507" s="137"/>
      <c r="G507" s="137"/>
      <c r="H507" s="137"/>
      <c r="I507" s="137"/>
      <c r="J507" s="197"/>
      <c r="K507" s="198"/>
      <c r="L507" s="196"/>
      <c r="M507" s="196"/>
      <c r="N507" s="196"/>
      <c r="O507" s="196"/>
      <c r="P507" s="127"/>
    </row>
    <row r="508" spans="1:16" ht="20.25" customHeight="1" x14ac:dyDescent="0.3">
      <c r="A508" s="137"/>
      <c r="B508" s="137"/>
      <c r="C508" s="137"/>
      <c r="D508" s="194"/>
      <c r="E508" s="194"/>
      <c r="F508" s="137"/>
      <c r="G508" s="137"/>
      <c r="H508" s="137"/>
      <c r="I508" s="137"/>
      <c r="J508" s="197"/>
      <c r="K508" s="198"/>
      <c r="L508" s="196"/>
      <c r="M508" s="196"/>
      <c r="N508" s="196"/>
      <c r="O508" s="196"/>
      <c r="P508" s="127"/>
    </row>
    <row r="509" spans="1:16" ht="20.25" customHeight="1" x14ac:dyDescent="0.3">
      <c r="A509" s="137"/>
      <c r="B509" s="137"/>
      <c r="C509" s="137"/>
      <c r="D509" s="194"/>
      <c r="E509" s="194"/>
      <c r="F509" s="137"/>
      <c r="G509" s="137"/>
      <c r="H509" s="137"/>
      <c r="I509" s="137"/>
      <c r="J509" s="197"/>
      <c r="K509" s="198"/>
      <c r="L509" s="196"/>
      <c r="M509" s="196"/>
      <c r="N509" s="196"/>
      <c r="O509" s="196"/>
      <c r="P509" s="127"/>
    </row>
    <row r="510" spans="1:16" ht="20.25" customHeight="1" x14ac:dyDescent="0.3">
      <c r="A510" s="137"/>
      <c r="B510" s="137"/>
      <c r="C510" s="137"/>
      <c r="D510" s="194"/>
      <c r="E510" s="194"/>
      <c r="F510" s="137"/>
      <c r="G510" s="137"/>
      <c r="H510" s="137"/>
      <c r="I510" s="137"/>
      <c r="J510" s="197"/>
      <c r="K510" s="198"/>
      <c r="L510" s="196"/>
      <c r="M510" s="196"/>
      <c r="N510" s="196"/>
      <c r="O510" s="196"/>
      <c r="P510" s="127"/>
    </row>
    <row r="511" spans="1:16" ht="20.25" customHeight="1" x14ac:dyDescent="0.3">
      <c r="A511" s="137"/>
      <c r="B511" s="137"/>
      <c r="C511" s="137"/>
      <c r="D511" s="194"/>
      <c r="E511" s="194"/>
      <c r="F511" s="137"/>
      <c r="G511" s="137"/>
      <c r="H511" s="137"/>
      <c r="I511" s="137"/>
      <c r="J511" s="197"/>
      <c r="K511" s="198"/>
      <c r="L511" s="196"/>
      <c r="M511" s="196"/>
      <c r="N511" s="196"/>
      <c r="O511" s="196"/>
      <c r="P511" s="127"/>
    </row>
    <row r="512" spans="1:16" ht="20.25" customHeight="1" x14ac:dyDescent="0.3">
      <c r="A512" s="137"/>
      <c r="B512" s="137"/>
      <c r="C512" s="137"/>
      <c r="D512" s="194"/>
      <c r="E512" s="194"/>
      <c r="F512" s="137"/>
      <c r="G512" s="137"/>
      <c r="H512" s="137"/>
      <c r="I512" s="137"/>
      <c r="J512" s="197"/>
      <c r="K512" s="198"/>
      <c r="L512" s="196"/>
      <c r="M512" s="196"/>
      <c r="N512" s="196"/>
      <c r="O512" s="196"/>
      <c r="P512" s="127"/>
    </row>
    <row r="513" spans="1:16" ht="20.25" customHeight="1" x14ac:dyDescent="0.3">
      <c r="A513" s="137"/>
      <c r="B513" s="137"/>
      <c r="C513" s="137"/>
      <c r="D513" s="194"/>
      <c r="E513" s="194"/>
      <c r="F513" s="137"/>
      <c r="G513" s="137"/>
      <c r="H513" s="137"/>
      <c r="I513" s="137"/>
      <c r="J513" s="197"/>
      <c r="K513" s="198"/>
      <c r="L513" s="196"/>
      <c r="M513" s="196"/>
      <c r="N513" s="196"/>
      <c r="O513" s="196"/>
      <c r="P513" s="127"/>
    </row>
    <row r="514" spans="1:16" ht="20.25" customHeight="1" x14ac:dyDescent="0.3">
      <c r="A514" s="137"/>
      <c r="B514" s="137"/>
      <c r="C514" s="137"/>
      <c r="D514" s="194"/>
      <c r="E514" s="194"/>
      <c r="F514" s="137"/>
      <c r="G514" s="137"/>
      <c r="H514" s="137"/>
      <c r="I514" s="137"/>
      <c r="J514" s="197"/>
      <c r="K514" s="198"/>
      <c r="L514" s="196"/>
      <c r="M514" s="196"/>
      <c r="N514" s="196"/>
      <c r="O514" s="196"/>
      <c r="P514" s="127"/>
    </row>
    <row r="515" spans="1:16" ht="20.25" customHeight="1" x14ac:dyDescent="0.3">
      <c r="A515" s="137"/>
      <c r="B515" s="137"/>
      <c r="C515" s="137"/>
      <c r="D515" s="194"/>
      <c r="E515" s="194"/>
      <c r="F515" s="137"/>
      <c r="G515" s="137"/>
      <c r="H515" s="137"/>
      <c r="I515" s="137"/>
      <c r="J515" s="197"/>
      <c r="K515" s="198"/>
      <c r="L515" s="196"/>
      <c r="M515" s="196"/>
      <c r="N515" s="196"/>
      <c r="O515" s="196"/>
      <c r="P515" s="127"/>
    </row>
    <row r="516" spans="1:16" ht="20.25" customHeight="1" x14ac:dyDescent="0.3">
      <c r="A516" s="137"/>
      <c r="B516" s="137"/>
      <c r="C516" s="137"/>
      <c r="D516" s="194"/>
      <c r="E516" s="194"/>
      <c r="F516" s="137"/>
      <c r="G516" s="137"/>
      <c r="H516" s="137"/>
      <c r="I516" s="137"/>
      <c r="J516" s="197"/>
      <c r="K516" s="198"/>
      <c r="L516" s="196"/>
      <c r="M516" s="196"/>
      <c r="N516" s="196"/>
      <c r="O516" s="196"/>
      <c r="P516" s="127"/>
    </row>
    <row r="517" spans="1:16" ht="20.25" customHeight="1" x14ac:dyDescent="0.3">
      <c r="A517" s="137"/>
      <c r="B517" s="137"/>
      <c r="C517" s="137"/>
      <c r="D517" s="194"/>
      <c r="E517" s="194"/>
      <c r="F517" s="137"/>
      <c r="G517" s="137"/>
      <c r="H517" s="137"/>
      <c r="I517" s="137"/>
      <c r="J517" s="197"/>
      <c r="K517" s="198"/>
      <c r="L517" s="196"/>
      <c r="M517" s="196"/>
      <c r="N517" s="196"/>
      <c r="O517" s="196"/>
      <c r="P517" s="127"/>
    </row>
    <row r="518" spans="1:16" ht="20.25" customHeight="1" x14ac:dyDescent="0.3">
      <c r="A518" s="137"/>
      <c r="B518" s="137"/>
      <c r="C518" s="137"/>
      <c r="D518" s="194"/>
      <c r="E518" s="194"/>
      <c r="F518" s="137"/>
      <c r="G518" s="137"/>
      <c r="H518" s="137"/>
      <c r="I518" s="137"/>
      <c r="J518" s="197"/>
      <c r="K518" s="198"/>
      <c r="L518" s="196"/>
      <c r="M518" s="196"/>
      <c r="N518" s="196"/>
      <c r="O518" s="196"/>
      <c r="P518" s="127"/>
    </row>
    <row r="519" spans="1:16" ht="20.25" customHeight="1" x14ac:dyDescent="0.3">
      <c r="A519" s="137"/>
      <c r="B519" s="137"/>
      <c r="C519" s="137"/>
      <c r="D519" s="194"/>
      <c r="E519" s="194"/>
      <c r="F519" s="137"/>
      <c r="G519" s="137"/>
      <c r="H519" s="137"/>
      <c r="I519" s="137"/>
      <c r="J519" s="197"/>
      <c r="K519" s="198"/>
      <c r="L519" s="196"/>
      <c r="M519" s="196"/>
      <c r="N519" s="196"/>
      <c r="O519" s="196"/>
      <c r="P519" s="127"/>
    </row>
    <row r="520" spans="1:16" ht="20.25" customHeight="1" x14ac:dyDescent="0.3">
      <c r="A520" s="137"/>
      <c r="B520" s="137"/>
      <c r="C520" s="137"/>
      <c r="D520" s="194"/>
      <c r="E520" s="194"/>
      <c r="F520" s="137"/>
      <c r="G520" s="137"/>
      <c r="H520" s="137"/>
      <c r="I520" s="137"/>
      <c r="J520" s="197"/>
      <c r="K520" s="198"/>
      <c r="L520" s="196"/>
      <c r="M520" s="196"/>
      <c r="N520" s="196"/>
      <c r="O520" s="196"/>
      <c r="P520" s="127"/>
    </row>
    <row r="521" spans="1:16" ht="20.25" customHeight="1" x14ac:dyDescent="0.3">
      <c r="A521" s="137"/>
      <c r="B521" s="137"/>
      <c r="C521" s="137"/>
      <c r="D521" s="194"/>
      <c r="E521" s="194"/>
      <c r="F521" s="137"/>
      <c r="G521" s="137"/>
      <c r="H521" s="137"/>
      <c r="I521" s="137"/>
      <c r="J521" s="197"/>
      <c r="K521" s="198"/>
      <c r="L521" s="196"/>
      <c r="M521" s="196"/>
      <c r="N521" s="196"/>
      <c r="O521" s="196"/>
      <c r="P521" s="127"/>
    </row>
    <row r="522" spans="1:16" ht="20.25" customHeight="1" x14ac:dyDescent="0.3">
      <c r="A522" s="137"/>
      <c r="B522" s="137"/>
      <c r="C522" s="137"/>
      <c r="D522" s="194"/>
      <c r="E522" s="194"/>
      <c r="F522" s="137"/>
      <c r="G522" s="137"/>
      <c r="H522" s="137"/>
      <c r="I522" s="137"/>
      <c r="J522" s="197"/>
      <c r="K522" s="198"/>
      <c r="L522" s="196"/>
      <c r="M522" s="196"/>
      <c r="N522" s="196"/>
      <c r="O522" s="196"/>
      <c r="P522" s="127"/>
    </row>
    <row r="523" spans="1:16" ht="20.25" customHeight="1" x14ac:dyDescent="0.3">
      <c r="A523" s="137"/>
      <c r="B523" s="137"/>
      <c r="C523" s="137"/>
      <c r="D523" s="194"/>
      <c r="E523" s="194"/>
      <c r="F523" s="137"/>
      <c r="G523" s="137"/>
      <c r="H523" s="137"/>
      <c r="I523" s="137"/>
      <c r="J523" s="197"/>
      <c r="K523" s="198"/>
      <c r="L523" s="196"/>
      <c r="M523" s="196"/>
      <c r="N523" s="196"/>
      <c r="O523" s="196"/>
      <c r="P523" s="127"/>
    </row>
    <row r="524" spans="1:16" ht="20.25" customHeight="1" x14ac:dyDescent="0.3">
      <c r="A524" s="137"/>
      <c r="B524" s="137"/>
      <c r="C524" s="137"/>
      <c r="D524" s="194"/>
      <c r="E524" s="194"/>
      <c r="F524" s="137"/>
      <c r="G524" s="137"/>
      <c r="H524" s="137"/>
      <c r="I524" s="137"/>
      <c r="J524" s="197"/>
      <c r="K524" s="198"/>
      <c r="L524" s="196"/>
      <c r="M524" s="196"/>
      <c r="N524" s="196"/>
      <c r="O524" s="196"/>
      <c r="P524" s="127"/>
    </row>
    <row r="525" spans="1:16" ht="20.25" customHeight="1" x14ac:dyDescent="0.3">
      <c r="A525" s="137"/>
      <c r="B525" s="137"/>
      <c r="C525" s="137"/>
      <c r="D525" s="194"/>
      <c r="E525" s="194"/>
      <c r="F525" s="137"/>
      <c r="G525" s="137"/>
      <c r="H525" s="137"/>
      <c r="I525" s="137"/>
      <c r="J525" s="197"/>
      <c r="K525" s="198"/>
      <c r="L525" s="196"/>
      <c r="M525" s="196"/>
      <c r="N525" s="196"/>
      <c r="O525" s="196"/>
      <c r="P525" s="127"/>
    </row>
    <row r="526" spans="1:16" ht="20.25" customHeight="1" x14ac:dyDescent="0.3">
      <c r="A526" s="137"/>
      <c r="B526" s="137"/>
      <c r="C526" s="137"/>
      <c r="D526" s="194"/>
      <c r="E526" s="194"/>
      <c r="F526" s="137"/>
      <c r="G526" s="137"/>
      <c r="H526" s="137"/>
      <c r="I526" s="137"/>
      <c r="J526" s="197"/>
      <c r="K526" s="198"/>
      <c r="L526" s="196"/>
      <c r="M526" s="196"/>
      <c r="N526" s="196"/>
      <c r="O526" s="196"/>
      <c r="P526" s="127"/>
    </row>
    <row r="527" spans="1:16" ht="20.25" customHeight="1" x14ac:dyDescent="0.3">
      <c r="A527" s="137"/>
      <c r="B527" s="137"/>
      <c r="C527" s="137"/>
      <c r="D527" s="194"/>
      <c r="E527" s="194"/>
      <c r="F527" s="137"/>
      <c r="G527" s="137"/>
      <c r="H527" s="137"/>
      <c r="I527" s="137"/>
      <c r="J527" s="197"/>
      <c r="K527" s="198"/>
      <c r="L527" s="196"/>
      <c r="M527" s="196"/>
      <c r="N527" s="196"/>
      <c r="O527" s="196"/>
      <c r="P527" s="127"/>
    </row>
    <row r="528" spans="1:16" ht="20.25" customHeight="1" x14ac:dyDescent="0.3">
      <c r="A528" s="137"/>
      <c r="B528" s="137"/>
      <c r="C528" s="137"/>
      <c r="D528" s="194"/>
      <c r="E528" s="194"/>
      <c r="F528" s="137"/>
      <c r="G528" s="137"/>
      <c r="H528" s="137"/>
      <c r="I528" s="137"/>
      <c r="J528" s="197"/>
      <c r="K528" s="198"/>
      <c r="L528" s="196"/>
      <c r="M528" s="196"/>
      <c r="N528" s="196"/>
      <c r="O528" s="196"/>
      <c r="P528" s="127"/>
    </row>
    <row r="529" spans="1:16" ht="20.25" customHeight="1" x14ac:dyDescent="0.3">
      <c r="A529" s="137"/>
      <c r="B529" s="137"/>
      <c r="C529" s="137"/>
      <c r="D529" s="194"/>
      <c r="E529" s="194"/>
      <c r="F529" s="137"/>
      <c r="G529" s="137"/>
      <c r="H529" s="137"/>
      <c r="I529" s="137"/>
      <c r="J529" s="197"/>
      <c r="K529" s="198"/>
      <c r="L529" s="196"/>
      <c r="M529" s="196"/>
      <c r="N529" s="196"/>
      <c r="O529" s="196"/>
      <c r="P529" s="127"/>
    </row>
    <row r="530" spans="1:16" ht="20.25" customHeight="1" x14ac:dyDescent="0.3">
      <c r="A530" s="137"/>
      <c r="B530" s="137"/>
      <c r="C530" s="137"/>
      <c r="D530" s="194"/>
      <c r="E530" s="194"/>
      <c r="F530" s="137"/>
      <c r="G530" s="137"/>
      <c r="H530" s="137"/>
      <c r="I530" s="137"/>
      <c r="J530" s="197"/>
      <c r="K530" s="198"/>
      <c r="L530" s="196"/>
      <c r="M530" s="196"/>
      <c r="N530" s="196"/>
      <c r="O530" s="196"/>
      <c r="P530" s="127"/>
    </row>
    <row r="531" spans="1:16" ht="20.25" customHeight="1" x14ac:dyDescent="0.3">
      <c r="A531" s="137"/>
      <c r="B531" s="137"/>
      <c r="C531" s="137"/>
      <c r="D531" s="194"/>
      <c r="E531" s="194"/>
      <c r="F531" s="137"/>
      <c r="G531" s="137"/>
      <c r="H531" s="137"/>
      <c r="I531" s="137"/>
      <c r="J531" s="197"/>
      <c r="K531" s="198"/>
      <c r="L531" s="196"/>
      <c r="M531" s="196"/>
      <c r="N531" s="196"/>
      <c r="O531" s="196"/>
      <c r="P531" s="127"/>
    </row>
    <row r="532" spans="1:16" ht="20.25" customHeight="1" x14ac:dyDescent="0.3">
      <c r="A532" s="137"/>
      <c r="B532" s="137"/>
      <c r="C532" s="137"/>
      <c r="D532" s="194"/>
      <c r="E532" s="194"/>
      <c r="F532" s="137"/>
      <c r="G532" s="137"/>
      <c r="H532" s="137"/>
      <c r="I532" s="137"/>
      <c r="J532" s="197"/>
      <c r="K532" s="198"/>
      <c r="L532" s="196"/>
      <c r="M532" s="196"/>
      <c r="N532" s="196"/>
      <c r="O532" s="196"/>
      <c r="P532" s="127"/>
    </row>
    <row r="533" spans="1:16" ht="20.25" customHeight="1" x14ac:dyDescent="0.3">
      <c r="A533" s="137"/>
      <c r="B533" s="137"/>
      <c r="C533" s="137"/>
      <c r="D533" s="194"/>
      <c r="E533" s="194"/>
      <c r="F533" s="137"/>
      <c r="G533" s="137"/>
      <c r="H533" s="137"/>
      <c r="I533" s="137"/>
      <c r="J533" s="197"/>
      <c r="K533" s="198"/>
      <c r="L533" s="196"/>
      <c r="M533" s="196"/>
      <c r="N533" s="196"/>
      <c r="O533" s="196"/>
      <c r="P533" s="127"/>
    </row>
    <row r="534" spans="1:16" ht="20.25" customHeight="1" x14ac:dyDescent="0.3">
      <c r="A534" s="137"/>
      <c r="B534" s="137"/>
      <c r="C534" s="137"/>
      <c r="D534" s="194"/>
      <c r="E534" s="194"/>
      <c r="F534" s="137"/>
      <c r="G534" s="137"/>
      <c r="H534" s="137"/>
      <c r="I534" s="137"/>
      <c r="J534" s="197"/>
      <c r="K534" s="198"/>
      <c r="L534" s="196"/>
      <c r="M534" s="196"/>
      <c r="N534" s="196"/>
      <c r="O534" s="196"/>
      <c r="P534" s="127"/>
    </row>
    <row r="535" spans="1:16" ht="20.25" customHeight="1" x14ac:dyDescent="0.3">
      <c r="A535" s="137"/>
      <c r="B535" s="137"/>
      <c r="C535" s="137"/>
      <c r="D535" s="194"/>
      <c r="E535" s="194"/>
      <c r="F535" s="137"/>
      <c r="G535" s="137"/>
      <c r="H535" s="137"/>
      <c r="I535" s="137"/>
      <c r="J535" s="197"/>
      <c r="K535" s="198"/>
      <c r="L535" s="196"/>
      <c r="M535" s="196"/>
      <c r="N535" s="196"/>
      <c r="O535" s="196"/>
      <c r="P535" s="127"/>
    </row>
    <row r="536" spans="1:16" ht="20.25" customHeight="1" x14ac:dyDescent="0.3">
      <c r="A536" s="137"/>
      <c r="B536" s="137"/>
      <c r="C536" s="137"/>
      <c r="D536" s="194"/>
      <c r="E536" s="194"/>
      <c r="F536" s="137"/>
      <c r="G536" s="137"/>
      <c r="H536" s="137"/>
      <c r="I536" s="137"/>
      <c r="J536" s="197"/>
      <c r="K536" s="198"/>
      <c r="L536" s="196"/>
      <c r="M536" s="196"/>
      <c r="N536" s="196"/>
      <c r="O536" s="196"/>
      <c r="P536" s="127"/>
    </row>
    <row r="537" spans="1:16" ht="20.25" customHeight="1" x14ac:dyDescent="0.3">
      <c r="A537" s="137"/>
      <c r="B537" s="137"/>
      <c r="C537" s="137"/>
      <c r="D537" s="194"/>
      <c r="E537" s="194"/>
      <c r="F537" s="137"/>
      <c r="G537" s="137"/>
      <c r="H537" s="137"/>
      <c r="I537" s="137"/>
      <c r="J537" s="197"/>
      <c r="K537" s="198"/>
      <c r="L537" s="196"/>
      <c r="M537" s="196"/>
      <c r="N537" s="196"/>
      <c r="O537" s="196"/>
      <c r="P537" s="127"/>
    </row>
    <row r="538" spans="1:16" ht="20.25" customHeight="1" x14ac:dyDescent="0.3">
      <c r="A538" s="137"/>
      <c r="B538" s="137"/>
      <c r="C538" s="137"/>
      <c r="D538" s="194"/>
      <c r="E538" s="194"/>
      <c r="F538" s="137"/>
      <c r="G538" s="137"/>
      <c r="H538" s="137"/>
      <c r="I538" s="137"/>
      <c r="J538" s="197"/>
      <c r="K538" s="198"/>
      <c r="L538" s="196"/>
      <c r="M538" s="196"/>
      <c r="N538" s="196"/>
      <c r="O538" s="196"/>
      <c r="P538" s="127"/>
    </row>
    <row r="539" spans="1:16" ht="20.25" customHeight="1" x14ac:dyDescent="0.3">
      <c r="A539" s="137"/>
      <c r="B539" s="137"/>
      <c r="C539" s="137"/>
      <c r="D539" s="194"/>
      <c r="E539" s="194"/>
      <c r="F539" s="137"/>
      <c r="G539" s="137"/>
      <c r="H539" s="137"/>
      <c r="I539" s="137"/>
      <c r="J539" s="197"/>
      <c r="K539" s="198"/>
      <c r="L539" s="196"/>
      <c r="M539" s="196"/>
      <c r="N539" s="196"/>
      <c r="O539" s="196"/>
      <c r="P539" s="127"/>
    </row>
    <row r="540" spans="1:16" ht="20.25" customHeight="1" x14ac:dyDescent="0.3">
      <c r="A540" s="137"/>
      <c r="B540" s="137"/>
      <c r="C540" s="137"/>
      <c r="D540" s="194"/>
      <c r="E540" s="194"/>
      <c r="F540" s="137"/>
      <c r="G540" s="137"/>
      <c r="H540" s="137"/>
      <c r="I540" s="137"/>
      <c r="J540" s="197"/>
      <c r="K540" s="198"/>
      <c r="L540" s="196"/>
      <c r="M540" s="196"/>
      <c r="N540" s="196"/>
      <c r="O540" s="196"/>
      <c r="P540" s="127"/>
    </row>
    <row r="541" spans="1:16" ht="20.25" customHeight="1" x14ac:dyDescent="0.3">
      <c r="A541" s="137"/>
      <c r="B541" s="137"/>
      <c r="C541" s="137"/>
      <c r="D541" s="194"/>
      <c r="E541" s="194"/>
      <c r="F541" s="137"/>
      <c r="G541" s="137"/>
      <c r="H541" s="137"/>
      <c r="I541" s="137"/>
      <c r="J541" s="197"/>
      <c r="K541" s="198"/>
      <c r="L541" s="196"/>
      <c r="M541" s="196"/>
      <c r="N541" s="196"/>
      <c r="O541" s="196"/>
      <c r="P541" s="127"/>
    </row>
    <row r="542" spans="1:16" ht="20.25" customHeight="1" x14ac:dyDescent="0.3">
      <c r="A542" s="137"/>
      <c r="B542" s="137"/>
      <c r="C542" s="137"/>
      <c r="D542" s="194"/>
      <c r="E542" s="194"/>
      <c r="F542" s="137"/>
      <c r="G542" s="137"/>
      <c r="H542" s="137"/>
      <c r="I542" s="137"/>
      <c r="J542" s="197"/>
      <c r="K542" s="198"/>
      <c r="L542" s="196"/>
      <c r="M542" s="196"/>
      <c r="N542" s="196"/>
      <c r="O542" s="196"/>
      <c r="P542" s="127"/>
    </row>
    <row r="543" spans="1:16" ht="20.25" customHeight="1" x14ac:dyDescent="0.3">
      <c r="A543" s="137"/>
      <c r="B543" s="137"/>
      <c r="C543" s="137"/>
      <c r="D543" s="194"/>
      <c r="E543" s="194"/>
      <c r="F543" s="137"/>
      <c r="G543" s="137"/>
      <c r="H543" s="137"/>
      <c r="I543" s="137"/>
      <c r="J543" s="197"/>
      <c r="K543" s="198"/>
      <c r="L543" s="196"/>
      <c r="M543" s="196"/>
      <c r="N543" s="196"/>
      <c r="O543" s="196"/>
      <c r="P543" s="127"/>
    </row>
    <row r="544" spans="1:16" ht="20.25" customHeight="1" x14ac:dyDescent="0.3">
      <c r="A544" s="137"/>
      <c r="B544" s="137"/>
      <c r="C544" s="137"/>
      <c r="D544" s="194"/>
      <c r="E544" s="194"/>
      <c r="F544" s="137"/>
      <c r="G544" s="137"/>
      <c r="H544" s="137"/>
      <c r="I544" s="137"/>
      <c r="J544" s="197"/>
      <c r="K544" s="198"/>
      <c r="L544" s="196"/>
      <c r="M544" s="196"/>
      <c r="N544" s="196"/>
      <c r="O544" s="196"/>
      <c r="P544" s="127"/>
    </row>
    <row r="545" spans="1:16" ht="20.25" customHeight="1" x14ac:dyDescent="0.3">
      <c r="A545" s="137"/>
      <c r="B545" s="137"/>
      <c r="C545" s="137"/>
      <c r="D545" s="194"/>
      <c r="E545" s="194"/>
      <c r="F545" s="137"/>
      <c r="G545" s="137"/>
      <c r="H545" s="137"/>
      <c r="I545" s="137"/>
      <c r="J545" s="197"/>
      <c r="K545" s="198"/>
      <c r="L545" s="196"/>
      <c r="M545" s="196"/>
      <c r="N545" s="196"/>
      <c r="O545" s="196"/>
      <c r="P545" s="127"/>
    </row>
    <row r="546" spans="1:16" ht="20.25" customHeight="1" x14ac:dyDescent="0.3">
      <c r="A546" s="137"/>
      <c r="B546" s="137"/>
      <c r="C546" s="137"/>
      <c r="D546" s="194"/>
      <c r="E546" s="194"/>
      <c r="F546" s="137"/>
      <c r="G546" s="137"/>
      <c r="H546" s="137"/>
      <c r="I546" s="137"/>
      <c r="J546" s="197"/>
      <c r="K546" s="198"/>
      <c r="L546" s="196"/>
      <c r="M546" s="196"/>
      <c r="N546" s="196"/>
      <c r="O546" s="196"/>
      <c r="P546" s="127"/>
    </row>
    <row r="547" spans="1:16" ht="20.25" customHeight="1" x14ac:dyDescent="0.3">
      <c r="A547" s="137"/>
      <c r="B547" s="137"/>
      <c r="C547" s="137"/>
      <c r="D547" s="194"/>
      <c r="E547" s="194"/>
      <c r="F547" s="137"/>
      <c r="G547" s="137"/>
      <c r="H547" s="137"/>
      <c r="I547" s="137"/>
      <c r="J547" s="197"/>
      <c r="K547" s="198"/>
      <c r="L547" s="196"/>
      <c r="M547" s="196"/>
      <c r="N547" s="196"/>
      <c r="O547" s="196"/>
      <c r="P547" s="127"/>
    </row>
    <row r="548" spans="1:16" ht="20.25" customHeight="1" x14ac:dyDescent="0.3">
      <c r="A548" s="137"/>
      <c r="B548" s="137"/>
      <c r="C548" s="137"/>
      <c r="D548" s="194"/>
      <c r="E548" s="194"/>
      <c r="F548" s="137"/>
      <c r="G548" s="137"/>
      <c r="H548" s="137"/>
      <c r="I548" s="137"/>
      <c r="J548" s="197"/>
      <c r="K548" s="198"/>
      <c r="L548" s="196"/>
      <c r="M548" s="196"/>
      <c r="N548" s="196"/>
      <c r="O548" s="196"/>
      <c r="P548" s="127"/>
    </row>
    <row r="549" spans="1:16" ht="20.25" customHeight="1" x14ac:dyDescent="0.3">
      <c r="A549" s="137"/>
      <c r="B549" s="137"/>
      <c r="C549" s="137"/>
      <c r="D549" s="194"/>
      <c r="E549" s="194"/>
      <c r="F549" s="137"/>
      <c r="G549" s="137"/>
      <c r="H549" s="137"/>
      <c r="I549" s="137"/>
      <c r="J549" s="197"/>
      <c r="K549" s="198"/>
      <c r="L549" s="196"/>
      <c r="M549" s="196"/>
      <c r="N549" s="196"/>
      <c r="O549" s="196"/>
      <c r="P549" s="127"/>
    </row>
    <row r="550" spans="1:16" ht="20.25" customHeight="1" x14ac:dyDescent="0.3">
      <c r="A550" s="137"/>
      <c r="B550" s="137"/>
      <c r="C550" s="137"/>
      <c r="D550" s="194"/>
      <c r="E550" s="194"/>
      <c r="F550" s="137"/>
      <c r="G550" s="137"/>
      <c r="H550" s="137"/>
      <c r="I550" s="137"/>
      <c r="J550" s="197"/>
      <c r="K550" s="198"/>
      <c r="L550" s="196"/>
      <c r="M550" s="196"/>
      <c r="N550" s="196"/>
      <c r="O550" s="196"/>
      <c r="P550" s="127"/>
    </row>
    <row r="551" spans="1:16" ht="20.25" customHeight="1" x14ac:dyDescent="0.3">
      <c r="A551" s="137"/>
      <c r="B551" s="137"/>
      <c r="C551" s="137"/>
      <c r="D551" s="194"/>
      <c r="E551" s="194"/>
      <c r="F551" s="137"/>
      <c r="G551" s="137"/>
      <c r="H551" s="137"/>
      <c r="I551" s="137"/>
      <c r="J551" s="197"/>
      <c r="K551" s="198"/>
      <c r="L551" s="196"/>
      <c r="M551" s="196"/>
      <c r="N551" s="196"/>
      <c r="O551" s="196"/>
      <c r="P551" s="127"/>
    </row>
    <row r="552" spans="1:16" ht="20.25" customHeight="1" x14ac:dyDescent="0.3">
      <c r="A552" s="137"/>
      <c r="B552" s="137"/>
      <c r="C552" s="137"/>
      <c r="D552" s="194"/>
      <c r="E552" s="194"/>
      <c r="F552" s="137"/>
      <c r="G552" s="137"/>
      <c r="H552" s="137"/>
      <c r="I552" s="137"/>
      <c r="J552" s="197"/>
      <c r="K552" s="198"/>
      <c r="L552" s="196"/>
      <c r="M552" s="196"/>
      <c r="N552" s="196"/>
      <c r="O552" s="196"/>
      <c r="P552" s="127"/>
    </row>
    <row r="553" spans="1:16" ht="20.25" customHeight="1" x14ac:dyDescent="0.3">
      <c r="A553" s="137"/>
      <c r="B553" s="137"/>
      <c r="C553" s="137"/>
      <c r="D553" s="194"/>
      <c r="E553" s="194"/>
      <c r="F553" s="137"/>
      <c r="G553" s="137"/>
      <c r="H553" s="137"/>
      <c r="I553" s="137"/>
      <c r="J553" s="197"/>
      <c r="K553" s="198"/>
      <c r="L553" s="196"/>
      <c r="M553" s="196"/>
      <c r="N553" s="196"/>
      <c r="O553" s="196"/>
      <c r="P553" s="127"/>
    </row>
    <row r="554" spans="1:16" ht="20.25" customHeight="1" x14ac:dyDescent="0.3">
      <c r="A554" s="137"/>
      <c r="B554" s="137"/>
      <c r="C554" s="137"/>
      <c r="D554" s="194"/>
      <c r="E554" s="194"/>
      <c r="F554" s="137"/>
      <c r="G554" s="137"/>
      <c r="H554" s="137"/>
      <c r="I554" s="137"/>
      <c r="J554" s="197"/>
      <c r="K554" s="198"/>
      <c r="L554" s="196"/>
      <c r="M554" s="196"/>
      <c r="N554" s="196"/>
      <c r="O554" s="196"/>
      <c r="P554" s="127"/>
    </row>
    <row r="555" spans="1:16" ht="20.25" customHeight="1" x14ac:dyDescent="0.3">
      <c r="A555" s="137"/>
      <c r="B555" s="137"/>
      <c r="C555" s="137"/>
      <c r="D555" s="194"/>
      <c r="E555" s="194"/>
      <c r="F555" s="137"/>
      <c r="G555" s="137"/>
      <c r="H555" s="137"/>
      <c r="I555" s="137"/>
      <c r="J555" s="197"/>
      <c r="K555" s="198"/>
      <c r="L555" s="196"/>
      <c r="M555" s="196"/>
      <c r="N555" s="196"/>
      <c r="O555" s="196"/>
      <c r="P555" s="127"/>
    </row>
    <row r="556" spans="1:16" ht="20.25" customHeight="1" x14ac:dyDescent="0.3">
      <c r="A556" s="137"/>
      <c r="B556" s="137"/>
      <c r="C556" s="137"/>
      <c r="D556" s="194"/>
      <c r="E556" s="194"/>
      <c r="F556" s="137"/>
      <c r="G556" s="137"/>
      <c r="H556" s="137"/>
      <c r="I556" s="137"/>
      <c r="J556" s="197"/>
      <c r="K556" s="198"/>
      <c r="L556" s="196"/>
      <c r="M556" s="196"/>
      <c r="N556" s="196"/>
      <c r="O556" s="196"/>
      <c r="P556" s="127"/>
    </row>
    <row r="557" spans="1:16" ht="20.25" customHeight="1" x14ac:dyDescent="0.3">
      <c r="A557" s="137"/>
      <c r="B557" s="137"/>
      <c r="C557" s="137"/>
      <c r="D557" s="194"/>
      <c r="E557" s="194"/>
      <c r="F557" s="137"/>
      <c r="G557" s="137"/>
      <c r="H557" s="137"/>
      <c r="I557" s="137"/>
      <c r="J557" s="197"/>
      <c r="K557" s="198"/>
      <c r="L557" s="196"/>
      <c r="M557" s="196"/>
      <c r="N557" s="196"/>
      <c r="O557" s="196"/>
      <c r="P557" s="127"/>
    </row>
    <row r="558" spans="1:16" ht="20.25" customHeight="1" x14ac:dyDescent="0.3">
      <c r="A558" s="137"/>
      <c r="B558" s="137"/>
      <c r="C558" s="137"/>
      <c r="D558" s="194"/>
      <c r="E558" s="194"/>
      <c r="F558" s="137"/>
      <c r="G558" s="137"/>
      <c r="H558" s="137"/>
      <c r="I558" s="137"/>
      <c r="J558" s="197"/>
      <c r="K558" s="198"/>
      <c r="L558" s="196"/>
      <c r="M558" s="196"/>
      <c r="N558" s="196"/>
      <c r="O558" s="196"/>
      <c r="P558" s="127"/>
    </row>
    <row r="559" spans="1:16" ht="20.25" customHeight="1" x14ac:dyDescent="0.3">
      <c r="A559" s="137"/>
      <c r="B559" s="137"/>
      <c r="C559" s="137"/>
      <c r="D559" s="194"/>
      <c r="E559" s="194"/>
      <c r="F559" s="137"/>
      <c r="G559" s="137"/>
      <c r="H559" s="137"/>
      <c r="I559" s="137"/>
      <c r="J559" s="197"/>
      <c r="K559" s="198"/>
      <c r="L559" s="196"/>
      <c r="M559" s="196"/>
      <c r="N559" s="196"/>
      <c r="O559" s="196"/>
      <c r="P559" s="127"/>
    </row>
    <row r="560" spans="1:16" ht="20.25" customHeight="1" x14ac:dyDescent="0.3">
      <c r="A560" s="137"/>
      <c r="B560" s="137"/>
      <c r="C560" s="137"/>
      <c r="D560" s="194"/>
      <c r="E560" s="194"/>
      <c r="F560" s="137"/>
      <c r="G560" s="137"/>
      <c r="H560" s="137"/>
      <c r="I560" s="137"/>
      <c r="J560" s="197"/>
      <c r="K560" s="198"/>
      <c r="L560" s="196"/>
      <c r="M560" s="196"/>
      <c r="N560" s="196"/>
      <c r="O560" s="196"/>
      <c r="P560" s="127"/>
    </row>
    <row r="561" spans="1:16" ht="20.25" customHeight="1" x14ac:dyDescent="0.3">
      <c r="A561" s="137"/>
      <c r="B561" s="137"/>
      <c r="C561" s="137"/>
      <c r="D561" s="194"/>
      <c r="E561" s="194"/>
      <c r="F561" s="137"/>
      <c r="G561" s="137"/>
      <c r="H561" s="137"/>
      <c r="I561" s="137"/>
      <c r="J561" s="197"/>
      <c r="K561" s="198"/>
      <c r="L561" s="196"/>
      <c r="M561" s="196"/>
      <c r="N561" s="196"/>
      <c r="O561" s="196"/>
      <c r="P561" s="127"/>
    </row>
    <row r="562" spans="1:16" ht="20.25" customHeight="1" x14ac:dyDescent="0.3">
      <c r="A562" s="137"/>
      <c r="B562" s="137"/>
      <c r="C562" s="137"/>
      <c r="D562" s="194"/>
      <c r="E562" s="194"/>
      <c r="F562" s="137"/>
      <c r="G562" s="137"/>
      <c r="H562" s="137"/>
      <c r="I562" s="137"/>
      <c r="J562" s="197"/>
      <c r="K562" s="198"/>
      <c r="L562" s="196"/>
      <c r="M562" s="196"/>
      <c r="N562" s="196"/>
      <c r="O562" s="196"/>
      <c r="P562" s="127"/>
    </row>
    <row r="563" spans="1:16" ht="20.25" customHeight="1" x14ac:dyDescent="0.3">
      <c r="A563" s="137"/>
      <c r="B563" s="137"/>
      <c r="C563" s="137"/>
      <c r="D563" s="194"/>
      <c r="E563" s="194"/>
      <c r="F563" s="137"/>
      <c r="G563" s="137"/>
      <c r="H563" s="137"/>
      <c r="I563" s="137"/>
      <c r="J563" s="197"/>
      <c r="K563" s="198"/>
      <c r="L563" s="196"/>
      <c r="M563" s="196"/>
      <c r="N563" s="196"/>
      <c r="O563" s="196"/>
      <c r="P563" s="127"/>
    </row>
    <row r="564" spans="1:16" ht="20.25" customHeight="1" x14ac:dyDescent="0.3">
      <c r="A564" s="137"/>
      <c r="B564" s="137"/>
      <c r="C564" s="137"/>
      <c r="D564" s="194"/>
      <c r="E564" s="194"/>
      <c r="F564" s="137"/>
      <c r="G564" s="137"/>
      <c r="H564" s="137"/>
      <c r="I564" s="137"/>
      <c r="J564" s="197"/>
      <c r="K564" s="198"/>
      <c r="L564" s="196"/>
      <c r="M564" s="196"/>
      <c r="N564" s="196"/>
      <c r="O564" s="196"/>
      <c r="P564" s="127"/>
    </row>
    <row r="565" spans="1:16" ht="20.25" customHeight="1" x14ac:dyDescent="0.3">
      <c r="A565" s="137"/>
      <c r="B565" s="137"/>
      <c r="C565" s="137"/>
      <c r="D565" s="194"/>
      <c r="E565" s="194"/>
      <c r="F565" s="137"/>
      <c r="G565" s="137"/>
      <c r="H565" s="137"/>
      <c r="I565" s="137"/>
      <c r="J565" s="197"/>
      <c r="K565" s="198"/>
      <c r="L565" s="196"/>
      <c r="M565" s="196"/>
      <c r="N565" s="196"/>
      <c r="O565" s="196"/>
      <c r="P565" s="127"/>
    </row>
    <row r="566" spans="1:16" ht="20.25" customHeight="1" x14ac:dyDescent="0.3">
      <c r="A566" s="137"/>
      <c r="B566" s="137"/>
      <c r="C566" s="137"/>
      <c r="D566" s="194"/>
      <c r="E566" s="194"/>
      <c r="F566" s="137"/>
      <c r="G566" s="137"/>
      <c r="H566" s="137"/>
      <c r="I566" s="137"/>
      <c r="J566" s="197"/>
      <c r="K566" s="198"/>
      <c r="L566" s="196"/>
      <c r="M566" s="196"/>
      <c r="N566" s="196"/>
      <c r="O566" s="196"/>
      <c r="P566" s="127"/>
    </row>
    <row r="567" spans="1:16" ht="20.25" customHeight="1" x14ac:dyDescent="0.3">
      <c r="A567" s="137"/>
      <c r="B567" s="137"/>
      <c r="C567" s="137"/>
      <c r="D567" s="194"/>
      <c r="E567" s="194"/>
      <c r="F567" s="137"/>
      <c r="G567" s="137"/>
      <c r="H567" s="137"/>
      <c r="I567" s="137"/>
      <c r="J567" s="197"/>
      <c r="K567" s="198"/>
      <c r="L567" s="196"/>
      <c r="M567" s="196"/>
      <c r="N567" s="196"/>
      <c r="O567" s="196"/>
      <c r="P567" s="127"/>
    </row>
    <row r="568" spans="1:16" ht="20.25" customHeight="1" x14ac:dyDescent="0.3">
      <c r="A568" s="137"/>
      <c r="B568" s="137"/>
      <c r="C568" s="137"/>
      <c r="D568" s="194"/>
      <c r="E568" s="194"/>
      <c r="F568" s="137"/>
      <c r="G568" s="137"/>
      <c r="H568" s="137"/>
      <c r="I568" s="137"/>
      <c r="J568" s="197"/>
      <c r="K568" s="198"/>
      <c r="L568" s="196"/>
      <c r="M568" s="196"/>
      <c r="N568" s="196"/>
      <c r="O568" s="196"/>
      <c r="P568" s="127"/>
    </row>
    <row r="569" spans="1:16" ht="20.25" customHeight="1" x14ac:dyDescent="0.3">
      <c r="A569" s="137"/>
      <c r="B569" s="137"/>
      <c r="C569" s="137"/>
      <c r="D569" s="194"/>
      <c r="E569" s="194"/>
      <c r="F569" s="137"/>
      <c r="G569" s="137"/>
      <c r="H569" s="137"/>
      <c r="I569" s="137"/>
      <c r="J569" s="197"/>
      <c r="K569" s="198"/>
      <c r="L569" s="196"/>
      <c r="M569" s="196"/>
      <c r="N569" s="196"/>
      <c r="O569" s="196"/>
      <c r="P569" s="127"/>
    </row>
    <row r="570" spans="1:16" ht="20.25" customHeight="1" x14ac:dyDescent="0.3">
      <c r="A570" s="137"/>
      <c r="B570" s="137"/>
      <c r="C570" s="137"/>
      <c r="D570" s="194"/>
      <c r="E570" s="194"/>
      <c r="F570" s="137"/>
      <c r="G570" s="137"/>
      <c r="H570" s="137"/>
      <c r="I570" s="137"/>
      <c r="J570" s="197"/>
      <c r="K570" s="198"/>
      <c r="L570" s="196"/>
      <c r="M570" s="196"/>
      <c r="N570" s="196"/>
      <c r="O570" s="196"/>
      <c r="P570" s="127"/>
    </row>
    <row r="571" spans="1:16" ht="20.25" customHeight="1" x14ac:dyDescent="0.3">
      <c r="A571" s="137"/>
      <c r="B571" s="137"/>
      <c r="C571" s="137"/>
      <c r="D571" s="194"/>
      <c r="E571" s="194"/>
      <c r="F571" s="137"/>
      <c r="G571" s="137"/>
      <c r="H571" s="137"/>
      <c r="I571" s="137"/>
      <c r="J571" s="197"/>
      <c r="K571" s="198"/>
      <c r="L571" s="196"/>
      <c r="M571" s="196"/>
      <c r="N571" s="196"/>
      <c r="O571" s="196"/>
      <c r="P571" s="127"/>
    </row>
    <row r="572" spans="1:16" ht="20.25" customHeight="1" x14ac:dyDescent="0.3">
      <c r="A572" s="137"/>
      <c r="B572" s="137"/>
      <c r="C572" s="137"/>
      <c r="D572" s="194"/>
      <c r="E572" s="194"/>
      <c r="F572" s="137"/>
      <c r="G572" s="137"/>
      <c r="H572" s="137"/>
      <c r="I572" s="137"/>
      <c r="J572" s="197"/>
      <c r="K572" s="198"/>
      <c r="L572" s="196"/>
      <c r="M572" s="196"/>
      <c r="N572" s="196"/>
      <c r="O572" s="196"/>
      <c r="P572" s="127"/>
    </row>
    <row r="573" spans="1:16" ht="20.25" customHeight="1" x14ac:dyDescent="0.3">
      <c r="A573" s="137"/>
      <c r="B573" s="137"/>
      <c r="C573" s="137"/>
      <c r="D573" s="194"/>
      <c r="E573" s="194"/>
      <c r="F573" s="137"/>
      <c r="G573" s="137"/>
      <c r="H573" s="137"/>
      <c r="I573" s="137"/>
      <c r="J573" s="197"/>
      <c r="K573" s="198"/>
      <c r="L573" s="196"/>
      <c r="M573" s="196"/>
      <c r="N573" s="196"/>
      <c r="O573" s="196"/>
      <c r="P573" s="127"/>
    </row>
    <row r="574" spans="1:16" ht="20.25" customHeight="1" x14ac:dyDescent="0.3">
      <c r="A574" s="137"/>
      <c r="B574" s="137"/>
      <c r="C574" s="137"/>
      <c r="D574" s="194"/>
      <c r="E574" s="194"/>
      <c r="F574" s="137"/>
      <c r="G574" s="137"/>
      <c r="H574" s="137"/>
      <c r="I574" s="137"/>
      <c r="J574" s="197"/>
      <c r="K574" s="198"/>
      <c r="L574" s="196"/>
      <c r="M574" s="196"/>
      <c r="N574" s="196"/>
      <c r="O574" s="196"/>
      <c r="P574" s="127"/>
    </row>
    <row r="575" spans="1:16" ht="20.25" customHeight="1" x14ac:dyDescent="0.3">
      <c r="A575" s="137"/>
      <c r="B575" s="137"/>
      <c r="C575" s="137"/>
      <c r="D575" s="194"/>
      <c r="E575" s="194"/>
      <c r="F575" s="137"/>
      <c r="G575" s="137"/>
      <c r="H575" s="137"/>
      <c r="I575" s="137"/>
      <c r="J575" s="197"/>
      <c r="K575" s="198"/>
      <c r="L575" s="196"/>
      <c r="M575" s="196"/>
      <c r="N575" s="196"/>
      <c r="O575" s="196"/>
      <c r="P575" s="127"/>
    </row>
    <row r="576" spans="1:16" ht="20.25" customHeight="1" x14ac:dyDescent="0.3">
      <c r="A576" s="137"/>
      <c r="B576" s="137"/>
      <c r="C576" s="137"/>
      <c r="D576" s="194"/>
      <c r="E576" s="194"/>
      <c r="F576" s="137"/>
      <c r="G576" s="137"/>
      <c r="H576" s="137"/>
      <c r="I576" s="137"/>
      <c r="J576" s="197"/>
      <c r="K576" s="198"/>
      <c r="L576" s="196"/>
      <c r="M576" s="196"/>
      <c r="N576" s="196"/>
      <c r="O576" s="196"/>
      <c r="P576" s="127"/>
    </row>
    <row r="577" spans="1:16" ht="20.25" customHeight="1" x14ac:dyDescent="0.3">
      <c r="A577" s="137"/>
      <c r="B577" s="137"/>
      <c r="C577" s="137"/>
      <c r="D577" s="194"/>
      <c r="E577" s="194"/>
      <c r="F577" s="137"/>
      <c r="G577" s="137"/>
      <c r="H577" s="137"/>
      <c r="I577" s="137"/>
      <c r="J577" s="197"/>
      <c r="K577" s="198"/>
      <c r="L577" s="196"/>
      <c r="M577" s="196"/>
      <c r="N577" s="196"/>
      <c r="O577" s="196"/>
      <c r="P577" s="127"/>
    </row>
    <row r="578" spans="1:16" ht="20.25" customHeight="1" x14ac:dyDescent="0.3">
      <c r="A578" s="137"/>
      <c r="B578" s="137"/>
      <c r="C578" s="137"/>
      <c r="D578" s="194"/>
      <c r="E578" s="194"/>
      <c r="F578" s="137"/>
      <c r="G578" s="137"/>
      <c r="H578" s="137"/>
      <c r="I578" s="137"/>
      <c r="J578" s="197"/>
      <c r="K578" s="198"/>
      <c r="L578" s="196"/>
      <c r="M578" s="196"/>
      <c r="N578" s="196"/>
      <c r="O578" s="196"/>
      <c r="P578" s="127"/>
    </row>
    <row r="579" spans="1:16" ht="20.25" customHeight="1" x14ac:dyDescent="0.3">
      <c r="A579" s="137"/>
      <c r="B579" s="137"/>
      <c r="C579" s="137"/>
      <c r="D579" s="194"/>
      <c r="E579" s="194"/>
      <c r="F579" s="137"/>
      <c r="G579" s="137"/>
      <c r="H579" s="137"/>
      <c r="I579" s="137"/>
      <c r="J579" s="197"/>
      <c r="K579" s="198"/>
      <c r="L579" s="196"/>
      <c r="M579" s="196"/>
      <c r="N579" s="196"/>
      <c r="O579" s="196"/>
      <c r="P579" s="127"/>
    </row>
    <row r="580" spans="1:16" ht="20.25" customHeight="1" x14ac:dyDescent="0.3">
      <c r="A580" s="137"/>
      <c r="B580" s="137"/>
      <c r="C580" s="137"/>
      <c r="D580" s="194"/>
      <c r="E580" s="194"/>
      <c r="F580" s="137"/>
      <c r="G580" s="137"/>
      <c r="H580" s="137"/>
      <c r="I580" s="137"/>
      <c r="J580" s="197"/>
      <c r="K580" s="198"/>
      <c r="L580" s="196"/>
      <c r="M580" s="196"/>
      <c r="N580" s="196"/>
      <c r="O580" s="196"/>
      <c r="P580" s="127"/>
    </row>
    <row r="581" spans="1:16" ht="20.25" customHeight="1" x14ac:dyDescent="0.3">
      <c r="A581" s="137"/>
      <c r="B581" s="137"/>
      <c r="C581" s="137"/>
      <c r="D581" s="194"/>
      <c r="E581" s="194"/>
      <c r="F581" s="137"/>
      <c r="G581" s="137"/>
      <c r="H581" s="137"/>
      <c r="I581" s="137"/>
      <c r="J581" s="197"/>
      <c r="K581" s="198"/>
      <c r="L581" s="196"/>
      <c r="M581" s="196"/>
      <c r="N581" s="196"/>
      <c r="O581" s="196"/>
      <c r="P581" s="127"/>
    </row>
    <row r="582" spans="1:16" ht="20.25" customHeight="1" x14ac:dyDescent="0.3">
      <c r="A582" s="137"/>
      <c r="B582" s="137"/>
      <c r="C582" s="137"/>
      <c r="D582" s="194"/>
      <c r="E582" s="194"/>
      <c r="F582" s="137"/>
      <c r="G582" s="137"/>
      <c r="H582" s="137"/>
      <c r="I582" s="137"/>
      <c r="J582" s="197"/>
      <c r="K582" s="198"/>
      <c r="L582" s="196"/>
      <c r="M582" s="196"/>
      <c r="N582" s="196"/>
      <c r="O582" s="196"/>
      <c r="P582" s="127"/>
    </row>
    <row r="583" spans="1:16" ht="20.25" customHeight="1" x14ac:dyDescent="0.3">
      <c r="A583" s="137"/>
      <c r="B583" s="137"/>
      <c r="C583" s="137"/>
      <c r="D583" s="194"/>
      <c r="E583" s="194"/>
      <c r="F583" s="137"/>
      <c r="G583" s="137"/>
      <c r="H583" s="137"/>
      <c r="I583" s="137"/>
      <c r="J583" s="197"/>
      <c r="K583" s="198"/>
      <c r="L583" s="196"/>
      <c r="M583" s="196"/>
      <c r="N583" s="196"/>
      <c r="O583" s="196"/>
      <c r="P583" s="127"/>
    </row>
    <row r="584" spans="1:16" ht="20.25" customHeight="1" x14ac:dyDescent="0.3">
      <c r="A584" s="137"/>
      <c r="B584" s="137"/>
      <c r="C584" s="137"/>
      <c r="D584" s="194"/>
      <c r="E584" s="194"/>
      <c r="F584" s="137"/>
      <c r="G584" s="137"/>
      <c r="H584" s="137"/>
      <c r="I584" s="137"/>
      <c r="J584" s="197"/>
      <c r="K584" s="198"/>
      <c r="L584" s="196"/>
      <c r="M584" s="196"/>
      <c r="N584" s="196"/>
      <c r="O584" s="196"/>
      <c r="P584" s="127"/>
    </row>
    <row r="585" spans="1:16" ht="20.25" customHeight="1" x14ac:dyDescent="0.3">
      <c r="A585" s="137"/>
      <c r="B585" s="137"/>
      <c r="C585" s="137"/>
      <c r="D585" s="194"/>
      <c r="E585" s="194"/>
      <c r="F585" s="137"/>
      <c r="G585" s="137"/>
      <c r="H585" s="137"/>
      <c r="I585" s="137"/>
      <c r="J585" s="197"/>
      <c r="K585" s="198"/>
      <c r="L585" s="196"/>
      <c r="M585" s="196"/>
      <c r="N585" s="196"/>
      <c r="O585" s="196"/>
      <c r="P585" s="127"/>
    </row>
    <row r="586" spans="1:16" ht="20.25" customHeight="1" x14ac:dyDescent="0.3">
      <c r="A586" s="137"/>
      <c r="B586" s="137"/>
      <c r="C586" s="137"/>
      <c r="D586" s="194"/>
      <c r="E586" s="194"/>
      <c r="F586" s="137"/>
      <c r="G586" s="137"/>
      <c r="H586" s="137"/>
      <c r="I586" s="137"/>
      <c r="J586" s="197"/>
      <c r="K586" s="198"/>
      <c r="L586" s="196"/>
      <c r="M586" s="196"/>
      <c r="N586" s="196"/>
      <c r="O586" s="196"/>
      <c r="P586" s="127"/>
    </row>
    <row r="587" spans="1:16" ht="20.25" customHeight="1" x14ac:dyDescent="0.3">
      <c r="A587" s="137"/>
      <c r="B587" s="137"/>
      <c r="C587" s="137"/>
      <c r="D587" s="194"/>
      <c r="E587" s="194"/>
      <c r="F587" s="137"/>
      <c r="G587" s="137"/>
      <c r="H587" s="137"/>
      <c r="I587" s="137"/>
      <c r="J587" s="197"/>
      <c r="K587" s="198"/>
      <c r="L587" s="196"/>
      <c r="M587" s="196"/>
      <c r="N587" s="196"/>
      <c r="O587" s="196"/>
      <c r="P587" s="127"/>
    </row>
    <row r="588" spans="1:16" ht="20.25" customHeight="1" x14ac:dyDescent="0.3">
      <c r="A588" s="137"/>
      <c r="B588" s="137"/>
      <c r="C588" s="137"/>
      <c r="D588" s="194"/>
      <c r="E588" s="194"/>
      <c r="F588" s="137"/>
      <c r="G588" s="137"/>
      <c r="H588" s="137"/>
      <c r="I588" s="137"/>
      <c r="J588" s="197"/>
      <c r="K588" s="198"/>
      <c r="L588" s="196"/>
      <c r="M588" s="196"/>
      <c r="N588" s="196"/>
      <c r="O588" s="196"/>
      <c r="P588" s="127"/>
    </row>
    <row r="589" spans="1:16" ht="20.25" customHeight="1" x14ac:dyDescent="0.3">
      <c r="A589" s="137"/>
      <c r="B589" s="137"/>
      <c r="C589" s="137"/>
      <c r="D589" s="194"/>
      <c r="E589" s="194"/>
      <c r="F589" s="137"/>
      <c r="G589" s="137"/>
      <c r="H589" s="137"/>
      <c r="I589" s="137"/>
      <c r="J589" s="197"/>
      <c r="K589" s="198"/>
      <c r="L589" s="196"/>
      <c r="M589" s="196"/>
      <c r="N589" s="196"/>
      <c r="O589" s="196"/>
      <c r="P589" s="127"/>
    </row>
    <row r="590" spans="1:16" ht="20.25" customHeight="1" x14ac:dyDescent="0.3">
      <c r="A590" s="137"/>
      <c r="B590" s="137"/>
      <c r="C590" s="137"/>
      <c r="D590" s="194"/>
      <c r="E590" s="194"/>
      <c r="F590" s="137"/>
      <c r="G590" s="137"/>
      <c r="H590" s="137"/>
      <c r="I590" s="137"/>
      <c r="J590" s="197"/>
      <c r="K590" s="198"/>
      <c r="L590" s="196"/>
      <c r="M590" s="196"/>
      <c r="N590" s="196"/>
      <c r="O590" s="196"/>
      <c r="P590" s="127"/>
    </row>
    <row r="591" spans="1:16" ht="20.25" customHeight="1" x14ac:dyDescent="0.3">
      <c r="A591" s="137"/>
      <c r="B591" s="137"/>
      <c r="C591" s="137"/>
      <c r="D591" s="194"/>
      <c r="E591" s="194"/>
      <c r="F591" s="137"/>
      <c r="G591" s="137"/>
      <c r="H591" s="137"/>
      <c r="I591" s="137"/>
      <c r="J591" s="197"/>
      <c r="K591" s="198"/>
      <c r="L591" s="196"/>
      <c r="M591" s="196"/>
      <c r="N591" s="196"/>
      <c r="O591" s="196"/>
      <c r="P591" s="127"/>
    </row>
    <row r="592" spans="1:16" ht="20.25" customHeight="1" x14ac:dyDescent="0.3">
      <c r="A592" s="137"/>
      <c r="B592" s="137"/>
      <c r="C592" s="137"/>
      <c r="D592" s="194"/>
      <c r="E592" s="194"/>
      <c r="F592" s="137"/>
      <c r="G592" s="137"/>
      <c r="H592" s="137"/>
      <c r="I592" s="137"/>
      <c r="J592" s="197"/>
      <c r="K592" s="198"/>
      <c r="L592" s="196"/>
      <c r="M592" s="196"/>
      <c r="N592" s="196"/>
      <c r="O592" s="196"/>
      <c r="P592" s="127"/>
    </row>
    <row r="593" spans="1:16" ht="20.25" customHeight="1" x14ac:dyDescent="0.3">
      <c r="A593" s="137"/>
      <c r="B593" s="137"/>
      <c r="C593" s="137"/>
      <c r="D593" s="194"/>
      <c r="E593" s="194"/>
      <c r="F593" s="137"/>
      <c r="G593" s="137"/>
      <c r="H593" s="137"/>
      <c r="I593" s="137"/>
      <c r="J593" s="197"/>
      <c r="K593" s="198"/>
      <c r="L593" s="196"/>
      <c r="M593" s="196"/>
      <c r="N593" s="196"/>
      <c r="O593" s="196"/>
      <c r="P593" s="127"/>
    </row>
    <row r="594" spans="1:16" ht="20.25" customHeight="1" x14ac:dyDescent="0.3">
      <c r="A594" s="137"/>
      <c r="B594" s="137"/>
      <c r="C594" s="137"/>
      <c r="D594" s="194"/>
      <c r="E594" s="194"/>
      <c r="F594" s="137"/>
      <c r="G594" s="137"/>
      <c r="H594" s="137"/>
      <c r="I594" s="137"/>
      <c r="J594" s="197"/>
      <c r="K594" s="198"/>
      <c r="L594" s="196"/>
      <c r="M594" s="196"/>
      <c r="N594" s="196"/>
      <c r="O594" s="196"/>
      <c r="P594" s="127"/>
    </row>
    <row r="595" spans="1:16" ht="20.25" customHeight="1" x14ac:dyDescent="0.3">
      <c r="A595" s="137"/>
      <c r="B595" s="137"/>
      <c r="C595" s="137"/>
      <c r="D595" s="194"/>
      <c r="E595" s="194"/>
      <c r="F595" s="137"/>
      <c r="G595" s="137"/>
      <c r="H595" s="137"/>
      <c r="I595" s="137"/>
      <c r="J595" s="197"/>
      <c r="K595" s="198"/>
      <c r="L595" s="196"/>
      <c r="M595" s="196"/>
      <c r="N595" s="196"/>
      <c r="O595" s="196"/>
      <c r="P595" s="127"/>
    </row>
    <row r="596" spans="1:16" ht="20.25" customHeight="1" x14ac:dyDescent="0.3">
      <c r="A596" s="137"/>
      <c r="B596" s="137"/>
      <c r="C596" s="137"/>
      <c r="D596" s="194"/>
      <c r="E596" s="194"/>
      <c r="F596" s="137"/>
      <c r="G596" s="137"/>
      <c r="H596" s="137"/>
      <c r="I596" s="137"/>
      <c r="J596" s="197"/>
      <c r="K596" s="198"/>
      <c r="L596" s="196"/>
      <c r="M596" s="196"/>
      <c r="N596" s="196"/>
      <c r="O596" s="196"/>
      <c r="P596" s="127"/>
    </row>
    <row r="597" spans="1:16" ht="20.25" customHeight="1" x14ac:dyDescent="0.3">
      <c r="A597" s="137"/>
      <c r="B597" s="137"/>
      <c r="C597" s="137"/>
      <c r="D597" s="194"/>
      <c r="E597" s="194"/>
      <c r="F597" s="137"/>
      <c r="G597" s="137"/>
      <c r="H597" s="137"/>
      <c r="I597" s="137"/>
      <c r="J597" s="197"/>
      <c r="K597" s="198"/>
      <c r="L597" s="196"/>
      <c r="M597" s="196"/>
      <c r="N597" s="196"/>
      <c r="O597" s="196"/>
      <c r="P597" s="127"/>
    </row>
    <row r="598" spans="1:16" ht="20.25" customHeight="1" x14ac:dyDescent="0.3">
      <c r="A598" s="137"/>
      <c r="B598" s="137"/>
      <c r="C598" s="137"/>
      <c r="D598" s="194"/>
      <c r="E598" s="194"/>
      <c r="F598" s="137"/>
      <c r="G598" s="137"/>
      <c r="H598" s="137"/>
      <c r="I598" s="137"/>
      <c r="J598" s="197"/>
      <c r="K598" s="198"/>
      <c r="L598" s="196"/>
      <c r="M598" s="196"/>
      <c r="N598" s="196"/>
      <c r="O598" s="196"/>
      <c r="P598" s="127"/>
    </row>
    <row r="599" spans="1:16" ht="20.25" customHeight="1" x14ac:dyDescent="0.3">
      <c r="A599" s="137"/>
      <c r="B599" s="137"/>
      <c r="C599" s="137"/>
      <c r="D599" s="194"/>
      <c r="E599" s="194"/>
      <c r="F599" s="137"/>
      <c r="G599" s="137"/>
      <c r="H599" s="137"/>
      <c r="I599" s="137"/>
      <c r="J599" s="197"/>
      <c r="K599" s="198"/>
      <c r="L599" s="196"/>
      <c r="M599" s="196"/>
      <c r="N599" s="196"/>
      <c r="O599" s="196"/>
      <c r="P599" s="127"/>
    </row>
    <row r="600" spans="1:16" ht="20.25" customHeight="1" x14ac:dyDescent="0.3">
      <c r="A600" s="137"/>
      <c r="B600" s="137"/>
      <c r="C600" s="137"/>
      <c r="D600" s="194"/>
      <c r="E600" s="194"/>
      <c r="F600" s="137"/>
      <c r="G600" s="137"/>
      <c r="H600" s="137"/>
      <c r="I600" s="137"/>
      <c r="J600" s="197"/>
      <c r="K600" s="198"/>
      <c r="L600" s="196"/>
      <c r="M600" s="196"/>
      <c r="N600" s="196"/>
      <c r="O600" s="196"/>
      <c r="P600" s="127"/>
    </row>
    <row r="601" spans="1:16" ht="20.25" customHeight="1" x14ac:dyDescent="0.3">
      <c r="A601" s="137"/>
      <c r="B601" s="137"/>
      <c r="C601" s="137"/>
      <c r="D601" s="194"/>
      <c r="E601" s="194"/>
      <c r="F601" s="137"/>
      <c r="G601" s="137"/>
      <c r="H601" s="137"/>
      <c r="I601" s="137"/>
      <c r="J601" s="197"/>
      <c r="K601" s="198"/>
      <c r="L601" s="196"/>
      <c r="M601" s="196"/>
      <c r="N601" s="196"/>
      <c r="O601" s="196"/>
      <c r="P601" s="127"/>
    </row>
    <row r="602" spans="1:16" ht="20.25" customHeight="1" x14ac:dyDescent="0.3">
      <c r="A602" s="137"/>
      <c r="B602" s="137"/>
      <c r="C602" s="137"/>
      <c r="D602" s="194"/>
      <c r="E602" s="194"/>
      <c r="F602" s="137"/>
      <c r="G602" s="137"/>
      <c r="H602" s="137"/>
      <c r="I602" s="137"/>
      <c r="J602" s="197"/>
      <c r="K602" s="198"/>
      <c r="L602" s="196"/>
      <c r="M602" s="196"/>
      <c r="N602" s="196"/>
      <c r="O602" s="196"/>
      <c r="P602" s="127"/>
    </row>
    <row r="603" spans="1:16" ht="20.25" customHeight="1" x14ac:dyDescent="0.3">
      <c r="A603" s="137"/>
      <c r="B603" s="137"/>
      <c r="C603" s="137"/>
      <c r="D603" s="194"/>
      <c r="E603" s="194"/>
      <c r="F603" s="137"/>
      <c r="G603" s="137"/>
      <c r="H603" s="137"/>
      <c r="I603" s="137"/>
      <c r="J603" s="197"/>
      <c r="K603" s="198"/>
      <c r="L603" s="196"/>
      <c r="M603" s="196"/>
      <c r="N603" s="196"/>
      <c r="O603" s="196"/>
      <c r="P603" s="127"/>
    </row>
    <row r="604" spans="1:16" ht="20.25" customHeight="1" x14ac:dyDescent="0.3">
      <c r="A604" s="137"/>
      <c r="B604" s="137"/>
      <c r="C604" s="137"/>
      <c r="D604" s="194"/>
      <c r="E604" s="194"/>
      <c r="F604" s="137"/>
      <c r="G604" s="137"/>
      <c r="H604" s="137"/>
      <c r="I604" s="137"/>
      <c r="J604" s="197"/>
      <c r="K604" s="198"/>
      <c r="L604" s="196"/>
      <c r="M604" s="196"/>
      <c r="N604" s="196"/>
      <c r="O604" s="196"/>
      <c r="P604" s="127"/>
    </row>
    <row r="605" spans="1:16" ht="20.25" customHeight="1" x14ac:dyDescent="0.3">
      <c r="A605" s="137"/>
      <c r="B605" s="137"/>
      <c r="C605" s="137"/>
      <c r="D605" s="194"/>
      <c r="E605" s="194"/>
      <c r="F605" s="137"/>
      <c r="G605" s="137"/>
      <c r="H605" s="137"/>
      <c r="I605" s="137"/>
      <c r="J605" s="197"/>
      <c r="K605" s="198"/>
      <c r="L605" s="196"/>
      <c r="M605" s="196"/>
      <c r="N605" s="196"/>
      <c r="O605" s="196"/>
      <c r="P605" s="127"/>
    </row>
    <row r="606" spans="1:16" ht="20.25" customHeight="1" x14ac:dyDescent="0.3">
      <c r="A606" s="137"/>
      <c r="B606" s="137"/>
      <c r="C606" s="137"/>
      <c r="D606" s="194"/>
      <c r="E606" s="194"/>
      <c r="F606" s="137"/>
      <c r="G606" s="137"/>
      <c r="H606" s="137"/>
      <c r="I606" s="137"/>
      <c r="J606" s="197"/>
      <c r="K606" s="198"/>
      <c r="L606" s="196"/>
      <c r="M606" s="196"/>
      <c r="N606" s="196"/>
      <c r="O606" s="196"/>
      <c r="P606" s="127"/>
    </row>
    <row r="607" spans="1:16" ht="20.25" customHeight="1" x14ac:dyDescent="0.3">
      <c r="A607" s="137"/>
      <c r="B607" s="137"/>
      <c r="C607" s="137"/>
      <c r="D607" s="194"/>
      <c r="E607" s="194"/>
      <c r="F607" s="137"/>
      <c r="G607" s="137"/>
      <c r="H607" s="137"/>
      <c r="I607" s="137"/>
      <c r="J607" s="197"/>
      <c r="K607" s="198"/>
      <c r="L607" s="196"/>
      <c r="M607" s="196"/>
      <c r="N607" s="196"/>
      <c r="O607" s="196"/>
      <c r="P607" s="127"/>
    </row>
    <row r="608" spans="1:16" ht="20.25" customHeight="1" x14ac:dyDescent="0.3">
      <c r="A608" s="137"/>
      <c r="B608" s="137"/>
      <c r="C608" s="137"/>
      <c r="D608" s="194"/>
      <c r="E608" s="194"/>
      <c r="F608" s="137"/>
      <c r="G608" s="137"/>
      <c r="H608" s="137"/>
      <c r="I608" s="137"/>
      <c r="J608" s="197"/>
      <c r="K608" s="198"/>
      <c r="L608" s="196"/>
      <c r="M608" s="196"/>
      <c r="N608" s="196"/>
      <c r="O608" s="196"/>
      <c r="P608" s="127"/>
    </row>
    <row r="609" spans="1:16" ht="20.25" customHeight="1" x14ac:dyDescent="0.3">
      <c r="A609" s="137"/>
      <c r="B609" s="137"/>
      <c r="C609" s="137"/>
      <c r="D609" s="194"/>
      <c r="E609" s="194"/>
      <c r="F609" s="137"/>
      <c r="G609" s="137"/>
      <c r="H609" s="137"/>
      <c r="I609" s="137"/>
      <c r="J609" s="197"/>
      <c r="K609" s="198"/>
      <c r="L609" s="196"/>
      <c r="M609" s="196"/>
      <c r="N609" s="196"/>
      <c r="O609" s="196"/>
      <c r="P609" s="127"/>
    </row>
    <row r="610" spans="1:16" ht="20.25" customHeight="1" x14ac:dyDescent="0.3">
      <c r="A610" s="137"/>
      <c r="B610" s="137"/>
      <c r="C610" s="137"/>
      <c r="D610" s="194"/>
      <c r="E610" s="194"/>
      <c r="F610" s="137"/>
      <c r="G610" s="137"/>
      <c r="H610" s="137"/>
      <c r="I610" s="137"/>
      <c r="J610" s="197"/>
      <c r="K610" s="198"/>
      <c r="L610" s="196"/>
      <c r="M610" s="196"/>
      <c r="N610" s="196"/>
      <c r="O610" s="196"/>
      <c r="P610" s="127"/>
    </row>
    <row r="611" spans="1:16" ht="20.25" customHeight="1" x14ac:dyDescent="0.3">
      <c r="A611" s="137"/>
      <c r="B611" s="137"/>
      <c r="C611" s="137"/>
      <c r="D611" s="194"/>
      <c r="E611" s="194"/>
      <c r="F611" s="137"/>
      <c r="G611" s="137"/>
      <c r="H611" s="137"/>
      <c r="I611" s="137"/>
      <c r="J611" s="197"/>
      <c r="K611" s="198"/>
      <c r="L611" s="196"/>
      <c r="M611" s="196"/>
      <c r="N611" s="196"/>
      <c r="O611" s="196"/>
      <c r="P611" s="127"/>
    </row>
    <row r="612" spans="1:16" ht="20.25" customHeight="1" x14ac:dyDescent="0.3">
      <c r="A612" s="137"/>
      <c r="B612" s="137"/>
      <c r="C612" s="137"/>
      <c r="D612" s="194"/>
      <c r="E612" s="194"/>
      <c r="F612" s="137"/>
      <c r="G612" s="137"/>
      <c r="H612" s="137"/>
      <c r="I612" s="137"/>
      <c r="J612" s="197"/>
      <c r="K612" s="198"/>
      <c r="L612" s="196"/>
      <c r="M612" s="196"/>
      <c r="N612" s="196"/>
      <c r="O612" s="196"/>
      <c r="P612" s="127"/>
    </row>
    <row r="613" spans="1:16" ht="20.25" customHeight="1" x14ac:dyDescent="0.3">
      <c r="A613" s="137"/>
      <c r="B613" s="137"/>
      <c r="C613" s="137"/>
      <c r="D613" s="194"/>
      <c r="E613" s="194"/>
      <c r="F613" s="137"/>
      <c r="G613" s="137"/>
      <c r="H613" s="137"/>
      <c r="I613" s="137"/>
      <c r="J613" s="197"/>
      <c r="K613" s="198"/>
      <c r="L613" s="196"/>
      <c r="M613" s="196"/>
      <c r="N613" s="196"/>
      <c r="O613" s="196"/>
      <c r="P613" s="127"/>
    </row>
    <row r="614" spans="1:16" ht="20.25" customHeight="1" x14ac:dyDescent="0.3">
      <c r="A614" s="137"/>
      <c r="B614" s="137"/>
      <c r="C614" s="137"/>
      <c r="D614" s="194"/>
      <c r="E614" s="194"/>
      <c r="F614" s="137"/>
      <c r="G614" s="137"/>
      <c r="H614" s="137"/>
      <c r="I614" s="137"/>
      <c r="J614" s="197"/>
      <c r="K614" s="198"/>
      <c r="L614" s="196"/>
      <c r="M614" s="196"/>
      <c r="N614" s="196"/>
      <c r="O614" s="196"/>
      <c r="P614" s="127"/>
    </row>
    <row r="615" spans="1:16" ht="20.25" customHeight="1" x14ac:dyDescent="0.3">
      <c r="A615" s="137"/>
      <c r="B615" s="137"/>
      <c r="C615" s="137"/>
      <c r="D615" s="194"/>
      <c r="E615" s="194"/>
      <c r="F615" s="137"/>
      <c r="G615" s="137"/>
      <c r="H615" s="137"/>
      <c r="I615" s="137"/>
      <c r="J615" s="197"/>
      <c r="K615" s="198"/>
      <c r="L615" s="196"/>
      <c r="M615" s="196"/>
      <c r="N615" s="196"/>
      <c r="O615" s="196"/>
      <c r="P615" s="127"/>
    </row>
    <row r="616" spans="1:16" ht="20.25" customHeight="1" x14ac:dyDescent="0.3">
      <c r="A616" s="137"/>
      <c r="B616" s="137"/>
      <c r="C616" s="137"/>
      <c r="D616" s="194"/>
      <c r="E616" s="194"/>
      <c r="F616" s="137"/>
      <c r="G616" s="137"/>
      <c r="H616" s="137"/>
      <c r="I616" s="137"/>
      <c r="J616" s="197"/>
      <c r="K616" s="198"/>
      <c r="L616" s="196"/>
      <c r="M616" s="196"/>
      <c r="N616" s="196"/>
      <c r="O616" s="196"/>
      <c r="P616" s="127"/>
    </row>
    <row r="617" spans="1:16" ht="20.25" customHeight="1" x14ac:dyDescent="0.3">
      <c r="A617" s="137"/>
      <c r="B617" s="137"/>
      <c r="C617" s="137"/>
      <c r="D617" s="194"/>
      <c r="E617" s="194"/>
      <c r="F617" s="137"/>
      <c r="G617" s="137"/>
      <c r="H617" s="137"/>
      <c r="I617" s="137"/>
      <c r="J617" s="197"/>
      <c r="K617" s="198"/>
      <c r="L617" s="196"/>
      <c r="M617" s="196"/>
      <c r="N617" s="196"/>
      <c r="O617" s="196"/>
      <c r="P617" s="127"/>
    </row>
    <row r="618" spans="1:16" ht="20.25" customHeight="1" x14ac:dyDescent="0.3">
      <c r="A618" s="137"/>
      <c r="B618" s="137"/>
      <c r="C618" s="137"/>
      <c r="D618" s="194"/>
      <c r="E618" s="194"/>
      <c r="F618" s="137"/>
      <c r="G618" s="137"/>
      <c r="H618" s="137"/>
      <c r="I618" s="137"/>
      <c r="J618" s="197"/>
      <c r="K618" s="198"/>
      <c r="L618" s="196"/>
      <c r="M618" s="196"/>
      <c r="N618" s="196"/>
      <c r="O618" s="196"/>
      <c r="P618" s="127"/>
    </row>
    <row r="619" spans="1:16" ht="20.25" customHeight="1" x14ac:dyDescent="0.3">
      <c r="A619" s="137"/>
      <c r="B619" s="137"/>
      <c r="C619" s="137"/>
      <c r="D619" s="194"/>
      <c r="E619" s="194"/>
      <c r="F619" s="137"/>
      <c r="G619" s="137"/>
      <c r="H619" s="137"/>
      <c r="I619" s="137"/>
      <c r="J619" s="197"/>
      <c r="K619" s="198"/>
      <c r="L619" s="196"/>
      <c r="M619" s="196"/>
      <c r="N619" s="196"/>
      <c r="O619" s="196"/>
      <c r="P619" s="127"/>
    </row>
    <row r="620" spans="1:16" ht="20.25" customHeight="1" x14ac:dyDescent="0.3">
      <c r="A620" s="137"/>
      <c r="B620" s="137"/>
      <c r="C620" s="137"/>
      <c r="D620" s="194"/>
      <c r="E620" s="194"/>
      <c r="F620" s="137"/>
      <c r="G620" s="137"/>
      <c r="H620" s="137"/>
      <c r="I620" s="137"/>
      <c r="J620" s="197"/>
      <c r="K620" s="198"/>
      <c r="L620" s="196"/>
      <c r="M620" s="196"/>
      <c r="N620" s="196"/>
      <c r="O620" s="196"/>
      <c r="P620" s="127"/>
    </row>
    <row r="621" spans="1:16" ht="20.25" customHeight="1" x14ac:dyDescent="0.3">
      <c r="A621" s="137"/>
      <c r="B621" s="137"/>
      <c r="C621" s="137"/>
      <c r="D621" s="194"/>
      <c r="E621" s="194"/>
      <c r="F621" s="137"/>
      <c r="G621" s="137"/>
      <c r="H621" s="137"/>
      <c r="I621" s="137"/>
      <c r="J621" s="197"/>
      <c r="K621" s="198"/>
      <c r="L621" s="196"/>
      <c r="M621" s="196"/>
      <c r="N621" s="196"/>
      <c r="O621" s="196"/>
      <c r="P621" s="127"/>
    </row>
    <row r="622" spans="1:16" ht="20.25" customHeight="1" x14ac:dyDescent="0.3">
      <c r="A622" s="137"/>
      <c r="B622" s="137"/>
      <c r="C622" s="137"/>
      <c r="D622" s="194"/>
      <c r="E622" s="194"/>
      <c r="F622" s="137"/>
      <c r="G622" s="137"/>
      <c r="H622" s="137"/>
      <c r="I622" s="137"/>
      <c r="J622" s="197"/>
      <c r="K622" s="198"/>
      <c r="L622" s="196"/>
      <c r="M622" s="196"/>
      <c r="N622" s="196"/>
      <c r="O622" s="196"/>
      <c r="P622" s="127"/>
    </row>
    <row r="623" spans="1:16" ht="20.25" customHeight="1" x14ac:dyDescent="0.3">
      <c r="A623" s="137"/>
      <c r="B623" s="137"/>
      <c r="C623" s="137"/>
      <c r="D623" s="194"/>
      <c r="E623" s="194"/>
      <c r="F623" s="137"/>
      <c r="G623" s="137"/>
      <c r="H623" s="137"/>
      <c r="I623" s="137"/>
      <c r="J623" s="197"/>
      <c r="K623" s="198"/>
      <c r="L623" s="196"/>
      <c r="M623" s="196"/>
      <c r="N623" s="196"/>
      <c r="O623" s="196"/>
      <c r="P623" s="127"/>
    </row>
    <row r="624" spans="1:16" ht="20.25" customHeight="1" x14ac:dyDescent="0.3">
      <c r="A624" s="137"/>
      <c r="B624" s="137"/>
      <c r="C624" s="137"/>
      <c r="D624" s="194"/>
      <c r="E624" s="194"/>
      <c r="F624" s="137"/>
      <c r="G624" s="137"/>
      <c r="H624" s="137"/>
      <c r="I624" s="137"/>
      <c r="J624" s="197"/>
      <c r="K624" s="198"/>
      <c r="L624" s="196"/>
      <c r="M624" s="196"/>
      <c r="N624" s="196"/>
      <c r="O624" s="196"/>
      <c r="P624" s="127"/>
    </row>
    <row r="625" spans="1:16" ht="20.25" customHeight="1" x14ac:dyDescent="0.3">
      <c r="A625" s="137"/>
      <c r="B625" s="137"/>
      <c r="C625" s="137"/>
      <c r="D625" s="194"/>
      <c r="E625" s="194"/>
      <c r="F625" s="137"/>
      <c r="G625" s="137"/>
      <c r="H625" s="137"/>
      <c r="I625" s="137"/>
      <c r="J625" s="197"/>
      <c r="K625" s="198"/>
      <c r="L625" s="196"/>
      <c r="M625" s="196"/>
      <c r="N625" s="196"/>
      <c r="O625" s="196"/>
      <c r="P625" s="127"/>
    </row>
    <row r="626" spans="1:16" ht="20.25" customHeight="1" x14ac:dyDescent="0.3">
      <c r="A626" s="137"/>
      <c r="B626" s="137"/>
      <c r="C626" s="137"/>
      <c r="D626" s="194"/>
      <c r="E626" s="194"/>
      <c r="F626" s="137"/>
      <c r="G626" s="137"/>
      <c r="H626" s="137"/>
      <c r="I626" s="137"/>
      <c r="J626" s="197"/>
      <c r="K626" s="198"/>
      <c r="L626" s="196"/>
      <c r="M626" s="196"/>
      <c r="N626" s="196"/>
      <c r="O626" s="196"/>
      <c r="P626" s="127"/>
    </row>
    <row r="627" spans="1:16" ht="20.25" customHeight="1" x14ac:dyDescent="0.3">
      <c r="A627" s="137"/>
      <c r="B627" s="137"/>
      <c r="C627" s="137"/>
      <c r="D627" s="194"/>
      <c r="E627" s="194"/>
      <c r="F627" s="137"/>
      <c r="G627" s="137"/>
      <c r="H627" s="137"/>
      <c r="I627" s="137"/>
      <c r="J627" s="197"/>
      <c r="K627" s="198"/>
      <c r="L627" s="196"/>
      <c r="M627" s="196"/>
      <c r="N627" s="196"/>
      <c r="O627" s="196"/>
      <c r="P627" s="127"/>
    </row>
    <row r="628" spans="1:16" ht="20.25" customHeight="1" x14ac:dyDescent="0.3">
      <c r="A628" s="137"/>
      <c r="B628" s="137"/>
      <c r="C628" s="137"/>
      <c r="D628" s="194"/>
      <c r="E628" s="194"/>
      <c r="F628" s="137"/>
      <c r="G628" s="137"/>
      <c r="H628" s="137"/>
      <c r="I628" s="137"/>
      <c r="J628" s="197"/>
      <c r="K628" s="198"/>
      <c r="L628" s="196"/>
      <c r="M628" s="196"/>
      <c r="N628" s="196"/>
      <c r="O628" s="196"/>
      <c r="P628" s="127"/>
    </row>
    <row r="629" spans="1:16" ht="20.25" customHeight="1" x14ac:dyDescent="0.3">
      <c r="A629" s="137"/>
      <c r="B629" s="137"/>
      <c r="C629" s="137"/>
      <c r="D629" s="194"/>
      <c r="E629" s="194"/>
      <c r="F629" s="137"/>
      <c r="G629" s="137"/>
      <c r="H629" s="137"/>
      <c r="I629" s="137"/>
      <c r="J629" s="197"/>
      <c r="K629" s="198"/>
      <c r="L629" s="196"/>
      <c r="M629" s="196"/>
      <c r="N629" s="196"/>
      <c r="O629" s="196"/>
      <c r="P629" s="127"/>
    </row>
    <row r="630" spans="1:16" ht="20.25" customHeight="1" x14ac:dyDescent="0.3">
      <c r="A630" s="137"/>
      <c r="B630" s="137"/>
      <c r="C630" s="137"/>
      <c r="D630" s="194"/>
      <c r="E630" s="194"/>
      <c r="F630" s="137"/>
      <c r="G630" s="137"/>
      <c r="H630" s="137"/>
      <c r="I630" s="137"/>
      <c r="J630" s="197"/>
      <c r="K630" s="198"/>
      <c r="L630" s="196"/>
      <c r="M630" s="196"/>
      <c r="N630" s="196"/>
      <c r="O630" s="196"/>
      <c r="P630" s="127"/>
    </row>
    <row r="631" spans="1:16" ht="20.25" customHeight="1" x14ac:dyDescent="0.3">
      <c r="A631" s="137"/>
      <c r="B631" s="137"/>
      <c r="C631" s="137"/>
      <c r="D631" s="194"/>
      <c r="E631" s="194"/>
      <c r="F631" s="137"/>
      <c r="G631" s="137"/>
      <c r="H631" s="137"/>
      <c r="I631" s="137"/>
      <c r="J631" s="197"/>
      <c r="K631" s="198"/>
      <c r="L631" s="196"/>
      <c r="M631" s="196"/>
      <c r="N631" s="196"/>
      <c r="O631" s="196"/>
      <c r="P631" s="127"/>
    </row>
    <row r="632" spans="1:16" ht="20.25" customHeight="1" x14ac:dyDescent="0.3">
      <c r="A632" s="137"/>
      <c r="B632" s="137"/>
      <c r="C632" s="137"/>
      <c r="D632" s="194"/>
      <c r="E632" s="194"/>
      <c r="F632" s="137"/>
      <c r="G632" s="137"/>
      <c r="H632" s="137"/>
      <c r="I632" s="137"/>
      <c r="J632" s="197"/>
      <c r="K632" s="198"/>
      <c r="L632" s="196"/>
      <c r="M632" s="196"/>
      <c r="N632" s="196"/>
      <c r="O632" s="196"/>
      <c r="P632" s="127"/>
    </row>
    <row r="633" spans="1:16" ht="20.25" customHeight="1" x14ac:dyDescent="0.3">
      <c r="A633" s="137"/>
      <c r="B633" s="137"/>
      <c r="C633" s="137"/>
      <c r="D633" s="194"/>
      <c r="E633" s="194"/>
      <c r="F633" s="137"/>
      <c r="G633" s="137"/>
      <c r="H633" s="137"/>
      <c r="I633" s="137"/>
      <c r="J633" s="197"/>
      <c r="K633" s="198"/>
      <c r="L633" s="196"/>
      <c r="M633" s="196"/>
      <c r="N633" s="196"/>
      <c r="O633" s="196"/>
      <c r="P633" s="127"/>
    </row>
    <row r="634" spans="1:16" ht="20.25" customHeight="1" x14ac:dyDescent="0.3">
      <c r="A634" s="137"/>
      <c r="B634" s="137"/>
      <c r="C634" s="137"/>
      <c r="D634" s="194"/>
      <c r="E634" s="194"/>
      <c r="F634" s="137"/>
      <c r="G634" s="137"/>
      <c r="H634" s="137"/>
      <c r="I634" s="137"/>
      <c r="J634" s="197"/>
      <c r="K634" s="198"/>
      <c r="L634" s="196"/>
      <c r="M634" s="196"/>
      <c r="N634" s="196"/>
      <c r="O634" s="196"/>
      <c r="P634" s="127"/>
    </row>
    <row r="635" spans="1:16" ht="20.25" customHeight="1" x14ac:dyDescent="0.3">
      <c r="A635" s="137"/>
      <c r="B635" s="137"/>
      <c r="C635" s="137"/>
      <c r="D635" s="194"/>
      <c r="E635" s="194"/>
      <c r="F635" s="137"/>
      <c r="G635" s="137"/>
      <c r="H635" s="137"/>
      <c r="I635" s="137"/>
      <c r="J635" s="197"/>
      <c r="K635" s="198"/>
      <c r="L635" s="196"/>
      <c r="M635" s="196"/>
      <c r="N635" s="196"/>
      <c r="O635" s="196"/>
      <c r="P635" s="127"/>
    </row>
    <row r="636" spans="1:16" ht="20.25" customHeight="1" x14ac:dyDescent="0.3">
      <c r="A636" s="137"/>
      <c r="B636" s="137"/>
      <c r="C636" s="137"/>
      <c r="D636" s="194"/>
      <c r="E636" s="194"/>
      <c r="F636" s="137"/>
      <c r="G636" s="137"/>
      <c r="H636" s="137"/>
      <c r="I636" s="137"/>
      <c r="J636" s="197"/>
      <c r="K636" s="198"/>
      <c r="L636" s="196"/>
      <c r="M636" s="196"/>
      <c r="N636" s="196"/>
      <c r="O636" s="196"/>
      <c r="P636" s="127"/>
    </row>
    <row r="637" spans="1:16" ht="20.25" customHeight="1" x14ac:dyDescent="0.3">
      <c r="A637" s="137"/>
      <c r="B637" s="137"/>
      <c r="C637" s="137"/>
      <c r="D637" s="194"/>
      <c r="E637" s="194"/>
      <c r="F637" s="137"/>
      <c r="G637" s="137"/>
      <c r="H637" s="137"/>
      <c r="I637" s="137"/>
      <c r="J637" s="197"/>
      <c r="K637" s="198"/>
      <c r="L637" s="196"/>
      <c r="M637" s="196"/>
      <c r="N637" s="196"/>
      <c r="O637" s="196"/>
      <c r="P637" s="127"/>
    </row>
    <row r="638" spans="1:16" ht="20.25" customHeight="1" x14ac:dyDescent="0.3">
      <c r="A638" s="137"/>
      <c r="B638" s="137"/>
      <c r="C638" s="137"/>
      <c r="D638" s="194"/>
      <c r="E638" s="194"/>
      <c r="F638" s="137"/>
      <c r="G638" s="137"/>
      <c r="H638" s="137"/>
      <c r="I638" s="137"/>
      <c r="J638" s="197"/>
      <c r="K638" s="198"/>
      <c r="L638" s="196"/>
      <c r="M638" s="196"/>
      <c r="N638" s="196"/>
      <c r="O638" s="196"/>
      <c r="P638" s="127"/>
    </row>
    <row r="639" spans="1:16" ht="20.25" customHeight="1" x14ac:dyDescent="0.3">
      <c r="A639" s="137"/>
      <c r="B639" s="137"/>
      <c r="C639" s="137"/>
      <c r="D639" s="194"/>
      <c r="E639" s="194"/>
      <c r="F639" s="137"/>
      <c r="G639" s="137"/>
      <c r="H639" s="137"/>
      <c r="I639" s="137"/>
      <c r="J639" s="197"/>
      <c r="K639" s="198"/>
      <c r="L639" s="196"/>
      <c r="M639" s="196"/>
      <c r="N639" s="196"/>
      <c r="O639" s="196"/>
      <c r="P639" s="127"/>
    </row>
    <row r="640" spans="1:16" ht="20.25" customHeight="1" x14ac:dyDescent="0.3">
      <c r="A640" s="137"/>
      <c r="B640" s="137"/>
      <c r="C640" s="137"/>
      <c r="D640" s="194"/>
      <c r="E640" s="194"/>
      <c r="F640" s="137"/>
      <c r="G640" s="137"/>
      <c r="H640" s="137"/>
      <c r="I640" s="137"/>
      <c r="J640" s="197"/>
      <c r="K640" s="198"/>
      <c r="L640" s="196"/>
      <c r="M640" s="196"/>
      <c r="N640" s="196"/>
      <c r="O640" s="196"/>
      <c r="P640" s="127"/>
    </row>
    <row r="641" spans="1:16" ht="20.25" customHeight="1" x14ac:dyDescent="0.3">
      <c r="A641" s="137"/>
      <c r="B641" s="137"/>
      <c r="C641" s="137"/>
      <c r="D641" s="194"/>
      <c r="E641" s="194"/>
      <c r="F641" s="137"/>
      <c r="G641" s="137"/>
      <c r="H641" s="137"/>
      <c r="I641" s="137"/>
      <c r="J641" s="197"/>
      <c r="K641" s="198"/>
      <c r="L641" s="196"/>
      <c r="M641" s="196"/>
      <c r="N641" s="196"/>
      <c r="O641" s="196"/>
      <c r="P641" s="127"/>
    </row>
    <row r="642" spans="1:16" ht="20.25" customHeight="1" x14ac:dyDescent="0.3">
      <c r="A642" s="137"/>
      <c r="B642" s="137"/>
      <c r="C642" s="137"/>
      <c r="D642" s="194"/>
      <c r="E642" s="194"/>
      <c r="F642" s="137"/>
      <c r="G642" s="137"/>
      <c r="H642" s="137"/>
      <c r="I642" s="137"/>
      <c r="J642" s="197"/>
      <c r="K642" s="198"/>
      <c r="L642" s="196"/>
      <c r="M642" s="196"/>
      <c r="N642" s="196"/>
      <c r="O642" s="196"/>
      <c r="P642" s="127"/>
    </row>
    <row r="643" spans="1:16" ht="20.25" customHeight="1" x14ac:dyDescent="0.3">
      <c r="A643" s="137"/>
      <c r="B643" s="137"/>
      <c r="C643" s="137"/>
      <c r="D643" s="194"/>
      <c r="E643" s="194"/>
      <c r="F643" s="137"/>
      <c r="G643" s="137"/>
      <c r="H643" s="137"/>
      <c r="I643" s="137"/>
      <c r="J643" s="197"/>
      <c r="K643" s="198"/>
      <c r="L643" s="196"/>
      <c r="M643" s="196"/>
      <c r="N643" s="196"/>
      <c r="O643" s="196"/>
      <c r="P643" s="127"/>
    </row>
    <row r="644" spans="1:16" ht="20.25" customHeight="1" x14ac:dyDescent="0.3">
      <c r="A644" s="137"/>
      <c r="B644" s="137"/>
      <c r="C644" s="137"/>
      <c r="D644" s="194"/>
      <c r="E644" s="194"/>
      <c r="F644" s="137"/>
      <c r="G644" s="137"/>
      <c r="H644" s="137"/>
      <c r="I644" s="137"/>
      <c r="J644" s="197"/>
      <c r="K644" s="198"/>
      <c r="L644" s="196"/>
      <c r="M644" s="196"/>
      <c r="N644" s="196"/>
      <c r="O644" s="196"/>
      <c r="P644" s="127"/>
    </row>
    <row r="645" spans="1:16" ht="20.25" customHeight="1" x14ac:dyDescent="0.3">
      <c r="A645" s="137"/>
      <c r="B645" s="137"/>
      <c r="C645" s="137"/>
      <c r="D645" s="194"/>
      <c r="E645" s="194"/>
      <c r="F645" s="137"/>
      <c r="G645" s="137"/>
      <c r="H645" s="137"/>
      <c r="I645" s="137"/>
      <c r="J645" s="197"/>
      <c r="K645" s="198"/>
      <c r="L645" s="196"/>
      <c r="M645" s="196"/>
      <c r="N645" s="196"/>
      <c r="O645" s="196"/>
      <c r="P645" s="127"/>
    </row>
    <row r="646" spans="1:16" ht="20.25" customHeight="1" x14ac:dyDescent="0.3">
      <c r="A646" s="137"/>
      <c r="B646" s="137"/>
      <c r="C646" s="137"/>
      <c r="D646" s="194"/>
      <c r="E646" s="194"/>
      <c r="F646" s="137"/>
      <c r="G646" s="137"/>
      <c r="H646" s="137"/>
      <c r="I646" s="137"/>
      <c r="J646" s="197"/>
      <c r="K646" s="198"/>
      <c r="L646" s="196"/>
      <c r="M646" s="196"/>
      <c r="N646" s="196"/>
      <c r="O646" s="196"/>
      <c r="P646" s="127"/>
    </row>
    <row r="647" spans="1:16" ht="20.25" customHeight="1" x14ac:dyDescent="0.3">
      <c r="A647" s="137"/>
      <c r="B647" s="137"/>
      <c r="C647" s="137"/>
      <c r="D647" s="194"/>
      <c r="E647" s="194"/>
      <c r="F647" s="137"/>
      <c r="G647" s="137"/>
      <c r="H647" s="137"/>
      <c r="I647" s="137"/>
      <c r="J647" s="197"/>
      <c r="K647" s="198"/>
      <c r="L647" s="196"/>
      <c r="M647" s="196"/>
      <c r="N647" s="196"/>
      <c r="O647" s="196"/>
      <c r="P647" s="127"/>
    </row>
    <row r="648" spans="1:16" ht="20.25" customHeight="1" x14ac:dyDescent="0.3">
      <c r="A648" s="137"/>
      <c r="B648" s="137"/>
      <c r="C648" s="137"/>
      <c r="D648" s="194"/>
      <c r="E648" s="194"/>
      <c r="F648" s="137"/>
      <c r="G648" s="137"/>
      <c r="H648" s="137"/>
      <c r="I648" s="137"/>
      <c r="J648" s="197"/>
      <c r="K648" s="198"/>
      <c r="L648" s="196"/>
      <c r="M648" s="196"/>
      <c r="N648" s="196"/>
      <c r="O648" s="196"/>
      <c r="P648" s="127"/>
    </row>
    <row r="649" spans="1:16" ht="20.25" customHeight="1" x14ac:dyDescent="0.3">
      <c r="A649" s="137"/>
      <c r="B649" s="137"/>
      <c r="C649" s="137"/>
      <c r="D649" s="194"/>
      <c r="E649" s="194"/>
      <c r="F649" s="137"/>
      <c r="G649" s="137"/>
      <c r="H649" s="137"/>
      <c r="I649" s="137"/>
      <c r="J649" s="197"/>
      <c r="K649" s="198"/>
      <c r="L649" s="196"/>
      <c r="M649" s="196"/>
      <c r="N649" s="196"/>
      <c r="O649" s="196"/>
      <c r="P649" s="127"/>
    </row>
    <row r="650" spans="1:16" ht="20.25" customHeight="1" x14ac:dyDescent="0.3">
      <c r="A650" s="137"/>
      <c r="B650" s="137"/>
      <c r="C650" s="137"/>
      <c r="D650" s="194"/>
      <c r="E650" s="194"/>
      <c r="F650" s="137"/>
      <c r="G650" s="137"/>
      <c r="H650" s="137"/>
      <c r="I650" s="137"/>
      <c r="J650" s="197"/>
      <c r="K650" s="198"/>
      <c r="L650" s="196"/>
      <c r="M650" s="196"/>
      <c r="N650" s="196"/>
      <c r="O650" s="196"/>
      <c r="P650" s="127"/>
    </row>
    <row r="651" spans="1:16" ht="20.25" customHeight="1" x14ac:dyDescent="0.3">
      <c r="A651" s="137"/>
      <c r="B651" s="137"/>
      <c r="C651" s="137"/>
      <c r="D651" s="194"/>
      <c r="E651" s="194"/>
      <c r="F651" s="137"/>
      <c r="G651" s="137"/>
      <c r="H651" s="137"/>
      <c r="I651" s="137"/>
      <c r="J651" s="197"/>
      <c r="K651" s="198"/>
      <c r="L651" s="196"/>
      <c r="M651" s="196"/>
      <c r="N651" s="196"/>
      <c r="O651" s="196"/>
      <c r="P651" s="127"/>
    </row>
    <row r="652" spans="1:16" ht="20.25" customHeight="1" x14ac:dyDescent="0.3">
      <c r="A652" s="137"/>
      <c r="B652" s="137"/>
      <c r="C652" s="137"/>
      <c r="D652" s="194"/>
      <c r="E652" s="194"/>
      <c r="F652" s="137"/>
      <c r="G652" s="137"/>
      <c r="H652" s="137"/>
      <c r="I652" s="137"/>
      <c r="J652" s="197"/>
      <c r="K652" s="198"/>
      <c r="L652" s="196"/>
      <c r="M652" s="196"/>
      <c r="N652" s="196"/>
      <c r="O652" s="196"/>
      <c r="P652" s="127"/>
    </row>
    <row r="653" spans="1:16" ht="20.25" customHeight="1" x14ac:dyDescent="0.3">
      <c r="A653" s="137"/>
      <c r="B653" s="137"/>
      <c r="C653" s="137"/>
      <c r="D653" s="194"/>
      <c r="E653" s="194"/>
      <c r="F653" s="137"/>
      <c r="G653" s="137"/>
      <c r="H653" s="137"/>
      <c r="I653" s="137"/>
      <c r="J653" s="197"/>
      <c r="K653" s="198"/>
      <c r="L653" s="196"/>
      <c r="M653" s="196"/>
      <c r="N653" s="196"/>
      <c r="O653" s="196"/>
      <c r="P653" s="127"/>
    </row>
    <row r="654" spans="1:16" ht="20.25" customHeight="1" x14ac:dyDescent="0.3">
      <c r="A654" s="137"/>
      <c r="B654" s="137"/>
      <c r="C654" s="137"/>
      <c r="D654" s="194"/>
      <c r="E654" s="194"/>
      <c r="F654" s="137"/>
      <c r="G654" s="137"/>
      <c r="H654" s="137"/>
      <c r="I654" s="137"/>
      <c r="J654" s="197"/>
      <c r="K654" s="198"/>
      <c r="L654" s="196"/>
      <c r="M654" s="196"/>
      <c r="N654" s="196"/>
      <c r="O654" s="196"/>
      <c r="P654" s="127"/>
    </row>
    <row r="655" spans="1:16" ht="20.25" customHeight="1" x14ac:dyDescent="0.3">
      <c r="A655" s="137"/>
      <c r="B655" s="137"/>
      <c r="C655" s="137"/>
      <c r="D655" s="194"/>
      <c r="E655" s="194"/>
      <c r="F655" s="137"/>
      <c r="G655" s="137"/>
      <c r="H655" s="137"/>
      <c r="I655" s="137"/>
      <c r="J655" s="197"/>
      <c r="K655" s="198"/>
      <c r="L655" s="196"/>
      <c r="M655" s="196"/>
      <c r="N655" s="196"/>
      <c r="O655" s="196"/>
      <c r="P655" s="127"/>
    </row>
    <row r="656" spans="1:16" ht="20.25" customHeight="1" x14ac:dyDescent="0.3">
      <c r="A656" s="137"/>
      <c r="B656" s="137"/>
      <c r="C656" s="137"/>
      <c r="D656" s="194"/>
      <c r="E656" s="194"/>
      <c r="F656" s="137"/>
      <c r="G656" s="137"/>
      <c r="H656" s="137"/>
      <c r="I656" s="137"/>
      <c r="J656" s="197"/>
      <c r="K656" s="198"/>
      <c r="L656" s="196"/>
      <c r="M656" s="196"/>
      <c r="N656" s="196"/>
      <c r="O656" s="196"/>
      <c r="P656" s="127"/>
    </row>
    <row r="657" spans="1:16" ht="20.25" customHeight="1" x14ac:dyDescent="0.3">
      <c r="A657" s="137"/>
      <c r="B657" s="137"/>
      <c r="C657" s="137"/>
      <c r="D657" s="194"/>
      <c r="E657" s="194"/>
      <c r="F657" s="137"/>
      <c r="G657" s="137"/>
      <c r="H657" s="137"/>
      <c r="I657" s="137"/>
      <c r="J657" s="197"/>
      <c r="K657" s="198"/>
      <c r="L657" s="196"/>
      <c r="M657" s="196"/>
      <c r="N657" s="196"/>
      <c r="O657" s="196"/>
      <c r="P657" s="127"/>
    </row>
    <row r="658" spans="1:16" ht="20.25" customHeight="1" x14ac:dyDescent="0.3">
      <c r="A658" s="137"/>
      <c r="B658" s="137"/>
      <c r="C658" s="137"/>
      <c r="D658" s="194"/>
      <c r="E658" s="194"/>
      <c r="F658" s="137"/>
      <c r="G658" s="137"/>
      <c r="H658" s="137"/>
      <c r="I658" s="137"/>
      <c r="J658" s="197"/>
      <c r="K658" s="198"/>
      <c r="L658" s="196"/>
      <c r="M658" s="196"/>
      <c r="N658" s="196"/>
      <c r="O658" s="196"/>
      <c r="P658" s="127"/>
    </row>
    <row r="659" spans="1:16" ht="20.25" customHeight="1" x14ac:dyDescent="0.3">
      <c r="A659" s="137"/>
      <c r="B659" s="137"/>
      <c r="C659" s="137"/>
      <c r="D659" s="194"/>
      <c r="E659" s="194"/>
      <c r="F659" s="137"/>
      <c r="G659" s="137"/>
      <c r="H659" s="137"/>
      <c r="I659" s="137"/>
      <c r="J659" s="197"/>
      <c r="K659" s="198"/>
      <c r="L659" s="196"/>
      <c r="M659" s="196"/>
      <c r="N659" s="196"/>
      <c r="O659" s="196"/>
      <c r="P659" s="127"/>
    </row>
    <row r="660" spans="1:16" ht="20.25" customHeight="1" x14ac:dyDescent="0.3">
      <c r="A660" s="137"/>
      <c r="B660" s="137"/>
      <c r="C660" s="137"/>
      <c r="D660" s="194"/>
      <c r="E660" s="194"/>
      <c r="F660" s="137"/>
      <c r="G660" s="137"/>
      <c r="H660" s="137"/>
      <c r="I660" s="137"/>
      <c r="J660" s="197"/>
      <c r="K660" s="198"/>
      <c r="L660" s="196"/>
      <c r="M660" s="196"/>
      <c r="N660" s="196"/>
      <c r="O660" s="196"/>
      <c r="P660" s="127"/>
    </row>
    <row r="661" spans="1:16" ht="20.25" customHeight="1" x14ac:dyDescent="0.3">
      <c r="A661" s="137"/>
      <c r="B661" s="137"/>
      <c r="C661" s="137"/>
      <c r="D661" s="194"/>
      <c r="E661" s="194"/>
      <c r="F661" s="137"/>
      <c r="G661" s="137"/>
      <c r="H661" s="137"/>
      <c r="I661" s="137"/>
      <c r="J661" s="197"/>
      <c r="K661" s="198"/>
      <c r="L661" s="196"/>
      <c r="M661" s="196"/>
      <c r="N661" s="196"/>
      <c r="O661" s="196"/>
      <c r="P661" s="127"/>
    </row>
    <row r="662" spans="1:16" ht="20.25" customHeight="1" x14ac:dyDescent="0.3">
      <c r="A662" s="137"/>
      <c r="B662" s="137"/>
      <c r="C662" s="137"/>
      <c r="D662" s="194"/>
      <c r="E662" s="194"/>
      <c r="F662" s="137"/>
      <c r="G662" s="137"/>
      <c r="H662" s="137"/>
      <c r="I662" s="137"/>
      <c r="J662" s="197"/>
      <c r="K662" s="198"/>
      <c r="L662" s="196"/>
      <c r="M662" s="196"/>
      <c r="N662" s="196"/>
      <c r="O662" s="196"/>
      <c r="P662" s="127"/>
    </row>
    <row r="663" spans="1:16" ht="20.25" customHeight="1" x14ac:dyDescent="0.3">
      <c r="A663" s="137"/>
      <c r="B663" s="137"/>
      <c r="C663" s="137"/>
      <c r="D663" s="194"/>
      <c r="E663" s="194"/>
      <c r="F663" s="137"/>
      <c r="G663" s="137"/>
      <c r="H663" s="137"/>
      <c r="I663" s="137"/>
      <c r="J663" s="197"/>
      <c r="K663" s="198"/>
      <c r="L663" s="196"/>
      <c r="M663" s="196"/>
      <c r="N663" s="196"/>
      <c r="O663" s="196"/>
      <c r="P663" s="127"/>
    </row>
    <row r="664" spans="1:16" ht="20.25" customHeight="1" x14ac:dyDescent="0.3">
      <c r="A664" s="137"/>
      <c r="B664" s="137"/>
      <c r="C664" s="137"/>
      <c r="D664" s="194"/>
      <c r="E664" s="194"/>
      <c r="F664" s="137"/>
      <c r="G664" s="137"/>
      <c r="H664" s="137"/>
      <c r="I664" s="137"/>
      <c r="J664" s="197"/>
      <c r="K664" s="198"/>
      <c r="L664" s="196"/>
      <c r="M664" s="196"/>
      <c r="N664" s="196"/>
      <c r="O664" s="196"/>
      <c r="P664" s="127"/>
    </row>
    <row r="665" spans="1:16" ht="20.25" customHeight="1" x14ac:dyDescent="0.3">
      <c r="A665" s="137"/>
      <c r="B665" s="137"/>
      <c r="C665" s="137"/>
      <c r="D665" s="194"/>
      <c r="E665" s="194"/>
      <c r="F665" s="137"/>
      <c r="G665" s="137"/>
      <c r="H665" s="137"/>
      <c r="I665" s="137"/>
      <c r="J665" s="197"/>
      <c r="K665" s="198"/>
      <c r="L665" s="196"/>
      <c r="M665" s="196"/>
      <c r="N665" s="196"/>
      <c r="O665" s="196"/>
      <c r="P665" s="127"/>
    </row>
    <row r="666" spans="1:16" ht="20.25" customHeight="1" x14ac:dyDescent="0.3">
      <c r="A666" s="137"/>
      <c r="B666" s="137"/>
      <c r="C666" s="137"/>
      <c r="D666" s="194"/>
      <c r="E666" s="194"/>
      <c r="F666" s="137"/>
      <c r="G666" s="137"/>
      <c r="H666" s="137"/>
      <c r="I666" s="137"/>
      <c r="J666" s="197"/>
      <c r="K666" s="198"/>
      <c r="L666" s="196"/>
      <c r="M666" s="196"/>
      <c r="N666" s="196"/>
      <c r="O666" s="196"/>
      <c r="P666" s="127"/>
    </row>
    <row r="667" spans="1:16" ht="20.25" customHeight="1" x14ac:dyDescent="0.3">
      <c r="A667" s="137"/>
      <c r="B667" s="137"/>
      <c r="C667" s="137"/>
      <c r="D667" s="194"/>
      <c r="E667" s="194"/>
      <c r="F667" s="137"/>
      <c r="G667" s="137"/>
      <c r="H667" s="137"/>
      <c r="I667" s="137"/>
      <c r="J667" s="197"/>
      <c r="K667" s="198"/>
      <c r="L667" s="196"/>
      <c r="M667" s="196"/>
      <c r="N667" s="196"/>
      <c r="O667" s="196"/>
      <c r="P667" s="127"/>
    </row>
    <row r="668" spans="1:16" ht="20.25" customHeight="1" x14ac:dyDescent="0.3">
      <c r="A668" s="137"/>
      <c r="B668" s="137"/>
      <c r="C668" s="137"/>
      <c r="D668" s="194"/>
      <c r="E668" s="194"/>
      <c r="F668" s="137"/>
      <c r="G668" s="137"/>
      <c r="H668" s="137"/>
      <c r="I668" s="137"/>
      <c r="J668" s="197"/>
      <c r="K668" s="198"/>
      <c r="L668" s="196"/>
      <c r="M668" s="196"/>
      <c r="N668" s="196"/>
      <c r="O668" s="196"/>
      <c r="P668" s="127"/>
    </row>
    <row r="669" spans="1:16" ht="20.25" customHeight="1" x14ac:dyDescent="0.3">
      <c r="A669" s="137"/>
      <c r="B669" s="137"/>
      <c r="C669" s="137"/>
      <c r="D669" s="194"/>
      <c r="E669" s="194"/>
      <c r="F669" s="137"/>
      <c r="G669" s="137"/>
      <c r="H669" s="137"/>
      <c r="I669" s="137"/>
      <c r="J669" s="197"/>
      <c r="K669" s="198"/>
      <c r="L669" s="196"/>
      <c r="M669" s="196"/>
      <c r="N669" s="196"/>
      <c r="O669" s="196"/>
      <c r="P669" s="127"/>
    </row>
    <row r="670" spans="1:16" ht="20.25" customHeight="1" x14ac:dyDescent="0.3">
      <c r="A670" s="137"/>
      <c r="B670" s="137"/>
      <c r="C670" s="137"/>
      <c r="D670" s="194"/>
      <c r="E670" s="194"/>
      <c r="F670" s="137"/>
      <c r="G670" s="137"/>
      <c r="H670" s="137"/>
      <c r="I670" s="137"/>
      <c r="J670" s="197"/>
      <c r="K670" s="198"/>
      <c r="L670" s="196"/>
      <c r="M670" s="196"/>
      <c r="N670" s="196"/>
      <c r="O670" s="196"/>
      <c r="P670" s="127"/>
    </row>
    <row r="671" spans="1:16" ht="20.25" customHeight="1" x14ac:dyDescent="0.3">
      <c r="A671" s="137"/>
      <c r="B671" s="137"/>
      <c r="C671" s="137"/>
      <c r="D671" s="194"/>
      <c r="E671" s="194"/>
      <c r="F671" s="137"/>
      <c r="G671" s="137"/>
      <c r="H671" s="137"/>
      <c r="I671" s="137"/>
      <c r="J671" s="197"/>
      <c r="K671" s="198"/>
      <c r="L671" s="196"/>
      <c r="M671" s="196"/>
      <c r="N671" s="196"/>
      <c r="O671" s="196"/>
      <c r="P671" s="127"/>
    </row>
    <row r="672" spans="1:16" ht="20.25" customHeight="1" x14ac:dyDescent="0.3">
      <c r="A672" s="137"/>
      <c r="B672" s="137"/>
      <c r="C672" s="137"/>
      <c r="D672" s="194"/>
      <c r="E672" s="194"/>
      <c r="F672" s="137"/>
      <c r="G672" s="137"/>
      <c r="H672" s="137"/>
      <c r="I672" s="137"/>
      <c r="J672" s="197"/>
      <c r="K672" s="198"/>
      <c r="L672" s="196"/>
      <c r="M672" s="196"/>
      <c r="N672" s="196"/>
      <c r="O672" s="196"/>
      <c r="P672" s="127"/>
    </row>
    <row r="673" spans="1:16" ht="20.25" customHeight="1" x14ac:dyDescent="0.3">
      <c r="A673" s="137"/>
      <c r="B673" s="137"/>
      <c r="C673" s="137"/>
      <c r="D673" s="194"/>
      <c r="E673" s="194"/>
      <c r="F673" s="137"/>
      <c r="G673" s="137"/>
      <c r="H673" s="137"/>
      <c r="I673" s="137"/>
      <c r="J673" s="197"/>
      <c r="K673" s="198"/>
      <c r="L673" s="196"/>
      <c r="M673" s="196"/>
      <c r="N673" s="196"/>
      <c r="O673" s="196"/>
      <c r="P673" s="127"/>
    </row>
    <row r="674" spans="1:16" ht="20.25" customHeight="1" x14ac:dyDescent="0.3">
      <c r="A674" s="137"/>
      <c r="B674" s="137"/>
      <c r="C674" s="137"/>
      <c r="D674" s="194"/>
      <c r="E674" s="194"/>
      <c r="F674" s="137"/>
      <c r="G674" s="137"/>
      <c r="H674" s="137"/>
      <c r="I674" s="137"/>
      <c r="J674" s="197"/>
      <c r="K674" s="198"/>
      <c r="L674" s="196"/>
      <c r="M674" s="196"/>
      <c r="N674" s="196"/>
      <c r="O674" s="196"/>
      <c r="P674" s="127"/>
    </row>
    <row r="675" spans="1:16" ht="20.25" customHeight="1" x14ac:dyDescent="0.3">
      <c r="A675" s="137"/>
      <c r="B675" s="137"/>
      <c r="C675" s="137"/>
      <c r="D675" s="194"/>
      <c r="E675" s="194"/>
      <c r="F675" s="137"/>
      <c r="G675" s="137"/>
      <c r="H675" s="137"/>
      <c r="I675" s="137"/>
      <c r="J675" s="197"/>
      <c r="K675" s="198"/>
      <c r="L675" s="196"/>
      <c r="M675" s="196"/>
      <c r="N675" s="196"/>
      <c r="O675" s="196"/>
      <c r="P675" s="127"/>
    </row>
    <row r="676" spans="1:16" ht="20.25" customHeight="1" x14ac:dyDescent="0.3">
      <c r="A676" s="137"/>
      <c r="B676" s="137"/>
      <c r="C676" s="137"/>
      <c r="D676" s="194"/>
      <c r="E676" s="194"/>
      <c r="F676" s="137"/>
      <c r="G676" s="137"/>
      <c r="H676" s="137"/>
      <c r="I676" s="137"/>
      <c r="J676" s="197"/>
      <c r="K676" s="198"/>
      <c r="L676" s="196"/>
      <c r="M676" s="196"/>
      <c r="N676" s="196"/>
      <c r="O676" s="196"/>
      <c r="P676" s="127"/>
    </row>
    <row r="677" spans="1:16" ht="20.25" customHeight="1" x14ac:dyDescent="0.3">
      <c r="A677" s="137"/>
      <c r="B677" s="137"/>
      <c r="C677" s="137"/>
      <c r="D677" s="194"/>
      <c r="E677" s="194"/>
      <c r="F677" s="137"/>
      <c r="G677" s="137"/>
      <c r="H677" s="137"/>
      <c r="I677" s="137"/>
      <c r="J677" s="197"/>
      <c r="K677" s="198"/>
      <c r="L677" s="196"/>
      <c r="M677" s="196"/>
      <c r="N677" s="196"/>
      <c r="O677" s="196"/>
      <c r="P677" s="127"/>
    </row>
    <row r="678" spans="1:16" ht="20.25" customHeight="1" x14ac:dyDescent="0.3">
      <c r="A678" s="137"/>
      <c r="B678" s="137"/>
      <c r="C678" s="137"/>
      <c r="D678" s="194"/>
      <c r="E678" s="194"/>
      <c r="F678" s="137"/>
      <c r="G678" s="137"/>
      <c r="H678" s="137"/>
      <c r="I678" s="137"/>
      <c r="J678" s="197"/>
      <c r="K678" s="198"/>
      <c r="L678" s="196"/>
      <c r="M678" s="196"/>
      <c r="N678" s="196"/>
      <c r="O678" s="196"/>
      <c r="P678" s="127"/>
    </row>
    <row r="679" spans="1:16" ht="20.25" customHeight="1" x14ac:dyDescent="0.3">
      <c r="A679" s="137"/>
      <c r="B679" s="137"/>
      <c r="C679" s="137"/>
      <c r="D679" s="194"/>
      <c r="E679" s="194"/>
      <c r="F679" s="137"/>
      <c r="G679" s="137"/>
      <c r="H679" s="137"/>
      <c r="I679" s="137"/>
      <c r="J679" s="197"/>
      <c r="K679" s="198"/>
      <c r="L679" s="196"/>
      <c r="M679" s="196"/>
      <c r="N679" s="196"/>
      <c r="O679" s="196"/>
      <c r="P679" s="127"/>
    </row>
    <row r="680" spans="1:16" ht="20.25" customHeight="1" x14ac:dyDescent="0.3">
      <c r="A680" s="137"/>
      <c r="B680" s="137"/>
      <c r="C680" s="137"/>
      <c r="D680" s="194"/>
      <c r="E680" s="194"/>
      <c r="F680" s="137"/>
      <c r="G680" s="137"/>
      <c r="H680" s="137"/>
      <c r="I680" s="137"/>
      <c r="J680" s="197"/>
      <c r="K680" s="198"/>
      <c r="L680" s="196"/>
      <c r="M680" s="196"/>
      <c r="N680" s="196"/>
      <c r="O680" s="196"/>
      <c r="P680" s="127"/>
    </row>
    <row r="681" spans="1:16" ht="20.25" customHeight="1" x14ac:dyDescent="0.3">
      <c r="A681" s="137"/>
      <c r="B681" s="137"/>
      <c r="C681" s="137"/>
      <c r="D681" s="194"/>
      <c r="E681" s="194"/>
      <c r="F681" s="137"/>
      <c r="G681" s="137"/>
      <c r="H681" s="137"/>
      <c r="I681" s="137"/>
      <c r="J681" s="197"/>
      <c r="K681" s="198"/>
      <c r="L681" s="196"/>
      <c r="M681" s="196"/>
      <c r="N681" s="196"/>
      <c r="O681" s="196"/>
      <c r="P681" s="127"/>
    </row>
    <row r="682" spans="1:16" ht="20.25" customHeight="1" x14ac:dyDescent="0.3">
      <c r="A682" s="137"/>
      <c r="B682" s="137"/>
      <c r="C682" s="137"/>
      <c r="D682" s="194"/>
      <c r="E682" s="194"/>
      <c r="F682" s="137"/>
      <c r="G682" s="137"/>
      <c r="H682" s="137"/>
      <c r="I682" s="137"/>
      <c r="J682" s="197"/>
      <c r="K682" s="198"/>
      <c r="L682" s="196"/>
      <c r="M682" s="196"/>
      <c r="N682" s="196"/>
      <c r="O682" s="196"/>
      <c r="P682" s="127"/>
    </row>
    <row r="683" spans="1:16" ht="20.25" customHeight="1" x14ac:dyDescent="0.3">
      <c r="A683" s="137"/>
      <c r="B683" s="137"/>
      <c r="C683" s="137"/>
      <c r="D683" s="194"/>
      <c r="E683" s="194"/>
      <c r="F683" s="137"/>
      <c r="G683" s="137"/>
      <c r="H683" s="137"/>
      <c r="I683" s="137"/>
      <c r="J683" s="197"/>
      <c r="K683" s="198"/>
      <c r="L683" s="196"/>
      <c r="M683" s="196"/>
      <c r="N683" s="196"/>
      <c r="O683" s="196"/>
      <c r="P683" s="127"/>
    </row>
    <row r="684" spans="1:16" ht="20.25" customHeight="1" x14ac:dyDescent="0.3">
      <c r="A684" s="137"/>
      <c r="B684" s="137"/>
      <c r="C684" s="137"/>
      <c r="D684" s="194"/>
      <c r="E684" s="194"/>
      <c r="F684" s="137"/>
      <c r="G684" s="137"/>
      <c r="H684" s="137"/>
      <c r="I684" s="137"/>
      <c r="J684" s="197"/>
      <c r="K684" s="198"/>
      <c r="L684" s="196"/>
      <c r="M684" s="196"/>
      <c r="N684" s="196"/>
      <c r="O684" s="196"/>
      <c r="P684" s="127"/>
    </row>
    <row r="685" spans="1:16" ht="20.25" customHeight="1" x14ac:dyDescent="0.3">
      <c r="A685" s="137"/>
      <c r="B685" s="137"/>
      <c r="C685" s="137"/>
      <c r="D685" s="194"/>
      <c r="E685" s="194"/>
      <c r="F685" s="137"/>
      <c r="G685" s="137"/>
      <c r="H685" s="137"/>
      <c r="I685" s="137"/>
      <c r="J685" s="197"/>
      <c r="K685" s="198"/>
      <c r="L685" s="196"/>
      <c r="M685" s="196"/>
      <c r="N685" s="196"/>
      <c r="O685" s="196"/>
      <c r="P685" s="127"/>
    </row>
    <row r="686" spans="1:16" ht="20.25" customHeight="1" x14ac:dyDescent="0.3">
      <c r="A686" s="137"/>
      <c r="B686" s="137"/>
      <c r="C686" s="137"/>
      <c r="D686" s="194"/>
      <c r="E686" s="194"/>
      <c r="F686" s="137"/>
      <c r="G686" s="137"/>
      <c r="H686" s="137"/>
      <c r="I686" s="137"/>
      <c r="J686" s="197"/>
      <c r="K686" s="198"/>
      <c r="L686" s="196"/>
      <c r="M686" s="196"/>
      <c r="N686" s="196"/>
      <c r="O686" s="196"/>
      <c r="P686" s="127"/>
    </row>
    <row r="687" spans="1:16" ht="20.25" customHeight="1" x14ac:dyDescent="0.3">
      <c r="A687" s="137"/>
      <c r="B687" s="137"/>
      <c r="C687" s="137"/>
      <c r="D687" s="194"/>
      <c r="E687" s="194"/>
      <c r="F687" s="137"/>
      <c r="G687" s="137"/>
      <c r="H687" s="137"/>
      <c r="I687" s="137"/>
      <c r="J687" s="197"/>
      <c r="K687" s="198"/>
      <c r="L687" s="196"/>
      <c r="M687" s="196"/>
      <c r="N687" s="196"/>
      <c r="O687" s="196"/>
      <c r="P687" s="127"/>
    </row>
    <row r="688" spans="1:16" ht="20.25" customHeight="1" x14ac:dyDescent="0.3">
      <c r="A688" s="137"/>
      <c r="B688" s="137"/>
      <c r="C688" s="137"/>
      <c r="D688" s="194"/>
      <c r="E688" s="194"/>
      <c r="F688" s="137"/>
      <c r="G688" s="137"/>
      <c r="H688" s="137"/>
      <c r="I688" s="137"/>
      <c r="J688" s="197"/>
      <c r="K688" s="198"/>
      <c r="L688" s="196"/>
      <c r="M688" s="196"/>
      <c r="N688" s="196"/>
      <c r="O688" s="196"/>
      <c r="P688" s="127"/>
    </row>
    <row r="689" spans="1:16" ht="20.25" customHeight="1" x14ac:dyDescent="0.3">
      <c r="A689" s="137"/>
      <c r="B689" s="137"/>
      <c r="C689" s="137"/>
      <c r="D689" s="194"/>
      <c r="E689" s="194"/>
      <c r="F689" s="137"/>
      <c r="G689" s="137"/>
      <c r="H689" s="137"/>
      <c r="I689" s="137"/>
      <c r="J689" s="197"/>
      <c r="K689" s="198"/>
      <c r="L689" s="196"/>
      <c r="M689" s="196"/>
      <c r="N689" s="196"/>
      <c r="O689" s="196"/>
      <c r="P689" s="127"/>
    </row>
    <row r="690" spans="1:16" ht="20.25" customHeight="1" x14ac:dyDescent="0.3">
      <c r="A690" s="137"/>
      <c r="B690" s="137"/>
      <c r="C690" s="137"/>
      <c r="D690" s="194"/>
      <c r="E690" s="194"/>
      <c r="F690" s="137"/>
      <c r="G690" s="137"/>
      <c r="H690" s="137"/>
      <c r="I690" s="137"/>
      <c r="J690" s="197"/>
      <c r="K690" s="198"/>
      <c r="L690" s="196"/>
      <c r="M690" s="196"/>
      <c r="N690" s="196"/>
      <c r="O690" s="196"/>
      <c r="P690" s="127"/>
    </row>
    <row r="691" spans="1:16" ht="20.25" customHeight="1" x14ac:dyDescent="0.3">
      <c r="A691" s="137"/>
      <c r="B691" s="137"/>
      <c r="C691" s="137"/>
      <c r="D691" s="194"/>
      <c r="E691" s="194"/>
      <c r="F691" s="137"/>
      <c r="G691" s="137"/>
      <c r="H691" s="137"/>
      <c r="I691" s="137"/>
      <c r="J691" s="197"/>
      <c r="K691" s="198"/>
      <c r="L691" s="196"/>
      <c r="M691" s="196"/>
      <c r="N691" s="196"/>
      <c r="O691" s="196"/>
      <c r="P691" s="127"/>
    </row>
    <row r="692" spans="1:16" ht="20.25" customHeight="1" x14ac:dyDescent="0.3">
      <c r="A692" s="137"/>
      <c r="B692" s="137"/>
      <c r="C692" s="137"/>
      <c r="D692" s="194"/>
      <c r="E692" s="194"/>
      <c r="F692" s="137"/>
      <c r="G692" s="137"/>
      <c r="H692" s="137"/>
      <c r="I692" s="137"/>
      <c r="J692" s="197"/>
      <c r="K692" s="198"/>
      <c r="L692" s="196"/>
      <c r="M692" s="196"/>
      <c r="N692" s="196"/>
      <c r="O692" s="196"/>
      <c r="P692" s="127"/>
    </row>
    <row r="693" spans="1:16" ht="20.25" customHeight="1" x14ac:dyDescent="0.3">
      <c r="A693" s="137"/>
      <c r="B693" s="137"/>
      <c r="C693" s="137"/>
      <c r="D693" s="194"/>
      <c r="E693" s="194"/>
      <c r="F693" s="137"/>
      <c r="G693" s="137"/>
      <c r="H693" s="137"/>
      <c r="I693" s="137"/>
      <c r="J693" s="197"/>
      <c r="K693" s="198"/>
      <c r="L693" s="196"/>
      <c r="M693" s="196"/>
      <c r="N693" s="196"/>
      <c r="O693" s="196"/>
      <c r="P693" s="127"/>
    </row>
    <row r="694" spans="1:16" ht="20.25" customHeight="1" x14ac:dyDescent="0.3">
      <c r="A694" s="137"/>
      <c r="B694" s="137"/>
      <c r="C694" s="137"/>
      <c r="D694" s="194"/>
      <c r="E694" s="194"/>
      <c r="F694" s="137"/>
      <c r="G694" s="137"/>
      <c r="H694" s="137"/>
      <c r="I694" s="137"/>
      <c r="J694" s="197"/>
      <c r="K694" s="198"/>
      <c r="L694" s="196"/>
      <c r="M694" s="196"/>
      <c r="N694" s="196"/>
      <c r="O694" s="196"/>
      <c r="P694" s="127"/>
    </row>
    <row r="695" spans="1:16" ht="20.25" customHeight="1" x14ac:dyDescent="0.3">
      <c r="A695" s="137"/>
      <c r="B695" s="137"/>
      <c r="C695" s="137"/>
      <c r="D695" s="194"/>
      <c r="E695" s="194"/>
      <c r="F695" s="137"/>
      <c r="G695" s="137"/>
      <c r="H695" s="137"/>
      <c r="I695" s="137"/>
      <c r="J695" s="197"/>
      <c r="K695" s="198"/>
      <c r="L695" s="196"/>
      <c r="M695" s="196"/>
      <c r="N695" s="196"/>
      <c r="O695" s="196"/>
      <c r="P695" s="127"/>
    </row>
    <row r="696" spans="1:16" ht="20.25" customHeight="1" x14ac:dyDescent="0.3">
      <c r="A696" s="137"/>
      <c r="B696" s="137"/>
      <c r="C696" s="137"/>
      <c r="D696" s="194"/>
      <c r="E696" s="194"/>
      <c r="F696" s="137"/>
      <c r="G696" s="137"/>
      <c r="H696" s="137"/>
      <c r="I696" s="137"/>
      <c r="J696" s="197"/>
      <c r="K696" s="198"/>
      <c r="L696" s="196"/>
      <c r="M696" s="196"/>
      <c r="N696" s="196"/>
      <c r="O696" s="196"/>
      <c r="P696" s="127"/>
    </row>
    <row r="697" spans="1:16" ht="20.25" customHeight="1" x14ac:dyDescent="0.3">
      <c r="A697" s="137"/>
      <c r="B697" s="137"/>
      <c r="C697" s="137"/>
      <c r="D697" s="194"/>
      <c r="E697" s="194"/>
      <c r="F697" s="137"/>
      <c r="G697" s="137"/>
      <c r="H697" s="137"/>
      <c r="I697" s="137"/>
      <c r="J697" s="197"/>
      <c r="K697" s="198"/>
      <c r="L697" s="196"/>
      <c r="M697" s="196"/>
      <c r="N697" s="196"/>
      <c r="O697" s="196"/>
      <c r="P697" s="127"/>
    </row>
    <row r="698" spans="1:16" ht="20.25" customHeight="1" x14ac:dyDescent="0.3">
      <c r="A698" s="137"/>
      <c r="B698" s="137"/>
      <c r="C698" s="137"/>
      <c r="D698" s="194"/>
      <c r="E698" s="194"/>
      <c r="F698" s="137"/>
      <c r="G698" s="137"/>
      <c r="H698" s="137"/>
      <c r="I698" s="137"/>
      <c r="J698" s="197"/>
      <c r="K698" s="198"/>
      <c r="L698" s="196"/>
      <c r="M698" s="196"/>
      <c r="N698" s="196"/>
      <c r="O698" s="196"/>
      <c r="P698" s="127"/>
    </row>
    <row r="699" spans="1:16" ht="20.25" customHeight="1" x14ac:dyDescent="0.3">
      <c r="A699" s="137"/>
      <c r="B699" s="137"/>
      <c r="C699" s="137"/>
      <c r="D699" s="194"/>
      <c r="E699" s="194"/>
      <c r="F699" s="137"/>
      <c r="G699" s="137"/>
      <c r="H699" s="137"/>
      <c r="I699" s="137"/>
      <c r="J699" s="197"/>
      <c r="K699" s="198"/>
      <c r="L699" s="196"/>
      <c r="M699" s="196"/>
      <c r="N699" s="196"/>
      <c r="O699" s="196"/>
      <c r="P699" s="127"/>
    </row>
    <row r="700" spans="1:16" ht="20.25" customHeight="1" x14ac:dyDescent="0.3">
      <c r="A700" s="137"/>
      <c r="B700" s="137"/>
      <c r="C700" s="137"/>
      <c r="D700" s="194"/>
      <c r="E700" s="194"/>
      <c r="F700" s="137"/>
      <c r="G700" s="137"/>
      <c r="H700" s="137"/>
      <c r="I700" s="137"/>
      <c r="J700" s="197"/>
      <c r="K700" s="198"/>
      <c r="L700" s="196"/>
      <c r="M700" s="196"/>
      <c r="N700" s="196"/>
      <c r="O700" s="196"/>
      <c r="P700" s="127"/>
    </row>
    <row r="701" spans="1:16" ht="20.25" customHeight="1" x14ac:dyDescent="0.3">
      <c r="A701" s="137"/>
      <c r="B701" s="137"/>
      <c r="C701" s="137"/>
      <c r="D701" s="194"/>
      <c r="E701" s="194"/>
      <c r="F701" s="137"/>
      <c r="G701" s="137"/>
      <c r="H701" s="137"/>
      <c r="I701" s="137"/>
      <c r="J701" s="197"/>
      <c r="K701" s="198"/>
      <c r="L701" s="196"/>
      <c r="M701" s="196"/>
      <c r="N701" s="196"/>
      <c r="O701" s="196"/>
      <c r="P701" s="127"/>
    </row>
    <row r="702" spans="1:16" ht="20.25" customHeight="1" x14ac:dyDescent="0.3">
      <c r="A702" s="137"/>
      <c r="B702" s="137"/>
      <c r="C702" s="137"/>
      <c r="D702" s="194"/>
      <c r="E702" s="194"/>
      <c r="F702" s="137"/>
      <c r="G702" s="137"/>
      <c r="H702" s="137"/>
      <c r="I702" s="137"/>
      <c r="J702" s="197"/>
      <c r="K702" s="198"/>
      <c r="L702" s="196"/>
      <c r="M702" s="196"/>
      <c r="N702" s="196"/>
      <c r="O702" s="196"/>
      <c r="P702" s="127"/>
    </row>
    <row r="703" spans="1:16" ht="20.25" customHeight="1" x14ac:dyDescent="0.3">
      <c r="A703" s="137"/>
      <c r="B703" s="137"/>
      <c r="C703" s="137"/>
      <c r="D703" s="194"/>
      <c r="E703" s="194"/>
      <c r="F703" s="137"/>
      <c r="G703" s="137"/>
      <c r="H703" s="137"/>
      <c r="I703" s="137"/>
      <c r="J703" s="197"/>
      <c r="K703" s="198"/>
      <c r="L703" s="196"/>
      <c r="M703" s="196"/>
      <c r="N703" s="196"/>
      <c r="O703" s="196"/>
      <c r="P703" s="127"/>
    </row>
    <row r="704" spans="1:16" ht="20.25" customHeight="1" x14ac:dyDescent="0.3">
      <c r="A704" s="137"/>
      <c r="B704" s="137"/>
      <c r="C704" s="137"/>
      <c r="D704" s="194"/>
      <c r="E704" s="194"/>
      <c r="F704" s="137"/>
      <c r="G704" s="137"/>
      <c r="H704" s="137"/>
      <c r="I704" s="137"/>
      <c r="J704" s="197"/>
      <c r="K704" s="198"/>
      <c r="L704" s="196"/>
      <c r="M704" s="196"/>
      <c r="N704" s="196"/>
      <c r="O704" s="196"/>
      <c r="P704" s="127"/>
    </row>
    <row r="705" spans="1:16" ht="20.25" customHeight="1" x14ac:dyDescent="0.3">
      <c r="A705" s="137"/>
      <c r="B705" s="137"/>
      <c r="C705" s="137"/>
      <c r="D705" s="194"/>
      <c r="E705" s="194"/>
      <c r="F705" s="137"/>
      <c r="G705" s="137"/>
      <c r="H705" s="137"/>
      <c r="I705" s="137"/>
      <c r="J705" s="197"/>
      <c r="K705" s="198"/>
      <c r="L705" s="196"/>
      <c r="M705" s="196"/>
      <c r="N705" s="196"/>
      <c r="O705" s="196"/>
      <c r="P705" s="127"/>
    </row>
    <row r="706" spans="1:16" ht="20.25" customHeight="1" x14ac:dyDescent="0.3">
      <c r="A706" s="137"/>
      <c r="B706" s="137"/>
      <c r="C706" s="137"/>
      <c r="D706" s="194"/>
      <c r="E706" s="194"/>
      <c r="F706" s="137"/>
      <c r="G706" s="137"/>
      <c r="H706" s="137"/>
      <c r="I706" s="137"/>
      <c r="J706" s="197"/>
      <c r="K706" s="198"/>
      <c r="L706" s="196"/>
      <c r="M706" s="196"/>
      <c r="N706" s="196"/>
      <c r="O706" s="196"/>
      <c r="P706" s="127"/>
    </row>
    <row r="707" spans="1:16" ht="20.25" customHeight="1" x14ac:dyDescent="0.3">
      <c r="A707" s="137"/>
      <c r="B707" s="137"/>
      <c r="C707" s="137"/>
      <c r="D707" s="194"/>
      <c r="E707" s="194"/>
      <c r="F707" s="137"/>
      <c r="G707" s="137"/>
      <c r="H707" s="137"/>
      <c r="I707" s="137"/>
      <c r="J707" s="197"/>
      <c r="K707" s="198"/>
      <c r="L707" s="196"/>
      <c r="M707" s="196"/>
      <c r="N707" s="196"/>
      <c r="O707" s="196"/>
      <c r="P707" s="127"/>
    </row>
    <row r="708" spans="1:16" ht="20.25" customHeight="1" x14ac:dyDescent="0.3">
      <c r="A708" s="137"/>
      <c r="B708" s="137"/>
      <c r="C708" s="137"/>
      <c r="D708" s="194"/>
      <c r="E708" s="194"/>
      <c r="F708" s="137"/>
      <c r="G708" s="137"/>
      <c r="H708" s="137"/>
      <c r="I708" s="137"/>
      <c r="J708" s="197"/>
      <c r="K708" s="198"/>
      <c r="L708" s="196"/>
      <c r="M708" s="196"/>
      <c r="N708" s="196"/>
      <c r="O708" s="196"/>
      <c r="P708" s="127"/>
    </row>
    <row r="709" spans="1:16" ht="20.25" customHeight="1" x14ac:dyDescent="0.3">
      <c r="A709" s="137"/>
      <c r="B709" s="137"/>
      <c r="C709" s="137"/>
      <c r="D709" s="194"/>
      <c r="E709" s="194"/>
      <c r="F709" s="137"/>
      <c r="G709" s="137"/>
      <c r="H709" s="137"/>
      <c r="I709" s="137"/>
      <c r="J709" s="197"/>
      <c r="K709" s="198"/>
      <c r="L709" s="196"/>
      <c r="M709" s="196"/>
      <c r="N709" s="196"/>
      <c r="O709" s="196"/>
      <c r="P709" s="127"/>
    </row>
    <row r="710" spans="1:16" ht="20.25" customHeight="1" x14ac:dyDescent="0.3">
      <c r="A710" s="137"/>
      <c r="B710" s="137"/>
      <c r="C710" s="137"/>
      <c r="D710" s="194"/>
      <c r="E710" s="194"/>
      <c r="F710" s="137"/>
      <c r="G710" s="137"/>
      <c r="H710" s="137"/>
      <c r="I710" s="137"/>
      <c r="J710" s="197"/>
      <c r="K710" s="198"/>
      <c r="L710" s="196"/>
      <c r="M710" s="196"/>
      <c r="N710" s="196"/>
      <c r="O710" s="196"/>
      <c r="P710" s="127"/>
    </row>
    <row r="711" spans="1:16" ht="20.25" customHeight="1" x14ac:dyDescent="0.3">
      <c r="A711" s="137"/>
      <c r="B711" s="137"/>
      <c r="C711" s="137"/>
      <c r="D711" s="194"/>
      <c r="E711" s="194"/>
      <c r="F711" s="137"/>
      <c r="G711" s="137"/>
      <c r="H711" s="137"/>
      <c r="I711" s="137"/>
      <c r="J711" s="197"/>
      <c r="K711" s="198"/>
      <c r="L711" s="196"/>
      <c r="M711" s="196"/>
      <c r="N711" s="196"/>
      <c r="O711" s="196"/>
      <c r="P711" s="127"/>
    </row>
    <row r="712" spans="1:16" ht="20.25" customHeight="1" x14ac:dyDescent="0.3">
      <c r="A712" s="137"/>
      <c r="B712" s="137"/>
      <c r="C712" s="137"/>
      <c r="D712" s="194"/>
      <c r="E712" s="194"/>
      <c r="F712" s="137"/>
      <c r="G712" s="137"/>
      <c r="H712" s="137"/>
      <c r="I712" s="137"/>
      <c r="J712" s="197"/>
      <c r="K712" s="198"/>
      <c r="L712" s="196"/>
      <c r="M712" s="196"/>
      <c r="N712" s="196"/>
      <c r="O712" s="196"/>
      <c r="P712" s="127"/>
    </row>
    <row r="713" spans="1:16" ht="20.25" customHeight="1" x14ac:dyDescent="0.3">
      <c r="A713" s="137"/>
      <c r="B713" s="137"/>
      <c r="C713" s="137"/>
      <c r="D713" s="194"/>
      <c r="E713" s="194"/>
      <c r="F713" s="137"/>
      <c r="G713" s="137"/>
      <c r="H713" s="137"/>
      <c r="I713" s="137"/>
      <c r="J713" s="197"/>
      <c r="K713" s="198"/>
      <c r="L713" s="196"/>
      <c r="M713" s="196"/>
      <c r="N713" s="196"/>
      <c r="O713" s="196"/>
      <c r="P713" s="127"/>
    </row>
    <row r="714" spans="1:16" ht="20.25" customHeight="1" x14ac:dyDescent="0.3">
      <c r="A714" s="137"/>
      <c r="B714" s="137"/>
      <c r="C714" s="137"/>
      <c r="D714" s="194"/>
      <c r="E714" s="194"/>
      <c r="F714" s="137"/>
      <c r="G714" s="137"/>
      <c r="H714" s="137"/>
      <c r="I714" s="137"/>
      <c r="J714" s="197"/>
      <c r="K714" s="198"/>
      <c r="L714" s="196"/>
      <c r="M714" s="196"/>
      <c r="N714" s="196"/>
      <c r="O714" s="196"/>
      <c r="P714" s="127"/>
    </row>
    <row r="715" spans="1:16" ht="20.25" customHeight="1" x14ac:dyDescent="0.3">
      <c r="A715" s="137"/>
      <c r="B715" s="137"/>
      <c r="C715" s="137"/>
      <c r="D715" s="194"/>
      <c r="E715" s="194"/>
      <c r="F715" s="137"/>
      <c r="G715" s="137"/>
      <c r="H715" s="137"/>
      <c r="I715" s="137"/>
      <c r="J715" s="197"/>
      <c r="K715" s="198"/>
      <c r="L715" s="196"/>
      <c r="M715" s="196"/>
      <c r="N715" s="196"/>
      <c r="O715" s="196"/>
      <c r="P715" s="127"/>
    </row>
    <row r="716" spans="1:16" ht="20.25" customHeight="1" x14ac:dyDescent="0.3">
      <c r="A716" s="137"/>
      <c r="B716" s="137"/>
      <c r="C716" s="137"/>
      <c r="D716" s="194"/>
      <c r="E716" s="194"/>
      <c r="F716" s="137"/>
      <c r="G716" s="137"/>
      <c r="H716" s="137"/>
      <c r="I716" s="137"/>
      <c r="J716" s="197"/>
      <c r="K716" s="198"/>
      <c r="L716" s="196"/>
      <c r="M716" s="196"/>
      <c r="N716" s="196"/>
      <c r="O716" s="196"/>
      <c r="P716" s="127"/>
    </row>
    <row r="717" spans="1:16" ht="20.25" customHeight="1" x14ac:dyDescent="0.3">
      <c r="A717" s="137"/>
      <c r="B717" s="137"/>
      <c r="C717" s="137"/>
      <c r="D717" s="194"/>
      <c r="E717" s="194"/>
      <c r="F717" s="137"/>
      <c r="G717" s="137"/>
      <c r="H717" s="137"/>
      <c r="I717" s="137"/>
      <c r="J717" s="197"/>
      <c r="K717" s="198"/>
      <c r="L717" s="196"/>
      <c r="M717" s="196"/>
      <c r="N717" s="196"/>
      <c r="O717" s="196"/>
      <c r="P717" s="127"/>
    </row>
    <row r="718" spans="1:16" ht="20.25" customHeight="1" x14ac:dyDescent="0.3">
      <c r="A718" s="137"/>
      <c r="B718" s="137"/>
      <c r="C718" s="137"/>
      <c r="D718" s="194"/>
      <c r="E718" s="194"/>
      <c r="F718" s="137"/>
      <c r="G718" s="137"/>
      <c r="H718" s="137"/>
      <c r="I718" s="137"/>
      <c r="J718" s="197"/>
      <c r="K718" s="198"/>
      <c r="L718" s="196"/>
      <c r="M718" s="196"/>
      <c r="N718" s="196"/>
      <c r="O718" s="196"/>
      <c r="P718" s="127"/>
    </row>
    <row r="719" spans="1:16" ht="20.25" customHeight="1" x14ac:dyDescent="0.3">
      <c r="A719" s="137"/>
      <c r="B719" s="137"/>
      <c r="C719" s="137"/>
      <c r="D719" s="194"/>
      <c r="E719" s="194"/>
      <c r="F719" s="137"/>
      <c r="G719" s="137"/>
      <c r="H719" s="137"/>
      <c r="I719" s="137"/>
      <c r="J719" s="197"/>
      <c r="K719" s="198"/>
      <c r="L719" s="196"/>
      <c r="M719" s="196"/>
      <c r="N719" s="196"/>
      <c r="O719" s="196"/>
      <c r="P719" s="127"/>
    </row>
    <row r="720" spans="1:16" ht="20.25" customHeight="1" x14ac:dyDescent="0.3">
      <c r="A720" s="137"/>
      <c r="B720" s="137"/>
      <c r="C720" s="137"/>
      <c r="D720" s="194"/>
      <c r="E720" s="194"/>
      <c r="F720" s="137"/>
      <c r="G720" s="137"/>
      <c r="H720" s="137"/>
      <c r="I720" s="137"/>
      <c r="J720" s="197"/>
      <c r="K720" s="198"/>
      <c r="L720" s="196"/>
      <c r="M720" s="196"/>
      <c r="N720" s="196"/>
      <c r="O720" s="196"/>
      <c r="P720" s="127"/>
    </row>
    <row r="721" spans="1:16" ht="20.25" customHeight="1" x14ac:dyDescent="0.3">
      <c r="A721" s="137"/>
      <c r="B721" s="137"/>
      <c r="C721" s="137"/>
      <c r="D721" s="194"/>
      <c r="E721" s="194"/>
      <c r="F721" s="137"/>
      <c r="G721" s="137"/>
      <c r="H721" s="137"/>
      <c r="I721" s="137"/>
      <c r="J721" s="197"/>
      <c r="K721" s="198"/>
      <c r="L721" s="196"/>
      <c r="M721" s="196"/>
      <c r="N721" s="196"/>
      <c r="O721" s="196"/>
      <c r="P721" s="127"/>
    </row>
    <row r="722" spans="1:16" ht="20.25" customHeight="1" x14ac:dyDescent="0.3">
      <c r="A722" s="137"/>
      <c r="B722" s="137"/>
      <c r="C722" s="137"/>
      <c r="D722" s="194"/>
      <c r="E722" s="194"/>
      <c r="F722" s="137"/>
      <c r="G722" s="137"/>
      <c r="H722" s="137"/>
      <c r="I722" s="137"/>
      <c r="J722" s="197"/>
      <c r="K722" s="198"/>
      <c r="L722" s="196"/>
      <c r="M722" s="196"/>
      <c r="N722" s="196"/>
      <c r="O722" s="196"/>
      <c r="P722" s="127"/>
    </row>
    <row r="723" spans="1:16" ht="20.25" customHeight="1" x14ac:dyDescent="0.3">
      <c r="A723" s="137"/>
      <c r="B723" s="137"/>
      <c r="C723" s="137"/>
      <c r="D723" s="194"/>
      <c r="E723" s="194"/>
      <c r="F723" s="137"/>
      <c r="G723" s="137"/>
      <c r="H723" s="137"/>
      <c r="I723" s="137"/>
      <c r="J723" s="197"/>
      <c r="K723" s="198"/>
      <c r="L723" s="196"/>
      <c r="M723" s="196"/>
      <c r="N723" s="196"/>
      <c r="O723" s="196"/>
      <c r="P723" s="127"/>
    </row>
    <row r="724" spans="1:16" ht="20.25" customHeight="1" x14ac:dyDescent="0.3">
      <c r="A724" s="137"/>
      <c r="B724" s="137"/>
      <c r="C724" s="137"/>
      <c r="D724" s="194"/>
      <c r="E724" s="194"/>
      <c r="F724" s="137"/>
      <c r="G724" s="137"/>
      <c r="H724" s="137"/>
      <c r="I724" s="137"/>
      <c r="J724" s="197"/>
      <c r="K724" s="198"/>
      <c r="L724" s="196"/>
      <c r="M724" s="196"/>
      <c r="N724" s="196"/>
      <c r="O724" s="196"/>
      <c r="P724" s="127"/>
    </row>
    <row r="725" spans="1:16" ht="20.25" customHeight="1" x14ac:dyDescent="0.3">
      <c r="A725" s="137"/>
      <c r="B725" s="137"/>
      <c r="C725" s="137"/>
      <c r="D725" s="194"/>
      <c r="E725" s="194"/>
      <c r="F725" s="137"/>
      <c r="G725" s="137"/>
      <c r="H725" s="137"/>
      <c r="I725" s="137"/>
      <c r="J725" s="197"/>
      <c r="K725" s="198"/>
      <c r="L725" s="196"/>
      <c r="M725" s="196"/>
      <c r="N725" s="196"/>
      <c r="O725" s="196"/>
      <c r="P725" s="127"/>
    </row>
    <row r="726" spans="1:16" ht="20.25" customHeight="1" x14ac:dyDescent="0.3">
      <c r="A726" s="137"/>
      <c r="B726" s="137"/>
      <c r="C726" s="137"/>
      <c r="D726" s="194"/>
      <c r="E726" s="194"/>
      <c r="F726" s="137"/>
      <c r="G726" s="137"/>
      <c r="H726" s="137"/>
      <c r="I726" s="137"/>
      <c r="J726" s="197"/>
      <c r="K726" s="198"/>
      <c r="L726" s="196"/>
      <c r="M726" s="196"/>
      <c r="N726" s="196"/>
      <c r="O726" s="196"/>
      <c r="P726" s="127"/>
    </row>
    <row r="727" spans="1:16" ht="20.25" customHeight="1" x14ac:dyDescent="0.3">
      <c r="A727" s="137"/>
      <c r="B727" s="137"/>
      <c r="C727" s="137"/>
      <c r="D727" s="194"/>
      <c r="E727" s="194"/>
      <c r="F727" s="137"/>
      <c r="G727" s="137"/>
      <c r="H727" s="137"/>
      <c r="I727" s="137"/>
      <c r="J727" s="197"/>
      <c r="K727" s="198"/>
      <c r="L727" s="196"/>
      <c r="M727" s="196"/>
      <c r="N727" s="196"/>
      <c r="O727" s="196"/>
      <c r="P727" s="127"/>
    </row>
    <row r="728" spans="1:16" ht="20.25" customHeight="1" x14ac:dyDescent="0.3">
      <c r="A728" s="137"/>
      <c r="B728" s="137"/>
      <c r="C728" s="137"/>
      <c r="D728" s="194"/>
      <c r="E728" s="194"/>
      <c r="F728" s="137"/>
      <c r="G728" s="137"/>
      <c r="H728" s="137"/>
      <c r="I728" s="137"/>
      <c r="J728" s="197"/>
      <c r="K728" s="198"/>
      <c r="L728" s="196"/>
      <c r="M728" s="196"/>
      <c r="N728" s="196"/>
      <c r="O728" s="196"/>
      <c r="P728" s="127"/>
    </row>
    <row r="729" spans="1:16" ht="20.25" customHeight="1" x14ac:dyDescent="0.3">
      <c r="A729" s="137"/>
      <c r="B729" s="137"/>
      <c r="C729" s="137"/>
      <c r="D729" s="194"/>
      <c r="E729" s="194"/>
      <c r="F729" s="137"/>
      <c r="G729" s="137"/>
      <c r="H729" s="137"/>
      <c r="I729" s="137"/>
      <c r="J729" s="197"/>
      <c r="K729" s="198"/>
      <c r="L729" s="196"/>
      <c r="M729" s="196"/>
      <c r="N729" s="196"/>
      <c r="O729" s="196"/>
      <c r="P729" s="127"/>
    </row>
    <row r="730" spans="1:16" ht="20.25" customHeight="1" x14ac:dyDescent="0.3">
      <c r="A730" s="137"/>
      <c r="B730" s="137"/>
      <c r="C730" s="137"/>
      <c r="D730" s="194"/>
      <c r="E730" s="194"/>
      <c r="F730" s="137"/>
      <c r="G730" s="137"/>
      <c r="H730" s="137"/>
      <c r="I730" s="137"/>
      <c r="J730" s="197"/>
      <c r="K730" s="198"/>
      <c r="L730" s="196"/>
      <c r="M730" s="196"/>
      <c r="N730" s="196"/>
      <c r="O730" s="196"/>
      <c r="P730" s="127"/>
    </row>
    <row r="731" spans="1:16" ht="20.25" customHeight="1" x14ac:dyDescent="0.3">
      <c r="A731" s="137"/>
      <c r="B731" s="137"/>
      <c r="C731" s="137"/>
      <c r="D731" s="194"/>
      <c r="E731" s="194"/>
      <c r="F731" s="137"/>
      <c r="G731" s="137"/>
      <c r="H731" s="137"/>
      <c r="I731" s="137"/>
      <c r="J731" s="197"/>
      <c r="K731" s="198"/>
      <c r="L731" s="196"/>
      <c r="M731" s="196"/>
      <c r="N731" s="196"/>
      <c r="O731" s="196"/>
      <c r="P731" s="127"/>
    </row>
    <row r="732" spans="1:16" ht="20.25" customHeight="1" x14ac:dyDescent="0.3">
      <c r="A732" s="137"/>
      <c r="B732" s="137"/>
      <c r="C732" s="137"/>
      <c r="D732" s="194"/>
      <c r="E732" s="194"/>
      <c r="F732" s="137"/>
      <c r="G732" s="137"/>
      <c r="H732" s="137"/>
      <c r="I732" s="137"/>
      <c r="J732" s="197"/>
      <c r="K732" s="198"/>
      <c r="L732" s="196"/>
      <c r="M732" s="196"/>
      <c r="N732" s="196"/>
      <c r="O732" s="196"/>
      <c r="P732" s="127"/>
    </row>
    <row r="733" spans="1:16" ht="20.25" customHeight="1" x14ac:dyDescent="0.3">
      <c r="A733" s="137"/>
      <c r="B733" s="137"/>
      <c r="C733" s="137"/>
      <c r="D733" s="194"/>
      <c r="E733" s="194"/>
      <c r="F733" s="137"/>
      <c r="G733" s="137"/>
      <c r="H733" s="137"/>
      <c r="I733" s="137"/>
      <c r="J733" s="197"/>
      <c r="K733" s="198"/>
      <c r="L733" s="196"/>
      <c r="M733" s="196"/>
      <c r="N733" s="196"/>
      <c r="O733" s="196"/>
      <c r="P733" s="127"/>
    </row>
    <row r="734" spans="1:16" ht="20.25" customHeight="1" x14ac:dyDescent="0.3">
      <c r="A734" s="137"/>
      <c r="B734" s="137"/>
      <c r="C734" s="137"/>
      <c r="D734" s="194"/>
      <c r="E734" s="194"/>
      <c r="F734" s="137"/>
      <c r="G734" s="137"/>
      <c r="H734" s="137"/>
      <c r="I734" s="137"/>
      <c r="J734" s="197"/>
      <c r="K734" s="198"/>
      <c r="L734" s="196"/>
      <c r="M734" s="196"/>
      <c r="N734" s="196"/>
      <c r="O734" s="196"/>
      <c r="P734" s="127"/>
    </row>
    <row r="735" spans="1:16" ht="20.25" customHeight="1" x14ac:dyDescent="0.3">
      <c r="A735" s="137"/>
      <c r="B735" s="137"/>
      <c r="C735" s="137"/>
      <c r="D735" s="194"/>
      <c r="E735" s="194"/>
      <c r="F735" s="137"/>
      <c r="G735" s="137"/>
      <c r="H735" s="137"/>
      <c r="I735" s="137"/>
      <c r="J735" s="197"/>
      <c r="K735" s="198"/>
      <c r="L735" s="196"/>
      <c r="M735" s="196"/>
      <c r="N735" s="196"/>
      <c r="O735" s="196"/>
      <c r="P735" s="127"/>
    </row>
    <row r="736" spans="1:16" ht="20.25" customHeight="1" x14ac:dyDescent="0.3">
      <c r="A736" s="137"/>
      <c r="B736" s="137"/>
      <c r="C736" s="137"/>
      <c r="D736" s="194"/>
      <c r="E736" s="194"/>
      <c r="F736" s="137"/>
      <c r="G736" s="137"/>
      <c r="H736" s="137"/>
      <c r="I736" s="137"/>
      <c r="J736" s="197"/>
      <c r="K736" s="198"/>
      <c r="L736" s="196"/>
      <c r="M736" s="196"/>
      <c r="N736" s="196"/>
      <c r="O736" s="196"/>
      <c r="P736" s="127"/>
    </row>
    <row r="737" spans="1:16" ht="20.25" customHeight="1" x14ac:dyDescent="0.3">
      <c r="A737" s="137"/>
      <c r="B737" s="137"/>
      <c r="C737" s="137"/>
      <c r="D737" s="194"/>
      <c r="E737" s="194"/>
      <c r="F737" s="137"/>
      <c r="G737" s="137"/>
      <c r="H737" s="137"/>
      <c r="I737" s="137"/>
      <c r="J737" s="197"/>
      <c r="K737" s="198"/>
      <c r="L737" s="196"/>
      <c r="M737" s="196"/>
      <c r="N737" s="196"/>
      <c r="O737" s="196"/>
      <c r="P737" s="127"/>
    </row>
    <row r="738" spans="1:16" ht="20.25" customHeight="1" x14ac:dyDescent="0.3">
      <c r="A738" s="137"/>
      <c r="B738" s="137"/>
      <c r="C738" s="137"/>
      <c r="D738" s="194"/>
      <c r="E738" s="194"/>
      <c r="F738" s="137"/>
      <c r="G738" s="137"/>
      <c r="H738" s="137"/>
      <c r="I738" s="137"/>
      <c r="J738" s="197"/>
      <c r="K738" s="198"/>
      <c r="L738" s="196"/>
      <c r="M738" s="196"/>
      <c r="N738" s="196"/>
      <c r="O738" s="196"/>
      <c r="P738" s="127"/>
    </row>
    <row r="739" spans="1:16" ht="20.25" customHeight="1" x14ac:dyDescent="0.3">
      <c r="A739" s="137"/>
      <c r="B739" s="137"/>
      <c r="C739" s="137"/>
      <c r="D739" s="194"/>
      <c r="E739" s="194"/>
      <c r="F739" s="137"/>
      <c r="G739" s="137"/>
      <c r="H739" s="137"/>
      <c r="I739" s="137"/>
      <c r="J739" s="197"/>
      <c r="K739" s="198"/>
      <c r="L739" s="196"/>
      <c r="M739" s="196"/>
      <c r="N739" s="196"/>
      <c r="O739" s="196"/>
      <c r="P739" s="127"/>
    </row>
    <row r="740" spans="1:16" ht="20.25" customHeight="1" x14ac:dyDescent="0.3">
      <c r="A740" s="137"/>
      <c r="B740" s="137"/>
      <c r="C740" s="137"/>
      <c r="D740" s="194"/>
      <c r="E740" s="194"/>
      <c r="F740" s="137"/>
      <c r="G740" s="137"/>
      <c r="H740" s="137"/>
      <c r="I740" s="137"/>
      <c r="J740" s="197"/>
      <c r="K740" s="198"/>
      <c r="L740" s="196"/>
      <c r="M740" s="196"/>
      <c r="N740" s="196"/>
      <c r="O740" s="196"/>
      <c r="P740" s="127"/>
    </row>
    <row r="741" spans="1:16" ht="20.25" customHeight="1" x14ac:dyDescent="0.3">
      <c r="A741" s="137"/>
      <c r="B741" s="137"/>
      <c r="C741" s="137"/>
      <c r="D741" s="194"/>
      <c r="E741" s="194"/>
      <c r="F741" s="137"/>
      <c r="G741" s="137"/>
      <c r="H741" s="137"/>
      <c r="I741" s="137"/>
      <c r="J741" s="197"/>
      <c r="K741" s="198"/>
      <c r="L741" s="196"/>
      <c r="M741" s="196"/>
      <c r="N741" s="196"/>
      <c r="O741" s="196"/>
      <c r="P741" s="127"/>
    </row>
    <row r="742" spans="1:16" ht="20.25" customHeight="1" x14ac:dyDescent="0.3">
      <c r="A742" s="137"/>
      <c r="B742" s="137"/>
      <c r="C742" s="137"/>
      <c r="D742" s="194"/>
      <c r="E742" s="194"/>
      <c r="F742" s="137"/>
      <c r="G742" s="137"/>
      <c r="H742" s="137"/>
      <c r="I742" s="137"/>
      <c r="J742" s="197"/>
      <c r="K742" s="198"/>
      <c r="L742" s="196"/>
      <c r="M742" s="196"/>
      <c r="N742" s="196"/>
      <c r="O742" s="196"/>
      <c r="P742" s="127"/>
    </row>
    <row r="743" spans="1:16" ht="20.25" customHeight="1" x14ac:dyDescent="0.3">
      <c r="A743" s="137"/>
      <c r="B743" s="137"/>
      <c r="C743" s="137"/>
      <c r="D743" s="194"/>
      <c r="E743" s="194"/>
      <c r="F743" s="137"/>
      <c r="G743" s="137"/>
      <c r="H743" s="137"/>
      <c r="I743" s="137"/>
      <c r="J743" s="197"/>
      <c r="K743" s="198"/>
      <c r="L743" s="196"/>
      <c r="M743" s="196"/>
      <c r="N743" s="196"/>
      <c r="O743" s="196"/>
      <c r="P743" s="127"/>
    </row>
    <row r="744" spans="1:16" ht="20.25" customHeight="1" x14ac:dyDescent="0.3">
      <c r="A744" s="137"/>
      <c r="B744" s="137"/>
      <c r="C744" s="137"/>
      <c r="D744" s="194"/>
      <c r="E744" s="194"/>
      <c r="F744" s="137"/>
      <c r="G744" s="137"/>
      <c r="H744" s="137"/>
      <c r="I744" s="137"/>
      <c r="J744" s="197"/>
      <c r="K744" s="198"/>
      <c r="L744" s="196"/>
      <c r="M744" s="196"/>
      <c r="N744" s="196"/>
      <c r="O744" s="196"/>
      <c r="P744" s="127"/>
    </row>
    <row r="745" spans="1:16" ht="20.25" customHeight="1" x14ac:dyDescent="0.3">
      <c r="A745" s="137"/>
      <c r="B745" s="137"/>
      <c r="C745" s="137"/>
      <c r="D745" s="194"/>
      <c r="E745" s="194"/>
      <c r="F745" s="137"/>
      <c r="G745" s="137"/>
      <c r="H745" s="137"/>
      <c r="I745" s="137"/>
      <c r="J745" s="197"/>
      <c r="K745" s="198"/>
      <c r="L745" s="196"/>
      <c r="M745" s="196"/>
      <c r="N745" s="196"/>
      <c r="O745" s="196"/>
      <c r="P745" s="127"/>
    </row>
    <row r="746" spans="1:16" ht="20.25" customHeight="1" x14ac:dyDescent="0.3">
      <c r="A746" s="137"/>
      <c r="B746" s="137"/>
      <c r="C746" s="137"/>
      <c r="D746" s="194"/>
      <c r="E746" s="194"/>
      <c r="F746" s="137"/>
      <c r="G746" s="137"/>
      <c r="H746" s="137"/>
      <c r="I746" s="137"/>
      <c r="J746" s="197"/>
      <c r="K746" s="198"/>
      <c r="L746" s="196"/>
      <c r="M746" s="196"/>
      <c r="N746" s="196"/>
      <c r="O746" s="196"/>
      <c r="P746" s="127"/>
    </row>
    <row r="747" spans="1:16" ht="20.25" customHeight="1" x14ac:dyDescent="0.3">
      <c r="A747" s="137"/>
      <c r="B747" s="137"/>
      <c r="C747" s="137"/>
      <c r="D747" s="194"/>
      <c r="E747" s="194"/>
      <c r="F747" s="137"/>
      <c r="G747" s="137"/>
      <c r="H747" s="137"/>
      <c r="I747" s="137"/>
      <c r="J747" s="197"/>
      <c r="K747" s="198"/>
      <c r="L747" s="196"/>
      <c r="M747" s="196"/>
      <c r="N747" s="196"/>
      <c r="O747" s="196"/>
      <c r="P747" s="127"/>
    </row>
    <row r="748" spans="1:16" ht="20.25" customHeight="1" x14ac:dyDescent="0.3">
      <c r="A748" s="137"/>
      <c r="B748" s="137"/>
      <c r="C748" s="137"/>
      <c r="D748" s="194"/>
      <c r="E748" s="194"/>
      <c r="F748" s="137"/>
      <c r="G748" s="137"/>
      <c r="H748" s="137"/>
      <c r="I748" s="137"/>
      <c r="J748" s="197"/>
      <c r="K748" s="198"/>
      <c r="L748" s="196"/>
      <c r="M748" s="196"/>
      <c r="N748" s="196"/>
      <c r="O748" s="196"/>
      <c r="P748" s="127"/>
    </row>
    <row r="749" spans="1:16" ht="20.25" customHeight="1" x14ac:dyDescent="0.3">
      <c r="A749" s="137"/>
      <c r="B749" s="137"/>
      <c r="C749" s="137"/>
      <c r="D749" s="194"/>
      <c r="E749" s="194"/>
      <c r="F749" s="137"/>
      <c r="G749" s="137"/>
      <c r="H749" s="137"/>
      <c r="I749" s="137"/>
      <c r="J749" s="197"/>
      <c r="K749" s="198"/>
      <c r="L749" s="196"/>
      <c r="M749" s="196"/>
      <c r="N749" s="196"/>
      <c r="O749" s="196"/>
      <c r="P749" s="127"/>
    </row>
    <row r="750" spans="1:16" ht="20.25" customHeight="1" x14ac:dyDescent="0.3">
      <c r="A750" s="137"/>
      <c r="B750" s="137"/>
      <c r="C750" s="137"/>
      <c r="D750" s="194"/>
      <c r="E750" s="194"/>
      <c r="F750" s="137"/>
      <c r="G750" s="137"/>
      <c r="H750" s="137"/>
      <c r="I750" s="137"/>
      <c r="J750" s="197"/>
      <c r="K750" s="198"/>
      <c r="L750" s="196"/>
      <c r="M750" s="196"/>
      <c r="N750" s="196"/>
      <c r="O750" s="196"/>
      <c r="P750" s="127"/>
    </row>
    <row r="751" spans="1:16" ht="20.25" customHeight="1" x14ac:dyDescent="0.3">
      <c r="A751" s="137"/>
      <c r="B751" s="137"/>
      <c r="C751" s="137"/>
      <c r="D751" s="194"/>
      <c r="E751" s="194"/>
      <c r="F751" s="137"/>
      <c r="G751" s="137"/>
      <c r="H751" s="137"/>
      <c r="I751" s="137"/>
      <c r="J751" s="197"/>
      <c r="K751" s="198"/>
      <c r="L751" s="196"/>
      <c r="M751" s="196"/>
      <c r="N751" s="196"/>
      <c r="O751" s="196"/>
      <c r="P751" s="127"/>
    </row>
    <row r="752" spans="1:16" ht="20.25" customHeight="1" x14ac:dyDescent="0.3">
      <c r="A752" s="137"/>
      <c r="B752" s="137"/>
      <c r="C752" s="137"/>
      <c r="D752" s="194"/>
      <c r="E752" s="194"/>
      <c r="F752" s="137"/>
      <c r="G752" s="137"/>
      <c r="H752" s="137"/>
      <c r="I752" s="137"/>
      <c r="J752" s="197"/>
      <c r="K752" s="198"/>
      <c r="L752" s="196"/>
      <c r="M752" s="196"/>
      <c r="N752" s="196"/>
      <c r="O752" s="196"/>
      <c r="P752" s="127"/>
    </row>
    <row r="753" spans="1:16" ht="20.25" customHeight="1" x14ac:dyDescent="0.3">
      <c r="A753" s="137"/>
      <c r="B753" s="137"/>
      <c r="C753" s="137"/>
      <c r="D753" s="194"/>
      <c r="E753" s="194"/>
      <c r="F753" s="137"/>
      <c r="G753" s="137"/>
      <c r="H753" s="137"/>
      <c r="I753" s="137"/>
      <c r="J753" s="197"/>
      <c r="K753" s="198"/>
      <c r="L753" s="196"/>
      <c r="M753" s="196"/>
      <c r="N753" s="196"/>
      <c r="O753" s="196"/>
      <c r="P753" s="127"/>
    </row>
    <row r="754" spans="1:16" ht="20.25" customHeight="1" x14ac:dyDescent="0.3">
      <c r="A754" s="137"/>
      <c r="B754" s="137"/>
      <c r="C754" s="137"/>
      <c r="D754" s="194"/>
      <c r="E754" s="194"/>
      <c r="F754" s="137"/>
      <c r="G754" s="137"/>
      <c r="H754" s="137"/>
      <c r="I754" s="137"/>
      <c r="J754" s="197"/>
      <c r="K754" s="198"/>
      <c r="L754" s="196"/>
      <c r="M754" s="196"/>
      <c r="N754" s="196"/>
      <c r="O754" s="196"/>
      <c r="P754" s="127"/>
    </row>
    <row r="755" spans="1:16" ht="20.25" customHeight="1" x14ac:dyDescent="0.3">
      <c r="A755" s="137"/>
      <c r="B755" s="137"/>
      <c r="C755" s="137"/>
      <c r="D755" s="194"/>
      <c r="E755" s="194"/>
      <c r="F755" s="137"/>
      <c r="G755" s="137"/>
      <c r="H755" s="137"/>
      <c r="I755" s="137"/>
      <c r="J755" s="197"/>
      <c r="K755" s="198"/>
      <c r="L755" s="196"/>
      <c r="M755" s="196"/>
      <c r="N755" s="196"/>
      <c r="O755" s="196"/>
      <c r="P755" s="127"/>
    </row>
    <row r="756" spans="1:16" ht="20.25" customHeight="1" x14ac:dyDescent="0.3">
      <c r="A756" s="137"/>
      <c r="B756" s="137"/>
      <c r="C756" s="137"/>
      <c r="D756" s="194"/>
      <c r="E756" s="194"/>
      <c r="F756" s="137"/>
      <c r="G756" s="137"/>
      <c r="H756" s="137"/>
      <c r="I756" s="137"/>
      <c r="J756" s="197"/>
      <c r="K756" s="198"/>
      <c r="L756" s="196"/>
      <c r="M756" s="196"/>
      <c r="N756" s="196"/>
      <c r="O756" s="196"/>
      <c r="P756" s="127"/>
    </row>
    <row r="757" spans="1:16" ht="20.25" customHeight="1" x14ac:dyDescent="0.3">
      <c r="A757" s="137"/>
      <c r="B757" s="137"/>
      <c r="C757" s="137"/>
      <c r="D757" s="194"/>
      <c r="E757" s="194"/>
      <c r="F757" s="137"/>
      <c r="G757" s="137"/>
      <c r="H757" s="137"/>
      <c r="I757" s="137"/>
      <c r="J757" s="197"/>
      <c r="K757" s="198"/>
      <c r="L757" s="196"/>
      <c r="M757" s="196"/>
      <c r="N757" s="196"/>
      <c r="O757" s="196"/>
      <c r="P757" s="127"/>
    </row>
    <row r="758" spans="1:16" ht="20.25" customHeight="1" x14ac:dyDescent="0.3">
      <c r="A758" s="137"/>
      <c r="B758" s="137"/>
      <c r="C758" s="137"/>
      <c r="D758" s="194"/>
      <c r="E758" s="194"/>
      <c r="F758" s="137"/>
      <c r="G758" s="137"/>
      <c r="H758" s="137"/>
      <c r="I758" s="137"/>
      <c r="J758" s="197"/>
      <c r="K758" s="198"/>
      <c r="L758" s="196"/>
      <c r="M758" s="196"/>
      <c r="N758" s="196"/>
      <c r="O758" s="196"/>
      <c r="P758" s="127"/>
    </row>
    <row r="759" spans="1:16" ht="20.25" customHeight="1" x14ac:dyDescent="0.3">
      <c r="A759" s="137"/>
      <c r="B759" s="137"/>
      <c r="C759" s="137"/>
      <c r="D759" s="194"/>
      <c r="E759" s="194"/>
      <c r="F759" s="137"/>
      <c r="G759" s="137"/>
      <c r="H759" s="137"/>
      <c r="I759" s="137"/>
      <c r="J759" s="197"/>
      <c r="K759" s="198"/>
      <c r="L759" s="196"/>
      <c r="M759" s="196"/>
      <c r="N759" s="196"/>
      <c r="O759" s="196"/>
      <c r="P759" s="127"/>
    </row>
    <row r="760" spans="1:16" ht="20.25" customHeight="1" x14ac:dyDescent="0.3">
      <c r="A760" s="137"/>
      <c r="B760" s="137"/>
      <c r="C760" s="137"/>
      <c r="D760" s="194"/>
      <c r="E760" s="194"/>
      <c r="F760" s="137"/>
      <c r="G760" s="137"/>
      <c r="H760" s="137"/>
      <c r="I760" s="137"/>
      <c r="J760" s="197"/>
      <c r="K760" s="198"/>
      <c r="L760" s="196"/>
      <c r="M760" s="196"/>
      <c r="N760" s="196"/>
      <c r="O760" s="196"/>
      <c r="P760" s="127"/>
    </row>
    <row r="761" spans="1:16" ht="20.25" customHeight="1" x14ac:dyDescent="0.3">
      <c r="A761" s="137"/>
      <c r="B761" s="137"/>
      <c r="C761" s="137"/>
      <c r="D761" s="194"/>
      <c r="E761" s="194"/>
      <c r="F761" s="137"/>
      <c r="G761" s="137"/>
      <c r="H761" s="137"/>
      <c r="I761" s="137"/>
      <c r="J761" s="197"/>
      <c r="K761" s="198"/>
      <c r="L761" s="196"/>
      <c r="M761" s="196"/>
      <c r="N761" s="196"/>
      <c r="O761" s="196"/>
      <c r="P761" s="127"/>
    </row>
    <row r="762" spans="1:16" ht="20.25" customHeight="1" x14ac:dyDescent="0.3">
      <c r="A762" s="137"/>
      <c r="B762" s="137"/>
      <c r="C762" s="137"/>
      <c r="D762" s="194"/>
      <c r="E762" s="194"/>
      <c r="F762" s="137"/>
      <c r="G762" s="137"/>
      <c r="H762" s="137"/>
      <c r="I762" s="137"/>
      <c r="J762" s="197"/>
      <c r="K762" s="198"/>
      <c r="L762" s="196"/>
      <c r="M762" s="196"/>
      <c r="N762" s="196"/>
      <c r="O762" s="196"/>
      <c r="P762" s="127"/>
    </row>
    <row r="763" spans="1:16" ht="20.25" customHeight="1" x14ac:dyDescent="0.3">
      <c r="A763" s="137"/>
      <c r="B763" s="137"/>
      <c r="C763" s="137"/>
      <c r="D763" s="194"/>
      <c r="E763" s="194"/>
      <c r="F763" s="137"/>
      <c r="G763" s="137"/>
      <c r="H763" s="137"/>
      <c r="I763" s="137"/>
      <c r="J763" s="197"/>
      <c r="K763" s="198"/>
      <c r="L763" s="196"/>
      <c r="M763" s="196"/>
      <c r="N763" s="196"/>
      <c r="O763" s="196"/>
      <c r="P763" s="127"/>
    </row>
    <row r="764" spans="1:16" ht="20.25" customHeight="1" x14ac:dyDescent="0.3">
      <c r="A764" s="137"/>
      <c r="B764" s="137"/>
      <c r="C764" s="137"/>
      <c r="D764" s="194"/>
      <c r="E764" s="194"/>
      <c r="F764" s="137"/>
      <c r="G764" s="137"/>
      <c r="H764" s="137"/>
      <c r="I764" s="137"/>
      <c r="J764" s="197"/>
      <c r="K764" s="198"/>
      <c r="L764" s="196"/>
      <c r="M764" s="196"/>
      <c r="N764" s="196"/>
      <c r="O764" s="196"/>
      <c r="P764" s="127"/>
    </row>
    <row r="765" spans="1:16" ht="20.25" customHeight="1" x14ac:dyDescent="0.3">
      <c r="A765" s="137"/>
      <c r="B765" s="137"/>
      <c r="C765" s="137"/>
      <c r="D765" s="194"/>
      <c r="E765" s="194"/>
      <c r="F765" s="137"/>
      <c r="G765" s="137"/>
      <c r="H765" s="137"/>
      <c r="I765" s="137"/>
      <c r="J765" s="197"/>
      <c r="K765" s="198"/>
      <c r="L765" s="196"/>
      <c r="M765" s="196"/>
      <c r="N765" s="196"/>
      <c r="O765" s="196"/>
      <c r="P765" s="127"/>
    </row>
    <row r="766" spans="1:16" ht="20.25" customHeight="1" x14ac:dyDescent="0.3">
      <c r="A766" s="137"/>
      <c r="B766" s="137"/>
      <c r="C766" s="137"/>
      <c r="D766" s="194"/>
      <c r="E766" s="194"/>
      <c r="F766" s="137"/>
      <c r="G766" s="137"/>
      <c r="H766" s="137"/>
      <c r="I766" s="137"/>
      <c r="J766" s="197"/>
      <c r="K766" s="198"/>
      <c r="L766" s="196"/>
      <c r="M766" s="196"/>
      <c r="N766" s="196"/>
      <c r="O766" s="196"/>
      <c r="P766" s="127"/>
    </row>
    <row r="767" spans="1:16" ht="20.25" customHeight="1" x14ac:dyDescent="0.3">
      <c r="A767" s="137"/>
      <c r="B767" s="137"/>
      <c r="C767" s="137"/>
      <c r="D767" s="194"/>
      <c r="E767" s="194"/>
      <c r="F767" s="137"/>
      <c r="G767" s="137"/>
      <c r="H767" s="137"/>
      <c r="I767" s="137"/>
      <c r="J767" s="197"/>
      <c r="K767" s="198"/>
      <c r="L767" s="196"/>
      <c r="M767" s="196"/>
      <c r="N767" s="196"/>
      <c r="O767" s="196"/>
      <c r="P767" s="127"/>
    </row>
    <row r="768" spans="1:16" ht="20.25" customHeight="1" x14ac:dyDescent="0.3">
      <c r="A768" s="137"/>
      <c r="B768" s="137"/>
      <c r="C768" s="137"/>
      <c r="D768" s="194"/>
      <c r="E768" s="194"/>
      <c r="F768" s="137"/>
      <c r="G768" s="137"/>
      <c r="H768" s="137"/>
      <c r="I768" s="137"/>
      <c r="J768" s="197"/>
      <c r="K768" s="198"/>
      <c r="L768" s="196"/>
      <c r="M768" s="196"/>
      <c r="N768" s="196"/>
      <c r="O768" s="196"/>
      <c r="P768" s="127"/>
    </row>
    <row r="769" spans="1:16" ht="20.25" customHeight="1" x14ac:dyDescent="0.3">
      <c r="A769" s="137"/>
      <c r="B769" s="137"/>
      <c r="C769" s="137"/>
      <c r="D769" s="194"/>
      <c r="E769" s="194"/>
      <c r="F769" s="137"/>
      <c r="G769" s="137"/>
      <c r="H769" s="137"/>
      <c r="I769" s="137"/>
      <c r="J769" s="197"/>
      <c r="K769" s="198"/>
      <c r="L769" s="196"/>
      <c r="M769" s="196"/>
      <c r="N769" s="196"/>
      <c r="O769" s="196"/>
      <c r="P769" s="127"/>
    </row>
    <row r="770" spans="1:16" ht="20.25" customHeight="1" x14ac:dyDescent="0.3">
      <c r="A770" s="137"/>
      <c r="B770" s="137"/>
      <c r="C770" s="137"/>
      <c r="D770" s="194"/>
      <c r="E770" s="194"/>
      <c r="F770" s="137"/>
      <c r="G770" s="137"/>
      <c r="H770" s="137"/>
      <c r="I770" s="137"/>
      <c r="J770" s="197"/>
      <c r="K770" s="198"/>
      <c r="L770" s="196"/>
      <c r="M770" s="196"/>
      <c r="N770" s="196"/>
      <c r="O770" s="196"/>
      <c r="P770" s="127"/>
    </row>
    <row r="771" spans="1:16" ht="20.25" customHeight="1" x14ac:dyDescent="0.3">
      <c r="A771" s="137"/>
      <c r="B771" s="137"/>
      <c r="C771" s="137"/>
      <c r="D771" s="194"/>
      <c r="E771" s="194"/>
      <c r="F771" s="137"/>
      <c r="G771" s="137"/>
      <c r="H771" s="137"/>
      <c r="I771" s="137"/>
      <c r="J771" s="197"/>
      <c r="K771" s="198"/>
      <c r="L771" s="196"/>
      <c r="M771" s="196"/>
      <c r="N771" s="196"/>
      <c r="O771" s="196"/>
      <c r="P771" s="127"/>
    </row>
    <row r="772" spans="1:16" ht="20.25" customHeight="1" x14ac:dyDescent="0.3">
      <c r="A772" s="137"/>
      <c r="B772" s="137"/>
      <c r="C772" s="137"/>
      <c r="D772" s="194"/>
      <c r="E772" s="194"/>
      <c r="F772" s="137"/>
      <c r="G772" s="137"/>
      <c r="H772" s="137"/>
      <c r="I772" s="137"/>
      <c r="J772" s="197"/>
      <c r="K772" s="198"/>
      <c r="L772" s="196"/>
      <c r="M772" s="196"/>
      <c r="N772" s="196"/>
      <c r="O772" s="196"/>
      <c r="P772" s="127"/>
    </row>
    <row r="773" spans="1:16" ht="20.25" customHeight="1" x14ac:dyDescent="0.3">
      <c r="A773" s="137"/>
      <c r="B773" s="137"/>
      <c r="C773" s="137"/>
      <c r="D773" s="194"/>
      <c r="E773" s="194"/>
      <c r="F773" s="137"/>
      <c r="G773" s="137"/>
      <c r="H773" s="137"/>
      <c r="I773" s="137"/>
      <c r="J773" s="197"/>
      <c r="K773" s="198"/>
      <c r="L773" s="196"/>
      <c r="M773" s="196"/>
      <c r="N773" s="196"/>
      <c r="O773" s="196"/>
      <c r="P773" s="127"/>
    </row>
    <row r="774" spans="1:16" ht="20.25" customHeight="1" x14ac:dyDescent="0.3">
      <c r="A774" s="137"/>
      <c r="B774" s="137"/>
      <c r="C774" s="137"/>
      <c r="D774" s="194"/>
      <c r="E774" s="194"/>
      <c r="F774" s="137"/>
      <c r="G774" s="137"/>
      <c r="H774" s="137"/>
      <c r="I774" s="137"/>
      <c r="J774" s="197"/>
      <c r="K774" s="198"/>
      <c r="L774" s="196"/>
      <c r="M774" s="196"/>
      <c r="N774" s="196"/>
      <c r="O774" s="196"/>
      <c r="P774" s="127"/>
    </row>
    <row r="775" spans="1:16" ht="20.25" customHeight="1" x14ac:dyDescent="0.3">
      <c r="A775" s="137"/>
      <c r="B775" s="137"/>
      <c r="C775" s="137"/>
      <c r="D775" s="194"/>
      <c r="E775" s="194"/>
      <c r="F775" s="137"/>
      <c r="G775" s="137"/>
      <c r="H775" s="137"/>
      <c r="I775" s="137"/>
      <c r="J775" s="197"/>
      <c r="K775" s="198"/>
      <c r="L775" s="196"/>
      <c r="M775" s="196"/>
      <c r="N775" s="196"/>
      <c r="O775" s="196"/>
      <c r="P775" s="127"/>
    </row>
    <row r="776" spans="1:16" ht="20.25" customHeight="1" x14ac:dyDescent="0.3">
      <c r="A776" s="137"/>
      <c r="B776" s="137"/>
      <c r="C776" s="137"/>
      <c r="D776" s="194"/>
      <c r="E776" s="194"/>
      <c r="F776" s="137"/>
      <c r="G776" s="137"/>
      <c r="H776" s="137"/>
      <c r="I776" s="137"/>
      <c r="J776" s="197"/>
      <c r="K776" s="198"/>
      <c r="L776" s="196"/>
      <c r="M776" s="196"/>
      <c r="N776" s="196"/>
      <c r="O776" s="196"/>
      <c r="P776" s="127"/>
    </row>
    <row r="777" spans="1:16" ht="20.25" customHeight="1" x14ac:dyDescent="0.3">
      <c r="A777" s="137"/>
      <c r="B777" s="137"/>
      <c r="C777" s="137"/>
      <c r="D777" s="194"/>
      <c r="E777" s="194"/>
      <c r="F777" s="137"/>
      <c r="G777" s="137"/>
      <c r="H777" s="137"/>
      <c r="I777" s="137"/>
      <c r="J777" s="197"/>
      <c r="K777" s="198"/>
      <c r="L777" s="196"/>
      <c r="M777" s="196"/>
      <c r="N777" s="196"/>
      <c r="O777" s="196"/>
      <c r="P777" s="127"/>
    </row>
    <row r="778" spans="1:16" ht="20.25" customHeight="1" x14ac:dyDescent="0.3">
      <c r="A778" s="137"/>
      <c r="B778" s="137"/>
      <c r="C778" s="137"/>
      <c r="D778" s="194"/>
      <c r="E778" s="194"/>
      <c r="F778" s="137"/>
      <c r="G778" s="137"/>
      <c r="H778" s="137"/>
      <c r="I778" s="137"/>
      <c r="J778" s="197"/>
      <c r="K778" s="198"/>
      <c r="L778" s="196"/>
      <c r="M778" s="196"/>
      <c r="N778" s="196"/>
      <c r="O778" s="196"/>
      <c r="P778" s="127"/>
    </row>
    <row r="779" spans="1:16" ht="20.25" customHeight="1" x14ac:dyDescent="0.3">
      <c r="A779" s="137"/>
      <c r="B779" s="137"/>
      <c r="C779" s="137"/>
      <c r="D779" s="194"/>
      <c r="E779" s="194"/>
      <c r="F779" s="137"/>
      <c r="G779" s="137"/>
      <c r="H779" s="137"/>
      <c r="I779" s="137"/>
      <c r="J779" s="197"/>
      <c r="K779" s="198"/>
      <c r="L779" s="196"/>
      <c r="M779" s="196"/>
      <c r="N779" s="196"/>
      <c r="O779" s="196"/>
      <c r="P779" s="127"/>
    </row>
    <row r="780" spans="1:16" ht="20.25" customHeight="1" x14ac:dyDescent="0.3">
      <c r="A780" s="137"/>
      <c r="B780" s="137"/>
      <c r="C780" s="137"/>
      <c r="D780" s="194"/>
      <c r="E780" s="194"/>
      <c r="F780" s="137"/>
      <c r="G780" s="137"/>
      <c r="H780" s="137"/>
      <c r="I780" s="137"/>
      <c r="J780" s="197"/>
      <c r="K780" s="198"/>
      <c r="L780" s="196"/>
      <c r="M780" s="196"/>
      <c r="N780" s="196"/>
      <c r="O780" s="196"/>
      <c r="P780" s="127"/>
    </row>
    <row r="781" spans="1:16" ht="20.25" customHeight="1" x14ac:dyDescent="0.3">
      <c r="A781" s="137"/>
      <c r="B781" s="137"/>
      <c r="C781" s="137"/>
      <c r="D781" s="194"/>
      <c r="E781" s="194"/>
      <c r="F781" s="137"/>
      <c r="G781" s="137"/>
      <c r="H781" s="137"/>
      <c r="I781" s="137"/>
      <c r="J781" s="197"/>
      <c r="K781" s="198"/>
      <c r="L781" s="196"/>
      <c r="M781" s="196"/>
      <c r="N781" s="196"/>
      <c r="O781" s="196"/>
      <c r="P781" s="127"/>
    </row>
    <row r="782" spans="1:16" ht="20.25" customHeight="1" x14ac:dyDescent="0.3">
      <c r="A782" s="137"/>
      <c r="B782" s="137"/>
      <c r="C782" s="137"/>
      <c r="D782" s="194"/>
      <c r="E782" s="194"/>
      <c r="F782" s="137"/>
      <c r="G782" s="137"/>
      <c r="H782" s="137"/>
      <c r="I782" s="137"/>
      <c r="J782" s="197"/>
      <c r="K782" s="198"/>
      <c r="L782" s="196"/>
      <c r="M782" s="196"/>
      <c r="N782" s="196"/>
      <c r="O782" s="196"/>
      <c r="P782" s="127"/>
    </row>
    <row r="783" spans="1:16" ht="20.25" customHeight="1" x14ac:dyDescent="0.3">
      <c r="A783" s="137"/>
      <c r="B783" s="137"/>
      <c r="C783" s="137"/>
      <c r="D783" s="194"/>
      <c r="E783" s="194"/>
      <c r="F783" s="137"/>
      <c r="G783" s="137"/>
      <c r="H783" s="137"/>
      <c r="I783" s="137"/>
      <c r="J783" s="197"/>
      <c r="K783" s="198"/>
      <c r="L783" s="196"/>
      <c r="M783" s="196"/>
      <c r="N783" s="196"/>
      <c r="O783" s="196"/>
      <c r="P783" s="127"/>
    </row>
    <row r="784" spans="1:16" ht="20.25" customHeight="1" x14ac:dyDescent="0.3">
      <c r="A784" s="137"/>
      <c r="B784" s="137"/>
      <c r="C784" s="137"/>
      <c r="D784" s="194"/>
      <c r="E784" s="194"/>
      <c r="F784" s="137"/>
      <c r="G784" s="137"/>
      <c r="H784" s="137"/>
      <c r="I784" s="137"/>
      <c r="J784" s="197"/>
      <c r="K784" s="198"/>
      <c r="L784" s="196"/>
      <c r="M784" s="196"/>
      <c r="N784" s="196"/>
      <c r="O784" s="196"/>
      <c r="P784" s="127"/>
    </row>
    <row r="785" spans="1:16" ht="20.25" customHeight="1" x14ac:dyDescent="0.3">
      <c r="A785" s="137"/>
      <c r="B785" s="137"/>
      <c r="C785" s="137"/>
      <c r="D785" s="194"/>
      <c r="E785" s="194"/>
      <c r="F785" s="137"/>
      <c r="G785" s="137"/>
      <c r="H785" s="137"/>
      <c r="I785" s="137"/>
      <c r="J785" s="197"/>
      <c r="K785" s="198"/>
      <c r="L785" s="196"/>
      <c r="M785" s="196"/>
      <c r="N785" s="196"/>
      <c r="O785" s="196"/>
      <c r="P785" s="127"/>
    </row>
    <row r="786" spans="1:16" ht="20.25" customHeight="1" x14ac:dyDescent="0.3">
      <c r="A786" s="137"/>
      <c r="B786" s="137"/>
      <c r="C786" s="137"/>
      <c r="D786" s="194"/>
      <c r="E786" s="194"/>
      <c r="F786" s="137"/>
      <c r="G786" s="137"/>
      <c r="H786" s="137"/>
      <c r="I786" s="137"/>
      <c r="J786" s="197"/>
      <c r="K786" s="198"/>
      <c r="L786" s="196"/>
      <c r="M786" s="196"/>
      <c r="N786" s="196"/>
      <c r="O786" s="196"/>
      <c r="P786" s="127"/>
    </row>
    <row r="787" spans="1:16" ht="20.25" customHeight="1" x14ac:dyDescent="0.3">
      <c r="A787" s="137"/>
      <c r="B787" s="137"/>
      <c r="C787" s="137"/>
      <c r="D787" s="194"/>
      <c r="E787" s="194"/>
      <c r="F787" s="137"/>
      <c r="G787" s="137"/>
      <c r="H787" s="137"/>
      <c r="I787" s="137"/>
      <c r="J787" s="197"/>
      <c r="K787" s="198"/>
      <c r="L787" s="196"/>
      <c r="M787" s="196"/>
      <c r="N787" s="196"/>
      <c r="O787" s="196"/>
      <c r="P787" s="127"/>
    </row>
    <row r="788" spans="1:16" ht="20.25" customHeight="1" x14ac:dyDescent="0.3">
      <c r="A788" s="137"/>
      <c r="B788" s="137"/>
      <c r="C788" s="137"/>
      <c r="D788" s="194"/>
      <c r="E788" s="194"/>
      <c r="F788" s="137"/>
      <c r="G788" s="137"/>
      <c r="H788" s="137"/>
      <c r="I788" s="137"/>
      <c r="J788" s="197"/>
      <c r="K788" s="198"/>
      <c r="L788" s="196"/>
      <c r="M788" s="196"/>
      <c r="N788" s="196"/>
      <c r="O788" s="196"/>
      <c r="P788" s="127"/>
    </row>
    <row r="789" spans="1:16" ht="20.25" customHeight="1" x14ac:dyDescent="0.3">
      <c r="A789" s="137"/>
      <c r="B789" s="137"/>
      <c r="C789" s="137"/>
      <c r="D789" s="194"/>
      <c r="E789" s="194"/>
      <c r="F789" s="137"/>
      <c r="G789" s="137"/>
      <c r="H789" s="137"/>
      <c r="I789" s="137"/>
      <c r="J789" s="197"/>
      <c r="K789" s="198"/>
      <c r="L789" s="196"/>
      <c r="M789" s="196"/>
      <c r="N789" s="196"/>
      <c r="O789" s="196"/>
      <c r="P789" s="127"/>
    </row>
    <row r="790" spans="1:16" ht="20.25" customHeight="1" x14ac:dyDescent="0.3">
      <c r="A790" s="137"/>
      <c r="B790" s="137"/>
      <c r="C790" s="137"/>
      <c r="D790" s="194"/>
      <c r="E790" s="194"/>
      <c r="F790" s="137"/>
      <c r="G790" s="137"/>
      <c r="H790" s="137"/>
      <c r="I790" s="137"/>
      <c r="J790" s="197"/>
      <c r="K790" s="198"/>
      <c r="L790" s="196"/>
      <c r="M790" s="196"/>
      <c r="N790" s="196"/>
      <c r="O790" s="196"/>
      <c r="P790" s="127"/>
    </row>
    <row r="791" spans="1:16" ht="20.25" customHeight="1" x14ac:dyDescent="0.3">
      <c r="A791" s="137"/>
      <c r="B791" s="137"/>
      <c r="C791" s="137"/>
      <c r="D791" s="194"/>
      <c r="E791" s="194"/>
      <c r="F791" s="137"/>
      <c r="G791" s="137"/>
      <c r="H791" s="137"/>
      <c r="I791" s="137"/>
      <c r="J791" s="197"/>
      <c r="K791" s="198"/>
      <c r="L791" s="196"/>
      <c r="M791" s="196"/>
      <c r="N791" s="196"/>
      <c r="O791" s="196"/>
      <c r="P791" s="127"/>
    </row>
    <row r="792" spans="1:16" ht="20.25" customHeight="1" x14ac:dyDescent="0.3">
      <c r="A792" s="137"/>
      <c r="B792" s="137"/>
      <c r="C792" s="137"/>
      <c r="D792" s="194"/>
      <c r="E792" s="194"/>
      <c r="F792" s="137"/>
      <c r="G792" s="137"/>
      <c r="H792" s="137"/>
      <c r="I792" s="137"/>
      <c r="J792" s="197"/>
      <c r="K792" s="198"/>
      <c r="L792" s="196"/>
      <c r="M792" s="196"/>
      <c r="N792" s="196"/>
      <c r="O792" s="196"/>
      <c r="P792" s="127"/>
    </row>
    <row r="793" spans="1:16" ht="20.25" customHeight="1" x14ac:dyDescent="0.3">
      <c r="A793" s="137"/>
      <c r="B793" s="137"/>
      <c r="C793" s="137"/>
      <c r="D793" s="194"/>
      <c r="E793" s="194"/>
      <c r="F793" s="137"/>
      <c r="G793" s="137"/>
      <c r="H793" s="137"/>
      <c r="I793" s="137"/>
      <c r="J793" s="197"/>
      <c r="K793" s="198"/>
      <c r="L793" s="196"/>
      <c r="M793" s="196"/>
      <c r="N793" s="196"/>
      <c r="O793" s="196"/>
      <c r="P793" s="127"/>
    </row>
    <row r="794" spans="1:16" ht="20.25" customHeight="1" x14ac:dyDescent="0.3">
      <c r="A794" s="137"/>
      <c r="B794" s="137"/>
      <c r="C794" s="137"/>
      <c r="D794" s="194"/>
      <c r="E794" s="194"/>
      <c r="F794" s="137"/>
      <c r="G794" s="137"/>
      <c r="H794" s="137"/>
      <c r="I794" s="137"/>
      <c r="J794" s="197"/>
      <c r="K794" s="198"/>
      <c r="L794" s="196"/>
      <c r="M794" s="196"/>
      <c r="N794" s="196"/>
      <c r="O794" s="196"/>
      <c r="P794" s="127"/>
    </row>
    <row r="795" spans="1:16" ht="20.25" customHeight="1" x14ac:dyDescent="0.3">
      <c r="A795" s="137"/>
      <c r="B795" s="137"/>
      <c r="C795" s="137"/>
      <c r="D795" s="194"/>
      <c r="E795" s="194"/>
      <c r="F795" s="137"/>
      <c r="G795" s="137"/>
      <c r="H795" s="137"/>
      <c r="I795" s="137"/>
      <c r="J795" s="197"/>
      <c r="K795" s="198"/>
      <c r="L795" s="196"/>
      <c r="M795" s="196"/>
      <c r="N795" s="196"/>
      <c r="O795" s="196"/>
      <c r="P795" s="127"/>
    </row>
    <row r="796" spans="1:16" ht="20.25" customHeight="1" x14ac:dyDescent="0.3">
      <c r="A796" s="137"/>
      <c r="B796" s="137"/>
      <c r="C796" s="137"/>
      <c r="D796" s="194"/>
      <c r="E796" s="194"/>
      <c r="F796" s="137"/>
      <c r="G796" s="137"/>
      <c r="H796" s="137"/>
      <c r="I796" s="137"/>
      <c r="J796" s="197"/>
      <c r="K796" s="198"/>
      <c r="L796" s="196"/>
      <c r="M796" s="196"/>
      <c r="N796" s="196"/>
      <c r="O796" s="196"/>
      <c r="P796" s="127"/>
    </row>
    <row r="797" spans="1:16" ht="20.25" customHeight="1" x14ac:dyDescent="0.3">
      <c r="A797" s="137"/>
      <c r="B797" s="137"/>
      <c r="C797" s="137"/>
      <c r="D797" s="194"/>
      <c r="E797" s="194"/>
      <c r="F797" s="137"/>
      <c r="G797" s="137"/>
      <c r="H797" s="137"/>
      <c r="I797" s="137"/>
      <c r="J797" s="197"/>
      <c r="K797" s="198"/>
      <c r="L797" s="196"/>
      <c r="M797" s="196"/>
      <c r="N797" s="196"/>
      <c r="O797" s="196"/>
      <c r="P797" s="127"/>
    </row>
    <row r="798" spans="1:16" ht="20.25" customHeight="1" x14ac:dyDescent="0.3">
      <c r="A798" s="137"/>
      <c r="B798" s="137"/>
      <c r="C798" s="137"/>
      <c r="D798" s="194"/>
      <c r="E798" s="194"/>
      <c r="F798" s="137"/>
      <c r="G798" s="137"/>
      <c r="H798" s="137"/>
      <c r="I798" s="137"/>
      <c r="J798" s="197"/>
      <c r="K798" s="198"/>
      <c r="L798" s="196"/>
      <c r="M798" s="196"/>
      <c r="N798" s="196"/>
      <c r="O798" s="196"/>
      <c r="P798" s="127"/>
    </row>
    <row r="799" spans="1:16" ht="20.25" customHeight="1" x14ac:dyDescent="0.3">
      <c r="A799" s="137"/>
      <c r="B799" s="137"/>
      <c r="C799" s="137"/>
      <c r="D799" s="194"/>
      <c r="E799" s="194"/>
      <c r="F799" s="137"/>
      <c r="G799" s="137"/>
      <c r="H799" s="137"/>
      <c r="I799" s="137"/>
      <c r="J799" s="197"/>
      <c r="K799" s="198"/>
      <c r="L799" s="196"/>
      <c r="M799" s="196"/>
      <c r="N799" s="196"/>
      <c r="O799" s="196"/>
      <c r="P799" s="127"/>
    </row>
    <row r="800" spans="1:16" ht="20.25" customHeight="1" x14ac:dyDescent="0.3">
      <c r="A800" s="137"/>
      <c r="B800" s="137"/>
      <c r="C800" s="137"/>
      <c r="D800" s="194"/>
      <c r="E800" s="194"/>
      <c r="F800" s="137"/>
      <c r="G800" s="137"/>
      <c r="H800" s="137"/>
      <c r="I800" s="137"/>
      <c r="J800" s="197"/>
      <c r="K800" s="198"/>
      <c r="L800" s="196"/>
      <c r="M800" s="196"/>
      <c r="N800" s="196"/>
      <c r="O800" s="196"/>
      <c r="P800" s="127"/>
    </row>
    <row r="801" spans="1:16" ht="20.25" customHeight="1" x14ac:dyDescent="0.3">
      <c r="A801" s="137"/>
      <c r="B801" s="137"/>
      <c r="C801" s="137"/>
      <c r="D801" s="194"/>
      <c r="E801" s="194"/>
      <c r="F801" s="137"/>
      <c r="G801" s="137"/>
      <c r="H801" s="137"/>
      <c r="I801" s="137"/>
      <c r="J801" s="197"/>
      <c r="K801" s="198"/>
      <c r="L801" s="196"/>
      <c r="M801" s="196"/>
      <c r="N801" s="196"/>
      <c r="O801" s="196"/>
      <c r="P801" s="127"/>
    </row>
    <row r="802" spans="1:16" ht="20.25" customHeight="1" x14ac:dyDescent="0.3">
      <c r="A802" s="137"/>
      <c r="B802" s="137"/>
      <c r="C802" s="137"/>
      <c r="D802" s="194"/>
      <c r="E802" s="194"/>
      <c r="F802" s="137"/>
      <c r="G802" s="137"/>
      <c r="H802" s="137"/>
      <c r="I802" s="137"/>
      <c r="J802" s="197"/>
      <c r="K802" s="198"/>
      <c r="L802" s="196"/>
      <c r="M802" s="196"/>
      <c r="N802" s="196"/>
      <c r="O802" s="196"/>
      <c r="P802" s="127"/>
    </row>
    <row r="803" spans="1:16" ht="20.25" customHeight="1" x14ac:dyDescent="0.3">
      <c r="A803" s="137"/>
      <c r="B803" s="137"/>
      <c r="C803" s="137"/>
      <c r="D803" s="194"/>
      <c r="E803" s="194"/>
      <c r="F803" s="137"/>
      <c r="G803" s="137"/>
      <c r="H803" s="137"/>
      <c r="I803" s="137"/>
      <c r="J803" s="197"/>
      <c r="K803" s="198"/>
      <c r="L803" s="196"/>
      <c r="M803" s="196"/>
      <c r="N803" s="196"/>
      <c r="O803" s="196"/>
      <c r="P803" s="127"/>
    </row>
    <row r="804" spans="1:16" ht="20.25" customHeight="1" x14ac:dyDescent="0.3">
      <c r="A804" s="137"/>
      <c r="B804" s="137"/>
      <c r="C804" s="137"/>
      <c r="D804" s="194"/>
      <c r="E804" s="194"/>
      <c r="F804" s="137"/>
      <c r="G804" s="137"/>
      <c r="H804" s="137"/>
      <c r="I804" s="137"/>
      <c r="J804" s="197"/>
      <c r="K804" s="198"/>
      <c r="L804" s="196"/>
      <c r="M804" s="196"/>
      <c r="N804" s="196"/>
      <c r="O804" s="196"/>
      <c r="P804" s="127"/>
    </row>
    <row r="805" spans="1:16" ht="20.25" customHeight="1" x14ac:dyDescent="0.3">
      <c r="A805" s="137"/>
      <c r="B805" s="137"/>
      <c r="C805" s="137"/>
      <c r="D805" s="194"/>
      <c r="E805" s="194"/>
      <c r="F805" s="137"/>
      <c r="G805" s="137"/>
      <c r="H805" s="137"/>
      <c r="I805" s="137"/>
      <c r="J805" s="197"/>
      <c r="K805" s="198"/>
      <c r="L805" s="196"/>
      <c r="M805" s="196"/>
      <c r="N805" s="196"/>
      <c r="O805" s="196"/>
      <c r="P805" s="127"/>
    </row>
    <row r="806" spans="1:16" ht="20.25" customHeight="1" x14ac:dyDescent="0.3">
      <c r="A806" s="137"/>
      <c r="B806" s="137"/>
      <c r="C806" s="137"/>
      <c r="D806" s="194"/>
      <c r="E806" s="194"/>
      <c r="F806" s="137"/>
      <c r="G806" s="137"/>
      <c r="H806" s="137"/>
      <c r="I806" s="137"/>
      <c r="J806" s="197"/>
      <c r="K806" s="198"/>
      <c r="L806" s="196"/>
      <c r="M806" s="196"/>
      <c r="N806" s="196"/>
      <c r="O806" s="196"/>
      <c r="P806" s="127"/>
    </row>
    <row r="807" spans="1:16" ht="20.25" customHeight="1" x14ac:dyDescent="0.3">
      <c r="A807" s="137"/>
      <c r="B807" s="137"/>
      <c r="C807" s="137"/>
      <c r="D807" s="194"/>
      <c r="E807" s="194"/>
      <c r="F807" s="137"/>
      <c r="G807" s="137"/>
      <c r="H807" s="137"/>
      <c r="I807" s="137"/>
      <c r="J807" s="197"/>
      <c r="K807" s="198"/>
      <c r="L807" s="196"/>
      <c r="M807" s="196"/>
      <c r="N807" s="196"/>
      <c r="O807" s="196"/>
      <c r="P807" s="127"/>
    </row>
    <row r="808" spans="1:16" ht="20.25" customHeight="1" x14ac:dyDescent="0.3">
      <c r="A808" s="137"/>
      <c r="B808" s="137"/>
      <c r="C808" s="137"/>
      <c r="D808" s="194"/>
      <c r="E808" s="194"/>
      <c r="F808" s="137"/>
      <c r="G808" s="137"/>
      <c r="H808" s="137"/>
      <c r="I808" s="137"/>
      <c r="J808" s="197"/>
      <c r="K808" s="198"/>
      <c r="L808" s="196"/>
      <c r="M808" s="196"/>
      <c r="N808" s="196"/>
      <c r="O808" s="196"/>
      <c r="P808" s="127"/>
    </row>
    <row r="809" spans="1:16" ht="20.25" customHeight="1" x14ac:dyDescent="0.3">
      <c r="A809" s="137"/>
      <c r="B809" s="137"/>
      <c r="C809" s="137"/>
      <c r="D809" s="194"/>
      <c r="E809" s="194"/>
      <c r="F809" s="137"/>
      <c r="G809" s="137"/>
      <c r="H809" s="137"/>
      <c r="I809" s="137"/>
      <c r="J809" s="197"/>
      <c r="K809" s="198"/>
      <c r="L809" s="196"/>
      <c r="M809" s="196"/>
      <c r="N809" s="196"/>
      <c r="O809" s="196"/>
      <c r="P809" s="127"/>
    </row>
    <row r="810" spans="1:16" ht="20.25" customHeight="1" x14ac:dyDescent="0.3">
      <c r="A810" s="137"/>
      <c r="B810" s="137"/>
      <c r="C810" s="137"/>
      <c r="D810" s="194"/>
      <c r="E810" s="194"/>
      <c r="F810" s="137"/>
      <c r="G810" s="137"/>
      <c r="H810" s="137"/>
      <c r="I810" s="137"/>
      <c r="J810" s="197"/>
      <c r="K810" s="198"/>
      <c r="L810" s="196"/>
      <c r="M810" s="196"/>
      <c r="N810" s="196"/>
      <c r="O810" s="196"/>
      <c r="P810" s="127"/>
    </row>
    <row r="811" spans="1:16" ht="20.25" customHeight="1" x14ac:dyDescent="0.3">
      <c r="A811" s="137"/>
      <c r="B811" s="137"/>
      <c r="C811" s="137"/>
      <c r="D811" s="194"/>
      <c r="E811" s="194"/>
      <c r="F811" s="137"/>
      <c r="G811" s="137"/>
      <c r="H811" s="137"/>
      <c r="I811" s="137"/>
      <c r="J811" s="197"/>
      <c r="K811" s="198"/>
      <c r="L811" s="196"/>
      <c r="M811" s="196"/>
      <c r="N811" s="196"/>
      <c r="O811" s="196"/>
      <c r="P811" s="127"/>
    </row>
    <row r="812" spans="1:16" ht="20.25" customHeight="1" x14ac:dyDescent="0.3">
      <c r="A812" s="137"/>
      <c r="B812" s="137"/>
      <c r="C812" s="137"/>
      <c r="D812" s="194"/>
      <c r="E812" s="194"/>
      <c r="F812" s="137"/>
      <c r="G812" s="137"/>
      <c r="H812" s="137"/>
      <c r="I812" s="137"/>
      <c r="J812" s="197"/>
      <c r="K812" s="198"/>
      <c r="L812" s="196"/>
      <c r="M812" s="196"/>
      <c r="N812" s="196"/>
      <c r="O812" s="196"/>
      <c r="P812" s="127"/>
    </row>
    <row r="813" spans="1:16" ht="20.25" customHeight="1" x14ac:dyDescent="0.3">
      <c r="A813" s="137"/>
      <c r="B813" s="137"/>
      <c r="C813" s="137"/>
      <c r="D813" s="194"/>
      <c r="E813" s="194"/>
      <c r="F813" s="137"/>
      <c r="G813" s="137"/>
      <c r="H813" s="137"/>
      <c r="I813" s="137"/>
      <c r="J813" s="197"/>
      <c r="K813" s="198"/>
      <c r="L813" s="196"/>
      <c r="M813" s="196"/>
      <c r="N813" s="196"/>
      <c r="O813" s="196"/>
      <c r="P813" s="127"/>
    </row>
    <row r="814" spans="1:16" ht="20.25" customHeight="1" x14ac:dyDescent="0.3">
      <c r="A814" s="137"/>
      <c r="B814" s="137"/>
      <c r="C814" s="137"/>
      <c r="D814" s="194"/>
      <c r="E814" s="194"/>
      <c r="F814" s="137"/>
      <c r="G814" s="137"/>
      <c r="H814" s="137"/>
      <c r="I814" s="137"/>
      <c r="J814" s="197"/>
      <c r="K814" s="198"/>
      <c r="L814" s="196"/>
      <c r="M814" s="196"/>
      <c r="N814" s="196"/>
      <c r="O814" s="196"/>
      <c r="P814" s="127"/>
    </row>
    <row r="815" spans="1:16" ht="20.25" customHeight="1" x14ac:dyDescent="0.3">
      <c r="A815" s="137"/>
      <c r="B815" s="137"/>
      <c r="C815" s="137"/>
      <c r="D815" s="194"/>
      <c r="E815" s="194"/>
      <c r="F815" s="137"/>
      <c r="G815" s="137"/>
      <c r="H815" s="137"/>
      <c r="I815" s="137"/>
      <c r="J815" s="197"/>
      <c r="K815" s="198"/>
      <c r="L815" s="196"/>
      <c r="M815" s="196"/>
      <c r="N815" s="196"/>
      <c r="O815" s="196"/>
      <c r="P815" s="127"/>
    </row>
    <row r="816" spans="1:16" ht="20.25" customHeight="1" x14ac:dyDescent="0.3">
      <c r="A816" s="137"/>
      <c r="B816" s="137"/>
      <c r="C816" s="137"/>
      <c r="D816" s="194"/>
      <c r="E816" s="194"/>
      <c r="F816" s="137"/>
      <c r="G816" s="137"/>
      <c r="H816" s="137"/>
      <c r="I816" s="137"/>
      <c r="J816" s="197"/>
      <c r="K816" s="198"/>
      <c r="L816" s="196"/>
      <c r="M816" s="196"/>
      <c r="N816" s="196"/>
      <c r="O816" s="196"/>
      <c r="P816" s="127"/>
    </row>
    <row r="817" spans="1:16" ht="20.25" customHeight="1" x14ac:dyDescent="0.3">
      <c r="A817" s="137"/>
      <c r="B817" s="137"/>
      <c r="C817" s="137"/>
      <c r="D817" s="194"/>
      <c r="E817" s="194"/>
      <c r="F817" s="137"/>
      <c r="G817" s="137"/>
      <c r="H817" s="137"/>
      <c r="I817" s="137"/>
      <c r="J817" s="197"/>
      <c r="K817" s="198"/>
      <c r="L817" s="196"/>
      <c r="M817" s="196"/>
      <c r="N817" s="196"/>
      <c r="O817" s="196"/>
      <c r="P817" s="127"/>
    </row>
    <row r="818" spans="1:16" ht="20.25" customHeight="1" x14ac:dyDescent="0.3">
      <c r="A818" s="137"/>
      <c r="B818" s="137"/>
      <c r="C818" s="137"/>
      <c r="D818" s="194"/>
      <c r="E818" s="194"/>
      <c r="F818" s="137"/>
      <c r="G818" s="137"/>
      <c r="H818" s="137"/>
      <c r="I818" s="137"/>
      <c r="J818" s="197"/>
      <c r="K818" s="198"/>
      <c r="L818" s="196"/>
      <c r="M818" s="196"/>
      <c r="N818" s="196"/>
      <c r="O818" s="196"/>
      <c r="P818" s="127"/>
    </row>
    <row r="819" spans="1:16" ht="20.25" customHeight="1" x14ac:dyDescent="0.3">
      <c r="A819" s="137"/>
      <c r="B819" s="137"/>
      <c r="C819" s="137"/>
      <c r="D819" s="194"/>
      <c r="E819" s="194"/>
      <c r="F819" s="137"/>
      <c r="G819" s="137"/>
      <c r="H819" s="137"/>
      <c r="I819" s="137"/>
      <c r="J819" s="197"/>
      <c r="K819" s="198"/>
      <c r="L819" s="196"/>
      <c r="M819" s="196"/>
      <c r="N819" s="196"/>
      <c r="O819" s="196"/>
      <c r="P819" s="127"/>
    </row>
    <row r="820" spans="1:16" ht="20.25" customHeight="1" x14ac:dyDescent="0.3">
      <c r="A820" s="137"/>
      <c r="B820" s="137"/>
      <c r="C820" s="137"/>
      <c r="D820" s="194"/>
      <c r="E820" s="194"/>
      <c r="F820" s="137"/>
      <c r="G820" s="137"/>
      <c r="H820" s="137"/>
      <c r="I820" s="137"/>
      <c r="J820" s="197"/>
      <c r="K820" s="198"/>
      <c r="L820" s="196"/>
      <c r="M820" s="196"/>
      <c r="N820" s="196"/>
      <c r="O820" s="196"/>
      <c r="P820" s="127"/>
    </row>
    <row r="821" spans="1:16" ht="20.25" customHeight="1" x14ac:dyDescent="0.3">
      <c r="A821" s="137"/>
      <c r="B821" s="137"/>
      <c r="C821" s="137"/>
      <c r="D821" s="194"/>
      <c r="E821" s="194"/>
      <c r="F821" s="137"/>
      <c r="G821" s="137"/>
      <c r="H821" s="137"/>
      <c r="I821" s="137"/>
      <c r="J821" s="197"/>
      <c r="K821" s="198"/>
      <c r="L821" s="196"/>
      <c r="M821" s="196"/>
      <c r="N821" s="196"/>
      <c r="O821" s="196"/>
      <c r="P821" s="127"/>
    </row>
    <row r="822" spans="1:16" ht="20.25" customHeight="1" x14ac:dyDescent="0.3">
      <c r="A822" s="137"/>
      <c r="B822" s="137"/>
      <c r="C822" s="137"/>
      <c r="D822" s="194"/>
      <c r="E822" s="194"/>
      <c r="F822" s="137"/>
      <c r="G822" s="137"/>
      <c r="H822" s="137"/>
      <c r="I822" s="137"/>
      <c r="J822" s="197"/>
      <c r="K822" s="198"/>
      <c r="L822" s="196"/>
      <c r="M822" s="196"/>
      <c r="N822" s="196"/>
      <c r="O822" s="196"/>
      <c r="P822" s="127"/>
    </row>
    <row r="823" spans="1:16" ht="20.25" customHeight="1" x14ac:dyDescent="0.3">
      <c r="A823" s="137"/>
      <c r="B823" s="137"/>
      <c r="C823" s="137"/>
      <c r="D823" s="194"/>
      <c r="E823" s="194"/>
      <c r="F823" s="137"/>
      <c r="G823" s="137"/>
      <c r="H823" s="137"/>
      <c r="I823" s="137"/>
      <c r="J823" s="197"/>
      <c r="K823" s="198"/>
      <c r="L823" s="196"/>
      <c r="M823" s="196"/>
      <c r="N823" s="196"/>
      <c r="O823" s="196"/>
      <c r="P823" s="127"/>
    </row>
    <row r="824" spans="1:16" ht="20.25" customHeight="1" x14ac:dyDescent="0.3">
      <c r="A824" s="137"/>
      <c r="B824" s="137"/>
      <c r="C824" s="137"/>
      <c r="D824" s="194"/>
      <c r="E824" s="194"/>
      <c r="F824" s="137"/>
      <c r="G824" s="137"/>
      <c r="H824" s="137"/>
      <c r="I824" s="137"/>
      <c r="J824" s="197"/>
      <c r="K824" s="198"/>
      <c r="L824" s="196"/>
      <c r="M824" s="196"/>
      <c r="N824" s="196"/>
      <c r="O824" s="196"/>
      <c r="P824" s="127"/>
    </row>
    <row r="825" spans="1:16" ht="20.25" customHeight="1" x14ac:dyDescent="0.3">
      <c r="A825" s="137"/>
      <c r="B825" s="137"/>
      <c r="C825" s="137"/>
      <c r="D825" s="194"/>
      <c r="E825" s="194"/>
      <c r="F825" s="137"/>
      <c r="G825" s="137"/>
      <c r="H825" s="137"/>
      <c r="I825" s="137"/>
      <c r="J825" s="197"/>
      <c r="K825" s="198"/>
      <c r="L825" s="196"/>
      <c r="M825" s="196"/>
      <c r="N825" s="196"/>
      <c r="O825" s="196"/>
      <c r="P825" s="127"/>
    </row>
    <row r="826" spans="1:16" ht="20.25" customHeight="1" x14ac:dyDescent="0.3">
      <c r="A826" s="137"/>
      <c r="B826" s="137"/>
      <c r="C826" s="137"/>
      <c r="D826" s="194"/>
      <c r="E826" s="194"/>
      <c r="F826" s="137"/>
      <c r="G826" s="137"/>
      <c r="H826" s="137"/>
      <c r="I826" s="137"/>
      <c r="J826" s="197"/>
      <c r="K826" s="198"/>
      <c r="L826" s="196"/>
      <c r="M826" s="196"/>
      <c r="N826" s="196"/>
      <c r="O826" s="196"/>
      <c r="P826" s="127"/>
    </row>
    <row r="827" spans="1:16" ht="20.25" customHeight="1" x14ac:dyDescent="0.3">
      <c r="A827" s="137"/>
      <c r="B827" s="137"/>
      <c r="C827" s="137"/>
      <c r="D827" s="194"/>
      <c r="E827" s="194"/>
      <c r="F827" s="137"/>
      <c r="G827" s="137"/>
      <c r="H827" s="137"/>
      <c r="I827" s="137"/>
      <c r="J827" s="197"/>
      <c r="K827" s="198"/>
      <c r="L827" s="196"/>
      <c r="M827" s="196"/>
      <c r="N827" s="196"/>
      <c r="O827" s="196"/>
      <c r="P827" s="127"/>
    </row>
    <row r="828" spans="1:16" ht="20.25" customHeight="1" x14ac:dyDescent="0.3">
      <c r="A828" s="137"/>
      <c r="B828" s="137"/>
      <c r="C828" s="137"/>
      <c r="D828" s="194"/>
      <c r="E828" s="194"/>
      <c r="F828" s="137"/>
      <c r="G828" s="137"/>
      <c r="H828" s="137"/>
      <c r="I828" s="137"/>
      <c r="J828" s="197"/>
      <c r="K828" s="198"/>
      <c r="L828" s="196"/>
      <c r="M828" s="196"/>
      <c r="N828" s="196"/>
      <c r="O828" s="196"/>
      <c r="P828" s="127"/>
    </row>
    <row r="829" spans="1:16" ht="20.25" customHeight="1" x14ac:dyDescent="0.3">
      <c r="A829" s="137"/>
      <c r="B829" s="137"/>
      <c r="C829" s="137"/>
      <c r="D829" s="194"/>
      <c r="E829" s="194"/>
      <c r="F829" s="137"/>
      <c r="G829" s="137"/>
      <c r="H829" s="137"/>
      <c r="I829" s="137"/>
      <c r="J829" s="197"/>
      <c r="K829" s="198"/>
      <c r="L829" s="196"/>
      <c r="M829" s="196"/>
      <c r="N829" s="196"/>
      <c r="O829" s="196"/>
      <c r="P829" s="127"/>
    </row>
    <row r="830" spans="1:16" ht="20.25" customHeight="1" x14ac:dyDescent="0.3">
      <c r="A830" s="137"/>
      <c r="B830" s="137"/>
      <c r="C830" s="137"/>
      <c r="D830" s="194"/>
      <c r="E830" s="194"/>
      <c r="F830" s="137"/>
      <c r="G830" s="137"/>
      <c r="H830" s="137"/>
      <c r="I830" s="137"/>
      <c r="J830" s="197"/>
      <c r="K830" s="198"/>
      <c r="L830" s="196"/>
      <c r="M830" s="196"/>
      <c r="N830" s="196"/>
      <c r="O830" s="196"/>
      <c r="P830" s="127"/>
    </row>
    <row r="831" spans="1:16" ht="20.25" customHeight="1" x14ac:dyDescent="0.3">
      <c r="A831" s="137"/>
      <c r="B831" s="137"/>
      <c r="C831" s="137"/>
      <c r="D831" s="194"/>
      <c r="E831" s="194"/>
      <c r="F831" s="137"/>
      <c r="G831" s="137"/>
      <c r="H831" s="137"/>
      <c r="I831" s="137"/>
      <c r="J831" s="197"/>
      <c r="K831" s="198"/>
      <c r="L831" s="196"/>
      <c r="M831" s="196"/>
      <c r="N831" s="196"/>
      <c r="O831" s="196"/>
      <c r="P831" s="127"/>
    </row>
    <row r="832" spans="1:16" ht="20.25" customHeight="1" x14ac:dyDescent="0.3">
      <c r="A832" s="137"/>
      <c r="B832" s="137"/>
      <c r="C832" s="137"/>
      <c r="D832" s="194"/>
      <c r="E832" s="194"/>
      <c r="F832" s="137"/>
      <c r="G832" s="137"/>
      <c r="H832" s="137"/>
      <c r="I832" s="137"/>
      <c r="J832" s="197"/>
      <c r="K832" s="198"/>
      <c r="L832" s="196"/>
      <c r="M832" s="196"/>
      <c r="N832" s="196"/>
      <c r="O832" s="196"/>
      <c r="P832" s="127"/>
    </row>
    <row r="833" spans="1:16" ht="20.25" customHeight="1" x14ac:dyDescent="0.3">
      <c r="A833" s="137"/>
      <c r="B833" s="137"/>
      <c r="C833" s="137"/>
      <c r="D833" s="194"/>
      <c r="E833" s="194"/>
      <c r="F833" s="137"/>
      <c r="G833" s="137"/>
      <c r="H833" s="137"/>
      <c r="I833" s="137"/>
      <c r="J833" s="197"/>
      <c r="K833" s="198"/>
      <c r="L833" s="196"/>
      <c r="M833" s="196"/>
      <c r="N833" s="196"/>
      <c r="O833" s="196"/>
      <c r="P833" s="127"/>
    </row>
    <row r="834" spans="1:16" ht="20.25" customHeight="1" x14ac:dyDescent="0.3">
      <c r="A834" s="137"/>
      <c r="B834" s="137"/>
      <c r="C834" s="137"/>
      <c r="D834" s="194"/>
      <c r="E834" s="194"/>
      <c r="F834" s="137"/>
      <c r="G834" s="137"/>
      <c r="H834" s="137"/>
      <c r="I834" s="137"/>
      <c r="J834" s="197"/>
      <c r="K834" s="198"/>
      <c r="L834" s="196"/>
      <c r="M834" s="196"/>
      <c r="N834" s="196"/>
      <c r="O834" s="196"/>
      <c r="P834" s="127"/>
    </row>
    <row r="835" spans="1:16" ht="20.25" customHeight="1" x14ac:dyDescent="0.3">
      <c r="A835" s="137"/>
      <c r="B835" s="137"/>
      <c r="C835" s="137"/>
      <c r="D835" s="194"/>
      <c r="E835" s="194"/>
      <c r="F835" s="137"/>
      <c r="G835" s="137"/>
      <c r="H835" s="137"/>
      <c r="I835" s="137"/>
      <c r="J835" s="197"/>
      <c r="K835" s="198"/>
      <c r="L835" s="196"/>
      <c r="M835" s="196"/>
      <c r="N835" s="196"/>
      <c r="O835" s="196"/>
      <c r="P835" s="127"/>
    </row>
    <row r="836" spans="1:16" ht="20.25" customHeight="1" x14ac:dyDescent="0.3">
      <c r="A836" s="137"/>
      <c r="B836" s="137"/>
      <c r="C836" s="137"/>
      <c r="D836" s="194"/>
      <c r="E836" s="194"/>
      <c r="F836" s="137"/>
      <c r="G836" s="137"/>
      <c r="H836" s="137"/>
      <c r="I836" s="137"/>
      <c r="J836" s="197"/>
      <c r="K836" s="198"/>
      <c r="L836" s="196"/>
      <c r="M836" s="196"/>
      <c r="N836" s="196"/>
      <c r="O836" s="196"/>
      <c r="P836" s="127"/>
    </row>
    <row r="837" spans="1:16" ht="20.25" customHeight="1" x14ac:dyDescent="0.3">
      <c r="A837" s="137"/>
      <c r="B837" s="137"/>
      <c r="C837" s="137"/>
      <c r="D837" s="194"/>
      <c r="E837" s="194"/>
      <c r="F837" s="137"/>
      <c r="G837" s="137"/>
      <c r="H837" s="137"/>
      <c r="I837" s="137"/>
      <c r="J837" s="197"/>
      <c r="K837" s="198"/>
      <c r="L837" s="196"/>
      <c r="M837" s="196"/>
      <c r="N837" s="196"/>
      <c r="O837" s="196"/>
      <c r="P837" s="127"/>
    </row>
    <row r="838" spans="1:16" ht="20.25" customHeight="1" x14ac:dyDescent="0.3">
      <c r="A838" s="137"/>
      <c r="B838" s="137"/>
      <c r="C838" s="137"/>
      <c r="D838" s="194"/>
      <c r="E838" s="194"/>
      <c r="F838" s="137"/>
      <c r="G838" s="137"/>
      <c r="H838" s="137"/>
      <c r="I838" s="137"/>
      <c r="J838" s="197"/>
      <c r="K838" s="198"/>
      <c r="L838" s="196"/>
      <c r="M838" s="196"/>
      <c r="N838" s="196"/>
      <c r="O838" s="196"/>
      <c r="P838" s="127"/>
    </row>
    <row r="839" spans="1:16" ht="20.25" customHeight="1" x14ac:dyDescent="0.3">
      <c r="A839" s="137"/>
      <c r="B839" s="137"/>
      <c r="C839" s="137"/>
      <c r="D839" s="194"/>
      <c r="E839" s="194"/>
      <c r="F839" s="137"/>
      <c r="G839" s="137"/>
      <c r="H839" s="137"/>
      <c r="I839" s="137"/>
      <c r="J839" s="197"/>
      <c r="K839" s="198"/>
      <c r="L839" s="196"/>
      <c r="M839" s="196"/>
      <c r="N839" s="196"/>
      <c r="O839" s="196"/>
      <c r="P839" s="127"/>
    </row>
    <row r="840" spans="1:16" ht="20.25" customHeight="1" x14ac:dyDescent="0.3">
      <c r="A840" s="137"/>
      <c r="B840" s="137"/>
      <c r="C840" s="137"/>
      <c r="D840" s="194"/>
      <c r="E840" s="194"/>
      <c r="F840" s="137"/>
      <c r="G840" s="137"/>
      <c r="H840" s="137"/>
      <c r="I840" s="137"/>
      <c r="J840" s="197"/>
      <c r="K840" s="198"/>
      <c r="L840" s="196"/>
      <c r="M840" s="196"/>
      <c r="N840" s="196"/>
      <c r="O840" s="196"/>
      <c r="P840" s="127"/>
    </row>
    <row r="841" spans="1:16" ht="20.25" customHeight="1" x14ac:dyDescent="0.3">
      <c r="A841" s="137"/>
      <c r="B841" s="137"/>
      <c r="C841" s="137"/>
      <c r="D841" s="194"/>
      <c r="E841" s="194"/>
      <c r="F841" s="137"/>
      <c r="G841" s="137"/>
      <c r="H841" s="137"/>
      <c r="I841" s="137"/>
      <c r="J841" s="197"/>
      <c r="K841" s="198"/>
      <c r="L841" s="196"/>
      <c r="M841" s="196"/>
      <c r="N841" s="196"/>
      <c r="O841" s="196"/>
      <c r="P841" s="127"/>
    </row>
    <row r="842" spans="1:16" ht="20.25" customHeight="1" x14ac:dyDescent="0.3">
      <c r="A842" s="137"/>
      <c r="B842" s="137"/>
      <c r="C842" s="137"/>
      <c r="D842" s="194"/>
      <c r="E842" s="194"/>
      <c r="F842" s="137"/>
      <c r="G842" s="137"/>
      <c r="H842" s="137"/>
      <c r="I842" s="137"/>
      <c r="J842" s="197"/>
      <c r="K842" s="198"/>
      <c r="L842" s="196"/>
      <c r="M842" s="196"/>
      <c r="N842" s="196"/>
      <c r="O842" s="196"/>
      <c r="P842" s="127"/>
    </row>
    <row r="843" spans="1:16" ht="20.25" customHeight="1" x14ac:dyDescent="0.3">
      <c r="A843" s="137"/>
      <c r="B843" s="137"/>
      <c r="C843" s="137"/>
      <c r="D843" s="194"/>
      <c r="E843" s="194"/>
      <c r="F843" s="137"/>
      <c r="G843" s="137"/>
      <c r="H843" s="137"/>
      <c r="I843" s="137"/>
      <c r="J843" s="197"/>
      <c r="K843" s="198"/>
      <c r="L843" s="196"/>
      <c r="M843" s="196"/>
      <c r="N843" s="196"/>
      <c r="O843" s="196"/>
      <c r="P843" s="127"/>
    </row>
    <row r="844" spans="1:16" ht="20.25" customHeight="1" x14ac:dyDescent="0.3">
      <c r="A844" s="137"/>
      <c r="B844" s="137"/>
      <c r="C844" s="137"/>
      <c r="D844" s="194"/>
      <c r="E844" s="194"/>
      <c r="F844" s="137"/>
      <c r="G844" s="137"/>
      <c r="H844" s="137"/>
      <c r="I844" s="137"/>
      <c r="J844" s="197"/>
      <c r="K844" s="198"/>
      <c r="L844" s="196"/>
      <c r="M844" s="196"/>
      <c r="N844" s="196"/>
      <c r="O844" s="196"/>
      <c r="P844" s="127"/>
    </row>
    <row r="845" spans="1:16" ht="20.25" customHeight="1" x14ac:dyDescent="0.3">
      <c r="A845" s="137"/>
      <c r="B845" s="137"/>
      <c r="C845" s="137"/>
      <c r="D845" s="194"/>
      <c r="E845" s="194"/>
      <c r="F845" s="137"/>
      <c r="G845" s="137"/>
      <c r="H845" s="137"/>
      <c r="I845" s="137"/>
      <c r="J845" s="197"/>
      <c r="K845" s="198"/>
      <c r="L845" s="196"/>
      <c r="M845" s="196"/>
      <c r="N845" s="196"/>
      <c r="O845" s="196"/>
      <c r="P845" s="127"/>
    </row>
    <row r="846" spans="1:16" ht="20.25" customHeight="1" x14ac:dyDescent="0.3">
      <c r="A846" s="137"/>
      <c r="B846" s="137"/>
      <c r="C846" s="137"/>
      <c r="D846" s="194"/>
      <c r="E846" s="194"/>
      <c r="F846" s="137"/>
      <c r="G846" s="137"/>
      <c r="H846" s="137"/>
      <c r="I846" s="137"/>
      <c r="J846" s="197"/>
      <c r="K846" s="198"/>
      <c r="L846" s="196"/>
      <c r="M846" s="196"/>
      <c r="N846" s="196"/>
      <c r="O846" s="196"/>
      <c r="P846" s="127"/>
    </row>
    <row r="847" spans="1:16" ht="20.25" customHeight="1" x14ac:dyDescent="0.3">
      <c r="A847" s="137"/>
      <c r="B847" s="137"/>
      <c r="C847" s="137"/>
      <c r="D847" s="194"/>
      <c r="E847" s="194"/>
      <c r="F847" s="137"/>
      <c r="G847" s="137"/>
      <c r="H847" s="137"/>
      <c r="I847" s="137"/>
      <c r="J847" s="197"/>
      <c r="K847" s="198"/>
      <c r="L847" s="196"/>
      <c r="M847" s="196"/>
      <c r="N847" s="196"/>
      <c r="O847" s="196"/>
      <c r="P847" s="127"/>
    </row>
    <row r="848" spans="1:16" ht="20.25" customHeight="1" x14ac:dyDescent="0.3">
      <c r="A848" s="137"/>
      <c r="B848" s="137"/>
      <c r="C848" s="137"/>
      <c r="D848" s="194"/>
      <c r="E848" s="194"/>
      <c r="F848" s="137"/>
      <c r="G848" s="137"/>
      <c r="H848" s="137"/>
      <c r="I848" s="137"/>
      <c r="J848" s="197"/>
      <c r="K848" s="198"/>
      <c r="L848" s="196"/>
      <c r="M848" s="196"/>
      <c r="N848" s="196"/>
      <c r="O848" s="196"/>
      <c r="P848" s="127"/>
    </row>
    <row r="849" spans="1:16" ht="20.25" customHeight="1" x14ac:dyDescent="0.3">
      <c r="A849" s="137"/>
      <c r="B849" s="137"/>
      <c r="C849" s="137"/>
      <c r="D849" s="194"/>
      <c r="E849" s="194"/>
      <c r="F849" s="137"/>
      <c r="G849" s="137"/>
      <c r="H849" s="137"/>
      <c r="I849" s="137"/>
      <c r="J849" s="197"/>
      <c r="K849" s="198"/>
      <c r="L849" s="196"/>
      <c r="M849" s="196"/>
      <c r="N849" s="196"/>
      <c r="O849" s="196"/>
      <c r="P849" s="127"/>
    </row>
    <row r="850" spans="1:16" ht="20.25" customHeight="1" x14ac:dyDescent="0.3">
      <c r="A850" s="137"/>
      <c r="B850" s="137"/>
      <c r="C850" s="137"/>
      <c r="D850" s="194"/>
      <c r="E850" s="194"/>
      <c r="F850" s="137"/>
      <c r="G850" s="137"/>
      <c r="H850" s="137"/>
      <c r="I850" s="137"/>
      <c r="J850" s="197"/>
      <c r="K850" s="198"/>
      <c r="L850" s="196"/>
      <c r="M850" s="196"/>
      <c r="N850" s="196"/>
      <c r="O850" s="196"/>
      <c r="P850" s="127"/>
    </row>
    <row r="851" spans="1:16" ht="20.25" customHeight="1" x14ac:dyDescent="0.3">
      <c r="A851" s="137"/>
      <c r="B851" s="137"/>
      <c r="C851" s="137"/>
      <c r="D851" s="194"/>
      <c r="E851" s="194"/>
      <c r="F851" s="137"/>
      <c r="G851" s="137"/>
      <c r="H851" s="137"/>
      <c r="I851" s="137"/>
      <c r="J851" s="197"/>
      <c r="K851" s="198"/>
      <c r="L851" s="196"/>
      <c r="M851" s="196"/>
      <c r="N851" s="196"/>
      <c r="O851" s="196"/>
      <c r="P851" s="127"/>
    </row>
    <row r="852" spans="1:16" ht="20.25" customHeight="1" x14ac:dyDescent="0.3">
      <c r="A852" s="137"/>
      <c r="B852" s="137"/>
      <c r="C852" s="137"/>
      <c r="D852" s="194"/>
      <c r="E852" s="194"/>
      <c r="F852" s="137"/>
      <c r="G852" s="137"/>
      <c r="H852" s="137"/>
      <c r="I852" s="137"/>
      <c r="J852" s="197"/>
      <c r="K852" s="198"/>
      <c r="L852" s="196"/>
      <c r="M852" s="196"/>
      <c r="N852" s="196"/>
      <c r="O852" s="196"/>
      <c r="P852" s="127"/>
    </row>
    <row r="853" spans="1:16" ht="20.25" customHeight="1" x14ac:dyDescent="0.3">
      <c r="A853" s="137"/>
      <c r="B853" s="137"/>
      <c r="C853" s="137"/>
      <c r="D853" s="194"/>
      <c r="E853" s="194"/>
      <c r="F853" s="137"/>
      <c r="G853" s="137"/>
      <c r="H853" s="137"/>
      <c r="I853" s="137"/>
      <c r="J853" s="197"/>
      <c r="K853" s="198"/>
      <c r="L853" s="196"/>
      <c r="M853" s="196"/>
      <c r="N853" s="196"/>
      <c r="O853" s="196"/>
      <c r="P853" s="127"/>
    </row>
    <row r="854" spans="1:16" ht="20.25" customHeight="1" x14ac:dyDescent="0.3">
      <c r="A854" s="137"/>
      <c r="B854" s="137"/>
      <c r="C854" s="137"/>
      <c r="D854" s="194"/>
      <c r="E854" s="194"/>
      <c r="F854" s="137"/>
      <c r="G854" s="137"/>
      <c r="H854" s="137"/>
      <c r="I854" s="137"/>
      <c r="J854" s="197"/>
      <c r="K854" s="198"/>
      <c r="L854" s="196"/>
      <c r="M854" s="196"/>
      <c r="N854" s="196"/>
      <c r="O854" s="196"/>
      <c r="P854" s="127"/>
    </row>
    <row r="855" spans="1:16" ht="20.25" customHeight="1" x14ac:dyDescent="0.3">
      <c r="A855" s="137"/>
      <c r="B855" s="137"/>
      <c r="C855" s="137"/>
      <c r="D855" s="194"/>
      <c r="E855" s="194"/>
      <c r="F855" s="137"/>
      <c r="G855" s="137"/>
      <c r="H855" s="137"/>
      <c r="I855" s="137"/>
      <c r="J855" s="197"/>
      <c r="K855" s="198"/>
      <c r="L855" s="196"/>
      <c r="M855" s="196"/>
      <c r="N855" s="196"/>
      <c r="O855" s="196"/>
      <c r="P855" s="127"/>
    </row>
    <row r="856" spans="1:16" ht="20.25" customHeight="1" x14ac:dyDescent="0.3">
      <c r="A856" s="137"/>
      <c r="B856" s="137"/>
      <c r="C856" s="137"/>
      <c r="D856" s="194"/>
      <c r="E856" s="194"/>
      <c r="F856" s="137"/>
      <c r="G856" s="137"/>
      <c r="H856" s="137"/>
      <c r="I856" s="137"/>
      <c r="J856" s="197"/>
      <c r="K856" s="198"/>
      <c r="L856" s="196"/>
      <c r="M856" s="196"/>
      <c r="N856" s="196"/>
      <c r="O856" s="196"/>
      <c r="P856" s="127"/>
    </row>
    <row r="857" spans="1:16" ht="20.25" customHeight="1" x14ac:dyDescent="0.3">
      <c r="A857" s="137"/>
      <c r="B857" s="137"/>
      <c r="C857" s="137"/>
      <c r="D857" s="194"/>
      <c r="E857" s="194"/>
      <c r="F857" s="137"/>
      <c r="G857" s="137"/>
      <c r="H857" s="137"/>
      <c r="I857" s="137"/>
      <c r="J857" s="197"/>
      <c r="K857" s="198"/>
      <c r="L857" s="196"/>
      <c r="M857" s="196"/>
      <c r="N857" s="196"/>
      <c r="O857" s="196"/>
      <c r="P857" s="127"/>
    </row>
    <row r="858" spans="1:16" ht="20.25" customHeight="1" x14ac:dyDescent="0.3">
      <c r="A858" s="137"/>
      <c r="B858" s="137"/>
      <c r="C858" s="137"/>
      <c r="D858" s="194"/>
      <c r="E858" s="194"/>
      <c r="F858" s="137"/>
      <c r="G858" s="137"/>
      <c r="H858" s="137"/>
      <c r="I858" s="137"/>
      <c r="J858" s="197"/>
      <c r="K858" s="198"/>
      <c r="L858" s="196"/>
      <c r="M858" s="196"/>
      <c r="N858" s="196"/>
      <c r="O858" s="196"/>
      <c r="P858" s="127"/>
    </row>
    <row r="859" spans="1:16" ht="20.25" customHeight="1" x14ac:dyDescent="0.3">
      <c r="A859" s="137"/>
      <c r="B859" s="137"/>
      <c r="C859" s="137"/>
      <c r="D859" s="194"/>
      <c r="E859" s="194"/>
      <c r="F859" s="137"/>
      <c r="G859" s="137"/>
      <c r="H859" s="137"/>
      <c r="I859" s="137"/>
      <c r="J859" s="197"/>
      <c r="K859" s="198"/>
      <c r="L859" s="196"/>
      <c r="M859" s="196"/>
      <c r="N859" s="196"/>
      <c r="O859" s="196"/>
      <c r="P859" s="127"/>
    </row>
    <row r="860" spans="1:16" ht="20.25" customHeight="1" x14ac:dyDescent="0.3">
      <c r="A860" s="137"/>
      <c r="B860" s="137"/>
      <c r="C860" s="137"/>
      <c r="D860" s="194"/>
      <c r="E860" s="194"/>
      <c r="F860" s="137"/>
      <c r="G860" s="137"/>
      <c r="H860" s="137"/>
      <c r="I860" s="137"/>
      <c r="J860" s="197"/>
      <c r="K860" s="198"/>
      <c r="L860" s="196"/>
      <c r="M860" s="196"/>
      <c r="N860" s="196"/>
      <c r="O860" s="196"/>
      <c r="P860" s="127"/>
    </row>
    <row r="861" spans="1:16" ht="20.25" customHeight="1" x14ac:dyDescent="0.3">
      <c r="A861" s="137"/>
      <c r="B861" s="137"/>
      <c r="C861" s="137"/>
      <c r="D861" s="194"/>
      <c r="E861" s="194"/>
      <c r="F861" s="137"/>
      <c r="G861" s="137"/>
      <c r="H861" s="137"/>
      <c r="I861" s="137"/>
      <c r="J861" s="197"/>
      <c r="K861" s="198"/>
      <c r="L861" s="196"/>
      <c r="M861" s="196"/>
      <c r="N861" s="196"/>
      <c r="O861" s="196"/>
      <c r="P861" s="127"/>
    </row>
    <row r="862" spans="1:16" ht="20.25" customHeight="1" x14ac:dyDescent="0.3">
      <c r="A862" s="137"/>
      <c r="B862" s="137"/>
      <c r="C862" s="137"/>
      <c r="D862" s="194"/>
      <c r="E862" s="194"/>
      <c r="F862" s="137"/>
      <c r="G862" s="137"/>
      <c r="H862" s="137"/>
      <c r="I862" s="137"/>
      <c r="J862" s="197"/>
      <c r="K862" s="198"/>
      <c r="L862" s="196"/>
      <c r="M862" s="196"/>
      <c r="N862" s="196"/>
      <c r="O862" s="196"/>
      <c r="P862" s="127"/>
    </row>
    <row r="863" spans="1:16" ht="20.25" customHeight="1" x14ac:dyDescent="0.3">
      <c r="A863" s="137"/>
      <c r="B863" s="137"/>
      <c r="C863" s="137"/>
      <c r="D863" s="194"/>
      <c r="E863" s="194"/>
      <c r="F863" s="137"/>
      <c r="G863" s="137"/>
      <c r="H863" s="137"/>
      <c r="I863" s="137"/>
      <c r="J863" s="197"/>
      <c r="K863" s="198"/>
      <c r="L863" s="196"/>
      <c r="M863" s="196"/>
      <c r="N863" s="196"/>
      <c r="O863" s="196"/>
      <c r="P863" s="127"/>
    </row>
    <row r="864" spans="1:16" ht="20.25" customHeight="1" x14ac:dyDescent="0.3">
      <c r="A864" s="137"/>
      <c r="B864" s="137"/>
      <c r="C864" s="137"/>
      <c r="D864" s="194"/>
      <c r="E864" s="194"/>
      <c r="F864" s="137"/>
      <c r="G864" s="137"/>
      <c r="H864" s="137"/>
      <c r="I864" s="137"/>
      <c r="J864" s="197"/>
      <c r="K864" s="198"/>
      <c r="L864" s="196"/>
      <c r="M864" s="196"/>
      <c r="N864" s="196"/>
      <c r="O864" s="196"/>
      <c r="P864" s="127"/>
    </row>
    <row r="865" spans="1:16" ht="20.25" customHeight="1" x14ac:dyDescent="0.3">
      <c r="A865" s="137"/>
      <c r="B865" s="137"/>
      <c r="C865" s="137"/>
      <c r="D865" s="194"/>
      <c r="E865" s="194"/>
      <c r="F865" s="137"/>
      <c r="G865" s="137"/>
      <c r="H865" s="137"/>
      <c r="I865" s="137"/>
      <c r="J865" s="197"/>
      <c r="K865" s="198"/>
      <c r="L865" s="196"/>
      <c r="M865" s="196"/>
      <c r="N865" s="196"/>
      <c r="O865" s="196"/>
      <c r="P865" s="127"/>
    </row>
    <row r="866" spans="1:16" ht="20.25" customHeight="1" x14ac:dyDescent="0.3">
      <c r="A866" s="137"/>
      <c r="B866" s="137"/>
      <c r="C866" s="137"/>
      <c r="D866" s="194"/>
      <c r="E866" s="194"/>
      <c r="F866" s="137"/>
      <c r="G866" s="137"/>
      <c r="H866" s="137"/>
      <c r="I866" s="137"/>
      <c r="J866" s="197"/>
      <c r="K866" s="198"/>
      <c r="L866" s="196"/>
      <c r="M866" s="196"/>
      <c r="N866" s="196"/>
      <c r="O866" s="196"/>
      <c r="P866" s="127"/>
    </row>
    <row r="867" spans="1:16" ht="20.25" customHeight="1" x14ac:dyDescent="0.3">
      <c r="A867" s="137"/>
      <c r="B867" s="137"/>
      <c r="C867" s="137"/>
      <c r="D867" s="194"/>
      <c r="E867" s="194"/>
      <c r="F867" s="137"/>
      <c r="G867" s="137"/>
      <c r="H867" s="137"/>
      <c r="I867" s="137"/>
      <c r="J867" s="197"/>
      <c r="K867" s="198"/>
      <c r="L867" s="196"/>
      <c r="M867" s="196"/>
      <c r="N867" s="196"/>
      <c r="O867" s="196"/>
      <c r="P867" s="127"/>
    </row>
    <row r="868" spans="1:16" ht="20.25" customHeight="1" x14ac:dyDescent="0.3">
      <c r="A868" s="137"/>
      <c r="B868" s="137"/>
      <c r="C868" s="137"/>
      <c r="D868" s="194"/>
      <c r="E868" s="194"/>
      <c r="F868" s="137"/>
      <c r="G868" s="137"/>
      <c r="H868" s="137"/>
      <c r="I868" s="137"/>
      <c r="J868" s="197"/>
      <c r="K868" s="198"/>
      <c r="L868" s="196"/>
      <c r="M868" s="196"/>
      <c r="N868" s="196"/>
      <c r="O868" s="196"/>
      <c r="P868" s="127"/>
    </row>
    <row r="869" spans="1:16" ht="20.25" customHeight="1" x14ac:dyDescent="0.3">
      <c r="A869" s="137"/>
      <c r="B869" s="137"/>
      <c r="C869" s="137"/>
      <c r="D869" s="194"/>
      <c r="E869" s="194"/>
      <c r="F869" s="137"/>
      <c r="G869" s="137"/>
      <c r="H869" s="137"/>
      <c r="I869" s="137"/>
      <c r="J869" s="197"/>
      <c r="K869" s="198"/>
      <c r="L869" s="196"/>
      <c r="M869" s="196"/>
      <c r="N869" s="196"/>
      <c r="O869" s="196"/>
      <c r="P869" s="127"/>
    </row>
    <row r="870" spans="1:16" ht="20.25" customHeight="1" x14ac:dyDescent="0.3">
      <c r="A870" s="137"/>
      <c r="B870" s="137"/>
      <c r="C870" s="137"/>
      <c r="D870" s="194"/>
      <c r="E870" s="194"/>
      <c r="F870" s="137"/>
      <c r="G870" s="137"/>
      <c r="H870" s="137"/>
      <c r="I870" s="137"/>
      <c r="J870" s="197"/>
      <c r="K870" s="198"/>
      <c r="L870" s="196"/>
      <c r="M870" s="196"/>
      <c r="N870" s="196"/>
      <c r="O870" s="196"/>
      <c r="P870" s="127"/>
    </row>
    <row r="871" spans="1:16" ht="20.25" customHeight="1" x14ac:dyDescent="0.3">
      <c r="A871" s="137"/>
      <c r="B871" s="137"/>
      <c r="C871" s="137"/>
      <c r="D871" s="194"/>
      <c r="E871" s="194"/>
      <c r="F871" s="137"/>
      <c r="G871" s="137"/>
      <c r="H871" s="137"/>
      <c r="I871" s="137"/>
      <c r="J871" s="197"/>
      <c r="K871" s="198"/>
      <c r="L871" s="196"/>
      <c r="M871" s="196"/>
      <c r="N871" s="196"/>
      <c r="O871" s="196"/>
      <c r="P871" s="127"/>
    </row>
    <row r="872" spans="1:16" ht="20.25" customHeight="1" x14ac:dyDescent="0.3">
      <c r="A872" s="137"/>
      <c r="B872" s="137"/>
      <c r="C872" s="137"/>
      <c r="D872" s="194"/>
      <c r="E872" s="194"/>
      <c r="F872" s="137"/>
      <c r="G872" s="137"/>
      <c r="H872" s="137"/>
      <c r="I872" s="137"/>
      <c r="J872" s="197"/>
      <c r="K872" s="198"/>
      <c r="L872" s="196"/>
      <c r="M872" s="196"/>
      <c r="N872" s="196"/>
      <c r="O872" s="196"/>
      <c r="P872" s="127"/>
    </row>
    <row r="873" spans="1:16" ht="20.25" customHeight="1" x14ac:dyDescent="0.3">
      <c r="A873" s="137"/>
      <c r="B873" s="137"/>
      <c r="C873" s="137"/>
      <c r="D873" s="194"/>
      <c r="E873" s="194"/>
      <c r="F873" s="137"/>
      <c r="G873" s="137"/>
      <c r="H873" s="137"/>
      <c r="I873" s="137"/>
      <c r="J873" s="197"/>
      <c r="K873" s="198"/>
      <c r="L873" s="196"/>
      <c r="M873" s="196"/>
      <c r="N873" s="196"/>
      <c r="O873" s="196"/>
      <c r="P873" s="127"/>
    </row>
    <row r="874" spans="1:16" ht="20.25" customHeight="1" x14ac:dyDescent="0.3">
      <c r="A874" s="137"/>
      <c r="B874" s="137"/>
      <c r="C874" s="137"/>
      <c r="D874" s="194"/>
      <c r="E874" s="194"/>
      <c r="F874" s="137"/>
      <c r="G874" s="137"/>
      <c r="H874" s="137"/>
      <c r="I874" s="137"/>
      <c r="J874" s="197"/>
      <c r="K874" s="198"/>
      <c r="L874" s="196"/>
      <c r="M874" s="196"/>
      <c r="N874" s="196"/>
      <c r="O874" s="196"/>
      <c r="P874" s="127"/>
    </row>
    <row r="875" spans="1:16" ht="20.25" customHeight="1" x14ac:dyDescent="0.3">
      <c r="A875" s="137"/>
      <c r="B875" s="137"/>
      <c r="C875" s="137"/>
      <c r="D875" s="194"/>
      <c r="E875" s="194"/>
      <c r="F875" s="137"/>
      <c r="G875" s="137"/>
      <c r="H875" s="137"/>
      <c r="I875" s="137"/>
      <c r="J875" s="197"/>
      <c r="K875" s="198"/>
      <c r="L875" s="196"/>
      <c r="M875" s="196"/>
      <c r="N875" s="196"/>
      <c r="O875" s="196"/>
      <c r="P875" s="127"/>
    </row>
    <row r="876" spans="1:16" ht="20.25" customHeight="1" x14ac:dyDescent="0.3">
      <c r="A876" s="137"/>
      <c r="B876" s="137"/>
      <c r="C876" s="137"/>
      <c r="D876" s="194"/>
      <c r="E876" s="194"/>
      <c r="F876" s="137"/>
      <c r="G876" s="137"/>
      <c r="H876" s="137"/>
      <c r="I876" s="137"/>
      <c r="J876" s="197"/>
      <c r="K876" s="198"/>
      <c r="L876" s="196"/>
      <c r="M876" s="196"/>
      <c r="N876" s="196"/>
      <c r="O876" s="196"/>
      <c r="P876" s="127"/>
    </row>
    <row r="877" spans="1:16" ht="20.25" customHeight="1" x14ac:dyDescent="0.3">
      <c r="A877" s="137"/>
      <c r="B877" s="137"/>
      <c r="C877" s="137"/>
      <c r="D877" s="194"/>
      <c r="E877" s="194"/>
      <c r="F877" s="137"/>
      <c r="G877" s="137"/>
      <c r="H877" s="137"/>
      <c r="I877" s="137"/>
      <c r="J877" s="197"/>
      <c r="K877" s="198"/>
      <c r="L877" s="196"/>
      <c r="M877" s="196"/>
      <c r="N877" s="196"/>
      <c r="O877" s="196"/>
      <c r="P877" s="127"/>
    </row>
    <row r="878" spans="1:16" ht="20.25" customHeight="1" x14ac:dyDescent="0.3">
      <c r="A878" s="137"/>
      <c r="B878" s="137"/>
      <c r="C878" s="137"/>
      <c r="D878" s="194"/>
      <c r="E878" s="194"/>
      <c r="F878" s="137"/>
      <c r="G878" s="137"/>
      <c r="H878" s="137"/>
      <c r="I878" s="137"/>
      <c r="J878" s="197"/>
      <c r="K878" s="198"/>
      <c r="L878" s="196"/>
      <c r="M878" s="196"/>
      <c r="N878" s="196"/>
      <c r="O878" s="196"/>
      <c r="P878" s="127"/>
    </row>
    <row r="879" spans="1:16" ht="20.25" customHeight="1" x14ac:dyDescent="0.3">
      <c r="A879" s="137"/>
      <c r="B879" s="137"/>
      <c r="C879" s="137"/>
      <c r="D879" s="194"/>
      <c r="E879" s="194"/>
      <c r="F879" s="137"/>
      <c r="G879" s="137"/>
      <c r="H879" s="137"/>
      <c r="I879" s="137"/>
      <c r="J879" s="197"/>
      <c r="K879" s="198"/>
      <c r="L879" s="196"/>
      <c r="M879" s="196"/>
      <c r="N879" s="196"/>
      <c r="O879" s="196"/>
      <c r="P879" s="127"/>
    </row>
    <row r="880" spans="1:16" ht="20.25" customHeight="1" x14ac:dyDescent="0.3">
      <c r="A880" s="137"/>
      <c r="B880" s="137"/>
      <c r="C880" s="137"/>
      <c r="D880" s="194"/>
      <c r="E880" s="194"/>
      <c r="F880" s="137"/>
      <c r="G880" s="137"/>
      <c r="H880" s="137"/>
      <c r="I880" s="137"/>
      <c r="J880" s="197"/>
      <c r="K880" s="198"/>
      <c r="L880" s="196"/>
      <c r="M880" s="196"/>
      <c r="N880" s="196"/>
      <c r="O880" s="196"/>
      <c r="P880" s="127"/>
    </row>
    <row r="881" spans="1:16" ht="20.25" customHeight="1" x14ac:dyDescent="0.3">
      <c r="A881" s="137"/>
      <c r="B881" s="137"/>
      <c r="C881" s="137"/>
      <c r="D881" s="194"/>
      <c r="E881" s="194"/>
      <c r="F881" s="137"/>
      <c r="G881" s="137"/>
      <c r="H881" s="137"/>
      <c r="I881" s="137"/>
      <c r="J881" s="197"/>
      <c r="K881" s="198"/>
      <c r="L881" s="196"/>
      <c r="M881" s="196"/>
      <c r="N881" s="196"/>
      <c r="O881" s="196"/>
      <c r="P881" s="127"/>
    </row>
    <row r="882" spans="1:16" ht="20.25" customHeight="1" x14ac:dyDescent="0.3">
      <c r="A882" s="137"/>
      <c r="B882" s="137"/>
      <c r="C882" s="137"/>
      <c r="D882" s="194"/>
      <c r="E882" s="194"/>
      <c r="F882" s="137"/>
      <c r="G882" s="137"/>
      <c r="H882" s="137"/>
      <c r="I882" s="137"/>
      <c r="J882" s="197"/>
      <c r="K882" s="198"/>
      <c r="L882" s="196"/>
      <c r="M882" s="196"/>
      <c r="N882" s="196"/>
      <c r="O882" s="196"/>
      <c r="P882" s="127"/>
    </row>
    <row r="883" spans="1:16" ht="20.25" customHeight="1" x14ac:dyDescent="0.3">
      <c r="A883" s="137"/>
      <c r="B883" s="137"/>
      <c r="C883" s="137"/>
      <c r="D883" s="194"/>
      <c r="E883" s="194"/>
      <c r="F883" s="137"/>
      <c r="G883" s="137"/>
      <c r="H883" s="137"/>
      <c r="I883" s="137"/>
      <c r="J883" s="197"/>
      <c r="K883" s="198"/>
      <c r="L883" s="196"/>
      <c r="M883" s="196"/>
      <c r="N883" s="196"/>
      <c r="O883" s="196"/>
      <c r="P883" s="127"/>
    </row>
    <row r="884" spans="1:16" ht="20.25" customHeight="1" x14ac:dyDescent="0.3">
      <c r="A884" s="137"/>
      <c r="B884" s="137"/>
      <c r="C884" s="137"/>
      <c r="D884" s="194"/>
      <c r="E884" s="194"/>
      <c r="F884" s="137"/>
      <c r="G884" s="137"/>
      <c r="H884" s="137"/>
      <c r="I884" s="137"/>
      <c r="J884" s="197"/>
      <c r="K884" s="198"/>
      <c r="L884" s="196"/>
      <c r="M884" s="196"/>
      <c r="N884" s="196"/>
      <c r="O884" s="196"/>
      <c r="P884" s="127"/>
    </row>
    <row r="885" spans="1:16" ht="20.25" customHeight="1" x14ac:dyDescent="0.3">
      <c r="A885" s="137"/>
      <c r="B885" s="137"/>
      <c r="C885" s="137"/>
      <c r="D885" s="194"/>
      <c r="E885" s="194"/>
      <c r="F885" s="137"/>
      <c r="G885" s="137"/>
      <c r="H885" s="137"/>
      <c r="I885" s="137"/>
      <c r="J885" s="197"/>
      <c r="K885" s="198"/>
      <c r="L885" s="196"/>
      <c r="M885" s="196"/>
      <c r="N885" s="196"/>
      <c r="O885" s="196"/>
      <c r="P885" s="127"/>
    </row>
    <row r="886" spans="1:16" ht="20.25" customHeight="1" x14ac:dyDescent="0.3">
      <c r="A886" s="137"/>
      <c r="B886" s="137"/>
      <c r="C886" s="137"/>
      <c r="D886" s="194"/>
      <c r="E886" s="194"/>
      <c r="F886" s="137"/>
      <c r="G886" s="137"/>
      <c r="H886" s="137"/>
      <c r="I886" s="137"/>
      <c r="J886" s="197"/>
      <c r="K886" s="198"/>
      <c r="L886" s="196"/>
      <c r="M886" s="196"/>
      <c r="N886" s="196"/>
      <c r="O886" s="196"/>
      <c r="P886" s="127"/>
    </row>
    <row r="887" spans="1:16" ht="20.25" customHeight="1" x14ac:dyDescent="0.3">
      <c r="A887" s="137"/>
      <c r="B887" s="137"/>
      <c r="C887" s="137"/>
      <c r="D887" s="194"/>
      <c r="E887" s="194"/>
      <c r="F887" s="137"/>
      <c r="G887" s="137"/>
      <c r="H887" s="137"/>
      <c r="I887" s="137"/>
      <c r="J887" s="197"/>
      <c r="K887" s="198"/>
      <c r="L887" s="196"/>
      <c r="M887" s="196"/>
      <c r="N887" s="196"/>
      <c r="O887" s="196"/>
      <c r="P887" s="127"/>
    </row>
    <row r="888" spans="1:16" ht="20.25" customHeight="1" x14ac:dyDescent="0.3">
      <c r="A888" s="137"/>
      <c r="B888" s="137"/>
      <c r="C888" s="137"/>
      <c r="D888" s="194"/>
      <c r="E888" s="194"/>
      <c r="F888" s="137"/>
      <c r="G888" s="137"/>
      <c r="H888" s="137"/>
      <c r="I888" s="137"/>
      <c r="J888" s="197"/>
      <c r="K888" s="198"/>
      <c r="L888" s="196"/>
      <c r="M888" s="196"/>
      <c r="N888" s="196"/>
      <c r="O888" s="196"/>
      <c r="P888" s="127"/>
    </row>
    <row r="889" spans="1:16" ht="20.25" customHeight="1" x14ac:dyDescent="0.3">
      <c r="A889" s="137"/>
      <c r="B889" s="137"/>
      <c r="C889" s="137"/>
      <c r="D889" s="194"/>
      <c r="E889" s="194"/>
      <c r="F889" s="137"/>
      <c r="G889" s="137"/>
      <c r="H889" s="137"/>
      <c r="I889" s="137"/>
      <c r="J889" s="197"/>
      <c r="K889" s="198"/>
      <c r="L889" s="196"/>
      <c r="M889" s="196"/>
      <c r="N889" s="196"/>
      <c r="O889" s="196"/>
      <c r="P889" s="127"/>
    </row>
    <row r="890" spans="1:16" ht="20.25" customHeight="1" x14ac:dyDescent="0.3">
      <c r="A890" s="137"/>
      <c r="B890" s="137"/>
      <c r="C890" s="137"/>
      <c r="D890" s="194"/>
      <c r="E890" s="194"/>
      <c r="F890" s="137"/>
      <c r="G890" s="137"/>
      <c r="H890" s="137"/>
      <c r="I890" s="137"/>
      <c r="J890" s="197"/>
      <c r="K890" s="198"/>
      <c r="L890" s="196"/>
      <c r="M890" s="196"/>
      <c r="N890" s="196"/>
      <c r="O890" s="196"/>
      <c r="P890" s="127"/>
    </row>
    <row r="891" spans="1:16" ht="20.25" customHeight="1" x14ac:dyDescent="0.3">
      <c r="A891" s="137"/>
      <c r="B891" s="137"/>
      <c r="C891" s="137"/>
      <c r="D891" s="194"/>
      <c r="E891" s="194"/>
      <c r="F891" s="137"/>
      <c r="G891" s="137"/>
      <c r="H891" s="137"/>
      <c r="I891" s="137"/>
      <c r="J891" s="197"/>
      <c r="K891" s="198"/>
      <c r="L891" s="196"/>
      <c r="M891" s="196"/>
      <c r="N891" s="196"/>
      <c r="O891" s="196"/>
      <c r="P891" s="127"/>
    </row>
    <row r="892" spans="1:16" ht="20.25" customHeight="1" x14ac:dyDescent="0.3">
      <c r="A892" s="137"/>
      <c r="B892" s="137"/>
      <c r="C892" s="137"/>
      <c r="D892" s="194"/>
      <c r="E892" s="194"/>
      <c r="F892" s="137"/>
      <c r="G892" s="137"/>
      <c r="H892" s="137"/>
      <c r="I892" s="137"/>
      <c r="J892" s="197"/>
      <c r="K892" s="198"/>
      <c r="L892" s="196"/>
      <c r="M892" s="196"/>
      <c r="N892" s="196"/>
      <c r="O892" s="196"/>
      <c r="P892" s="127"/>
    </row>
    <row r="893" spans="1:16" ht="20.25" customHeight="1" x14ac:dyDescent="0.3">
      <c r="A893" s="137"/>
      <c r="B893" s="137"/>
      <c r="C893" s="137"/>
      <c r="D893" s="194"/>
      <c r="E893" s="194"/>
      <c r="F893" s="137"/>
      <c r="G893" s="137"/>
      <c r="H893" s="137"/>
      <c r="I893" s="137"/>
      <c r="J893" s="197"/>
      <c r="K893" s="198"/>
      <c r="L893" s="196"/>
      <c r="M893" s="196"/>
      <c r="N893" s="196"/>
      <c r="O893" s="196"/>
      <c r="P893" s="127"/>
    </row>
    <row r="894" spans="1:16" ht="20.25" customHeight="1" x14ac:dyDescent="0.3">
      <c r="A894" s="137"/>
      <c r="B894" s="137"/>
      <c r="C894" s="137"/>
      <c r="D894" s="194"/>
      <c r="E894" s="194"/>
      <c r="F894" s="137"/>
      <c r="G894" s="137"/>
      <c r="H894" s="137"/>
      <c r="I894" s="137"/>
      <c r="J894" s="197"/>
      <c r="K894" s="198"/>
      <c r="L894" s="196"/>
      <c r="M894" s="196"/>
      <c r="N894" s="196"/>
      <c r="O894" s="196"/>
      <c r="P894" s="127"/>
    </row>
    <row r="895" spans="1:16" ht="20.25" customHeight="1" x14ac:dyDescent="0.3">
      <c r="A895" s="137"/>
      <c r="B895" s="137"/>
      <c r="C895" s="137"/>
      <c r="D895" s="194"/>
      <c r="E895" s="194"/>
      <c r="F895" s="137"/>
      <c r="G895" s="137"/>
      <c r="H895" s="137"/>
      <c r="I895" s="137"/>
      <c r="J895" s="197"/>
      <c r="K895" s="198"/>
      <c r="L895" s="196"/>
      <c r="M895" s="196"/>
      <c r="N895" s="196"/>
      <c r="O895" s="196"/>
      <c r="P895" s="127"/>
    </row>
    <row r="896" spans="1:16" ht="20.25" customHeight="1" x14ac:dyDescent="0.3">
      <c r="A896" s="137"/>
      <c r="B896" s="137"/>
      <c r="C896" s="137"/>
      <c r="D896" s="194"/>
      <c r="E896" s="194"/>
      <c r="F896" s="137"/>
      <c r="G896" s="137"/>
      <c r="H896" s="137"/>
      <c r="I896" s="137"/>
      <c r="J896" s="197"/>
      <c r="K896" s="198"/>
      <c r="L896" s="196"/>
      <c r="M896" s="196"/>
      <c r="N896" s="196"/>
      <c r="O896" s="196"/>
      <c r="P896" s="127"/>
    </row>
    <row r="897" spans="1:16" ht="20.25" customHeight="1" x14ac:dyDescent="0.3">
      <c r="A897" s="137"/>
      <c r="B897" s="137"/>
      <c r="C897" s="137"/>
      <c r="D897" s="194"/>
      <c r="E897" s="194"/>
      <c r="F897" s="137"/>
      <c r="G897" s="137"/>
      <c r="H897" s="137"/>
      <c r="I897" s="137"/>
      <c r="J897" s="197"/>
      <c r="K897" s="198"/>
      <c r="L897" s="196"/>
      <c r="M897" s="196"/>
      <c r="N897" s="196"/>
      <c r="O897" s="196"/>
      <c r="P897" s="127"/>
    </row>
    <row r="898" spans="1:16" ht="20.25" customHeight="1" x14ac:dyDescent="0.3">
      <c r="A898" s="137"/>
      <c r="B898" s="137"/>
      <c r="C898" s="137"/>
      <c r="D898" s="194"/>
      <c r="E898" s="194"/>
      <c r="F898" s="137"/>
      <c r="G898" s="137"/>
      <c r="H898" s="137"/>
      <c r="I898" s="137"/>
      <c r="J898" s="197"/>
      <c r="K898" s="198"/>
      <c r="L898" s="196"/>
      <c r="M898" s="196"/>
      <c r="N898" s="196"/>
      <c r="O898" s="196"/>
      <c r="P898" s="127"/>
    </row>
    <row r="899" spans="1:16" ht="20.25" customHeight="1" x14ac:dyDescent="0.3">
      <c r="A899" s="137"/>
      <c r="B899" s="137"/>
      <c r="C899" s="137"/>
      <c r="D899" s="194"/>
      <c r="E899" s="194"/>
      <c r="F899" s="137"/>
      <c r="G899" s="137"/>
      <c r="H899" s="137"/>
      <c r="I899" s="137"/>
      <c r="J899" s="197"/>
      <c r="K899" s="198"/>
      <c r="L899" s="196"/>
      <c r="M899" s="196"/>
      <c r="N899" s="196"/>
      <c r="O899" s="196"/>
      <c r="P899" s="127"/>
    </row>
    <row r="900" spans="1:16" ht="20.25" customHeight="1" x14ac:dyDescent="0.3">
      <c r="A900" s="137"/>
      <c r="B900" s="137"/>
      <c r="C900" s="137"/>
      <c r="D900" s="194"/>
      <c r="E900" s="194"/>
      <c r="F900" s="137"/>
      <c r="G900" s="137"/>
      <c r="H900" s="137"/>
      <c r="I900" s="137"/>
      <c r="J900" s="197"/>
      <c r="K900" s="198"/>
      <c r="L900" s="196"/>
      <c r="M900" s="196"/>
      <c r="N900" s="196"/>
      <c r="O900" s="196"/>
      <c r="P900" s="127"/>
    </row>
    <row r="901" spans="1:16" ht="20.25" customHeight="1" x14ac:dyDescent="0.3">
      <c r="A901" s="137"/>
      <c r="B901" s="137"/>
      <c r="C901" s="137"/>
      <c r="D901" s="194"/>
      <c r="E901" s="194"/>
      <c r="F901" s="137"/>
      <c r="G901" s="137"/>
      <c r="H901" s="137"/>
      <c r="I901" s="137"/>
      <c r="J901" s="197"/>
      <c r="K901" s="198"/>
      <c r="L901" s="196"/>
      <c r="M901" s="196"/>
      <c r="N901" s="196"/>
      <c r="O901" s="196"/>
      <c r="P901" s="127"/>
    </row>
    <row r="902" spans="1:16" ht="20.25" customHeight="1" x14ac:dyDescent="0.3">
      <c r="A902" s="137"/>
      <c r="B902" s="137"/>
      <c r="C902" s="137"/>
      <c r="D902" s="194"/>
      <c r="E902" s="194"/>
      <c r="F902" s="137"/>
      <c r="G902" s="137"/>
      <c r="H902" s="137"/>
      <c r="I902" s="137"/>
      <c r="J902" s="197"/>
      <c r="K902" s="198"/>
      <c r="L902" s="196"/>
      <c r="M902" s="196"/>
      <c r="N902" s="196"/>
      <c r="O902" s="196"/>
      <c r="P902" s="127"/>
    </row>
    <row r="903" spans="1:16" ht="20.25" customHeight="1" x14ac:dyDescent="0.3">
      <c r="A903" s="137"/>
      <c r="B903" s="137"/>
      <c r="C903" s="137"/>
      <c r="D903" s="194"/>
      <c r="E903" s="194"/>
      <c r="F903" s="137"/>
      <c r="G903" s="137"/>
      <c r="H903" s="137"/>
      <c r="I903" s="137"/>
      <c r="J903" s="197"/>
      <c r="K903" s="198"/>
      <c r="L903" s="196"/>
      <c r="M903" s="196"/>
      <c r="N903" s="196"/>
      <c r="O903" s="196"/>
      <c r="P903" s="127"/>
    </row>
    <row r="904" spans="1:16" ht="20.25" customHeight="1" x14ac:dyDescent="0.3">
      <c r="A904" s="137"/>
      <c r="B904" s="137"/>
      <c r="C904" s="137"/>
      <c r="D904" s="194"/>
      <c r="E904" s="194"/>
      <c r="F904" s="137"/>
      <c r="G904" s="137"/>
      <c r="H904" s="137"/>
      <c r="I904" s="137"/>
      <c r="J904" s="197"/>
      <c r="K904" s="198"/>
      <c r="L904" s="196"/>
      <c r="M904" s="196"/>
      <c r="N904" s="196"/>
      <c r="O904" s="196"/>
      <c r="P904" s="127"/>
    </row>
    <row r="905" spans="1:16" ht="20.25" customHeight="1" x14ac:dyDescent="0.3">
      <c r="A905" s="137"/>
      <c r="B905" s="137"/>
      <c r="C905" s="137"/>
      <c r="D905" s="194"/>
      <c r="E905" s="194"/>
      <c r="F905" s="137"/>
      <c r="G905" s="137"/>
      <c r="H905" s="137"/>
      <c r="I905" s="137"/>
      <c r="J905" s="197"/>
      <c r="K905" s="198"/>
      <c r="L905" s="196"/>
      <c r="M905" s="196"/>
      <c r="N905" s="196"/>
      <c r="O905" s="196"/>
      <c r="P905" s="127"/>
    </row>
    <row r="906" spans="1:16" ht="20.25" customHeight="1" x14ac:dyDescent="0.3">
      <c r="A906" s="137"/>
      <c r="B906" s="137"/>
      <c r="C906" s="137"/>
      <c r="D906" s="194"/>
      <c r="E906" s="194"/>
      <c r="F906" s="137"/>
      <c r="G906" s="137"/>
      <c r="H906" s="137"/>
      <c r="I906" s="137"/>
      <c r="J906" s="197"/>
      <c r="K906" s="198"/>
      <c r="L906" s="196"/>
      <c r="M906" s="196"/>
      <c r="N906" s="196"/>
      <c r="O906" s="196"/>
      <c r="P906" s="127"/>
    </row>
    <row r="907" spans="1:16" ht="20.25" customHeight="1" x14ac:dyDescent="0.3">
      <c r="A907" s="137"/>
      <c r="B907" s="137"/>
      <c r="C907" s="137"/>
      <c r="D907" s="194"/>
      <c r="E907" s="194"/>
      <c r="F907" s="137"/>
      <c r="G907" s="137"/>
      <c r="H907" s="137"/>
      <c r="I907" s="137"/>
      <c r="J907" s="197"/>
      <c r="K907" s="198"/>
      <c r="L907" s="196"/>
      <c r="M907" s="196"/>
      <c r="N907" s="196"/>
      <c r="O907" s="196"/>
      <c r="P907" s="127"/>
    </row>
    <row r="908" spans="1:16" ht="20.25" customHeight="1" x14ac:dyDescent="0.3">
      <c r="A908" s="137"/>
      <c r="B908" s="137"/>
      <c r="C908" s="137"/>
      <c r="D908" s="194"/>
      <c r="E908" s="194"/>
      <c r="F908" s="137"/>
      <c r="G908" s="137"/>
      <c r="H908" s="137"/>
      <c r="I908" s="137"/>
      <c r="J908" s="197"/>
      <c r="K908" s="198"/>
      <c r="L908" s="196"/>
      <c r="M908" s="196"/>
      <c r="N908" s="196"/>
      <c r="O908" s="196"/>
      <c r="P908" s="127"/>
    </row>
    <row r="909" spans="1:16" ht="20.25" customHeight="1" x14ac:dyDescent="0.3">
      <c r="A909" s="137"/>
      <c r="B909" s="137"/>
      <c r="C909" s="137"/>
      <c r="D909" s="194"/>
      <c r="E909" s="194"/>
      <c r="F909" s="137"/>
      <c r="G909" s="137"/>
      <c r="H909" s="137"/>
      <c r="I909" s="137"/>
      <c r="J909" s="197"/>
      <c r="K909" s="198"/>
      <c r="L909" s="196"/>
      <c r="M909" s="196"/>
      <c r="N909" s="196"/>
      <c r="O909" s="196"/>
      <c r="P909" s="127"/>
    </row>
    <row r="910" spans="1:16" ht="20.25" customHeight="1" x14ac:dyDescent="0.3">
      <c r="A910" s="137"/>
      <c r="B910" s="137"/>
      <c r="C910" s="137"/>
      <c r="D910" s="194"/>
      <c r="E910" s="194"/>
      <c r="F910" s="137"/>
      <c r="G910" s="137"/>
      <c r="H910" s="137"/>
      <c r="I910" s="137"/>
      <c r="J910" s="197"/>
      <c r="K910" s="198"/>
      <c r="L910" s="196"/>
      <c r="M910" s="196"/>
      <c r="N910" s="196"/>
      <c r="O910" s="196"/>
      <c r="P910" s="127"/>
    </row>
    <row r="911" spans="1:16" ht="20.25" customHeight="1" x14ac:dyDescent="0.3">
      <c r="A911" s="137"/>
      <c r="B911" s="137"/>
      <c r="C911" s="137"/>
      <c r="D911" s="194"/>
      <c r="E911" s="194"/>
      <c r="F911" s="137"/>
      <c r="G911" s="137"/>
      <c r="H911" s="137"/>
      <c r="I911" s="137"/>
      <c r="J911" s="197"/>
      <c r="K911" s="198"/>
      <c r="L911" s="196"/>
      <c r="M911" s="196"/>
      <c r="N911" s="196"/>
      <c r="O911" s="196"/>
      <c r="P911" s="127"/>
    </row>
    <row r="912" spans="1:16" ht="20.25" customHeight="1" x14ac:dyDescent="0.3">
      <c r="A912" s="137"/>
      <c r="B912" s="137"/>
      <c r="C912" s="137"/>
      <c r="D912" s="194"/>
      <c r="E912" s="194"/>
      <c r="F912" s="137"/>
      <c r="G912" s="137"/>
      <c r="H912" s="137"/>
      <c r="I912" s="137"/>
      <c r="J912" s="197"/>
      <c r="K912" s="198"/>
      <c r="L912" s="196"/>
      <c r="M912" s="196"/>
      <c r="N912" s="196"/>
      <c r="O912" s="196"/>
      <c r="P912" s="127"/>
    </row>
    <row r="913" spans="1:16" ht="20.25" customHeight="1" x14ac:dyDescent="0.3">
      <c r="A913" s="137"/>
      <c r="B913" s="137"/>
      <c r="C913" s="137"/>
      <c r="D913" s="194"/>
      <c r="E913" s="194"/>
      <c r="F913" s="137"/>
      <c r="G913" s="137"/>
      <c r="H913" s="137"/>
      <c r="I913" s="137"/>
      <c r="J913" s="197"/>
      <c r="K913" s="198"/>
      <c r="L913" s="196"/>
      <c r="M913" s="196"/>
      <c r="N913" s="196"/>
      <c r="O913" s="196"/>
      <c r="P913" s="127"/>
    </row>
    <row r="914" spans="1:16" ht="20.25" customHeight="1" x14ac:dyDescent="0.3">
      <c r="A914" s="137"/>
      <c r="B914" s="137"/>
      <c r="C914" s="137"/>
      <c r="D914" s="194"/>
      <c r="E914" s="194"/>
      <c r="F914" s="137"/>
      <c r="G914" s="137"/>
      <c r="H914" s="137"/>
      <c r="I914" s="137"/>
      <c r="J914" s="197"/>
      <c r="K914" s="198"/>
      <c r="L914" s="196"/>
      <c r="M914" s="196"/>
      <c r="N914" s="196"/>
      <c r="O914" s="196"/>
      <c r="P914" s="127"/>
    </row>
    <row r="915" spans="1:16" ht="20.25" customHeight="1" x14ac:dyDescent="0.3">
      <c r="A915" s="137"/>
      <c r="B915" s="137"/>
      <c r="C915" s="137"/>
      <c r="D915" s="194"/>
      <c r="E915" s="194"/>
      <c r="F915" s="137"/>
      <c r="G915" s="137"/>
      <c r="H915" s="137"/>
      <c r="I915" s="137"/>
      <c r="J915" s="197"/>
      <c r="K915" s="198"/>
      <c r="L915" s="196"/>
      <c r="M915" s="196"/>
      <c r="N915" s="196"/>
      <c r="O915" s="196"/>
      <c r="P915" s="127"/>
    </row>
    <row r="916" spans="1:16" ht="20.25" customHeight="1" x14ac:dyDescent="0.3">
      <c r="A916" s="137"/>
      <c r="B916" s="137"/>
      <c r="C916" s="137"/>
      <c r="D916" s="194"/>
      <c r="E916" s="194"/>
      <c r="F916" s="137"/>
      <c r="G916" s="137"/>
      <c r="H916" s="137"/>
      <c r="I916" s="137"/>
      <c r="J916" s="197"/>
      <c r="K916" s="198"/>
      <c r="L916" s="196"/>
      <c r="M916" s="196"/>
      <c r="N916" s="196"/>
      <c r="O916" s="196"/>
      <c r="P916" s="127"/>
    </row>
    <row r="917" spans="1:16" ht="20.25" customHeight="1" x14ac:dyDescent="0.3">
      <c r="A917" s="137"/>
      <c r="B917" s="137"/>
      <c r="C917" s="137"/>
      <c r="D917" s="194"/>
      <c r="E917" s="194"/>
      <c r="F917" s="137"/>
      <c r="G917" s="137"/>
      <c r="H917" s="137"/>
      <c r="I917" s="137"/>
      <c r="J917" s="197"/>
      <c r="K917" s="198"/>
      <c r="L917" s="196"/>
      <c r="M917" s="196"/>
      <c r="N917" s="196"/>
      <c r="O917" s="196"/>
      <c r="P917" s="127"/>
    </row>
    <row r="918" spans="1:16" ht="20.25" customHeight="1" x14ac:dyDescent="0.3">
      <c r="A918" s="137"/>
      <c r="B918" s="137"/>
      <c r="C918" s="137"/>
      <c r="D918" s="194"/>
      <c r="E918" s="194"/>
      <c r="F918" s="137"/>
      <c r="G918" s="137"/>
      <c r="H918" s="137"/>
      <c r="I918" s="137"/>
      <c r="J918" s="197"/>
      <c r="K918" s="198"/>
      <c r="L918" s="196"/>
      <c r="M918" s="196"/>
      <c r="N918" s="196"/>
      <c r="O918" s="196"/>
      <c r="P918" s="127"/>
    </row>
    <row r="919" spans="1:16" ht="20.25" customHeight="1" x14ac:dyDescent="0.3">
      <c r="A919" s="137"/>
      <c r="B919" s="137"/>
      <c r="C919" s="137"/>
      <c r="D919" s="194"/>
      <c r="E919" s="194"/>
      <c r="F919" s="137"/>
      <c r="G919" s="137"/>
      <c r="H919" s="137"/>
      <c r="I919" s="137"/>
      <c r="J919" s="197"/>
      <c r="K919" s="198"/>
      <c r="L919" s="196"/>
      <c r="M919" s="196"/>
      <c r="N919" s="196"/>
      <c r="O919" s="196"/>
      <c r="P919" s="127"/>
    </row>
    <row r="920" spans="1:16" ht="20.25" customHeight="1" x14ac:dyDescent="0.3">
      <c r="A920" s="137"/>
      <c r="B920" s="137"/>
      <c r="C920" s="137"/>
      <c r="D920" s="194"/>
      <c r="E920" s="194"/>
      <c r="F920" s="137"/>
      <c r="G920" s="137"/>
      <c r="H920" s="137"/>
      <c r="I920" s="137"/>
      <c r="J920" s="197"/>
      <c r="K920" s="198"/>
      <c r="L920" s="196"/>
      <c r="M920" s="196"/>
      <c r="N920" s="196"/>
      <c r="O920" s="196"/>
      <c r="P920" s="127"/>
    </row>
    <row r="921" spans="1:16" ht="20.25" customHeight="1" x14ac:dyDescent="0.3">
      <c r="A921" s="137"/>
      <c r="B921" s="137"/>
      <c r="C921" s="137"/>
      <c r="D921" s="194"/>
      <c r="E921" s="194"/>
      <c r="F921" s="137"/>
      <c r="G921" s="137"/>
      <c r="H921" s="137"/>
      <c r="I921" s="137"/>
      <c r="J921" s="197"/>
      <c r="K921" s="198"/>
      <c r="L921" s="196"/>
      <c r="M921" s="196"/>
      <c r="N921" s="196"/>
      <c r="O921" s="196"/>
      <c r="P921" s="127"/>
    </row>
    <row r="922" spans="1:16" ht="20.25" customHeight="1" x14ac:dyDescent="0.3">
      <c r="A922" s="137"/>
      <c r="B922" s="137"/>
      <c r="C922" s="137"/>
      <c r="D922" s="194"/>
      <c r="E922" s="194"/>
      <c r="F922" s="137"/>
      <c r="G922" s="137"/>
      <c r="H922" s="137"/>
      <c r="I922" s="137"/>
      <c r="J922" s="197"/>
      <c r="K922" s="198"/>
      <c r="L922" s="196"/>
      <c r="M922" s="196"/>
      <c r="N922" s="196"/>
      <c r="O922" s="196"/>
      <c r="P922" s="127"/>
    </row>
    <row r="923" spans="1:16" ht="20.25" customHeight="1" x14ac:dyDescent="0.3">
      <c r="A923" s="137"/>
      <c r="B923" s="137"/>
      <c r="C923" s="137"/>
      <c r="D923" s="194"/>
      <c r="E923" s="194"/>
      <c r="F923" s="137"/>
      <c r="G923" s="137"/>
      <c r="H923" s="137"/>
      <c r="I923" s="137"/>
      <c r="J923" s="197"/>
      <c r="K923" s="198"/>
      <c r="L923" s="196"/>
      <c r="M923" s="196"/>
      <c r="N923" s="196"/>
      <c r="O923" s="196"/>
      <c r="P923" s="127"/>
    </row>
    <row r="924" spans="1:16" ht="20.25" customHeight="1" x14ac:dyDescent="0.3">
      <c r="A924" s="137"/>
      <c r="B924" s="137"/>
      <c r="C924" s="137"/>
      <c r="D924" s="194"/>
      <c r="E924" s="194"/>
      <c r="F924" s="137"/>
      <c r="G924" s="137"/>
      <c r="H924" s="137"/>
      <c r="I924" s="137"/>
      <c r="J924" s="197"/>
      <c r="K924" s="198"/>
      <c r="L924" s="196"/>
      <c r="M924" s="196"/>
      <c r="N924" s="196"/>
      <c r="O924" s="196"/>
      <c r="P924" s="127"/>
    </row>
    <row r="925" spans="1:16" ht="20.25" customHeight="1" x14ac:dyDescent="0.3">
      <c r="A925" s="137"/>
      <c r="B925" s="137"/>
      <c r="C925" s="137"/>
      <c r="D925" s="194"/>
      <c r="E925" s="194"/>
      <c r="F925" s="137"/>
      <c r="G925" s="137"/>
      <c r="H925" s="137"/>
      <c r="I925" s="137"/>
      <c r="J925" s="197"/>
      <c r="K925" s="198"/>
      <c r="L925" s="196"/>
      <c r="M925" s="196"/>
      <c r="N925" s="196"/>
      <c r="O925" s="196"/>
      <c r="P925" s="127"/>
    </row>
    <row r="926" spans="1:16" ht="20.25" customHeight="1" x14ac:dyDescent="0.3">
      <c r="A926" s="137"/>
      <c r="B926" s="137"/>
      <c r="C926" s="137"/>
      <c r="D926" s="194"/>
      <c r="E926" s="194"/>
      <c r="F926" s="137"/>
      <c r="G926" s="137"/>
      <c r="H926" s="137"/>
      <c r="I926" s="137"/>
      <c r="J926" s="197"/>
      <c r="K926" s="198"/>
      <c r="L926" s="196"/>
      <c r="M926" s="196"/>
      <c r="N926" s="196"/>
      <c r="O926" s="196"/>
      <c r="P926" s="127"/>
    </row>
    <row r="927" spans="1:16" ht="20.25" customHeight="1" x14ac:dyDescent="0.3">
      <c r="A927" s="137"/>
      <c r="B927" s="137"/>
      <c r="C927" s="137"/>
      <c r="D927" s="194"/>
      <c r="E927" s="194"/>
      <c r="F927" s="137"/>
      <c r="G927" s="137"/>
      <c r="H927" s="137"/>
      <c r="I927" s="137"/>
      <c r="J927" s="197"/>
      <c r="K927" s="198"/>
      <c r="L927" s="196"/>
      <c r="M927" s="196"/>
      <c r="N927" s="196"/>
      <c r="O927" s="196"/>
      <c r="P927" s="127"/>
    </row>
    <row r="928" spans="1:16" ht="20.25" customHeight="1" x14ac:dyDescent="0.3">
      <c r="A928" s="137"/>
      <c r="B928" s="137"/>
      <c r="C928" s="137"/>
      <c r="D928" s="194"/>
      <c r="E928" s="194"/>
      <c r="F928" s="137"/>
      <c r="G928" s="137"/>
      <c r="H928" s="137"/>
      <c r="I928" s="137"/>
      <c r="J928" s="197"/>
      <c r="K928" s="198"/>
      <c r="L928" s="196"/>
      <c r="M928" s="196"/>
      <c r="N928" s="196"/>
      <c r="O928" s="196"/>
      <c r="P928" s="127"/>
    </row>
    <row r="929" spans="1:16" ht="20.25" customHeight="1" x14ac:dyDescent="0.3">
      <c r="A929" s="137"/>
      <c r="B929" s="137"/>
      <c r="C929" s="137"/>
      <c r="D929" s="194"/>
      <c r="E929" s="194"/>
      <c r="F929" s="137"/>
      <c r="G929" s="137"/>
      <c r="H929" s="137"/>
      <c r="I929" s="137"/>
      <c r="J929" s="197"/>
      <c r="K929" s="198"/>
      <c r="L929" s="196"/>
      <c r="M929" s="196"/>
      <c r="N929" s="196"/>
      <c r="O929" s="196"/>
      <c r="P929" s="127"/>
    </row>
    <row r="930" spans="1:16" ht="20.25" customHeight="1" x14ac:dyDescent="0.3">
      <c r="A930" s="137"/>
      <c r="B930" s="137"/>
      <c r="C930" s="137"/>
      <c r="D930" s="194"/>
      <c r="E930" s="194"/>
      <c r="F930" s="137"/>
      <c r="G930" s="137"/>
      <c r="H930" s="137"/>
      <c r="I930" s="137"/>
      <c r="J930" s="197"/>
      <c r="K930" s="198"/>
      <c r="L930" s="196"/>
      <c r="M930" s="196"/>
      <c r="N930" s="196"/>
      <c r="O930" s="196"/>
      <c r="P930" s="127"/>
    </row>
    <row r="931" spans="1:16" ht="20.25" customHeight="1" x14ac:dyDescent="0.3">
      <c r="A931" s="137"/>
      <c r="B931" s="137"/>
      <c r="C931" s="137"/>
      <c r="D931" s="194"/>
      <c r="E931" s="194"/>
      <c r="F931" s="137"/>
      <c r="G931" s="137"/>
      <c r="H931" s="137"/>
      <c r="I931" s="137"/>
      <c r="J931" s="197"/>
      <c r="K931" s="198"/>
      <c r="L931" s="196"/>
      <c r="M931" s="196"/>
      <c r="N931" s="196"/>
      <c r="O931" s="196"/>
      <c r="P931" s="127"/>
    </row>
    <row r="932" spans="1:16" ht="20.25" customHeight="1" x14ac:dyDescent="0.3">
      <c r="A932" s="137"/>
      <c r="B932" s="137"/>
      <c r="C932" s="137"/>
      <c r="D932" s="194"/>
      <c r="E932" s="194"/>
      <c r="F932" s="137"/>
      <c r="G932" s="137"/>
      <c r="H932" s="137"/>
      <c r="I932" s="137"/>
      <c r="J932" s="197"/>
      <c r="K932" s="198"/>
      <c r="L932" s="196"/>
      <c r="M932" s="196"/>
      <c r="N932" s="196"/>
      <c r="O932" s="196"/>
      <c r="P932" s="127"/>
    </row>
    <row r="933" spans="1:16" ht="20.25" customHeight="1" x14ac:dyDescent="0.3">
      <c r="A933" s="137"/>
      <c r="B933" s="137"/>
      <c r="C933" s="137"/>
      <c r="D933" s="194"/>
      <c r="E933" s="194"/>
      <c r="F933" s="137"/>
      <c r="G933" s="137"/>
      <c r="H933" s="137"/>
      <c r="I933" s="137"/>
      <c r="J933" s="197"/>
      <c r="K933" s="198"/>
      <c r="L933" s="196"/>
      <c r="M933" s="196"/>
      <c r="N933" s="196"/>
      <c r="O933" s="196"/>
      <c r="P933" s="127"/>
    </row>
    <row r="934" spans="1:16" ht="20.25" customHeight="1" x14ac:dyDescent="0.3">
      <c r="A934" s="137"/>
      <c r="B934" s="137"/>
      <c r="C934" s="137"/>
      <c r="D934" s="194"/>
      <c r="E934" s="194"/>
      <c r="F934" s="137"/>
      <c r="G934" s="137"/>
      <c r="H934" s="137"/>
      <c r="I934" s="137"/>
      <c r="J934" s="197"/>
      <c r="K934" s="198"/>
      <c r="L934" s="196"/>
      <c r="M934" s="196"/>
      <c r="N934" s="196"/>
      <c r="O934" s="196"/>
      <c r="P934" s="127"/>
    </row>
    <row r="935" spans="1:16" ht="20.25" customHeight="1" x14ac:dyDescent="0.3">
      <c r="A935" s="137"/>
      <c r="B935" s="137"/>
      <c r="C935" s="137"/>
      <c r="D935" s="194"/>
      <c r="E935" s="194"/>
      <c r="F935" s="137"/>
      <c r="G935" s="137"/>
      <c r="H935" s="137"/>
      <c r="I935" s="137"/>
      <c r="J935" s="197"/>
      <c r="K935" s="198"/>
      <c r="L935" s="196"/>
      <c r="M935" s="196"/>
      <c r="N935" s="196"/>
      <c r="O935" s="196"/>
      <c r="P935" s="127"/>
    </row>
    <row r="936" spans="1:16" ht="20.25" customHeight="1" x14ac:dyDescent="0.3">
      <c r="A936" s="137"/>
      <c r="B936" s="137"/>
      <c r="C936" s="137"/>
      <c r="D936" s="194"/>
      <c r="E936" s="194"/>
      <c r="F936" s="137"/>
      <c r="G936" s="137"/>
      <c r="H936" s="137"/>
      <c r="I936" s="137"/>
      <c r="J936" s="197"/>
      <c r="K936" s="198"/>
      <c r="L936" s="196"/>
      <c r="M936" s="196"/>
      <c r="N936" s="196"/>
      <c r="O936" s="196"/>
      <c r="P936" s="127"/>
    </row>
    <row r="937" spans="1:16" ht="20.25" customHeight="1" x14ac:dyDescent="0.3">
      <c r="A937" s="137"/>
      <c r="B937" s="137"/>
      <c r="C937" s="137"/>
      <c r="D937" s="194"/>
      <c r="E937" s="194"/>
      <c r="F937" s="137"/>
      <c r="G937" s="137"/>
      <c r="H937" s="137"/>
      <c r="I937" s="137"/>
      <c r="J937" s="197"/>
      <c r="K937" s="198"/>
      <c r="L937" s="196"/>
      <c r="M937" s="196"/>
      <c r="N937" s="196"/>
      <c r="O937" s="196"/>
      <c r="P937" s="127"/>
    </row>
    <row r="938" spans="1:16" ht="20.25" customHeight="1" x14ac:dyDescent="0.3">
      <c r="A938" s="137"/>
      <c r="B938" s="137"/>
      <c r="C938" s="137"/>
      <c r="D938" s="194"/>
      <c r="E938" s="194"/>
      <c r="F938" s="137"/>
      <c r="G938" s="137"/>
      <c r="H938" s="137"/>
      <c r="I938" s="137"/>
      <c r="J938" s="197"/>
      <c r="K938" s="198"/>
      <c r="L938" s="196"/>
      <c r="M938" s="196"/>
      <c r="N938" s="196"/>
      <c r="O938" s="196"/>
      <c r="P938" s="127"/>
    </row>
    <row r="939" spans="1:16" ht="20.25" customHeight="1" x14ac:dyDescent="0.3">
      <c r="A939" s="137"/>
      <c r="B939" s="137"/>
      <c r="C939" s="137"/>
      <c r="D939" s="194"/>
      <c r="E939" s="194"/>
      <c r="F939" s="137"/>
      <c r="G939" s="137"/>
      <c r="H939" s="137"/>
      <c r="I939" s="137"/>
      <c r="J939" s="197"/>
      <c r="K939" s="198"/>
      <c r="L939" s="196"/>
      <c r="M939" s="196"/>
      <c r="N939" s="196"/>
      <c r="O939" s="196"/>
      <c r="P939" s="127"/>
    </row>
    <row r="940" spans="1:16" ht="20.25" customHeight="1" x14ac:dyDescent="0.3">
      <c r="A940" s="137"/>
      <c r="B940" s="137"/>
      <c r="C940" s="137"/>
      <c r="D940" s="194"/>
      <c r="E940" s="194"/>
      <c r="F940" s="137"/>
      <c r="G940" s="137"/>
      <c r="H940" s="137"/>
      <c r="I940" s="137"/>
      <c r="J940" s="197"/>
      <c r="K940" s="198"/>
      <c r="L940" s="196"/>
      <c r="M940" s="196"/>
      <c r="N940" s="196"/>
      <c r="O940" s="196"/>
      <c r="P940" s="127"/>
    </row>
    <row r="941" spans="1:16" ht="20.25" customHeight="1" x14ac:dyDescent="0.3">
      <c r="A941" s="137"/>
      <c r="B941" s="137"/>
      <c r="C941" s="137"/>
      <c r="D941" s="194"/>
      <c r="E941" s="194"/>
      <c r="F941" s="137"/>
      <c r="G941" s="137"/>
      <c r="H941" s="137"/>
      <c r="I941" s="137"/>
      <c r="J941" s="197"/>
      <c r="K941" s="198"/>
      <c r="L941" s="196"/>
      <c r="M941" s="196"/>
      <c r="N941" s="196"/>
      <c r="O941" s="196"/>
      <c r="P941" s="127"/>
    </row>
    <row r="942" spans="1:16" ht="20.25" customHeight="1" x14ac:dyDescent="0.3">
      <c r="A942" s="137"/>
      <c r="B942" s="137"/>
      <c r="C942" s="137"/>
      <c r="D942" s="194"/>
      <c r="E942" s="194"/>
      <c r="F942" s="137"/>
      <c r="G942" s="137"/>
      <c r="H942" s="137"/>
      <c r="I942" s="137"/>
      <c r="J942" s="197"/>
      <c r="K942" s="198"/>
      <c r="L942" s="196"/>
      <c r="M942" s="196"/>
      <c r="N942" s="196"/>
      <c r="O942" s="196"/>
      <c r="P942" s="127"/>
    </row>
    <row r="943" spans="1:16" ht="20.25" customHeight="1" x14ac:dyDescent="0.3">
      <c r="A943" s="137"/>
      <c r="B943" s="137"/>
      <c r="C943" s="137"/>
      <c r="D943" s="194"/>
      <c r="E943" s="194"/>
      <c r="F943" s="137"/>
      <c r="G943" s="137"/>
      <c r="H943" s="137"/>
      <c r="I943" s="137"/>
      <c r="J943" s="197"/>
      <c r="K943" s="198"/>
      <c r="L943" s="196"/>
      <c r="M943" s="196"/>
      <c r="N943" s="196"/>
      <c r="O943" s="196"/>
      <c r="P943" s="127"/>
    </row>
    <row r="944" spans="1:16" ht="20.25" customHeight="1" x14ac:dyDescent="0.3">
      <c r="A944" s="137"/>
      <c r="B944" s="137"/>
      <c r="C944" s="137"/>
      <c r="D944" s="194"/>
      <c r="E944" s="194"/>
      <c r="F944" s="137"/>
      <c r="G944" s="137"/>
      <c r="H944" s="137"/>
      <c r="I944" s="137"/>
      <c r="J944" s="197"/>
      <c r="K944" s="198"/>
      <c r="L944" s="196"/>
      <c r="M944" s="196"/>
      <c r="N944" s="196"/>
      <c r="O944" s="196"/>
      <c r="P944" s="127"/>
    </row>
    <row r="945" spans="1:16" ht="20.25" customHeight="1" x14ac:dyDescent="0.3">
      <c r="A945" s="137"/>
      <c r="B945" s="137"/>
      <c r="C945" s="137"/>
      <c r="D945" s="194"/>
      <c r="E945" s="194"/>
      <c r="F945" s="137"/>
      <c r="G945" s="137"/>
      <c r="H945" s="137"/>
      <c r="I945" s="137"/>
      <c r="J945" s="197"/>
      <c r="K945" s="198"/>
      <c r="L945" s="196"/>
      <c r="M945" s="196"/>
      <c r="N945" s="196"/>
      <c r="O945" s="196"/>
      <c r="P945" s="127"/>
    </row>
    <row r="946" spans="1:16" ht="20.25" customHeight="1" x14ac:dyDescent="0.3">
      <c r="A946" s="137"/>
      <c r="B946" s="137"/>
      <c r="C946" s="137"/>
      <c r="D946" s="194"/>
      <c r="E946" s="194"/>
      <c r="F946" s="137"/>
      <c r="G946" s="137"/>
      <c r="H946" s="137"/>
      <c r="I946" s="137"/>
      <c r="J946" s="197"/>
      <c r="K946" s="198"/>
      <c r="L946" s="196"/>
      <c r="M946" s="196"/>
      <c r="N946" s="196"/>
      <c r="O946" s="196"/>
      <c r="P946" s="127"/>
    </row>
    <row r="947" spans="1:16" ht="20.25" customHeight="1" x14ac:dyDescent="0.3">
      <c r="A947" s="137"/>
      <c r="B947" s="137"/>
      <c r="C947" s="137"/>
      <c r="D947" s="194"/>
      <c r="E947" s="194"/>
      <c r="F947" s="137"/>
      <c r="G947" s="137"/>
      <c r="H947" s="137"/>
      <c r="I947" s="137"/>
      <c r="J947" s="197"/>
      <c r="K947" s="198"/>
      <c r="L947" s="196"/>
      <c r="M947" s="196"/>
      <c r="N947" s="196"/>
      <c r="O947" s="196"/>
      <c r="P947" s="127"/>
    </row>
    <row r="948" spans="1:16" ht="20.25" customHeight="1" x14ac:dyDescent="0.3">
      <c r="A948" s="137"/>
      <c r="B948" s="137"/>
      <c r="C948" s="137"/>
      <c r="D948" s="194"/>
      <c r="E948" s="194"/>
      <c r="F948" s="137"/>
      <c r="G948" s="137"/>
      <c r="H948" s="137"/>
      <c r="I948" s="137"/>
      <c r="J948" s="197"/>
      <c r="K948" s="198"/>
      <c r="L948" s="196"/>
      <c r="M948" s="196"/>
      <c r="N948" s="196"/>
      <c r="O948" s="196"/>
      <c r="P948" s="127"/>
    </row>
    <row r="949" spans="1:16" ht="20.25" customHeight="1" x14ac:dyDescent="0.3">
      <c r="A949" s="137"/>
      <c r="B949" s="137"/>
      <c r="C949" s="137"/>
      <c r="D949" s="194"/>
      <c r="E949" s="194"/>
      <c r="F949" s="137"/>
      <c r="G949" s="137"/>
      <c r="H949" s="137"/>
      <c r="I949" s="137"/>
      <c r="J949" s="197"/>
      <c r="K949" s="198"/>
      <c r="L949" s="196"/>
      <c r="M949" s="196"/>
      <c r="N949" s="196"/>
      <c r="O949" s="196"/>
      <c r="P949" s="127"/>
    </row>
    <row r="950" spans="1:16" ht="20.25" customHeight="1" x14ac:dyDescent="0.3">
      <c r="A950" s="137"/>
      <c r="B950" s="137"/>
      <c r="C950" s="137"/>
      <c r="D950" s="194"/>
      <c r="E950" s="194"/>
      <c r="F950" s="137"/>
      <c r="G950" s="137"/>
      <c r="H950" s="137"/>
      <c r="I950" s="137"/>
      <c r="J950" s="197"/>
      <c r="K950" s="198"/>
      <c r="L950" s="196"/>
      <c r="M950" s="196"/>
      <c r="N950" s="196"/>
      <c r="O950" s="196"/>
      <c r="P950" s="127"/>
    </row>
    <row r="951" spans="1:16" ht="20.25" customHeight="1" x14ac:dyDescent="0.3">
      <c r="A951" s="137"/>
      <c r="B951" s="137"/>
      <c r="C951" s="137"/>
      <c r="D951" s="194"/>
      <c r="E951" s="194"/>
      <c r="F951" s="137"/>
      <c r="G951" s="137"/>
      <c r="H951" s="137"/>
      <c r="I951" s="137"/>
      <c r="J951" s="197"/>
      <c r="K951" s="198"/>
      <c r="L951" s="196"/>
      <c r="M951" s="196"/>
      <c r="N951" s="196"/>
      <c r="O951" s="196"/>
      <c r="P951" s="127"/>
    </row>
    <row r="952" spans="1:16" ht="20.25" customHeight="1" x14ac:dyDescent="0.3">
      <c r="A952" s="137"/>
      <c r="B952" s="137"/>
      <c r="C952" s="137"/>
      <c r="D952" s="194"/>
      <c r="E952" s="194"/>
      <c r="F952" s="137"/>
      <c r="G952" s="137"/>
      <c r="H952" s="137"/>
      <c r="I952" s="137"/>
      <c r="J952" s="197"/>
      <c r="K952" s="198"/>
      <c r="L952" s="196"/>
      <c r="M952" s="196"/>
      <c r="N952" s="196"/>
      <c r="O952" s="196"/>
      <c r="P952" s="127"/>
    </row>
    <row r="953" spans="1:16" ht="20.25" customHeight="1" x14ac:dyDescent="0.3">
      <c r="A953" s="137"/>
      <c r="B953" s="137"/>
      <c r="C953" s="137"/>
      <c r="D953" s="194"/>
      <c r="E953" s="194"/>
      <c r="F953" s="137"/>
      <c r="G953" s="137"/>
      <c r="H953" s="137"/>
      <c r="I953" s="137"/>
      <c r="J953" s="197"/>
      <c r="K953" s="198"/>
      <c r="L953" s="196"/>
      <c r="M953" s="196"/>
      <c r="N953" s="196"/>
      <c r="O953" s="196"/>
      <c r="P953" s="127"/>
    </row>
    <row r="954" spans="1:16" ht="20.25" customHeight="1" x14ac:dyDescent="0.3">
      <c r="A954" s="137"/>
      <c r="B954" s="137"/>
      <c r="C954" s="137"/>
      <c r="D954" s="194"/>
      <c r="E954" s="194"/>
      <c r="F954" s="137"/>
      <c r="G954" s="137"/>
      <c r="H954" s="137"/>
      <c r="I954" s="137"/>
      <c r="J954" s="197"/>
      <c r="K954" s="198"/>
      <c r="L954" s="196"/>
      <c r="M954" s="196"/>
      <c r="N954" s="196"/>
      <c r="O954" s="196"/>
      <c r="P954" s="127"/>
    </row>
    <row r="955" spans="1:16" ht="20.25" customHeight="1" x14ac:dyDescent="0.3">
      <c r="A955" s="137"/>
      <c r="B955" s="137"/>
      <c r="C955" s="137"/>
      <c r="D955" s="194"/>
      <c r="E955" s="194"/>
      <c r="F955" s="137"/>
      <c r="G955" s="137"/>
      <c r="H955" s="137"/>
      <c r="I955" s="137"/>
      <c r="J955" s="197"/>
      <c r="K955" s="198"/>
      <c r="L955" s="196"/>
      <c r="M955" s="196"/>
      <c r="N955" s="196"/>
      <c r="O955" s="196"/>
      <c r="P955" s="127"/>
    </row>
    <row r="956" spans="1:16" ht="20.25" customHeight="1" x14ac:dyDescent="0.3">
      <c r="A956" s="137"/>
      <c r="B956" s="137"/>
      <c r="C956" s="137"/>
      <c r="D956" s="194"/>
      <c r="E956" s="194"/>
      <c r="F956" s="137"/>
      <c r="G956" s="137"/>
      <c r="H956" s="137"/>
      <c r="I956" s="137"/>
      <c r="J956" s="197"/>
      <c r="K956" s="198"/>
      <c r="L956" s="196"/>
      <c r="M956" s="196"/>
      <c r="N956" s="196"/>
      <c r="O956" s="196"/>
      <c r="P956" s="127"/>
    </row>
    <row r="957" spans="1:16" ht="20.25" customHeight="1" x14ac:dyDescent="0.3">
      <c r="A957" s="137"/>
      <c r="B957" s="137"/>
      <c r="C957" s="137"/>
      <c r="D957" s="194"/>
      <c r="E957" s="194"/>
      <c r="F957" s="137"/>
      <c r="G957" s="137"/>
      <c r="H957" s="137"/>
      <c r="I957" s="137"/>
      <c r="J957" s="197"/>
      <c r="K957" s="198"/>
      <c r="L957" s="196"/>
      <c r="M957" s="196"/>
      <c r="N957" s="196"/>
      <c r="O957" s="196"/>
      <c r="P957" s="127"/>
    </row>
    <row r="958" spans="1:16" ht="20.25" customHeight="1" x14ac:dyDescent="0.3">
      <c r="A958" s="137"/>
      <c r="B958" s="137"/>
      <c r="C958" s="137"/>
      <c r="D958" s="194"/>
      <c r="E958" s="194"/>
      <c r="F958" s="137"/>
      <c r="G958" s="137"/>
      <c r="H958" s="137"/>
      <c r="I958" s="137"/>
      <c r="J958" s="197"/>
      <c r="K958" s="198"/>
      <c r="L958" s="196"/>
      <c r="M958" s="196"/>
      <c r="N958" s="196"/>
      <c r="O958" s="196"/>
      <c r="P958" s="127"/>
    </row>
    <row r="959" spans="1:16" ht="20.25" customHeight="1" x14ac:dyDescent="0.3">
      <c r="A959" s="137"/>
      <c r="B959" s="137"/>
      <c r="C959" s="137"/>
      <c r="D959" s="194"/>
      <c r="E959" s="194"/>
      <c r="F959" s="137"/>
      <c r="G959" s="137"/>
      <c r="H959" s="137"/>
      <c r="I959" s="137"/>
      <c r="J959" s="197"/>
      <c r="K959" s="198"/>
      <c r="L959" s="196"/>
      <c r="M959" s="196"/>
      <c r="N959" s="196"/>
      <c r="O959" s="196"/>
      <c r="P959" s="127"/>
    </row>
    <row r="960" spans="1:16" ht="20.25" customHeight="1" x14ac:dyDescent="0.3">
      <c r="A960" s="137"/>
      <c r="B960" s="137"/>
      <c r="C960" s="137"/>
      <c r="D960" s="194"/>
      <c r="E960" s="194"/>
      <c r="F960" s="137"/>
      <c r="G960" s="137"/>
      <c r="H960" s="137"/>
      <c r="I960" s="137"/>
      <c r="J960" s="197"/>
      <c r="K960" s="198"/>
      <c r="L960" s="196"/>
      <c r="M960" s="196"/>
      <c r="N960" s="196"/>
      <c r="O960" s="196"/>
      <c r="P960" s="127"/>
    </row>
    <row r="961" spans="1:16" ht="20.25" customHeight="1" x14ac:dyDescent="0.3">
      <c r="A961" s="137"/>
      <c r="B961" s="137"/>
      <c r="C961" s="137"/>
      <c r="D961" s="194"/>
      <c r="E961" s="194"/>
      <c r="F961" s="137"/>
      <c r="G961" s="137"/>
      <c r="H961" s="137"/>
      <c r="I961" s="137"/>
      <c r="J961" s="197"/>
      <c r="K961" s="198"/>
      <c r="L961" s="196"/>
      <c r="M961" s="196"/>
      <c r="N961" s="196"/>
      <c r="O961" s="196"/>
      <c r="P961" s="127"/>
    </row>
    <row r="962" spans="1:16" ht="20.25" customHeight="1" x14ac:dyDescent="0.3">
      <c r="A962" s="137"/>
      <c r="B962" s="137"/>
      <c r="C962" s="137"/>
      <c r="D962" s="194"/>
      <c r="E962" s="194"/>
      <c r="F962" s="137"/>
      <c r="G962" s="137"/>
      <c r="H962" s="137"/>
      <c r="I962" s="137"/>
      <c r="J962" s="197"/>
      <c r="K962" s="198"/>
      <c r="L962" s="196"/>
      <c r="M962" s="196"/>
      <c r="N962" s="196"/>
      <c r="O962" s="196"/>
      <c r="P962" s="127"/>
    </row>
    <row r="963" spans="1:16" ht="20.25" customHeight="1" x14ac:dyDescent="0.3">
      <c r="A963" s="137"/>
      <c r="B963" s="137"/>
      <c r="C963" s="137"/>
      <c r="D963" s="194"/>
      <c r="E963" s="194"/>
      <c r="F963" s="137"/>
      <c r="G963" s="137"/>
      <c r="H963" s="137"/>
      <c r="I963" s="137"/>
      <c r="J963" s="197"/>
      <c r="K963" s="198"/>
      <c r="L963" s="196"/>
      <c r="M963" s="196"/>
      <c r="N963" s="196"/>
      <c r="O963" s="196"/>
      <c r="P963" s="127"/>
    </row>
    <row r="964" spans="1:16" ht="20.25" customHeight="1" x14ac:dyDescent="0.3">
      <c r="A964" s="137"/>
      <c r="B964" s="137"/>
      <c r="C964" s="137"/>
      <c r="D964" s="194"/>
      <c r="E964" s="194"/>
      <c r="F964" s="137"/>
      <c r="G964" s="137"/>
      <c r="H964" s="137"/>
      <c r="I964" s="137"/>
      <c r="J964" s="197"/>
      <c r="K964" s="198"/>
      <c r="L964" s="196"/>
      <c r="M964" s="196"/>
      <c r="N964" s="196"/>
      <c r="O964" s="196"/>
      <c r="P964" s="127"/>
    </row>
    <row r="965" spans="1:16" ht="20.25" customHeight="1" x14ac:dyDescent="0.3">
      <c r="A965" s="137"/>
      <c r="B965" s="137"/>
      <c r="C965" s="137"/>
      <c r="D965" s="194"/>
      <c r="E965" s="194"/>
      <c r="F965" s="137"/>
      <c r="G965" s="137"/>
      <c r="H965" s="137"/>
      <c r="I965" s="137"/>
      <c r="J965" s="197"/>
      <c r="K965" s="198"/>
      <c r="L965" s="196"/>
      <c r="M965" s="196"/>
      <c r="N965" s="196"/>
      <c r="O965" s="196"/>
      <c r="P965" s="127"/>
    </row>
    <row r="966" spans="1:16" ht="20.25" customHeight="1" x14ac:dyDescent="0.3">
      <c r="A966" s="137"/>
      <c r="B966" s="137"/>
      <c r="C966" s="137"/>
      <c r="D966" s="194"/>
      <c r="E966" s="194"/>
      <c r="F966" s="137"/>
      <c r="G966" s="137"/>
      <c r="H966" s="137"/>
      <c r="I966" s="137"/>
      <c r="J966" s="197"/>
      <c r="K966" s="198"/>
      <c r="L966" s="196"/>
      <c r="M966" s="196"/>
      <c r="N966" s="196"/>
      <c r="O966" s="196"/>
      <c r="P966" s="127"/>
    </row>
    <row r="967" spans="1:16" ht="20.25" customHeight="1" x14ac:dyDescent="0.3">
      <c r="A967" s="137"/>
      <c r="B967" s="137"/>
      <c r="C967" s="137"/>
      <c r="D967" s="194"/>
      <c r="E967" s="194"/>
      <c r="F967" s="137"/>
      <c r="G967" s="137"/>
      <c r="H967" s="137"/>
      <c r="I967" s="137"/>
      <c r="J967" s="197"/>
      <c r="K967" s="198"/>
      <c r="L967" s="196"/>
      <c r="M967" s="196"/>
      <c r="N967" s="196"/>
      <c r="O967" s="196"/>
      <c r="P967" s="127"/>
    </row>
    <row r="968" spans="1:16" ht="20.25" customHeight="1" x14ac:dyDescent="0.3">
      <c r="A968" s="137"/>
      <c r="B968" s="137"/>
      <c r="C968" s="137"/>
      <c r="D968" s="194"/>
      <c r="E968" s="194"/>
      <c r="F968" s="137"/>
      <c r="G968" s="137"/>
      <c r="H968" s="137"/>
      <c r="I968" s="137"/>
      <c r="J968" s="197"/>
      <c r="K968" s="198"/>
      <c r="L968" s="196"/>
      <c r="M968" s="196"/>
      <c r="N968" s="196"/>
      <c r="O968" s="196"/>
      <c r="P968" s="127"/>
    </row>
    <row r="969" spans="1:16" ht="20.25" customHeight="1" x14ac:dyDescent="0.3">
      <c r="A969" s="137"/>
      <c r="B969" s="137"/>
      <c r="C969" s="137"/>
      <c r="D969" s="194"/>
      <c r="E969" s="194"/>
      <c r="F969" s="137"/>
      <c r="G969" s="137"/>
      <c r="H969" s="137"/>
      <c r="I969" s="137"/>
      <c r="J969" s="197"/>
      <c r="K969" s="198"/>
      <c r="L969" s="196"/>
      <c r="M969" s="196"/>
      <c r="N969" s="196"/>
      <c r="O969" s="196"/>
      <c r="P969" s="127"/>
    </row>
    <row r="970" spans="1:16" ht="20.25" customHeight="1" x14ac:dyDescent="0.3">
      <c r="A970" s="137"/>
      <c r="B970" s="137"/>
      <c r="C970" s="137"/>
      <c r="D970" s="194"/>
      <c r="E970" s="194"/>
      <c r="F970" s="137"/>
      <c r="G970" s="137"/>
      <c r="H970" s="137"/>
      <c r="I970" s="137"/>
      <c r="J970" s="197"/>
      <c r="K970" s="198"/>
      <c r="L970" s="196"/>
      <c r="M970" s="196"/>
      <c r="N970" s="196"/>
      <c r="O970" s="196"/>
      <c r="P970" s="127"/>
    </row>
    <row r="971" spans="1:16" ht="20.25" customHeight="1" x14ac:dyDescent="0.3">
      <c r="A971" s="137"/>
      <c r="B971" s="137"/>
      <c r="C971" s="137"/>
      <c r="D971" s="194"/>
      <c r="E971" s="194"/>
      <c r="F971" s="137"/>
      <c r="G971" s="137"/>
      <c r="H971" s="137"/>
      <c r="I971" s="137"/>
      <c r="J971" s="197"/>
      <c r="K971" s="198"/>
      <c r="L971" s="196"/>
      <c r="M971" s="196"/>
      <c r="N971" s="196"/>
      <c r="O971" s="196"/>
      <c r="P971" s="127"/>
    </row>
    <row r="972" spans="1:16" ht="20.25" customHeight="1" x14ac:dyDescent="0.3">
      <c r="A972" s="137"/>
      <c r="B972" s="137"/>
      <c r="C972" s="137"/>
      <c r="D972" s="194"/>
      <c r="E972" s="194"/>
      <c r="F972" s="137"/>
      <c r="G972" s="137"/>
      <c r="H972" s="137"/>
      <c r="I972" s="137"/>
      <c r="J972" s="197"/>
      <c r="K972" s="198"/>
      <c r="L972" s="196"/>
      <c r="M972" s="196"/>
      <c r="N972" s="196"/>
      <c r="O972" s="196"/>
      <c r="P972" s="127"/>
    </row>
    <row r="973" spans="1:16" ht="20.25" customHeight="1" x14ac:dyDescent="0.3">
      <c r="A973" s="137"/>
      <c r="B973" s="137"/>
      <c r="C973" s="137"/>
      <c r="D973" s="194"/>
      <c r="E973" s="194"/>
      <c r="F973" s="137"/>
      <c r="G973" s="137"/>
      <c r="H973" s="137"/>
      <c r="I973" s="137"/>
      <c r="J973" s="197"/>
      <c r="K973" s="198"/>
      <c r="L973" s="196"/>
      <c r="M973" s="196"/>
      <c r="N973" s="196"/>
      <c r="O973" s="196"/>
      <c r="P973" s="127"/>
    </row>
    <row r="974" spans="1:16" ht="20.25" customHeight="1" x14ac:dyDescent="0.3">
      <c r="A974" s="137"/>
      <c r="B974" s="137"/>
      <c r="C974" s="137"/>
      <c r="D974" s="194"/>
      <c r="E974" s="194"/>
      <c r="F974" s="137"/>
      <c r="G974" s="137"/>
      <c r="H974" s="137"/>
      <c r="I974" s="137"/>
      <c r="J974" s="197"/>
      <c r="K974" s="198"/>
      <c r="L974" s="196"/>
      <c r="M974" s="196"/>
      <c r="N974" s="196"/>
      <c r="O974" s="196"/>
      <c r="P974" s="127"/>
    </row>
    <row r="975" spans="1:16" ht="20.25" customHeight="1" x14ac:dyDescent="0.3">
      <c r="A975" s="137"/>
      <c r="B975" s="137"/>
      <c r="C975" s="137"/>
      <c r="D975" s="194"/>
      <c r="E975" s="194"/>
      <c r="F975" s="137"/>
      <c r="G975" s="137"/>
      <c r="H975" s="137"/>
      <c r="I975" s="137"/>
      <c r="J975" s="197"/>
      <c r="K975" s="198"/>
      <c r="L975" s="196"/>
      <c r="M975" s="196"/>
      <c r="N975" s="196"/>
      <c r="O975" s="196"/>
      <c r="P975" s="127"/>
    </row>
    <row r="976" spans="1:16" ht="20.25" customHeight="1" x14ac:dyDescent="0.3">
      <c r="A976" s="137"/>
      <c r="B976" s="137"/>
      <c r="C976" s="137"/>
      <c r="D976" s="194"/>
      <c r="E976" s="194"/>
      <c r="F976" s="137"/>
      <c r="G976" s="137"/>
      <c r="H976" s="137"/>
      <c r="I976" s="137"/>
      <c r="J976" s="197"/>
      <c r="K976" s="198"/>
      <c r="L976" s="196"/>
      <c r="M976" s="196"/>
      <c r="N976" s="196"/>
      <c r="O976" s="196"/>
      <c r="P976" s="127"/>
    </row>
    <row r="977" spans="1:16" ht="20.25" customHeight="1" x14ac:dyDescent="0.3">
      <c r="A977" s="137"/>
      <c r="B977" s="137"/>
      <c r="C977" s="137"/>
      <c r="D977" s="194"/>
      <c r="E977" s="194"/>
      <c r="F977" s="137"/>
      <c r="G977" s="137"/>
      <c r="H977" s="137"/>
      <c r="I977" s="137"/>
      <c r="J977" s="197"/>
      <c r="K977" s="198"/>
      <c r="L977" s="196"/>
      <c r="M977" s="196"/>
      <c r="N977" s="196"/>
      <c r="O977" s="196"/>
      <c r="P977" s="127"/>
    </row>
    <row r="978" spans="1:16" ht="20.25" customHeight="1" x14ac:dyDescent="0.3">
      <c r="A978" s="137"/>
      <c r="B978" s="137"/>
      <c r="C978" s="137"/>
      <c r="D978" s="194"/>
      <c r="E978" s="194"/>
      <c r="F978" s="137"/>
      <c r="G978" s="137"/>
      <c r="H978" s="137"/>
      <c r="I978" s="137"/>
      <c r="J978" s="197"/>
      <c r="K978" s="198"/>
      <c r="L978" s="196"/>
      <c r="M978" s="196"/>
      <c r="N978" s="196"/>
      <c r="O978" s="196"/>
      <c r="P978" s="127"/>
    </row>
    <row r="979" spans="1:16" ht="20.25" customHeight="1" x14ac:dyDescent="0.3">
      <c r="A979" s="137"/>
      <c r="B979" s="137"/>
      <c r="C979" s="137"/>
      <c r="D979" s="194"/>
      <c r="E979" s="194"/>
      <c r="F979" s="137"/>
      <c r="G979" s="137"/>
      <c r="H979" s="137"/>
      <c r="I979" s="137"/>
      <c r="J979" s="197"/>
      <c r="K979" s="198"/>
      <c r="L979" s="196"/>
      <c r="M979" s="196"/>
      <c r="N979" s="196"/>
      <c r="O979" s="196"/>
      <c r="P979" s="127"/>
    </row>
    <row r="980" spans="1:16" ht="20.25" customHeight="1" x14ac:dyDescent="0.3">
      <c r="A980" s="137"/>
      <c r="B980" s="137"/>
      <c r="C980" s="137"/>
      <c r="D980" s="194"/>
      <c r="E980" s="194"/>
      <c r="F980" s="137"/>
      <c r="G980" s="137"/>
      <c r="H980" s="137"/>
      <c r="I980" s="137"/>
      <c r="J980" s="197"/>
      <c r="K980" s="198"/>
      <c r="L980" s="196"/>
      <c r="M980" s="196"/>
      <c r="N980" s="196"/>
      <c r="O980" s="196"/>
      <c r="P980" s="127"/>
    </row>
    <row r="981" spans="1:16" ht="20.25" customHeight="1" x14ac:dyDescent="0.3">
      <c r="A981" s="137"/>
      <c r="B981" s="137"/>
      <c r="C981" s="137"/>
      <c r="D981" s="194"/>
      <c r="E981" s="194"/>
      <c r="F981" s="137"/>
      <c r="G981" s="137"/>
      <c r="H981" s="137"/>
      <c r="I981" s="137"/>
      <c r="J981" s="197"/>
      <c r="K981" s="198"/>
      <c r="L981" s="196"/>
      <c r="M981" s="196"/>
      <c r="N981" s="196"/>
      <c r="O981" s="196"/>
      <c r="P981" s="127"/>
    </row>
    <row r="982" spans="1:16" ht="20.25" customHeight="1" x14ac:dyDescent="0.3">
      <c r="A982" s="137"/>
      <c r="B982" s="137"/>
      <c r="C982" s="137"/>
      <c r="D982" s="194"/>
      <c r="E982" s="194"/>
      <c r="F982" s="137"/>
      <c r="G982" s="137"/>
      <c r="H982" s="137"/>
      <c r="I982" s="137"/>
      <c r="J982" s="197"/>
      <c r="K982" s="198"/>
      <c r="L982" s="196"/>
      <c r="M982" s="196"/>
      <c r="N982" s="196"/>
      <c r="O982" s="196"/>
      <c r="P982" s="127"/>
    </row>
    <row r="983" spans="1:16" ht="20.25" customHeight="1" x14ac:dyDescent="0.3">
      <c r="A983" s="137"/>
      <c r="B983" s="137"/>
      <c r="C983" s="137"/>
      <c r="D983" s="194"/>
      <c r="E983" s="194"/>
      <c r="F983" s="137"/>
      <c r="G983" s="137"/>
      <c r="H983" s="137"/>
      <c r="I983" s="137"/>
      <c r="J983" s="197"/>
      <c r="K983" s="198"/>
      <c r="L983" s="196"/>
      <c r="M983" s="196"/>
      <c r="N983" s="196"/>
      <c r="O983" s="196"/>
      <c r="P983" s="127"/>
    </row>
    <row r="984" spans="1:16" ht="20.25" customHeight="1" x14ac:dyDescent="0.3">
      <c r="A984" s="137"/>
      <c r="B984" s="137"/>
      <c r="C984" s="137"/>
      <c r="D984" s="194"/>
      <c r="E984" s="194"/>
      <c r="F984" s="137"/>
      <c r="G984" s="137"/>
      <c r="H984" s="137"/>
      <c r="I984" s="137"/>
      <c r="J984" s="197"/>
      <c r="K984" s="198"/>
      <c r="L984" s="196"/>
      <c r="M984" s="196"/>
      <c r="N984" s="196"/>
      <c r="O984" s="196"/>
      <c r="P984" s="127"/>
    </row>
    <row r="985" spans="1:16" ht="20.25" customHeight="1" x14ac:dyDescent="0.3">
      <c r="A985" s="137"/>
      <c r="B985" s="137"/>
      <c r="C985" s="137"/>
      <c r="D985" s="194"/>
      <c r="E985" s="194"/>
      <c r="F985" s="137"/>
      <c r="G985" s="137"/>
      <c r="H985" s="137"/>
      <c r="I985" s="137"/>
      <c r="J985" s="197"/>
      <c r="K985" s="198"/>
      <c r="L985" s="196"/>
      <c r="M985" s="196"/>
      <c r="N985" s="196"/>
      <c r="O985" s="196"/>
      <c r="P985" s="127"/>
    </row>
    <row r="986" spans="1:16" ht="20.25" customHeight="1" x14ac:dyDescent="0.3">
      <c r="A986" s="137"/>
      <c r="B986" s="137"/>
      <c r="C986" s="137"/>
      <c r="D986" s="194"/>
      <c r="E986" s="194"/>
      <c r="F986" s="137"/>
      <c r="G986" s="137"/>
      <c r="H986" s="137"/>
      <c r="I986" s="137"/>
      <c r="J986" s="197"/>
      <c r="K986" s="198"/>
      <c r="L986" s="196"/>
      <c r="M986" s="196"/>
      <c r="N986" s="196"/>
      <c r="O986" s="196"/>
      <c r="P986" s="127"/>
    </row>
    <row r="987" spans="1:16" ht="20.25" customHeight="1" x14ac:dyDescent="0.3">
      <c r="A987" s="137"/>
      <c r="B987" s="137"/>
      <c r="C987" s="137"/>
      <c r="D987" s="194"/>
      <c r="E987" s="194"/>
      <c r="F987" s="137"/>
      <c r="G987" s="137"/>
      <c r="H987" s="137"/>
      <c r="I987" s="137"/>
      <c r="J987" s="197"/>
      <c r="K987" s="198"/>
      <c r="L987" s="196"/>
      <c r="M987" s="196"/>
      <c r="N987" s="196"/>
      <c r="O987" s="196"/>
      <c r="P987" s="127"/>
    </row>
    <row r="988" spans="1:16" ht="20.25" customHeight="1" x14ac:dyDescent="0.3">
      <c r="A988" s="137"/>
      <c r="B988" s="137"/>
      <c r="C988" s="137"/>
      <c r="D988" s="194"/>
      <c r="E988" s="194"/>
      <c r="F988" s="137"/>
      <c r="G988" s="137"/>
      <c r="H988" s="137"/>
      <c r="I988" s="137"/>
      <c r="J988" s="197"/>
      <c r="K988" s="198"/>
      <c r="L988" s="196"/>
      <c r="M988" s="196"/>
      <c r="N988" s="196"/>
      <c r="O988" s="196"/>
      <c r="P988" s="127"/>
    </row>
    <row r="989" spans="1:16" ht="20.25" customHeight="1" x14ac:dyDescent="0.3">
      <c r="A989" s="137"/>
      <c r="B989" s="137"/>
      <c r="C989" s="137"/>
      <c r="D989" s="194"/>
      <c r="E989" s="194"/>
      <c r="F989" s="137"/>
      <c r="G989" s="137"/>
      <c r="H989" s="137"/>
      <c r="I989" s="137"/>
      <c r="J989" s="197"/>
      <c r="K989" s="198"/>
      <c r="L989" s="196"/>
      <c r="M989" s="196"/>
      <c r="N989" s="196"/>
      <c r="O989" s="196"/>
      <c r="P989" s="127"/>
    </row>
    <row r="990" spans="1:16" ht="20.25" customHeight="1" x14ac:dyDescent="0.3">
      <c r="A990" s="137"/>
      <c r="B990" s="137"/>
      <c r="C990" s="137"/>
      <c r="D990" s="194"/>
      <c r="E990" s="194"/>
      <c r="F990" s="137"/>
      <c r="G990" s="137"/>
      <c r="H990" s="137"/>
      <c r="I990" s="137"/>
      <c r="J990" s="197"/>
      <c r="K990" s="198"/>
      <c r="L990" s="196"/>
      <c r="M990" s="196"/>
      <c r="N990" s="196"/>
      <c r="O990" s="196"/>
      <c r="P990" s="127"/>
    </row>
    <row r="991" spans="1:16" ht="20.25" customHeight="1" x14ac:dyDescent="0.3">
      <c r="A991" s="137"/>
      <c r="B991" s="137"/>
      <c r="C991" s="137"/>
      <c r="D991" s="194"/>
      <c r="E991" s="194"/>
      <c r="F991" s="137"/>
      <c r="G991" s="137"/>
      <c r="H991" s="137"/>
      <c r="I991" s="137"/>
      <c r="J991" s="197"/>
      <c r="K991" s="198"/>
      <c r="L991" s="196"/>
      <c r="M991" s="196"/>
      <c r="N991" s="196"/>
      <c r="O991" s="196"/>
      <c r="P991" s="127"/>
    </row>
    <row r="992" spans="1:16" ht="20.25" customHeight="1" x14ac:dyDescent="0.3">
      <c r="A992" s="137"/>
      <c r="B992" s="137"/>
      <c r="C992" s="137"/>
      <c r="D992" s="194"/>
      <c r="E992" s="194"/>
      <c r="F992" s="137"/>
      <c r="G992" s="137"/>
      <c r="H992" s="137"/>
      <c r="I992" s="137"/>
      <c r="J992" s="197"/>
      <c r="K992" s="198"/>
      <c r="L992" s="196"/>
      <c r="M992" s="196"/>
      <c r="N992" s="196"/>
      <c r="O992" s="196"/>
      <c r="P992" s="127"/>
    </row>
    <row r="993" spans="1:16" ht="20.25" customHeight="1" x14ac:dyDescent="0.3">
      <c r="A993" s="137"/>
      <c r="B993" s="137"/>
      <c r="C993" s="137"/>
      <c r="D993" s="194"/>
      <c r="E993" s="194"/>
      <c r="F993" s="137"/>
      <c r="G993" s="137"/>
      <c r="H993" s="137"/>
      <c r="I993" s="137"/>
      <c r="J993" s="197"/>
      <c r="K993" s="198"/>
      <c r="L993" s="196"/>
      <c r="M993" s="196"/>
      <c r="N993" s="196"/>
      <c r="O993" s="196"/>
      <c r="P993" s="127"/>
    </row>
    <row r="994" spans="1:16" ht="20.25" customHeight="1" x14ac:dyDescent="0.3">
      <c r="A994" s="137"/>
      <c r="B994" s="137"/>
      <c r="C994" s="137"/>
      <c r="D994" s="194"/>
      <c r="E994" s="194"/>
      <c r="F994" s="137"/>
      <c r="G994" s="137"/>
      <c r="H994" s="137"/>
      <c r="I994" s="137"/>
      <c r="J994" s="197"/>
      <c r="K994" s="198"/>
      <c r="L994" s="196"/>
      <c r="M994" s="196"/>
      <c r="N994" s="196"/>
      <c r="O994" s="196"/>
      <c r="P994" s="127"/>
    </row>
    <row r="995" spans="1:16" ht="20.25" customHeight="1" x14ac:dyDescent="0.3">
      <c r="A995" s="137"/>
      <c r="B995" s="137"/>
      <c r="C995" s="137"/>
      <c r="D995" s="194"/>
      <c r="E995" s="194"/>
      <c r="F995" s="137"/>
      <c r="G995" s="137"/>
      <c r="H995" s="137"/>
      <c r="I995" s="137"/>
      <c r="J995" s="197"/>
      <c r="K995" s="198"/>
      <c r="L995" s="196"/>
      <c r="M995" s="196"/>
      <c r="N995" s="196"/>
      <c r="O995" s="196"/>
      <c r="P995" s="127"/>
    </row>
    <row r="996" spans="1:16" ht="20.25" customHeight="1" x14ac:dyDescent="0.3">
      <c r="A996" s="137"/>
      <c r="B996" s="137"/>
      <c r="C996" s="137"/>
      <c r="D996" s="194"/>
      <c r="E996" s="194"/>
      <c r="F996" s="137"/>
      <c r="G996" s="137"/>
      <c r="H996" s="137"/>
      <c r="I996" s="137"/>
      <c r="J996" s="197"/>
      <c r="K996" s="198"/>
      <c r="L996" s="196"/>
      <c r="M996" s="196"/>
      <c r="N996" s="196"/>
      <c r="O996" s="196"/>
      <c r="P996" s="127"/>
    </row>
    <row r="997" spans="1:16" ht="20.25" customHeight="1" x14ac:dyDescent="0.3">
      <c r="A997" s="137"/>
      <c r="B997" s="137"/>
      <c r="C997" s="137"/>
      <c r="D997" s="194"/>
      <c r="E997" s="194"/>
      <c r="F997" s="137"/>
      <c r="G997" s="137"/>
      <c r="H997" s="137"/>
      <c r="I997" s="137"/>
      <c r="J997" s="197"/>
      <c r="K997" s="198"/>
      <c r="L997" s="196"/>
      <c r="M997" s="196"/>
      <c r="N997" s="196"/>
      <c r="O997" s="196"/>
      <c r="P997" s="127"/>
    </row>
    <row r="998" spans="1:16" ht="20.25" customHeight="1" x14ac:dyDescent="0.3">
      <c r="A998" s="137"/>
      <c r="B998" s="137"/>
      <c r="C998" s="137"/>
      <c r="D998" s="194"/>
      <c r="E998" s="194"/>
      <c r="F998" s="137"/>
      <c r="G998" s="137"/>
      <c r="H998" s="137"/>
      <c r="I998" s="137"/>
      <c r="J998" s="197"/>
      <c r="K998" s="198"/>
      <c r="L998" s="196"/>
      <c r="M998" s="196"/>
      <c r="N998" s="196"/>
      <c r="O998" s="196"/>
      <c r="P998" s="127"/>
    </row>
    <row r="999" spans="1:16" ht="20.25" customHeight="1" x14ac:dyDescent="0.3">
      <c r="A999" s="137"/>
      <c r="B999" s="137"/>
      <c r="C999" s="137"/>
      <c r="D999" s="194"/>
      <c r="E999" s="194"/>
      <c r="F999" s="137"/>
      <c r="G999" s="137"/>
      <c r="H999" s="137"/>
      <c r="I999" s="137"/>
      <c r="J999" s="197"/>
      <c r="K999" s="198"/>
      <c r="L999" s="196"/>
      <c r="M999" s="196"/>
      <c r="N999" s="196"/>
      <c r="O999" s="196"/>
      <c r="P999" s="127"/>
    </row>
    <row r="1000" spans="1:16" ht="20.25" customHeight="1" x14ac:dyDescent="0.3">
      <c r="A1000" s="137"/>
      <c r="B1000" s="137"/>
      <c r="C1000" s="137"/>
      <c r="D1000" s="194"/>
      <c r="E1000" s="194"/>
      <c r="F1000" s="137"/>
      <c r="G1000" s="137"/>
      <c r="H1000" s="137"/>
      <c r="I1000" s="137"/>
      <c r="J1000" s="197"/>
      <c r="K1000" s="198"/>
      <c r="L1000" s="196"/>
      <c r="M1000" s="196"/>
      <c r="N1000" s="196"/>
      <c r="O1000" s="196"/>
      <c r="P1000" s="127"/>
    </row>
    <row r="1001" spans="1:16" ht="20.25" customHeight="1" x14ac:dyDescent="0.3">
      <c r="A1001" s="137"/>
      <c r="B1001" s="137"/>
      <c r="C1001" s="137"/>
      <c r="D1001" s="194"/>
      <c r="E1001" s="194"/>
      <c r="F1001" s="137"/>
      <c r="G1001" s="137"/>
      <c r="H1001" s="137"/>
      <c r="I1001" s="137"/>
      <c r="J1001" s="197"/>
      <c r="K1001" s="198"/>
      <c r="L1001" s="196"/>
      <c r="M1001" s="196"/>
      <c r="N1001" s="196"/>
      <c r="O1001" s="196"/>
      <c r="P1001" s="127"/>
    </row>
    <row r="1002" spans="1:16" ht="20.25" customHeight="1" x14ac:dyDescent="0.3">
      <c r="A1002" s="137"/>
      <c r="B1002" s="137"/>
      <c r="C1002" s="137"/>
      <c r="D1002" s="194"/>
      <c r="E1002" s="194"/>
      <c r="F1002" s="137"/>
      <c r="G1002" s="137"/>
      <c r="H1002" s="137"/>
      <c r="I1002" s="137"/>
      <c r="J1002" s="197"/>
      <c r="K1002" s="198"/>
      <c r="L1002" s="196"/>
      <c r="M1002" s="196"/>
      <c r="N1002" s="196"/>
      <c r="O1002" s="196"/>
      <c r="P1002" s="127"/>
    </row>
    <row r="1003" spans="1:16" ht="20.25" customHeight="1" x14ac:dyDescent="0.3">
      <c r="A1003" s="137"/>
      <c r="B1003" s="137"/>
      <c r="C1003" s="137"/>
      <c r="D1003" s="194"/>
      <c r="E1003" s="194"/>
      <c r="F1003" s="137"/>
      <c r="G1003" s="137"/>
      <c r="H1003" s="137"/>
      <c r="I1003" s="137"/>
      <c r="J1003" s="197"/>
      <c r="K1003" s="198"/>
      <c r="L1003" s="196"/>
      <c r="M1003" s="196"/>
      <c r="N1003" s="196"/>
      <c r="O1003" s="196"/>
      <c r="P1003" s="127"/>
    </row>
    <row r="1004" spans="1:16" ht="20.25" customHeight="1" x14ac:dyDescent="0.3">
      <c r="A1004" s="137"/>
      <c r="B1004" s="137"/>
      <c r="C1004" s="137"/>
      <c r="D1004" s="194"/>
      <c r="E1004" s="194"/>
      <c r="F1004" s="137"/>
      <c r="G1004" s="137"/>
      <c r="H1004" s="137"/>
      <c r="I1004" s="137"/>
      <c r="J1004" s="197"/>
      <c r="K1004" s="198"/>
      <c r="L1004" s="196"/>
      <c r="M1004" s="196"/>
      <c r="N1004" s="196"/>
      <c r="O1004" s="196"/>
      <c r="P1004" s="127"/>
    </row>
    <row r="1005" spans="1:16" ht="20.25" customHeight="1" x14ac:dyDescent="0.3">
      <c r="A1005" s="137"/>
      <c r="B1005" s="137"/>
      <c r="C1005" s="137"/>
      <c r="D1005" s="194"/>
      <c r="E1005" s="194"/>
      <c r="F1005" s="137"/>
      <c r="G1005" s="137"/>
      <c r="H1005" s="137"/>
      <c r="I1005" s="137"/>
      <c r="J1005" s="197"/>
      <c r="K1005" s="198"/>
      <c r="L1005" s="196"/>
      <c r="M1005" s="196"/>
      <c r="N1005" s="196"/>
      <c r="O1005" s="196"/>
      <c r="P1005" s="127"/>
    </row>
    <row r="1006" spans="1:16" ht="20.25" customHeight="1" x14ac:dyDescent="0.3">
      <c r="A1006" s="137"/>
      <c r="B1006" s="137"/>
      <c r="C1006" s="137"/>
      <c r="D1006" s="194"/>
      <c r="E1006" s="194"/>
      <c r="F1006" s="137"/>
      <c r="G1006" s="137"/>
      <c r="H1006" s="137"/>
      <c r="I1006" s="137"/>
      <c r="J1006" s="197"/>
      <c r="K1006" s="198"/>
      <c r="L1006" s="196"/>
      <c r="M1006" s="196"/>
      <c r="N1006" s="196"/>
      <c r="O1006" s="196"/>
      <c r="P1006" s="127"/>
    </row>
    <row r="1007" spans="1:16" ht="20.25" customHeight="1" x14ac:dyDescent="0.3">
      <c r="A1007" s="137"/>
      <c r="B1007" s="137"/>
      <c r="C1007" s="137"/>
      <c r="D1007" s="194"/>
      <c r="E1007" s="194"/>
      <c r="F1007" s="137"/>
      <c r="G1007" s="137"/>
      <c r="H1007" s="137"/>
      <c r="I1007" s="137"/>
      <c r="J1007" s="197"/>
      <c r="K1007" s="198"/>
      <c r="L1007" s="196"/>
      <c r="M1007" s="196"/>
      <c r="N1007" s="196"/>
      <c r="O1007" s="196"/>
      <c r="P1007" s="127"/>
    </row>
    <row r="1008" spans="1:16" ht="20.25" customHeight="1" x14ac:dyDescent="0.3">
      <c r="A1008" s="137"/>
      <c r="B1008" s="137"/>
      <c r="C1008" s="137"/>
      <c r="D1008" s="194"/>
      <c r="E1008" s="194"/>
      <c r="F1008" s="137"/>
      <c r="G1008" s="137"/>
      <c r="H1008" s="137"/>
      <c r="I1008" s="137"/>
      <c r="J1008" s="197"/>
      <c r="K1008" s="198"/>
      <c r="L1008" s="196"/>
      <c r="M1008" s="196"/>
      <c r="N1008" s="196"/>
      <c r="O1008" s="196"/>
      <c r="P1008" s="127"/>
    </row>
    <row r="1009" spans="1:16" ht="20.25" customHeight="1" x14ac:dyDescent="0.3">
      <c r="A1009" s="137"/>
      <c r="B1009" s="137"/>
      <c r="C1009" s="137"/>
      <c r="D1009" s="194"/>
      <c r="E1009" s="194"/>
      <c r="F1009" s="137"/>
      <c r="G1009" s="137"/>
      <c r="H1009" s="137"/>
      <c r="I1009" s="137"/>
      <c r="J1009" s="197"/>
      <c r="K1009" s="198"/>
      <c r="L1009" s="196"/>
      <c r="M1009" s="196"/>
      <c r="N1009" s="196"/>
      <c r="O1009" s="196"/>
      <c r="P1009" s="127"/>
    </row>
    <row r="1010" spans="1:16" ht="20.25" customHeight="1" x14ac:dyDescent="0.3">
      <c r="A1010" s="137"/>
      <c r="B1010" s="137"/>
      <c r="C1010" s="137"/>
      <c r="D1010" s="194"/>
      <c r="E1010" s="194"/>
      <c r="F1010" s="137"/>
      <c r="G1010" s="137"/>
      <c r="H1010" s="137"/>
      <c r="I1010" s="137"/>
      <c r="J1010" s="197"/>
      <c r="K1010" s="198"/>
      <c r="L1010" s="196"/>
      <c r="M1010" s="196"/>
      <c r="N1010" s="196"/>
      <c r="O1010" s="196"/>
      <c r="P1010" s="127"/>
    </row>
    <row r="1011" spans="1:16" ht="20.25" customHeight="1" x14ac:dyDescent="0.3">
      <c r="A1011" s="137"/>
      <c r="B1011" s="137"/>
      <c r="C1011" s="137"/>
      <c r="D1011" s="194"/>
      <c r="E1011" s="194"/>
      <c r="F1011" s="137"/>
      <c r="G1011" s="137"/>
      <c r="H1011" s="137"/>
      <c r="I1011" s="137"/>
      <c r="J1011" s="197"/>
      <c r="K1011" s="198"/>
      <c r="L1011" s="196"/>
      <c r="M1011" s="196"/>
      <c r="N1011" s="196"/>
      <c r="O1011" s="196"/>
      <c r="P1011" s="127"/>
    </row>
    <row r="1012" spans="1:16" ht="20.25" customHeight="1" x14ac:dyDescent="0.3">
      <c r="A1012" s="137"/>
      <c r="B1012" s="137"/>
      <c r="C1012" s="137"/>
      <c r="D1012" s="194"/>
      <c r="E1012" s="194"/>
      <c r="F1012" s="137"/>
      <c r="G1012" s="137"/>
      <c r="H1012" s="137"/>
      <c r="I1012" s="137"/>
      <c r="J1012" s="197"/>
      <c r="K1012" s="198"/>
      <c r="L1012" s="196"/>
      <c r="M1012" s="196"/>
      <c r="N1012" s="196"/>
      <c r="O1012" s="196"/>
      <c r="P1012" s="127"/>
    </row>
    <row r="1013" spans="1:16" ht="20.25" customHeight="1" x14ac:dyDescent="0.3">
      <c r="A1013" s="137"/>
      <c r="B1013" s="137"/>
      <c r="C1013" s="137"/>
      <c r="D1013" s="194"/>
      <c r="E1013" s="194"/>
      <c r="F1013" s="137"/>
      <c r="G1013" s="137"/>
      <c r="H1013" s="137"/>
      <c r="I1013" s="137"/>
      <c r="J1013" s="197"/>
      <c r="K1013" s="198"/>
      <c r="L1013" s="196"/>
      <c r="M1013" s="196"/>
      <c r="N1013" s="196"/>
      <c r="O1013" s="196"/>
      <c r="P1013" s="127"/>
    </row>
    <row r="1014" spans="1:16" ht="20.25" customHeight="1" x14ac:dyDescent="0.3">
      <c r="A1014" s="137"/>
      <c r="B1014" s="137"/>
      <c r="C1014" s="137"/>
      <c r="D1014" s="194"/>
      <c r="E1014" s="194"/>
      <c r="F1014" s="137"/>
      <c r="G1014" s="137"/>
      <c r="H1014" s="137"/>
      <c r="I1014" s="137"/>
      <c r="J1014" s="197"/>
      <c r="K1014" s="198"/>
      <c r="L1014" s="196"/>
      <c r="M1014" s="196"/>
      <c r="N1014" s="196"/>
      <c r="O1014" s="196"/>
      <c r="P1014" s="127"/>
    </row>
    <row r="1015" spans="1:16" ht="20.25" customHeight="1" x14ac:dyDescent="0.3">
      <c r="A1015" s="137"/>
      <c r="B1015" s="137"/>
      <c r="C1015" s="137"/>
      <c r="D1015" s="194"/>
      <c r="E1015" s="194"/>
      <c r="F1015" s="137"/>
      <c r="G1015" s="137"/>
      <c r="H1015" s="137"/>
      <c r="I1015" s="137"/>
      <c r="J1015" s="197"/>
      <c r="K1015" s="198"/>
      <c r="L1015" s="196"/>
      <c r="M1015" s="196"/>
      <c r="N1015" s="196"/>
      <c r="O1015" s="196"/>
      <c r="P1015" s="127"/>
    </row>
    <row r="1016" spans="1:16" ht="20.25" customHeight="1" x14ac:dyDescent="0.3">
      <c r="A1016" s="137"/>
      <c r="B1016" s="137"/>
      <c r="C1016" s="137"/>
      <c r="D1016" s="194"/>
      <c r="E1016" s="194"/>
      <c r="F1016" s="137"/>
      <c r="G1016" s="137"/>
      <c r="H1016" s="137"/>
      <c r="I1016" s="137"/>
      <c r="J1016" s="197"/>
      <c r="K1016" s="198"/>
      <c r="L1016" s="196"/>
      <c r="M1016" s="196"/>
      <c r="N1016" s="196"/>
      <c r="O1016" s="196"/>
      <c r="P1016" s="127"/>
    </row>
    <row r="1017" spans="1:16" ht="20.25" customHeight="1" x14ac:dyDescent="0.3">
      <c r="A1017" s="137"/>
      <c r="B1017" s="137"/>
      <c r="C1017" s="137"/>
      <c r="D1017" s="194"/>
      <c r="E1017" s="194"/>
      <c r="F1017" s="137"/>
      <c r="G1017" s="137"/>
      <c r="H1017" s="137"/>
      <c r="I1017" s="137"/>
      <c r="J1017" s="197"/>
      <c r="K1017" s="198"/>
      <c r="L1017" s="196"/>
      <c r="M1017" s="196"/>
      <c r="N1017" s="196"/>
      <c r="O1017" s="196"/>
      <c r="P1017" s="127"/>
    </row>
    <row r="1018" spans="1:16" ht="20.25" customHeight="1" x14ac:dyDescent="0.3">
      <c r="A1018" s="137"/>
      <c r="B1018" s="137"/>
      <c r="C1018" s="137"/>
      <c r="D1018" s="194"/>
      <c r="E1018" s="194"/>
      <c r="F1018" s="137"/>
      <c r="G1018" s="137"/>
      <c r="H1018" s="137"/>
      <c r="I1018" s="137"/>
      <c r="J1018" s="197"/>
      <c r="K1018" s="198"/>
      <c r="L1018" s="196"/>
      <c r="M1018" s="196"/>
      <c r="N1018" s="196"/>
      <c r="O1018" s="196"/>
      <c r="P1018" s="127"/>
    </row>
    <row r="1019" spans="1:16" ht="20.25" customHeight="1" x14ac:dyDescent="0.3">
      <c r="A1019" s="137"/>
      <c r="B1019" s="137"/>
      <c r="C1019" s="137"/>
      <c r="D1019" s="194"/>
      <c r="E1019" s="194"/>
      <c r="F1019" s="137"/>
      <c r="G1019" s="137"/>
      <c r="H1019" s="137"/>
      <c r="I1019" s="137"/>
      <c r="J1019" s="197"/>
      <c r="K1019" s="198"/>
      <c r="L1019" s="196"/>
      <c r="M1019" s="196"/>
      <c r="N1019" s="196"/>
      <c r="O1019" s="196"/>
      <c r="P1019" s="127"/>
    </row>
    <row r="1020" spans="1:16" ht="20.25" customHeight="1" x14ac:dyDescent="0.3">
      <c r="A1020" s="137"/>
      <c r="B1020" s="137"/>
      <c r="C1020" s="137"/>
      <c r="D1020" s="194"/>
      <c r="E1020" s="194"/>
      <c r="F1020" s="137"/>
      <c r="G1020" s="137"/>
      <c r="H1020" s="137"/>
      <c r="I1020" s="137"/>
      <c r="J1020" s="197"/>
      <c r="K1020" s="198"/>
      <c r="L1020" s="196"/>
      <c r="M1020" s="196"/>
      <c r="N1020" s="196"/>
      <c r="O1020" s="196"/>
      <c r="P1020" s="127"/>
    </row>
    <row r="1021" spans="1:16" ht="20.25" customHeight="1" x14ac:dyDescent="0.3">
      <c r="A1021" s="137"/>
      <c r="B1021" s="137"/>
      <c r="C1021" s="137"/>
      <c r="D1021" s="194"/>
      <c r="E1021" s="194"/>
      <c r="F1021" s="137"/>
      <c r="G1021" s="137"/>
      <c r="H1021" s="137"/>
      <c r="I1021" s="137"/>
      <c r="J1021" s="197"/>
      <c r="K1021" s="198"/>
      <c r="L1021" s="196"/>
      <c r="M1021" s="196"/>
      <c r="N1021" s="196"/>
      <c r="O1021" s="196"/>
      <c r="P1021" s="127"/>
    </row>
    <row r="1022" spans="1:16" ht="20.25" customHeight="1" x14ac:dyDescent="0.3">
      <c r="A1022" s="137"/>
      <c r="B1022" s="137"/>
      <c r="C1022" s="137"/>
      <c r="D1022" s="194"/>
      <c r="E1022" s="194"/>
      <c r="F1022" s="137"/>
      <c r="G1022" s="137"/>
      <c r="H1022" s="137"/>
      <c r="I1022" s="137"/>
      <c r="J1022" s="197"/>
      <c r="K1022" s="198"/>
      <c r="L1022" s="196"/>
      <c r="M1022" s="196"/>
      <c r="N1022" s="196"/>
      <c r="O1022" s="196"/>
      <c r="P1022" s="127"/>
    </row>
    <row r="1023" spans="1:16" ht="20.25" customHeight="1" x14ac:dyDescent="0.3">
      <c r="A1023" s="137"/>
      <c r="B1023" s="137"/>
      <c r="C1023" s="137"/>
      <c r="D1023" s="194"/>
      <c r="E1023" s="194"/>
      <c r="F1023" s="137"/>
      <c r="G1023" s="137"/>
      <c r="H1023" s="137"/>
      <c r="I1023" s="137"/>
      <c r="J1023" s="197"/>
      <c r="K1023" s="198"/>
      <c r="L1023" s="196"/>
      <c r="M1023" s="196"/>
      <c r="N1023" s="196"/>
      <c r="O1023" s="196"/>
      <c r="P1023" s="127"/>
    </row>
    <row r="1024" spans="1:16" ht="20.25" customHeight="1" x14ac:dyDescent="0.3">
      <c r="A1024" s="137"/>
      <c r="B1024" s="137"/>
      <c r="C1024" s="137"/>
      <c r="D1024" s="194"/>
      <c r="E1024" s="194"/>
      <c r="F1024" s="137"/>
      <c r="G1024" s="137"/>
      <c r="H1024" s="137"/>
      <c r="I1024" s="137"/>
      <c r="J1024" s="197"/>
      <c r="K1024" s="198"/>
      <c r="L1024" s="196"/>
      <c r="M1024" s="196"/>
      <c r="N1024" s="196"/>
      <c r="O1024" s="196"/>
      <c r="P1024" s="127"/>
    </row>
    <row r="1025" spans="1:16" ht="20.25" customHeight="1" x14ac:dyDescent="0.3">
      <c r="A1025" s="137"/>
      <c r="B1025" s="137"/>
      <c r="C1025" s="137"/>
      <c r="D1025" s="194"/>
      <c r="E1025" s="194"/>
      <c r="F1025" s="137"/>
      <c r="G1025" s="137"/>
      <c r="H1025" s="137"/>
      <c r="I1025" s="137"/>
      <c r="J1025" s="197"/>
      <c r="K1025" s="198"/>
      <c r="L1025" s="196"/>
      <c r="M1025" s="196"/>
      <c r="N1025" s="196"/>
      <c r="O1025" s="196"/>
      <c r="P1025" s="127"/>
    </row>
    <row r="1026" spans="1:16" ht="20.25" customHeight="1" x14ac:dyDescent="0.3">
      <c r="A1026" s="137"/>
      <c r="B1026" s="137"/>
      <c r="C1026" s="137"/>
      <c r="D1026" s="194"/>
      <c r="E1026" s="194"/>
      <c r="F1026" s="137"/>
      <c r="G1026" s="137"/>
      <c r="H1026" s="137"/>
      <c r="I1026" s="137"/>
      <c r="J1026" s="197"/>
      <c r="K1026" s="198"/>
      <c r="L1026" s="196"/>
      <c r="M1026" s="196"/>
      <c r="N1026" s="196"/>
      <c r="O1026" s="196"/>
      <c r="P1026" s="127"/>
    </row>
    <row r="1027" spans="1:16" ht="20.25" customHeight="1" x14ac:dyDescent="0.3">
      <c r="A1027" s="137"/>
      <c r="B1027" s="137"/>
      <c r="C1027" s="137"/>
      <c r="D1027" s="194"/>
      <c r="E1027" s="194"/>
      <c r="F1027" s="137"/>
      <c r="G1027" s="137"/>
      <c r="H1027" s="137"/>
      <c r="I1027" s="137"/>
      <c r="J1027" s="197"/>
      <c r="K1027" s="198"/>
      <c r="L1027" s="196"/>
      <c r="M1027" s="196"/>
      <c r="N1027" s="196"/>
      <c r="O1027" s="196"/>
      <c r="P1027" s="127"/>
    </row>
    <row r="1028" spans="1:16" ht="20.25" customHeight="1" x14ac:dyDescent="0.3">
      <c r="A1028" s="137"/>
      <c r="B1028" s="137"/>
      <c r="C1028" s="137"/>
      <c r="D1028" s="194"/>
      <c r="E1028" s="194"/>
      <c r="F1028" s="137"/>
      <c r="G1028" s="137"/>
      <c r="H1028" s="137"/>
      <c r="I1028" s="137"/>
      <c r="J1028" s="197"/>
      <c r="K1028" s="198"/>
      <c r="L1028" s="196"/>
      <c r="M1028" s="196"/>
      <c r="N1028" s="196"/>
      <c r="O1028" s="196"/>
      <c r="P1028" s="127"/>
    </row>
    <row r="1029" spans="1:16" ht="20.25" customHeight="1" x14ac:dyDescent="0.3">
      <c r="A1029" s="137"/>
      <c r="B1029" s="137"/>
      <c r="C1029" s="137"/>
      <c r="D1029" s="194"/>
      <c r="E1029" s="194"/>
      <c r="F1029" s="137"/>
      <c r="G1029" s="137"/>
      <c r="H1029" s="137"/>
      <c r="I1029" s="137"/>
      <c r="J1029" s="197"/>
      <c r="K1029" s="198"/>
      <c r="L1029" s="196"/>
      <c r="M1029" s="196"/>
      <c r="N1029" s="196"/>
      <c r="O1029" s="196"/>
      <c r="P1029" s="127"/>
    </row>
    <row r="1030" spans="1:16" ht="20.25" customHeight="1" x14ac:dyDescent="0.3">
      <c r="A1030" s="137"/>
      <c r="B1030" s="137"/>
      <c r="C1030" s="137"/>
      <c r="D1030" s="194"/>
      <c r="E1030" s="194"/>
      <c r="F1030" s="137"/>
      <c r="G1030" s="137"/>
      <c r="H1030" s="137"/>
      <c r="I1030" s="137"/>
      <c r="J1030" s="197"/>
      <c r="K1030" s="198"/>
      <c r="L1030" s="196"/>
      <c r="M1030" s="196"/>
      <c r="N1030" s="196"/>
      <c r="O1030" s="196"/>
      <c r="P1030" s="127"/>
    </row>
    <row r="1031" spans="1:16" ht="20.25" customHeight="1" x14ac:dyDescent="0.3">
      <c r="A1031" s="137"/>
      <c r="B1031" s="137"/>
      <c r="C1031" s="137"/>
      <c r="D1031" s="194"/>
      <c r="E1031" s="194"/>
      <c r="F1031" s="137"/>
      <c r="G1031" s="137"/>
      <c r="H1031" s="137"/>
      <c r="I1031" s="137"/>
      <c r="J1031" s="197"/>
      <c r="K1031" s="198"/>
      <c r="L1031" s="196"/>
      <c r="M1031" s="196"/>
      <c r="N1031" s="196"/>
      <c r="O1031" s="196"/>
      <c r="P1031" s="127"/>
    </row>
    <row r="1032" spans="1:16" ht="20.25" customHeight="1" x14ac:dyDescent="0.3">
      <c r="A1032" s="137"/>
      <c r="B1032" s="137"/>
      <c r="C1032" s="137"/>
      <c r="D1032" s="194"/>
      <c r="E1032" s="194"/>
      <c r="F1032" s="137"/>
      <c r="G1032" s="137"/>
      <c r="H1032" s="137"/>
      <c r="I1032" s="137"/>
      <c r="J1032" s="197"/>
      <c r="K1032" s="198"/>
      <c r="L1032" s="196"/>
      <c r="M1032" s="196"/>
      <c r="N1032" s="196"/>
      <c r="O1032" s="196"/>
      <c r="P1032" s="127"/>
    </row>
    <row r="1033" spans="1:16" ht="20.25" customHeight="1" x14ac:dyDescent="0.3">
      <c r="A1033" s="137"/>
      <c r="B1033" s="137"/>
      <c r="C1033" s="137"/>
      <c r="D1033" s="194"/>
      <c r="E1033" s="194"/>
      <c r="F1033" s="137"/>
      <c r="G1033" s="137"/>
      <c r="H1033" s="137"/>
      <c r="I1033" s="137"/>
      <c r="J1033" s="197"/>
      <c r="K1033" s="198"/>
      <c r="L1033" s="196"/>
      <c r="M1033" s="196"/>
      <c r="N1033" s="196"/>
      <c r="O1033" s="196"/>
      <c r="P1033" s="127"/>
    </row>
    <row r="1034" spans="1:16" ht="20.25" customHeight="1" x14ac:dyDescent="0.3">
      <c r="A1034" s="137"/>
      <c r="B1034" s="137"/>
      <c r="C1034" s="137"/>
      <c r="D1034" s="194"/>
      <c r="E1034" s="194"/>
      <c r="F1034" s="137"/>
      <c r="G1034" s="137"/>
      <c r="H1034" s="137"/>
      <c r="I1034" s="137"/>
      <c r="J1034" s="197"/>
      <c r="K1034" s="198"/>
      <c r="L1034" s="196"/>
      <c r="M1034" s="196"/>
      <c r="N1034" s="196"/>
      <c r="O1034" s="196"/>
      <c r="P1034" s="127"/>
    </row>
    <row r="1035" spans="1:16" ht="20.25" customHeight="1" x14ac:dyDescent="0.3">
      <c r="A1035" s="137"/>
      <c r="B1035" s="137"/>
      <c r="C1035" s="137"/>
      <c r="D1035" s="194"/>
      <c r="E1035" s="194"/>
      <c r="F1035" s="137"/>
      <c r="G1035" s="137"/>
      <c r="H1035" s="137"/>
      <c r="I1035" s="137"/>
      <c r="J1035" s="197"/>
      <c r="K1035" s="198"/>
      <c r="L1035" s="196"/>
      <c r="M1035" s="196"/>
      <c r="N1035" s="196"/>
      <c r="O1035" s="196"/>
      <c r="P1035" s="127"/>
    </row>
    <row r="1036" spans="1:16" ht="20.25" customHeight="1" x14ac:dyDescent="0.3">
      <c r="A1036" s="137"/>
      <c r="B1036" s="137"/>
      <c r="C1036" s="137"/>
      <c r="D1036" s="194"/>
      <c r="E1036" s="194"/>
      <c r="F1036" s="137"/>
      <c r="G1036" s="137"/>
      <c r="H1036" s="137"/>
      <c r="I1036" s="137"/>
      <c r="J1036" s="197"/>
      <c r="K1036" s="198"/>
      <c r="L1036" s="196"/>
      <c r="M1036" s="196"/>
      <c r="N1036" s="196"/>
      <c r="O1036" s="196"/>
      <c r="P1036" s="127"/>
    </row>
    <row r="1037" spans="1:16" ht="20.25" customHeight="1" x14ac:dyDescent="0.3">
      <c r="A1037" s="137"/>
      <c r="B1037" s="137"/>
      <c r="C1037" s="137"/>
      <c r="D1037" s="194"/>
      <c r="E1037" s="194"/>
      <c r="F1037" s="137"/>
      <c r="G1037" s="137"/>
      <c r="H1037" s="137"/>
      <c r="I1037" s="137"/>
      <c r="J1037" s="197"/>
      <c r="K1037" s="198"/>
      <c r="L1037" s="196"/>
      <c r="M1037" s="196"/>
      <c r="N1037" s="196"/>
      <c r="O1037" s="196"/>
      <c r="P1037" s="127"/>
    </row>
    <row r="1038" spans="1:16" ht="20.25" customHeight="1" x14ac:dyDescent="0.3">
      <c r="A1038" s="137"/>
      <c r="B1038" s="137"/>
      <c r="C1038" s="137"/>
      <c r="D1038" s="194"/>
      <c r="E1038" s="194"/>
      <c r="F1038" s="137"/>
      <c r="G1038" s="137"/>
      <c r="H1038" s="137"/>
      <c r="I1038" s="137"/>
      <c r="J1038" s="197"/>
      <c r="K1038" s="198"/>
      <c r="L1038" s="196"/>
      <c r="M1038" s="196"/>
      <c r="N1038" s="196"/>
      <c r="O1038" s="196"/>
      <c r="P1038" s="127"/>
    </row>
    <row r="1039" spans="1:16" ht="20.25" customHeight="1" x14ac:dyDescent="0.3">
      <c r="A1039" s="137"/>
      <c r="B1039" s="137"/>
      <c r="C1039" s="137"/>
      <c r="D1039" s="194"/>
      <c r="E1039" s="194"/>
      <c r="F1039" s="137"/>
      <c r="G1039" s="137"/>
      <c r="H1039" s="137"/>
      <c r="I1039" s="137"/>
      <c r="J1039" s="197"/>
      <c r="K1039" s="198"/>
      <c r="L1039" s="196"/>
      <c r="M1039" s="196"/>
      <c r="N1039" s="196"/>
      <c r="O1039" s="196"/>
      <c r="P1039" s="127"/>
    </row>
    <row r="1040" spans="1:16" ht="20.25" customHeight="1" x14ac:dyDescent="0.3">
      <c r="A1040" s="137"/>
      <c r="B1040" s="137"/>
      <c r="C1040" s="137"/>
      <c r="D1040" s="194"/>
      <c r="E1040" s="194"/>
      <c r="F1040" s="137"/>
      <c r="G1040" s="137"/>
      <c r="H1040" s="137"/>
      <c r="I1040" s="137"/>
      <c r="J1040" s="197"/>
      <c r="K1040" s="198"/>
      <c r="L1040" s="196"/>
      <c r="M1040" s="196"/>
      <c r="N1040" s="196"/>
      <c r="O1040" s="196"/>
      <c r="P1040" s="127"/>
    </row>
    <row r="1041" spans="1:16" ht="20.25" customHeight="1" x14ac:dyDescent="0.3">
      <c r="A1041" s="137"/>
      <c r="B1041" s="137"/>
      <c r="C1041" s="137"/>
      <c r="D1041" s="194"/>
      <c r="E1041" s="194"/>
      <c r="F1041" s="137"/>
      <c r="G1041" s="137"/>
      <c r="H1041" s="137"/>
      <c r="I1041" s="137"/>
      <c r="J1041" s="197"/>
      <c r="K1041" s="198"/>
      <c r="L1041" s="196"/>
      <c r="M1041" s="196"/>
      <c r="N1041" s="196"/>
      <c r="O1041" s="196"/>
      <c r="P1041" s="127"/>
    </row>
    <row r="1042" spans="1:16" ht="20.25" customHeight="1" x14ac:dyDescent="0.3">
      <c r="A1042" s="137"/>
      <c r="B1042" s="137"/>
      <c r="C1042" s="137"/>
      <c r="D1042" s="194"/>
      <c r="E1042" s="194"/>
      <c r="F1042" s="137"/>
      <c r="G1042" s="137"/>
      <c r="H1042" s="137"/>
      <c r="I1042" s="137"/>
      <c r="J1042" s="197"/>
      <c r="K1042" s="198"/>
      <c r="L1042" s="196"/>
      <c r="M1042" s="196"/>
      <c r="N1042" s="196"/>
      <c r="O1042" s="196"/>
      <c r="P1042" s="127"/>
    </row>
    <row r="1043" spans="1:16" ht="20.25" customHeight="1" x14ac:dyDescent="0.3">
      <c r="A1043" s="137"/>
      <c r="B1043" s="137"/>
      <c r="C1043" s="137"/>
      <c r="D1043" s="194"/>
      <c r="E1043" s="194"/>
      <c r="F1043" s="137"/>
      <c r="G1043" s="137"/>
      <c r="H1043" s="137"/>
      <c r="I1043" s="137"/>
      <c r="J1043" s="197"/>
      <c r="K1043" s="198"/>
      <c r="L1043" s="196"/>
      <c r="M1043" s="196"/>
      <c r="N1043" s="196"/>
      <c r="O1043" s="196"/>
      <c r="P1043" s="127"/>
    </row>
    <row r="1044" spans="1:16" ht="20.25" customHeight="1" x14ac:dyDescent="0.3">
      <c r="A1044" s="137"/>
      <c r="B1044" s="137"/>
      <c r="C1044" s="137"/>
      <c r="D1044" s="194"/>
      <c r="E1044" s="194"/>
      <c r="F1044" s="137"/>
      <c r="G1044" s="137"/>
      <c r="H1044" s="137"/>
      <c r="I1044" s="137"/>
      <c r="J1044" s="197"/>
      <c r="K1044" s="198"/>
      <c r="L1044" s="196"/>
      <c r="M1044" s="196"/>
      <c r="N1044" s="196"/>
      <c r="O1044" s="196"/>
      <c r="P1044" s="127"/>
    </row>
    <row r="1045" spans="1:16" ht="20.25" customHeight="1" x14ac:dyDescent="0.3">
      <c r="A1045" s="137"/>
      <c r="B1045" s="137"/>
      <c r="C1045" s="137"/>
      <c r="D1045" s="194"/>
      <c r="E1045" s="194"/>
      <c r="F1045" s="137"/>
      <c r="G1045" s="137"/>
      <c r="H1045" s="137"/>
      <c r="I1045" s="137"/>
      <c r="J1045" s="197"/>
      <c r="K1045" s="198"/>
      <c r="L1045" s="196"/>
      <c r="M1045" s="196"/>
      <c r="N1045" s="196"/>
      <c r="O1045" s="196"/>
      <c r="P1045" s="127"/>
    </row>
    <row r="1046" spans="1:16" ht="20.25" customHeight="1" x14ac:dyDescent="0.3">
      <c r="A1046" s="137"/>
      <c r="B1046" s="137"/>
      <c r="C1046" s="137"/>
      <c r="D1046" s="194"/>
      <c r="E1046" s="194"/>
      <c r="F1046" s="137"/>
      <c r="G1046" s="137"/>
      <c r="H1046" s="137"/>
      <c r="I1046" s="137"/>
      <c r="J1046" s="197"/>
      <c r="K1046" s="198"/>
      <c r="L1046" s="196"/>
      <c r="M1046" s="196"/>
      <c r="N1046" s="196"/>
      <c r="O1046" s="196"/>
      <c r="P1046" s="127"/>
    </row>
    <row r="1047" spans="1:16" ht="20.25" customHeight="1" x14ac:dyDescent="0.3">
      <c r="A1047" s="137"/>
      <c r="B1047" s="137"/>
      <c r="C1047" s="137"/>
      <c r="D1047" s="194"/>
      <c r="E1047" s="194"/>
      <c r="F1047" s="137"/>
      <c r="G1047" s="137"/>
      <c r="H1047" s="137"/>
      <c r="I1047" s="137"/>
      <c r="J1047" s="197"/>
      <c r="K1047" s="198"/>
      <c r="L1047" s="196"/>
      <c r="M1047" s="196"/>
      <c r="N1047" s="196"/>
      <c r="O1047" s="196"/>
      <c r="P1047" s="127"/>
    </row>
    <row r="1048" spans="1:16" ht="20.25" customHeight="1" x14ac:dyDescent="0.3">
      <c r="A1048" s="137"/>
      <c r="B1048" s="137"/>
      <c r="C1048" s="137"/>
      <c r="D1048" s="194"/>
      <c r="E1048" s="194"/>
      <c r="F1048" s="137"/>
      <c r="G1048" s="137"/>
      <c r="H1048" s="137"/>
      <c r="I1048" s="137"/>
      <c r="J1048" s="197"/>
      <c r="K1048" s="198"/>
      <c r="L1048" s="196"/>
      <c r="M1048" s="196"/>
      <c r="N1048" s="196"/>
      <c r="O1048" s="196"/>
      <c r="P1048" s="127"/>
    </row>
    <row r="1049" spans="1:16" ht="20.25" customHeight="1" x14ac:dyDescent="0.3">
      <c r="A1049" s="137"/>
      <c r="B1049" s="137"/>
      <c r="C1049" s="137"/>
      <c r="D1049" s="194"/>
      <c r="E1049" s="194"/>
      <c r="F1049" s="137"/>
      <c r="G1049" s="137"/>
      <c r="H1049" s="137"/>
      <c r="I1049" s="137"/>
      <c r="J1049" s="197"/>
      <c r="K1049" s="198"/>
      <c r="L1049" s="196"/>
      <c r="M1049" s="196"/>
      <c r="N1049" s="196"/>
      <c r="O1049" s="196"/>
      <c r="P1049" s="127"/>
    </row>
    <row r="1050" spans="1:16" ht="20.25" customHeight="1" x14ac:dyDescent="0.3">
      <c r="A1050" s="137"/>
      <c r="B1050" s="137"/>
      <c r="C1050" s="137"/>
      <c r="D1050" s="194"/>
      <c r="E1050" s="194"/>
      <c r="F1050" s="137"/>
      <c r="G1050" s="137"/>
      <c r="H1050" s="137"/>
      <c r="I1050" s="137"/>
      <c r="J1050" s="197"/>
      <c r="K1050" s="198"/>
      <c r="L1050" s="196"/>
      <c r="M1050" s="196"/>
      <c r="N1050" s="196"/>
      <c r="O1050" s="196"/>
      <c r="P1050" s="127"/>
    </row>
    <row r="1051" spans="1:16" ht="20.25" customHeight="1" x14ac:dyDescent="0.3">
      <c r="A1051" s="137"/>
      <c r="B1051" s="137"/>
      <c r="C1051" s="137"/>
      <c r="D1051" s="194"/>
      <c r="E1051" s="194"/>
      <c r="F1051" s="137"/>
      <c r="G1051" s="137"/>
      <c r="H1051" s="137"/>
      <c r="I1051" s="137"/>
      <c r="J1051" s="197"/>
      <c r="K1051" s="198"/>
      <c r="L1051" s="196"/>
      <c r="M1051" s="196"/>
      <c r="N1051" s="196"/>
      <c r="O1051" s="196"/>
      <c r="P1051" s="127"/>
    </row>
    <row r="1052" spans="1:16" ht="20.25" customHeight="1" x14ac:dyDescent="0.3">
      <c r="A1052" s="137"/>
      <c r="B1052" s="137"/>
      <c r="C1052" s="137"/>
      <c r="D1052" s="194"/>
      <c r="E1052" s="194"/>
      <c r="F1052" s="137"/>
      <c r="G1052" s="137"/>
      <c r="H1052" s="137"/>
      <c r="I1052" s="137"/>
      <c r="J1052" s="197"/>
      <c r="K1052" s="198"/>
      <c r="L1052" s="196"/>
      <c r="M1052" s="196"/>
      <c r="N1052" s="196"/>
      <c r="O1052" s="196"/>
      <c r="P1052" s="127"/>
    </row>
    <row r="1053" spans="1:16" ht="20.25" customHeight="1" x14ac:dyDescent="0.3">
      <c r="A1053" s="137"/>
      <c r="B1053" s="137"/>
      <c r="C1053" s="137"/>
      <c r="D1053" s="194"/>
      <c r="E1053" s="194"/>
      <c r="F1053" s="137"/>
      <c r="G1053" s="137"/>
      <c r="H1053" s="137"/>
      <c r="I1053" s="137"/>
      <c r="J1053" s="197"/>
      <c r="K1053" s="198"/>
      <c r="L1053" s="196"/>
      <c r="M1053" s="196"/>
      <c r="N1053" s="196"/>
      <c r="O1053" s="196"/>
      <c r="P1053" s="127"/>
    </row>
    <row r="1054" spans="1:16" ht="20.25" customHeight="1" x14ac:dyDescent="0.3">
      <c r="A1054" s="137"/>
      <c r="B1054" s="137"/>
      <c r="C1054" s="137"/>
      <c r="D1054" s="194"/>
      <c r="E1054" s="194"/>
      <c r="F1054" s="137"/>
      <c r="G1054" s="137"/>
      <c r="H1054" s="137"/>
      <c r="I1054" s="137"/>
      <c r="J1054" s="197"/>
      <c r="K1054" s="198"/>
      <c r="L1054" s="196"/>
      <c r="M1054" s="196"/>
      <c r="N1054" s="196"/>
      <c r="O1054" s="196"/>
      <c r="P1054" s="127"/>
    </row>
    <row r="1055" spans="1:16" ht="20.25" customHeight="1" x14ac:dyDescent="0.3">
      <c r="A1055" s="137"/>
      <c r="B1055" s="137"/>
      <c r="C1055" s="137"/>
      <c r="D1055" s="194"/>
      <c r="E1055" s="194"/>
      <c r="F1055" s="137"/>
      <c r="G1055" s="137"/>
      <c r="H1055" s="137"/>
      <c r="I1055" s="137"/>
      <c r="J1055" s="197"/>
      <c r="K1055" s="198"/>
      <c r="L1055" s="196"/>
      <c r="M1055" s="196"/>
      <c r="N1055" s="196"/>
      <c r="O1055" s="196"/>
      <c r="P1055" s="127"/>
    </row>
    <row r="1056" spans="1:16" ht="20.25" customHeight="1" x14ac:dyDescent="0.3">
      <c r="A1056" s="137"/>
      <c r="B1056" s="137"/>
      <c r="C1056" s="137"/>
      <c r="D1056" s="194"/>
      <c r="E1056" s="194"/>
      <c r="F1056" s="137"/>
      <c r="G1056" s="137"/>
      <c r="H1056" s="137"/>
      <c r="I1056" s="137"/>
      <c r="J1056" s="197"/>
      <c r="K1056" s="198"/>
      <c r="L1056" s="196"/>
      <c r="M1056" s="196"/>
      <c r="N1056" s="196"/>
      <c r="O1056" s="196"/>
      <c r="P1056" s="127"/>
    </row>
    <row r="1057" spans="1:16" ht="20.25" customHeight="1" x14ac:dyDescent="0.3">
      <c r="A1057" s="137"/>
      <c r="B1057" s="137"/>
      <c r="C1057" s="137"/>
      <c r="D1057" s="194"/>
      <c r="E1057" s="194"/>
      <c r="F1057" s="137"/>
      <c r="G1057" s="137"/>
      <c r="H1057" s="137"/>
      <c r="I1057" s="137"/>
      <c r="J1057" s="197"/>
      <c r="K1057" s="198"/>
      <c r="L1057" s="196"/>
      <c r="M1057" s="196"/>
      <c r="N1057" s="196"/>
      <c r="O1057" s="196"/>
      <c r="P1057" s="127"/>
    </row>
    <row r="1058" spans="1:16" ht="20.25" customHeight="1" x14ac:dyDescent="0.3">
      <c r="A1058" s="137"/>
      <c r="B1058" s="137"/>
      <c r="C1058" s="137"/>
      <c r="D1058" s="194"/>
      <c r="E1058" s="194"/>
      <c r="F1058" s="137"/>
      <c r="G1058" s="137"/>
      <c r="H1058" s="137"/>
      <c r="I1058" s="137"/>
      <c r="J1058" s="197"/>
      <c r="K1058" s="198"/>
      <c r="L1058" s="196"/>
      <c r="M1058" s="196"/>
      <c r="N1058" s="196"/>
      <c r="O1058" s="196"/>
      <c r="P1058" s="127"/>
    </row>
    <row r="1059" spans="1:16" ht="20.25" customHeight="1" x14ac:dyDescent="0.3">
      <c r="A1059" s="137"/>
      <c r="B1059" s="137"/>
      <c r="C1059" s="137"/>
      <c r="D1059" s="194"/>
      <c r="E1059" s="194"/>
      <c r="F1059" s="137"/>
      <c r="G1059" s="137"/>
      <c r="H1059" s="137"/>
      <c r="I1059" s="137"/>
      <c r="J1059" s="197"/>
      <c r="K1059" s="198"/>
      <c r="L1059" s="196"/>
      <c r="M1059" s="196"/>
      <c r="N1059" s="196"/>
      <c r="O1059" s="196"/>
      <c r="P1059" s="127"/>
    </row>
    <row r="1060" spans="1:16" ht="20.25" customHeight="1" x14ac:dyDescent="0.3">
      <c r="A1060" s="137"/>
      <c r="B1060" s="137"/>
      <c r="C1060" s="137"/>
      <c r="D1060" s="194"/>
      <c r="E1060" s="194"/>
      <c r="F1060" s="137"/>
      <c r="G1060" s="137"/>
      <c r="H1060" s="137"/>
      <c r="I1060" s="137"/>
      <c r="J1060" s="197"/>
      <c r="K1060" s="198"/>
      <c r="L1060" s="196"/>
      <c r="M1060" s="196"/>
      <c r="N1060" s="196"/>
      <c r="O1060" s="196"/>
      <c r="P1060" s="127"/>
    </row>
    <row r="1061" spans="1:16" ht="20.25" customHeight="1" x14ac:dyDescent="0.3">
      <c r="A1061" s="137"/>
      <c r="B1061" s="137"/>
      <c r="C1061" s="137"/>
      <c r="D1061" s="194"/>
      <c r="E1061" s="194"/>
      <c r="F1061" s="137"/>
      <c r="G1061" s="137"/>
      <c r="H1061" s="137"/>
      <c r="I1061" s="137"/>
      <c r="J1061" s="197"/>
      <c r="K1061" s="198"/>
      <c r="L1061" s="196"/>
      <c r="M1061" s="196"/>
      <c r="N1061" s="196"/>
      <c r="O1061" s="196"/>
      <c r="P1061" s="127"/>
    </row>
    <row r="1062" spans="1:16" ht="20.25" customHeight="1" x14ac:dyDescent="0.3">
      <c r="A1062" s="137"/>
      <c r="B1062" s="137"/>
      <c r="C1062" s="137"/>
      <c r="D1062" s="194"/>
      <c r="E1062" s="194"/>
      <c r="F1062" s="137"/>
      <c r="G1062" s="137"/>
      <c r="H1062" s="137"/>
      <c r="I1062" s="137"/>
      <c r="J1062" s="197"/>
      <c r="K1062" s="198"/>
      <c r="L1062" s="196"/>
      <c r="M1062" s="196"/>
      <c r="N1062" s="196"/>
      <c r="O1062" s="196"/>
      <c r="P1062" s="127"/>
    </row>
    <row r="1063" spans="1:16" ht="20.25" customHeight="1" x14ac:dyDescent="0.3">
      <c r="A1063" s="137"/>
      <c r="B1063" s="137"/>
      <c r="C1063" s="137"/>
      <c r="D1063" s="194"/>
      <c r="E1063" s="194"/>
      <c r="F1063" s="137"/>
      <c r="G1063" s="137"/>
      <c r="H1063" s="137"/>
      <c r="I1063" s="137"/>
      <c r="J1063" s="197"/>
      <c r="K1063" s="198"/>
      <c r="L1063" s="196"/>
      <c r="M1063" s="196"/>
      <c r="N1063" s="196"/>
      <c r="O1063" s="196"/>
      <c r="P1063" s="127"/>
    </row>
    <row r="1064" spans="1:16" ht="20.25" customHeight="1" x14ac:dyDescent="0.3">
      <c r="A1064" s="137"/>
      <c r="B1064" s="137"/>
      <c r="C1064" s="137"/>
      <c r="D1064" s="194"/>
      <c r="E1064" s="194"/>
      <c r="F1064" s="137"/>
      <c r="G1064" s="137"/>
      <c r="H1064" s="137"/>
      <c r="I1064" s="137"/>
      <c r="J1064" s="197"/>
      <c r="K1064" s="198"/>
      <c r="L1064" s="196"/>
      <c r="M1064" s="196"/>
      <c r="N1064" s="196"/>
      <c r="O1064" s="196"/>
      <c r="P1064" s="127"/>
    </row>
    <row r="1065" spans="1:16" ht="20.25" customHeight="1" x14ac:dyDescent="0.3">
      <c r="A1065" s="137"/>
      <c r="B1065" s="137"/>
      <c r="C1065" s="137"/>
      <c r="D1065" s="194"/>
      <c r="E1065" s="194"/>
      <c r="F1065" s="137"/>
      <c r="G1065" s="137"/>
      <c r="H1065" s="137"/>
      <c r="I1065" s="137"/>
      <c r="J1065" s="197"/>
      <c r="K1065" s="198"/>
      <c r="L1065" s="196"/>
      <c r="M1065" s="196"/>
      <c r="N1065" s="196"/>
      <c r="O1065" s="196"/>
      <c r="P1065" s="127"/>
    </row>
    <row r="1066" spans="1:16" ht="20.25" customHeight="1" x14ac:dyDescent="0.3">
      <c r="A1066" s="137"/>
      <c r="B1066" s="137"/>
      <c r="C1066" s="137"/>
      <c r="D1066" s="194"/>
      <c r="E1066" s="194"/>
      <c r="F1066" s="137"/>
      <c r="G1066" s="137"/>
      <c r="H1066" s="137"/>
      <c r="I1066" s="137"/>
      <c r="J1066" s="197"/>
      <c r="K1066" s="198"/>
      <c r="L1066" s="196"/>
      <c r="M1066" s="196"/>
      <c r="N1066" s="196"/>
      <c r="O1066" s="196"/>
      <c r="P1066" s="127"/>
    </row>
    <row r="1067" spans="1:16" ht="20.25" customHeight="1" x14ac:dyDescent="0.3">
      <c r="A1067" s="137"/>
      <c r="B1067" s="137"/>
      <c r="C1067" s="137"/>
      <c r="D1067" s="194"/>
      <c r="E1067" s="194"/>
      <c r="F1067" s="137"/>
      <c r="G1067" s="137"/>
      <c r="H1067" s="137"/>
      <c r="I1067" s="137"/>
      <c r="J1067" s="197"/>
      <c r="K1067" s="198"/>
      <c r="L1067" s="196"/>
      <c r="M1067" s="196"/>
      <c r="N1067" s="196"/>
      <c r="O1067" s="196"/>
      <c r="P1067" s="127"/>
    </row>
    <row r="1068" spans="1:16" ht="20.25" customHeight="1" x14ac:dyDescent="0.3">
      <c r="A1068" s="137"/>
      <c r="B1068" s="137"/>
      <c r="C1068" s="137"/>
      <c r="D1068" s="194"/>
      <c r="E1068" s="194"/>
      <c r="F1068" s="137"/>
      <c r="G1068" s="137"/>
      <c r="H1068" s="137"/>
      <c r="I1068" s="137"/>
      <c r="J1068" s="197"/>
      <c r="K1068" s="198"/>
      <c r="L1068" s="196"/>
      <c r="M1068" s="196"/>
      <c r="N1068" s="196"/>
      <c r="O1068" s="196"/>
      <c r="P1068" s="127"/>
    </row>
    <row r="1069" spans="1:16" ht="20.25" customHeight="1" x14ac:dyDescent="0.3">
      <c r="A1069" s="137"/>
      <c r="B1069" s="137"/>
      <c r="C1069" s="137"/>
      <c r="D1069" s="194"/>
      <c r="E1069" s="194"/>
      <c r="F1069" s="137"/>
      <c r="G1069" s="137"/>
      <c r="H1069" s="137"/>
      <c r="I1069" s="137"/>
      <c r="J1069" s="197"/>
      <c r="K1069" s="198"/>
      <c r="L1069" s="196"/>
      <c r="M1069" s="196"/>
      <c r="N1069" s="196"/>
      <c r="O1069" s="196"/>
      <c r="P1069" s="127"/>
    </row>
    <row r="1070" spans="1:16" ht="20.25" customHeight="1" x14ac:dyDescent="0.3">
      <c r="A1070" s="137"/>
      <c r="B1070" s="137"/>
      <c r="C1070" s="137"/>
      <c r="D1070" s="194"/>
      <c r="E1070" s="194"/>
      <c r="F1070" s="137"/>
      <c r="G1070" s="137"/>
      <c r="H1070" s="137"/>
      <c r="I1070" s="137"/>
      <c r="J1070" s="197"/>
      <c r="K1070" s="198"/>
      <c r="L1070" s="196"/>
      <c r="M1070" s="196"/>
      <c r="N1070" s="196"/>
      <c r="O1070" s="196"/>
      <c r="P1070" s="127"/>
    </row>
    <row r="1071" spans="1:16" ht="20.25" customHeight="1" x14ac:dyDescent="0.3">
      <c r="A1071" s="137"/>
      <c r="B1071" s="137"/>
      <c r="C1071" s="137"/>
      <c r="D1071" s="194"/>
      <c r="E1071" s="194"/>
      <c r="F1071" s="137"/>
      <c r="G1071" s="137"/>
      <c r="H1071" s="137"/>
      <c r="I1071" s="137"/>
      <c r="J1071" s="197"/>
      <c r="K1071" s="198"/>
      <c r="L1071" s="196"/>
      <c r="M1071" s="196"/>
      <c r="N1071" s="196"/>
      <c r="O1071" s="196"/>
      <c r="P1071" s="127"/>
    </row>
    <row r="1072" spans="1:16" ht="20.25" customHeight="1" x14ac:dyDescent="0.3">
      <c r="A1072" s="137"/>
      <c r="B1072" s="137"/>
      <c r="C1072" s="137"/>
      <c r="D1072" s="194"/>
      <c r="E1072" s="194"/>
      <c r="F1072" s="137"/>
      <c r="G1072" s="137"/>
      <c r="H1072" s="137"/>
      <c r="I1072" s="137"/>
      <c r="J1072" s="197"/>
      <c r="K1072" s="198"/>
      <c r="L1072" s="196"/>
      <c r="M1072" s="196"/>
      <c r="N1072" s="196"/>
      <c r="O1072" s="196"/>
      <c r="P1072" s="127"/>
    </row>
    <row r="1073" spans="1:16" ht="20.25" customHeight="1" x14ac:dyDescent="0.3">
      <c r="A1073" s="137"/>
      <c r="B1073" s="137"/>
      <c r="C1073" s="137"/>
      <c r="D1073" s="194"/>
      <c r="E1073" s="194"/>
      <c r="F1073" s="137"/>
      <c r="G1073" s="137"/>
      <c r="H1073" s="137"/>
      <c r="I1073" s="137"/>
      <c r="J1073" s="197"/>
      <c r="K1073" s="198"/>
      <c r="L1073" s="196"/>
      <c r="M1073" s="196"/>
      <c r="N1073" s="196"/>
      <c r="O1073" s="196"/>
      <c r="P1073" s="127"/>
    </row>
    <row r="1074" spans="1:16" ht="20.25" customHeight="1" x14ac:dyDescent="0.3">
      <c r="A1074" s="137"/>
      <c r="B1074" s="137"/>
      <c r="C1074" s="137"/>
      <c r="D1074" s="194"/>
      <c r="E1074" s="194"/>
      <c r="F1074" s="137"/>
      <c r="G1074" s="137"/>
      <c r="H1074" s="137"/>
      <c r="I1074" s="137"/>
      <c r="J1074" s="197"/>
      <c r="K1074" s="198"/>
      <c r="L1074" s="196"/>
      <c r="M1074" s="196"/>
      <c r="N1074" s="196"/>
      <c r="O1074" s="196"/>
      <c r="P1074" s="127"/>
    </row>
    <row r="1075" spans="1:16" ht="20.25" customHeight="1" x14ac:dyDescent="0.3">
      <c r="A1075" s="137"/>
      <c r="B1075" s="137"/>
      <c r="C1075" s="137"/>
      <c r="D1075" s="194"/>
      <c r="E1075" s="194"/>
      <c r="F1075" s="137"/>
      <c r="G1075" s="137"/>
      <c r="H1075" s="137"/>
      <c r="I1075" s="137"/>
      <c r="J1075" s="197"/>
      <c r="K1075" s="198"/>
      <c r="L1075" s="196"/>
      <c r="M1075" s="196"/>
      <c r="N1075" s="196"/>
      <c r="O1075" s="196"/>
      <c r="P1075" s="127"/>
    </row>
    <row r="1076" spans="1:16" ht="20.25" customHeight="1" x14ac:dyDescent="0.3">
      <c r="A1076" s="137"/>
      <c r="B1076" s="137"/>
      <c r="C1076" s="137"/>
      <c r="D1076" s="194"/>
      <c r="E1076" s="194"/>
      <c r="F1076" s="137"/>
      <c r="G1076" s="137"/>
      <c r="H1076" s="137"/>
      <c r="I1076" s="137"/>
      <c r="J1076" s="197"/>
      <c r="K1076" s="198"/>
      <c r="L1076" s="196"/>
      <c r="M1076" s="196"/>
      <c r="N1076" s="196"/>
      <c r="O1076" s="196"/>
      <c r="P1076" s="127"/>
    </row>
    <row r="1077" spans="1:16" ht="20.25" customHeight="1" x14ac:dyDescent="0.3">
      <c r="A1077" s="137"/>
      <c r="B1077" s="137"/>
      <c r="C1077" s="137"/>
      <c r="D1077" s="194"/>
      <c r="E1077" s="194"/>
      <c r="F1077" s="137"/>
      <c r="G1077" s="137"/>
      <c r="H1077" s="137"/>
      <c r="I1077" s="137"/>
      <c r="J1077" s="197"/>
      <c r="K1077" s="198"/>
      <c r="L1077" s="196"/>
      <c r="M1077" s="196"/>
      <c r="N1077" s="196"/>
      <c r="O1077" s="196"/>
      <c r="P1077" s="127"/>
    </row>
    <row r="1078" spans="1:16" ht="20.25" customHeight="1" x14ac:dyDescent="0.3">
      <c r="A1078" s="137"/>
      <c r="B1078" s="137"/>
      <c r="C1078" s="137"/>
      <c r="D1078" s="194"/>
      <c r="E1078" s="194"/>
      <c r="F1078" s="137"/>
      <c r="G1078" s="137"/>
      <c r="H1078" s="137"/>
      <c r="I1078" s="137"/>
      <c r="J1078" s="197"/>
      <c r="K1078" s="198"/>
      <c r="L1078" s="196"/>
      <c r="M1078" s="196"/>
      <c r="N1078" s="196"/>
      <c r="O1078" s="196"/>
      <c r="P1078" s="127"/>
    </row>
    <row r="1079" spans="1:16" ht="20.25" customHeight="1" x14ac:dyDescent="0.3">
      <c r="A1079" s="137"/>
      <c r="B1079" s="137"/>
      <c r="C1079" s="137"/>
      <c r="D1079" s="194"/>
      <c r="E1079" s="194"/>
      <c r="F1079" s="137"/>
      <c r="G1079" s="137"/>
      <c r="H1079" s="137"/>
      <c r="I1079" s="137"/>
      <c r="J1079" s="197"/>
      <c r="K1079" s="198"/>
      <c r="L1079" s="196"/>
      <c r="M1079" s="196"/>
      <c r="N1079" s="196"/>
      <c r="O1079" s="196"/>
      <c r="P1079" s="127"/>
    </row>
    <row r="1080" spans="1:16" ht="20.25" customHeight="1" x14ac:dyDescent="0.3">
      <c r="A1080" s="137"/>
      <c r="B1080" s="137"/>
      <c r="C1080" s="137"/>
      <c r="D1080" s="194"/>
      <c r="E1080" s="194"/>
      <c r="F1080" s="137"/>
      <c r="G1080" s="137"/>
      <c r="H1080" s="137"/>
      <c r="I1080" s="137"/>
      <c r="J1080" s="197"/>
      <c r="K1080" s="198"/>
      <c r="L1080" s="196"/>
      <c r="M1080" s="196"/>
      <c r="N1080" s="196"/>
      <c r="O1080" s="196"/>
      <c r="P1080" s="127"/>
    </row>
    <row r="1081" spans="1:16" ht="20.25" customHeight="1" x14ac:dyDescent="0.3">
      <c r="A1081" s="137"/>
      <c r="B1081" s="137"/>
      <c r="C1081" s="137"/>
      <c r="D1081" s="194"/>
      <c r="E1081" s="194"/>
      <c r="F1081" s="137"/>
      <c r="G1081" s="137"/>
      <c r="H1081" s="137"/>
      <c r="I1081" s="137"/>
      <c r="J1081" s="197"/>
      <c r="K1081" s="198"/>
      <c r="L1081" s="196"/>
      <c r="M1081" s="196"/>
      <c r="N1081" s="196"/>
      <c r="O1081" s="196"/>
      <c r="P1081" s="127"/>
    </row>
    <row r="1082" spans="1:16" ht="20.25" customHeight="1" x14ac:dyDescent="0.3">
      <c r="A1082" s="137"/>
      <c r="B1082" s="137"/>
      <c r="C1082" s="137"/>
      <c r="D1082" s="194"/>
      <c r="E1082" s="194"/>
      <c r="F1082" s="137"/>
      <c r="G1082" s="137"/>
      <c r="H1082" s="137"/>
      <c r="I1082" s="137"/>
      <c r="J1082" s="197"/>
      <c r="K1082" s="198"/>
      <c r="L1082" s="196"/>
      <c r="M1082" s="196"/>
      <c r="N1082" s="196"/>
      <c r="O1082" s="196"/>
      <c r="P1082" s="127"/>
    </row>
    <row r="1083" spans="1:16" ht="20.25" customHeight="1" x14ac:dyDescent="0.3">
      <c r="A1083" s="137"/>
      <c r="B1083" s="137"/>
      <c r="C1083" s="137"/>
      <c r="D1083" s="194"/>
      <c r="E1083" s="194"/>
      <c r="F1083" s="137"/>
      <c r="G1083" s="137"/>
      <c r="H1083" s="137"/>
      <c r="I1083" s="137"/>
      <c r="J1083" s="197"/>
      <c r="K1083" s="198"/>
      <c r="L1083" s="196"/>
      <c r="M1083" s="196"/>
      <c r="N1083" s="196"/>
      <c r="O1083" s="196"/>
      <c r="P1083" s="127"/>
    </row>
    <row r="1084" spans="1:16" ht="20.25" customHeight="1" x14ac:dyDescent="0.3">
      <c r="A1084" s="137"/>
      <c r="B1084" s="137"/>
      <c r="C1084" s="137"/>
      <c r="D1084" s="194"/>
      <c r="E1084" s="194"/>
      <c r="F1084" s="137"/>
      <c r="G1084" s="137"/>
      <c r="H1084" s="137"/>
      <c r="I1084" s="137"/>
      <c r="J1084" s="197"/>
      <c r="K1084" s="198"/>
      <c r="L1084" s="196"/>
      <c r="M1084" s="196"/>
      <c r="N1084" s="196"/>
      <c r="O1084" s="196"/>
      <c r="P1084" s="127"/>
    </row>
    <row r="1085" spans="1:16" ht="20.25" customHeight="1" x14ac:dyDescent="0.3">
      <c r="A1085" s="137"/>
      <c r="B1085" s="137"/>
      <c r="C1085" s="137"/>
      <c r="D1085" s="194"/>
      <c r="E1085" s="194"/>
      <c r="F1085" s="137"/>
      <c r="G1085" s="137"/>
      <c r="H1085" s="137"/>
      <c r="I1085" s="137"/>
      <c r="J1085" s="197"/>
      <c r="K1085" s="198"/>
      <c r="L1085" s="196"/>
      <c r="M1085" s="196"/>
      <c r="N1085" s="196"/>
      <c r="O1085" s="196"/>
      <c r="P1085" s="127"/>
    </row>
    <row r="1086" spans="1:16" ht="20.25" customHeight="1" x14ac:dyDescent="0.3">
      <c r="A1086" s="137"/>
      <c r="B1086" s="137"/>
      <c r="C1086" s="137"/>
      <c r="D1086" s="194"/>
      <c r="E1086" s="194"/>
      <c r="F1086" s="137"/>
      <c r="G1086" s="137"/>
      <c r="H1086" s="137"/>
      <c r="I1086" s="137"/>
      <c r="J1086" s="197"/>
      <c r="K1086" s="198"/>
      <c r="L1086" s="196"/>
      <c r="M1086" s="196"/>
      <c r="N1086" s="196"/>
      <c r="O1086" s="196"/>
      <c r="P1086" s="127"/>
    </row>
    <row r="1087" spans="1:16" ht="20.25" customHeight="1" x14ac:dyDescent="0.3">
      <c r="A1087" s="137"/>
      <c r="B1087" s="137"/>
      <c r="C1087" s="137"/>
      <c r="D1087" s="194"/>
      <c r="E1087" s="194"/>
      <c r="F1087" s="137"/>
      <c r="G1087" s="137"/>
      <c r="H1087" s="137"/>
      <c r="I1087" s="137"/>
      <c r="J1087" s="197"/>
      <c r="K1087" s="198"/>
      <c r="L1087" s="196"/>
      <c r="M1087" s="196"/>
      <c r="N1087" s="196"/>
      <c r="O1087" s="196"/>
      <c r="P1087" s="127"/>
    </row>
    <row r="1088" spans="1:16" ht="20.25" customHeight="1" x14ac:dyDescent="0.3">
      <c r="A1088" s="137"/>
      <c r="B1088" s="137"/>
      <c r="C1088" s="137"/>
      <c r="D1088" s="194"/>
      <c r="E1088" s="194"/>
      <c r="F1088" s="137"/>
      <c r="G1088" s="137"/>
      <c r="H1088" s="137"/>
      <c r="I1088" s="137"/>
      <c r="J1088" s="197"/>
      <c r="K1088" s="198"/>
      <c r="L1088" s="196"/>
      <c r="M1088" s="196"/>
      <c r="N1088" s="196"/>
      <c r="O1088" s="196"/>
      <c r="P1088" s="127"/>
    </row>
    <row r="1089" spans="1:16" ht="20.25" customHeight="1" x14ac:dyDescent="0.3">
      <c r="A1089" s="137"/>
      <c r="B1089" s="137"/>
      <c r="C1089" s="137"/>
      <c r="D1089" s="194"/>
      <c r="E1089" s="194"/>
      <c r="F1089" s="137"/>
      <c r="G1089" s="137"/>
      <c r="H1089" s="137"/>
      <c r="I1089" s="137"/>
      <c r="J1089" s="197"/>
      <c r="K1089" s="198"/>
      <c r="L1089" s="196"/>
      <c r="M1089" s="196"/>
      <c r="N1089" s="196"/>
      <c r="O1089" s="196"/>
      <c r="P1089" s="127"/>
    </row>
    <row r="1090" spans="1:16" ht="20.25" customHeight="1" x14ac:dyDescent="0.3">
      <c r="A1090" s="137"/>
      <c r="B1090" s="137"/>
      <c r="C1090" s="137"/>
      <c r="D1090" s="194"/>
      <c r="E1090" s="194"/>
      <c r="F1090" s="137"/>
      <c r="G1090" s="137"/>
      <c r="H1090" s="137"/>
      <c r="I1090" s="137"/>
      <c r="J1090" s="197"/>
      <c r="K1090" s="198"/>
      <c r="L1090" s="196"/>
      <c r="M1090" s="196"/>
      <c r="N1090" s="196"/>
      <c r="O1090" s="196"/>
      <c r="P1090" s="127"/>
    </row>
    <row r="1091" spans="1:16" ht="20.25" customHeight="1" x14ac:dyDescent="0.3">
      <c r="A1091" s="137"/>
      <c r="B1091" s="137"/>
      <c r="C1091" s="137"/>
      <c r="D1091" s="194"/>
      <c r="E1091" s="194"/>
      <c r="F1091" s="137"/>
      <c r="G1091" s="137"/>
      <c r="H1091" s="137"/>
      <c r="I1091" s="137"/>
      <c r="J1091" s="197"/>
      <c r="K1091" s="198"/>
      <c r="L1091" s="196"/>
      <c r="M1091" s="196"/>
      <c r="N1091" s="196"/>
      <c r="O1091" s="196"/>
      <c r="P1091" s="127"/>
    </row>
    <row r="1092" spans="1:16" ht="20.25" customHeight="1" x14ac:dyDescent="0.3">
      <c r="A1092" s="137"/>
      <c r="B1092" s="137"/>
      <c r="C1092" s="137"/>
      <c r="D1092" s="194"/>
      <c r="E1092" s="194"/>
      <c r="F1092" s="137"/>
      <c r="G1092" s="137"/>
      <c r="H1092" s="137"/>
      <c r="I1092" s="137"/>
      <c r="J1092" s="197"/>
      <c r="K1092" s="198"/>
      <c r="L1092" s="196"/>
      <c r="M1092" s="196"/>
      <c r="N1092" s="196"/>
      <c r="O1092" s="196"/>
      <c r="P1092" s="127"/>
    </row>
    <row r="1093" spans="1:16" ht="20.25" customHeight="1" x14ac:dyDescent="0.3">
      <c r="A1093" s="137"/>
      <c r="B1093" s="137"/>
      <c r="C1093" s="137"/>
      <c r="D1093" s="194"/>
      <c r="E1093" s="194"/>
      <c r="F1093" s="137"/>
      <c r="G1093" s="137"/>
      <c r="H1093" s="137"/>
      <c r="I1093" s="137"/>
      <c r="J1093" s="197"/>
      <c r="K1093" s="198"/>
      <c r="L1093" s="196"/>
      <c r="M1093" s="196"/>
      <c r="N1093" s="196"/>
      <c r="O1093" s="196"/>
      <c r="P1093" s="127"/>
    </row>
    <row r="1094" spans="1:16" ht="20.25" customHeight="1" x14ac:dyDescent="0.3">
      <c r="A1094" s="137"/>
      <c r="B1094" s="137"/>
      <c r="C1094" s="137"/>
      <c r="D1094" s="194"/>
      <c r="E1094" s="194"/>
      <c r="F1094" s="137"/>
      <c r="G1094" s="137"/>
      <c r="H1094" s="137"/>
      <c r="I1094" s="137"/>
      <c r="J1094" s="197"/>
      <c r="K1094" s="198"/>
      <c r="L1094" s="196"/>
      <c r="M1094" s="196"/>
      <c r="N1094" s="196"/>
      <c r="O1094" s="196"/>
      <c r="P1094" s="127"/>
    </row>
    <row r="1095" spans="1:16" ht="20.25" customHeight="1" x14ac:dyDescent="0.3">
      <c r="A1095" s="137"/>
      <c r="B1095" s="137"/>
      <c r="C1095" s="137"/>
      <c r="D1095" s="194"/>
      <c r="E1095" s="194"/>
      <c r="F1095" s="137"/>
      <c r="G1095" s="137"/>
      <c r="H1095" s="137"/>
      <c r="I1095" s="137"/>
      <c r="J1095" s="197"/>
      <c r="K1095" s="198"/>
      <c r="L1095" s="196"/>
      <c r="M1095" s="196"/>
      <c r="N1095" s="196"/>
      <c r="O1095" s="196"/>
      <c r="P1095" s="127"/>
    </row>
    <row r="1096" spans="1:16" ht="20.25" customHeight="1" x14ac:dyDescent="0.3">
      <c r="A1096" s="137"/>
      <c r="B1096" s="137"/>
      <c r="C1096" s="137"/>
      <c r="D1096" s="194"/>
      <c r="E1096" s="194"/>
      <c r="F1096" s="137"/>
      <c r="G1096" s="137"/>
      <c r="H1096" s="137"/>
      <c r="I1096" s="137"/>
      <c r="J1096" s="197"/>
      <c r="K1096" s="198"/>
      <c r="L1096" s="196"/>
      <c r="M1096" s="196"/>
      <c r="N1096" s="196"/>
      <c r="O1096" s="196"/>
      <c r="P1096" s="127"/>
    </row>
    <row r="1097" spans="1:16" ht="20.25" customHeight="1" x14ac:dyDescent="0.3">
      <c r="A1097" s="137"/>
      <c r="B1097" s="137"/>
      <c r="C1097" s="137"/>
      <c r="D1097" s="194"/>
      <c r="E1097" s="194"/>
      <c r="F1097" s="137"/>
      <c r="G1097" s="137"/>
      <c r="H1097" s="137"/>
      <c r="I1097" s="137"/>
      <c r="J1097" s="197"/>
      <c r="K1097" s="198"/>
      <c r="L1097" s="196"/>
      <c r="M1097" s="196"/>
      <c r="N1097" s="196"/>
      <c r="O1097" s="196"/>
      <c r="P1097" s="127"/>
    </row>
    <row r="1098" spans="1:16" ht="20.25" customHeight="1" x14ac:dyDescent="0.3">
      <c r="A1098" s="137"/>
      <c r="B1098" s="137"/>
      <c r="C1098" s="137"/>
      <c r="D1098" s="194"/>
      <c r="E1098" s="194"/>
      <c r="F1098" s="137"/>
      <c r="G1098" s="137"/>
      <c r="H1098" s="137"/>
      <c r="I1098" s="137"/>
      <c r="J1098" s="197"/>
      <c r="K1098" s="198"/>
      <c r="L1098" s="196"/>
      <c r="M1098" s="196"/>
      <c r="N1098" s="196"/>
      <c r="O1098" s="196"/>
      <c r="P1098" s="127"/>
    </row>
    <row r="1099" spans="1:16" ht="20.25" customHeight="1" x14ac:dyDescent="0.3">
      <c r="A1099" s="137"/>
      <c r="B1099" s="137"/>
      <c r="C1099" s="137"/>
      <c r="D1099" s="194"/>
      <c r="E1099" s="194"/>
      <c r="F1099" s="137"/>
      <c r="G1099" s="137"/>
      <c r="H1099" s="137"/>
      <c r="I1099" s="137"/>
      <c r="J1099" s="197"/>
      <c r="K1099" s="198"/>
      <c r="L1099" s="196"/>
      <c r="M1099" s="196"/>
      <c r="N1099" s="196"/>
      <c r="O1099" s="196"/>
      <c r="P1099" s="127"/>
    </row>
    <row r="1100" spans="1:16" ht="20.25" customHeight="1" x14ac:dyDescent="0.3">
      <c r="A1100" s="137"/>
      <c r="B1100" s="137"/>
      <c r="C1100" s="137"/>
      <c r="D1100" s="194"/>
      <c r="E1100" s="194"/>
      <c r="F1100" s="137"/>
      <c r="G1100" s="137"/>
      <c r="H1100" s="137"/>
      <c r="I1100" s="137"/>
      <c r="J1100" s="197"/>
      <c r="K1100" s="198"/>
      <c r="L1100" s="196"/>
      <c r="M1100" s="196"/>
      <c r="N1100" s="196"/>
      <c r="O1100" s="196"/>
      <c r="P1100" s="127"/>
    </row>
    <row r="1101" spans="1:16" ht="20.25" customHeight="1" x14ac:dyDescent="0.3">
      <c r="A1101" s="137"/>
      <c r="B1101" s="137"/>
      <c r="C1101" s="137"/>
      <c r="D1101" s="194"/>
      <c r="E1101" s="194"/>
      <c r="F1101" s="137"/>
      <c r="G1101" s="137"/>
      <c r="H1101" s="137"/>
      <c r="I1101" s="137"/>
      <c r="J1101" s="197"/>
      <c r="K1101" s="198"/>
      <c r="L1101" s="196"/>
      <c r="M1101" s="196"/>
      <c r="N1101" s="196"/>
      <c r="O1101" s="196"/>
      <c r="P1101" s="127"/>
    </row>
    <row r="1102" spans="1:16" ht="20.25" customHeight="1" x14ac:dyDescent="0.3">
      <c r="A1102" s="137"/>
      <c r="B1102" s="137"/>
      <c r="C1102" s="137"/>
      <c r="D1102" s="194"/>
      <c r="E1102" s="194"/>
      <c r="F1102" s="137"/>
      <c r="G1102" s="137"/>
      <c r="H1102" s="137"/>
      <c r="I1102" s="137"/>
      <c r="J1102" s="197"/>
      <c r="K1102" s="198"/>
      <c r="L1102" s="196"/>
      <c r="M1102" s="196"/>
      <c r="N1102" s="196"/>
      <c r="O1102" s="196"/>
      <c r="P1102" s="127"/>
    </row>
    <row r="1103" spans="1:16" ht="20.25" customHeight="1" x14ac:dyDescent="0.3">
      <c r="A1103" s="137"/>
      <c r="B1103" s="137"/>
      <c r="C1103" s="137"/>
      <c r="D1103" s="194"/>
      <c r="E1103" s="194"/>
      <c r="F1103" s="137"/>
      <c r="G1103" s="137"/>
      <c r="H1103" s="137"/>
      <c r="I1103" s="137"/>
      <c r="J1103" s="197"/>
      <c r="K1103" s="198"/>
      <c r="L1103" s="196"/>
      <c r="M1103" s="196"/>
      <c r="N1103" s="196"/>
      <c r="O1103" s="196"/>
      <c r="P1103" s="127"/>
    </row>
    <row r="1104" spans="1:16" ht="20.25" customHeight="1" x14ac:dyDescent="0.3">
      <c r="A1104" s="137"/>
      <c r="B1104" s="137"/>
      <c r="C1104" s="137"/>
      <c r="D1104" s="194"/>
      <c r="E1104" s="194"/>
      <c r="F1104" s="137"/>
      <c r="G1104" s="137"/>
      <c r="H1104" s="137"/>
      <c r="I1104" s="137"/>
      <c r="J1104" s="197"/>
      <c r="K1104" s="198"/>
      <c r="L1104" s="196"/>
      <c r="M1104" s="196"/>
      <c r="N1104" s="196"/>
      <c r="O1104" s="196"/>
      <c r="P1104" s="127"/>
    </row>
    <row r="1105" spans="1:16" ht="20.25" customHeight="1" x14ac:dyDescent="0.3">
      <c r="A1105" s="137"/>
      <c r="B1105" s="137"/>
      <c r="C1105" s="137"/>
      <c r="D1105" s="194"/>
      <c r="E1105" s="194"/>
      <c r="F1105" s="137"/>
      <c r="G1105" s="137"/>
      <c r="H1105" s="137"/>
      <c r="I1105" s="137"/>
      <c r="J1105" s="197"/>
      <c r="K1105" s="198"/>
      <c r="L1105" s="196"/>
      <c r="M1105" s="196"/>
      <c r="N1105" s="196"/>
      <c r="O1105" s="196"/>
      <c r="P1105" s="127"/>
    </row>
    <row r="1106" spans="1:16" ht="20.25" customHeight="1" x14ac:dyDescent="0.3">
      <c r="A1106" s="137"/>
      <c r="B1106" s="137"/>
      <c r="C1106" s="137"/>
      <c r="D1106" s="194"/>
      <c r="E1106" s="194"/>
      <c r="F1106" s="137"/>
      <c r="G1106" s="137"/>
      <c r="H1106" s="137"/>
      <c r="I1106" s="137"/>
      <c r="J1106" s="197"/>
      <c r="K1106" s="198"/>
      <c r="L1106" s="196"/>
      <c r="M1106" s="196"/>
      <c r="N1106" s="196"/>
      <c r="O1106" s="196"/>
      <c r="P1106" s="127"/>
    </row>
    <row r="1107" spans="1:16" ht="20.25" customHeight="1" x14ac:dyDescent="0.3">
      <c r="A1107" s="137"/>
      <c r="B1107" s="137"/>
      <c r="C1107" s="137"/>
      <c r="D1107" s="194"/>
      <c r="E1107" s="194"/>
      <c r="F1107" s="137"/>
      <c r="G1107" s="137"/>
      <c r="H1107" s="137"/>
      <c r="I1107" s="137"/>
      <c r="J1107" s="197"/>
      <c r="K1107" s="198"/>
      <c r="L1107" s="196"/>
      <c r="M1107" s="196"/>
      <c r="N1107" s="196"/>
      <c r="O1107" s="196"/>
      <c r="P1107" s="127"/>
    </row>
    <row r="1108" spans="1:16" ht="20.25" customHeight="1" x14ac:dyDescent="0.3">
      <c r="A1108" s="137"/>
      <c r="B1108" s="137"/>
      <c r="C1108" s="137"/>
      <c r="D1108" s="194"/>
      <c r="E1108" s="194"/>
      <c r="F1108" s="137"/>
      <c r="G1108" s="137"/>
      <c r="H1108" s="137"/>
      <c r="I1108" s="137"/>
      <c r="J1108" s="197"/>
      <c r="K1108" s="198"/>
      <c r="L1108" s="196"/>
      <c r="M1108" s="196"/>
      <c r="N1108" s="196"/>
      <c r="O1108" s="196"/>
      <c r="P1108" s="127"/>
    </row>
    <row r="1109" spans="1:16" ht="20.25" customHeight="1" x14ac:dyDescent="0.3">
      <c r="A1109" s="137"/>
      <c r="B1109" s="137"/>
      <c r="C1109" s="137"/>
      <c r="D1109" s="194"/>
      <c r="E1109" s="194"/>
      <c r="F1109" s="137"/>
      <c r="G1109" s="137"/>
      <c r="H1109" s="137"/>
      <c r="I1109" s="137"/>
      <c r="J1109" s="197"/>
      <c r="K1109" s="198"/>
      <c r="L1109" s="196"/>
      <c r="M1109" s="196"/>
      <c r="N1109" s="196"/>
      <c r="O1109" s="196"/>
      <c r="P1109" s="127"/>
    </row>
    <row r="1110" spans="1:16" ht="20.25" customHeight="1" x14ac:dyDescent="0.3">
      <c r="A1110" s="137"/>
      <c r="B1110" s="137"/>
      <c r="C1110" s="137"/>
      <c r="D1110" s="194"/>
      <c r="E1110" s="194"/>
      <c r="F1110" s="137"/>
      <c r="G1110" s="137"/>
      <c r="H1110" s="137"/>
      <c r="I1110" s="137"/>
      <c r="J1110" s="197"/>
      <c r="K1110" s="198"/>
      <c r="L1110" s="196"/>
      <c r="M1110" s="196"/>
      <c r="N1110" s="196"/>
      <c r="O1110" s="196"/>
      <c r="P1110" s="127"/>
    </row>
    <row r="1111" spans="1:16" ht="20.25" customHeight="1" x14ac:dyDescent="0.3">
      <c r="A1111" s="137"/>
      <c r="B1111" s="137"/>
      <c r="C1111" s="137"/>
      <c r="D1111" s="194"/>
      <c r="E1111" s="194"/>
      <c r="F1111" s="137"/>
      <c r="G1111" s="137"/>
      <c r="H1111" s="137"/>
      <c r="I1111" s="137"/>
      <c r="J1111" s="197"/>
      <c r="K1111" s="198"/>
      <c r="L1111" s="196"/>
      <c r="M1111" s="196"/>
      <c r="N1111" s="196"/>
      <c r="O1111" s="196"/>
      <c r="P1111" s="127"/>
    </row>
    <row r="1112" spans="1:16" ht="20.25" customHeight="1" x14ac:dyDescent="0.3">
      <c r="A1112" s="137"/>
      <c r="B1112" s="137"/>
      <c r="C1112" s="137"/>
      <c r="D1112" s="194"/>
      <c r="E1112" s="194"/>
      <c r="F1112" s="137"/>
      <c r="G1112" s="137"/>
      <c r="H1112" s="137"/>
      <c r="I1112" s="137"/>
      <c r="J1112" s="197"/>
      <c r="K1112" s="198"/>
      <c r="L1112" s="196"/>
      <c r="M1112" s="196"/>
      <c r="N1112" s="196"/>
      <c r="O1112" s="196"/>
      <c r="P1112" s="127"/>
    </row>
    <row r="1113" spans="1:16" ht="20.25" customHeight="1" x14ac:dyDescent="0.3">
      <c r="A1113" s="137"/>
      <c r="B1113" s="137"/>
      <c r="C1113" s="137"/>
      <c r="D1113" s="194"/>
      <c r="E1113" s="194"/>
      <c r="F1113" s="137"/>
      <c r="G1113" s="137"/>
      <c r="H1113" s="137"/>
      <c r="I1113" s="137"/>
      <c r="J1113" s="197"/>
      <c r="K1113" s="198"/>
      <c r="L1113" s="196"/>
      <c r="M1113" s="196"/>
      <c r="N1113" s="196"/>
      <c r="O1113" s="196"/>
      <c r="P1113" s="127"/>
    </row>
    <row r="1114" spans="1:16" ht="20.25" customHeight="1" x14ac:dyDescent="0.3">
      <c r="A1114" s="137"/>
      <c r="B1114" s="137"/>
      <c r="C1114" s="137"/>
      <c r="D1114" s="194"/>
      <c r="E1114" s="194"/>
      <c r="F1114" s="137"/>
      <c r="G1114" s="137"/>
      <c r="H1114" s="137"/>
      <c r="I1114" s="137"/>
      <c r="J1114" s="197"/>
      <c r="K1114" s="198"/>
      <c r="L1114" s="196"/>
      <c r="M1114" s="196"/>
      <c r="N1114" s="196"/>
      <c r="O1114" s="196"/>
      <c r="P1114" s="127"/>
    </row>
    <row r="1115" spans="1:16" ht="20.25" customHeight="1" x14ac:dyDescent="0.3">
      <c r="A1115" s="137"/>
      <c r="B1115" s="137"/>
      <c r="C1115" s="137"/>
      <c r="D1115" s="194"/>
      <c r="E1115" s="194"/>
      <c r="F1115" s="137"/>
      <c r="G1115" s="137"/>
      <c r="H1115" s="137"/>
      <c r="I1115" s="137"/>
      <c r="J1115" s="197"/>
      <c r="K1115" s="198"/>
      <c r="L1115" s="196"/>
      <c r="M1115" s="196"/>
      <c r="N1115" s="196"/>
      <c r="O1115" s="196"/>
      <c r="P1115" s="127"/>
    </row>
    <row r="1116" spans="1:16" ht="20.25" customHeight="1" x14ac:dyDescent="0.3">
      <c r="A1116" s="137"/>
      <c r="B1116" s="137"/>
      <c r="C1116" s="137"/>
      <c r="D1116" s="194"/>
      <c r="E1116" s="194"/>
      <c r="F1116" s="137"/>
      <c r="G1116" s="137"/>
      <c r="H1116" s="137"/>
      <c r="I1116" s="137"/>
      <c r="J1116" s="197"/>
      <c r="K1116" s="198"/>
      <c r="L1116" s="196"/>
      <c r="M1116" s="196"/>
      <c r="N1116" s="196"/>
      <c r="O1116" s="196"/>
      <c r="P1116" s="127"/>
    </row>
    <row r="1117" spans="1:16" ht="20.25" customHeight="1" x14ac:dyDescent="0.3">
      <c r="A1117" s="137"/>
      <c r="B1117" s="137"/>
      <c r="C1117" s="137"/>
      <c r="D1117" s="194"/>
      <c r="E1117" s="194"/>
      <c r="F1117" s="137"/>
      <c r="G1117" s="137"/>
      <c r="H1117" s="137"/>
      <c r="I1117" s="137"/>
      <c r="J1117" s="197"/>
      <c r="K1117" s="198"/>
      <c r="L1117" s="196"/>
      <c r="M1117" s="196"/>
      <c r="N1117" s="196"/>
      <c r="O1117" s="196"/>
      <c r="P1117" s="127"/>
    </row>
    <row r="1118" spans="1:16" ht="20.25" customHeight="1" x14ac:dyDescent="0.3">
      <c r="A1118" s="137"/>
      <c r="B1118" s="137"/>
      <c r="C1118" s="137"/>
      <c r="D1118" s="194"/>
      <c r="E1118" s="194"/>
      <c r="F1118" s="137"/>
      <c r="G1118" s="137"/>
      <c r="H1118" s="137"/>
      <c r="I1118" s="137"/>
      <c r="J1118" s="197"/>
      <c r="K1118" s="198"/>
      <c r="L1118" s="196"/>
      <c r="M1118" s="196"/>
      <c r="N1118" s="196"/>
      <c r="O1118" s="196"/>
      <c r="P1118" s="127"/>
    </row>
    <row r="1119" spans="1:16" ht="20.25" customHeight="1" x14ac:dyDescent="0.3">
      <c r="A1119" s="137"/>
      <c r="B1119" s="137"/>
      <c r="C1119" s="137"/>
      <c r="D1119" s="194"/>
      <c r="E1119" s="194"/>
      <c r="F1119" s="137"/>
      <c r="G1119" s="137"/>
      <c r="H1119" s="137"/>
      <c r="I1119" s="137"/>
      <c r="J1119" s="197"/>
      <c r="K1119" s="198"/>
      <c r="L1119" s="196"/>
      <c r="M1119" s="196"/>
      <c r="N1119" s="196"/>
      <c r="O1119" s="196"/>
      <c r="P1119" s="127"/>
    </row>
    <row r="1120" spans="1:16" ht="20.25" customHeight="1" x14ac:dyDescent="0.3">
      <c r="A1120" s="137"/>
      <c r="B1120" s="137"/>
      <c r="C1120" s="137"/>
      <c r="D1120" s="194"/>
      <c r="E1120" s="194"/>
      <c r="F1120" s="137"/>
      <c r="G1120" s="137"/>
      <c r="H1120" s="137"/>
      <c r="I1120" s="137"/>
      <c r="J1120" s="197"/>
      <c r="K1120" s="198"/>
      <c r="L1120" s="196"/>
      <c r="M1120" s="196"/>
      <c r="N1120" s="196"/>
      <c r="O1120" s="196"/>
      <c r="P1120" s="127"/>
    </row>
    <row r="1121" spans="1:16" ht="20.25" customHeight="1" x14ac:dyDescent="0.3">
      <c r="A1121" s="137"/>
      <c r="B1121" s="137"/>
      <c r="C1121" s="137"/>
      <c r="D1121" s="194"/>
      <c r="E1121" s="194"/>
      <c r="F1121" s="137"/>
      <c r="G1121" s="137"/>
      <c r="H1121" s="137"/>
      <c r="I1121" s="137"/>
      <c r="J1121" s="197"/>
      <c r="K1121" s="198"/>
      <c r="L1121" s="196"/>
      <c r="M1121" s="196"/>
      <c r="N1121" s="196"/>
      <c r="O1121" s="196"/>
      <c r="P1121" s="127"/>
    </row>
    <row r="1122" spans="1:16" ht="20.25" customHeight="1" x14ac:dyDescent="0.3">
      <c r="A1122" s="137"/>
      <c r="B1122" s="137"/>
      <c r="C1122" s="137"/>
      <c r="D1122" s="194"/>
      <c r="E1122" s="194"/>
      <c r="F1122" s="137"/>
      <c r="G1122" s="137"/>
      <c r="H1122" s="137"/>
      <c r="I1122" s="137"/>
      <c r="J1122" s="197"/>
      <c r="K1122" s="198"/>
      <c r="L1122" s="196"/>
      <c r="M1122" s="196"/>
      <c r="N1122" s="196"/>
      <c r="O1122" s="196"/>
      <c r="P1122" s="127"/>
    </row>
    <row r="1123" spans="1:16" ht="20.25" customHeight="1" x14ac:dyDescent="0.3">
      <c r="A1123" s="137"/>
      <c r="B1123" s="137"/>
      <c r="C1123" s="137"/>
      <c r="D1123" s="194"/>
      <c r="E1123" s="194"/>
      <c r="F1123" s="137"/>
      <c r="G1123" s="137"/>
      <c r="H1123" s="137"/>
      <c r="I1123" s="137"/>
      <c r="J1123" s="197"/>
      <c r="K1123" s="198"/>
      <c r="L1123" s="196"/>
      <c r="M1123" s="196"/>
      <c r="N1123" s="196"/>
      <c r="O1123" s="196"/>
      <c r="P1123" s="127"/>
    </row>
    <row r="1124" spans="1:16" ht="20.25" customHeight="1" x14ac:dyDescent="0.3">
      <c r="A1124" s="137"/>
      <c r="B1124" s="137"/>
      <c r="C1124" s="137"/>
      <c r="D1124" s="194"/>
      <c r="E1124" s="194"/>
      <c r="F1124" s="137"/>
      <c r="G1124" s="137"/>
      <c r="H1124" s="137"/>
      <c r="I1124" s="137"/>
      <c r="J1124" s="197"/>
      <c r="K1124" s="198"/>
      <c r="L1124" s="196"/>
      <c r="M1124" s="196"/>
      <c r="N1124" s="196"/>
      <c r="O1124" s="196"/>
      <c r="P1124" s="127"/>
    </row>
    <row r="1125" spans="1:16" ht="20.25" customHeight="1" x14ac:dyDescent="0.3">
      <c r="A1125" s="137"/>
      <c r="B1125" s="137"/>
      <c r="C1125" s="137"/>
      <c r="D1125" s="194"/>
      <c r="E1125" s="194"/>
      <c r="F1125" s="137"/>
      <c r="G1125" s="137"/>
      <c r="H1125" s="137"/>
      <c r="I1125" s="137"/>
      <c r="J1125" s="197"/>
      <c r="K1125" s="198"/>
      <c r="L1125" s="196"/>
      <c r="M1125" s="196"/>
      <c r="N1125" s="196"/>
      <c r="O1125" s="196"/>
      <c r="P1125" s="127"/>
    </row>
    <row r="1126" spans="1:16" ht="20.25" customHeight="1" x14ac:dyDescent="0.3">
      <c r="A1126" s="137"/>
      <c r="B1126" s="137"/>
      <c r="C1126" s="137"/>
      <c r="D1126" s="194"/>
      <c r="E1126" s="194"/>
      <c r="F1126" s="137"/>
      <c r="G1126" s="137"/>
      <c r="H1126" s="137"/>
      <c r="I1126" s="137"/>
      <c r="J1126" s="197"/>
      <c r="K1126" s="198"/>
      <c r="L1126" s="196"/>
      <c r="M1126" s="196"/>
      <c r="N1126" s="196"/>
      <c r="O1126" s="196"/>
      <c r="P1126" s="127"/>
    </row>
    <row r="1127" spans="1:16" ht="20.25" customHeight="1" x14ac:dyDescent="0.3">
      <c r="A1127" s="137"/>
      <c r="B1127" s="137"/>
      <c r="C1127" s="137"/>
      <c r="D1127" s="194"/>
      <c r="E1127" s="194"/>
      <c r="F1127" s="137"/>
      <c r="G1127" s="137"/>
      <c r="H1127" s="137"/>
      <c r="I1127" s="137"/>
      <c r="J1127" s="197"/>
      <c r="K1127" s="198"/>
      <c r="L1127" s="196"/>
      <c r="M1127" s="196"/>
      <c r="N1127" s="196"/>
      <c r="O1127" s="196"/>
      <c r="P1127" s="127"/>
    </row>
    <row r="1128" spans="1:16" ht="20.25" customHeight="1" x14ac:dyDescent="0.3">
      <c r="A1128" s="137"/>
      <c r="B1128" s="137"/>
      <c r="C1128" s="137"/>
      <c r="D1128" s="194"/>
      <c r="E1128" s="194"/>
      <c r="F1128" s="137"/>
      <c r="G1128" s="137"/>
      <c r="H1128" s="137"/>
      <c r="I1128" s="137"/>
      <c r="J1128" s="197"/>
      <c r="K1128" s="198"/>
      <c r="L1128" s="196"/>
      <c r="M1128" s="196"/>
      <c r="N1128" s="196"/>
      <c r="O1128" s="196"/>
      <c r="P1128" s="127"/>
    </row>
    <row r="1129" spans="1:16" ht="20.25" customHeight="1" x14ac:dyDescent="0.3">
      <c r="A1129" s="137"/>
      <c r="B1129" s="137"/>
      <c r="C1129" s="137"/>
      <c r="D1129" s="194"/>
      <c r="E1129" s="194"/>
      <c r="F1129" s="137"/>
      <c r="G1129" s="137"/>
      <c r="H1129" s="137"/>
      <c r="I1129" s="137"/>
      <c r="J1129" s="197"/>
      <c r="K1129" s="198"/>
      <c r="L1129" s="196"/>
      <c r="M1129" s="196"/>
      <c r="N1129" s="196"/>
      <c r="O1129" s="196"/>
      <c r="P1129" s="127"/>
    </row>
    <row r="1130" spans="1:16" ht="20.25" customHeight="1" x14ac:dyDescent="0.3">
      <c r="A1130" s="137"/>
      <c r="B1130" s="137"/>
      <c r="C1130" s="137"/>
      <c r="D1130" s="194"/>
      <c r="E1130" s="194"/>
      <c r="F1130" s="137"/>
      <c r="G1130" s="137"/>
      <c r="H1130" s="137"/>
      <c r="I1130" s="137"/>
      <c r="J1130" s="197"/>
      <c r="K1130" s="198"/>
      <c r="L1130" s="196"/>
      <c r="M1130" s="196"/>
      <c r="N1130" s="196"/>
      <c r="O1130" s="196"/>
      <c r="P1130" s="127"/>
    </row>
    <row r="1131" spans="1:16" ht="20.25" customHeight="1" x14ac:dyDescent="0.3">
      <c r="A1131" s="137"/>
      <c r="B1131" s="137"/>
      <c r="C1131" s="137"/>
      <c r="D1131" s="194"/>
      <c r="E1131" s="194"/>
      <c r="F1131" s="137"/>
      <c r="G1131" s="137"/>
      <c r="H1131" s="137"/>
      <c r="I1131" s="137"/>
      <c r="J1131" s="197"/>
      <c r="K1131" s="198"/>
      <c r="L1131" s="196"/>
      <c r="M1131" s="196"/>
      <c r="N1131" s="196"/>
      <c r="O1131" s="196"/>
      <c r="P1131" s="127"/>
    </row>
    <row r="1132" spans="1:16" ht="20.25" customHeight="1" x14ac:dyDescent="0.3">
      <c r="A1132" s="137"/>
      <c r="B1132" s="137"/>
      <c r="C1132" s="137"/>
      <c r="D1132" s="194"/>
      <c r="E1132" s="194"/>
      <c r="F1132" s="137"/>
      <c r="G1132" s="137"/>
      <c r="H1132" s="137"/>
      <c r="I1132" s="137"/>
      <c r="J1132" s="197"/>
      <c r="K1132" s="198"/>
      <c r="L1132" s="196"/>
      <c r="M1132" s="196"/>
      <c r="N1132" s="196"/>
      <c r="O1132" s="196"/>
      <c r="P1132" s="127"/>
    </row>
    <row r="1133" spans="1:16" ht="20.25" customHeight="1" x14ac:dyDescent="0.3">
      <c r="A1133" s="137"/>
      <c r="B1133" s="137"/>
      <c r="C1133" s="137"/>
      <c r="D1133" s="194"/>
      <c r="E1133" s="194"/>
      <c r="F1133" s="137"/>
      <c r="G1133" s="137"/>
      <c r="H1133" s="137"/>
      <c r="I1133" s="137"/>
      <c r="J1133" s="197"/>
      <c r="K1133" s="198"/>
      <c r="L1133" s="196"/>
      <c r="M1133" s="196"/>
      <c r="N1133" s="196"/>
      <c r="O1133" s="196"/>
      <c r="P1133" s="127"/>
    </row>
    <row r="1134" spans="1:16" ht="20.25" customHeight="1" x14ac:dyDescent="0.3">
      <c r="A1134" s="137"/>
      <c r="B1134" s="137"/>
      <c r="C1134" s="137"/>
      <c r="D1134" s="194"/>
      <c r="E1134" s="194"/>
      <c r="F1134" s="137"/>
      <c r="G1134" s="137"/>
      <c r="H1134" s="137"/>
      <c r="I1134" s="137"/>
      <c r="J1134" s="197"/>
      <c r="K1134" s="198"/>
      <c r="L1134" s="196"/>
      <c r="M1134" s="196"/>
      <c r="N1134" s="196"/>
      <c r="O1134" s="196"/>
      <c r="P1134" s="127"/>
    </row>
    <row r="1135" spans="1:16" ht="20.25" customHeight="1" x14ac:dyDescent="0.3">
      <c r="A1135" s="137"/>
      <c r="B1135" s="137"/>
      <c r="C1135" s="137"/>
      <c r="D1135" s="194"/>
      <c r="E1135" s="194"/>
      <c r="F1135" s="137"/>
      <c r="G1135" s="137"/>
      <c r="H1135" s="137"/>
      <c r="I1135" s="137"/>
      <c r="J1135" s="197"/>
      <c r="K1135" s="198"/>
      <c r="L1135" s="196"/>
      <c r="M1135" s="196"/>
      <c r="N1135" s="196"/>
      <c r="O1135" s="196"/>
      <c r="P1135" s="127"/>
    </row>
    <row r="1136" spans="1:16" ht="20.25" customHeight="1" x14ac:dyDescent="0.3">
      <c r="A1136" s="137"/>
      <c r="B1136" s="137"/>
      <c r="C1136" s="137"/>
      <c r="D1136" s="194"/>
      <c r="E1136" s="194"/>
      <c r="F1136" s="137"/>
      <c r="G1136" s="137"/>
      <c r="H1136" s="137"/>
      <c r="I1136" s="137"/>
      <c r="J1136" s="197"/>
      <c r="K1136" s="198"/>
      <c r="L1136" s="196"/>
      <c r="M1136" s="196"/>
      <c r="N1136" s="196"/>
      <c r="O1136" s="196"/>
      <c r="P1136" s="127"/>
    </row>
    <row r="1137" spans="1:16" ht="20.25" customHeight="1" x14ac:dyDescent="0.3">
      <c r="A1137" s="137"/>
      <c r="B1137" s="137"/>
      <c r="C1137" s="137"/>
      <c r="D1137" s="194"/>
      <c r="E1137" s="194"/>
      <c r="F1137" s="137"/>
      <c r="G1137" s="137"/>
      <c r="H1137" s="137"/>
      <c r="I1137" s="137"/>
      <c r="J1137" s="197"/>
      <c r="K1137" s="198"/>
      <c r="L1137" s="196"/>
      <c r="M1137" s="196"/>
      <c r="N1137" s="196"/>
      <c r="O1137" s="196"/>
      <c r="P1137" s="127"/>
    </row>
    <row r="1138" spans="1:16" ht="20.25" customHeight="1" x14ac:dyDescent="0.3">
      <c r="A1138" s="137"/>
      <c r="B1138" s="137"/>
      <c r="C1138" s="137"/>
      <c r="D1138" s="194"/>
      <c r="E1138" s="194"/>
      <c r="F1138" s="137"/>
      <c r="G1138" s="137"/>
      <c r="H1138" s="137"/>
      <c r="I1138" s="137"/>
      <c r="J1138" s="197"/>
      <c r="K1138" s="198"/>
      <c r="L1138" s="196"/>
      <c r="M1138" s="196"/>
      <c r="N1138" s="196"/>
      <c r="O1138" s="196"/>
      <c r="P1138" s="127"/>
    </row>
    <row r="1139" spans="1:16" ht="20.25" customHeight="1" x14ac:dyDescent="0.3">
      <c r="A1139" s="137"/>
      <c r="B1139" s="137"/>
      <c r="C1139" s="137"/>
      <c r="D1139" s="194"/>
      <c r="E1139" s="194"/>
      <c r="F1139" s="137"/>
      <c r="G1139" s="137"/>
      <c r="H1139" s="137"/>
      <c r="I1139" s="137"/>
      <c r="J1139" s="197"/>
      <c r="K1139" s="198"/>
      <c r="L1139" s="196"/>
      <c r="M1139" s="196"/>
      <c r="N1139" s="196"/>
      <c r="O1139" s="196"/>
      <c r="P1139" s="127"/>
    </row>
    <row r="1140" spans="1:16" ht="20.25" customHeight="1" x14ac:dyDescent="0.3">
      <c r="A1140" s="137"/>
      <c r="B1140" s="137"/>
      <c r="C1140" s="137"/>
      <c r="D1140" s="194"/>
      <c r="E1140" s="194"/>
      <c r="F1140" s="137"/>
      <c r="G1140" s="137"/>
      <c r="H1140" s="137"/>
      <c r="I1140" s="137"/>
      <c r="J1140" s="197"/>
      <c r="K1140" s="198"/>
      <c r="L1140" s="196"/>
      <c r="M1140" s="196"/>
      <c r="N1140" s="196"/>
      <c r="O1140" s="196"/>
      <c r="P1140" s="127"/>
    </row>
    <row r="1141" spans="1:16" ht="20.25" customHeight="1" x14ac:dyDescent="0.3">
      <c r="A1141" s="137"/>
      <c r="B1141" s="137"/>
      <c r="C1141" s="137"/>
      <c r="D1141" s="194"/>
      <c r="E1141" s="194"/>
      <c r="F1141" s="137"/>
      <c r="G1141" s="137"/>
      <c r="H1141" s="137"/>
      <c r="I1141" s="137"/>
      <c r="J1141" s="197"/>
      <c r="K1141" s="198"/>
      <c r="L1141" s="196"/>
      <c r="M1141" s="196"/>
      <c r="N1141" s="196"/>
      <c r="O1141" s="196"/>
      <c r="P1141" s="127"/>
    </row>
    <row r="1142" spans="1:16" ht="20.25" customHeight="1" x14ac:dyDescent="0.3">
      <c r="A1142" s="137"/>
      <c r="B1142" s="137"/>
      <c r="C1142" s="137"/>
      <c r="D1142" s="194"/>
      <c r="E1142" s="194"/>
      <c r="F1142" s="137"/>
      <c r="G1142" s="137"/>
      <c r="H1142" s="137"/>
      <c r="I1142" s="137"/>
      <c r="J1142" s="197"/>
      <c r="K1142" s="198"/>
      <c r="L1142" s="196"/>
      <c r="M1142" s="196"/>
      <c r="N1142" s="196"/>
      <c r="O1142" s="196"/>
      <c r="P1142" s="127"/>
    </row>
    <row r="1143" spans="1:16" ht="20.25" customHeight="1" x14ac:dyDescent="0.3">
      <c r="A1143" s="137"/>
      <c r="B1143" s="137"/>
      <c r="C1143" s="137"/>
      <c r="D1143" s="194"/>
      <c r="E1143" s="194"/>
      <c r="F1143" s="137"/>
      <c r="G1143" s="137"/>
      <c r="H1143" s="137"/>
      <c r="I1143" s="137"/>
      <c r="J1143" s="197"/>
      <c r="K1143" s="198"/>
      <c r="L1143" s="196"/>
      <c r="M1143" s="196"/>
      <c r="N1143" s="196"/>
      <c r="O1143" s="196"/>
      <c r="P1143" s="127"/>
    </row>
    <row r="1144" spans="1:16" ht="20.25" customHeight="1" x14ac:dyDescent="0.3">
      <c r="A1144" s="137"/>
      <c r="B1144" s="137"/>
      <c r="C1144" s="137"/>
      <c r="D1144" s="194"/>
      <c r="E1144" s="194"/>
      <c r="F1144" s="137"/>
      <c r="G1144" s="137"/>
      <c r="H1144" s="137"/>
      <c r="I1144" s="137"/>
      <c r="J1144" s="197"/>
      <c r="K1144" s="198"/>
      <c r="L1144" s="196"/>
      <c r="M1144" s="196"/>
      <c r="N1144" s="196"/>
      <c r="O1144" s="196"/>
      <c r="P1144" s="127"/>
    </row>
    <row r="1145" spans="1:16" ht="20.25" customHeight="1" x14ac:dyDescent="0.3">
      <c r="A1145" s="137"/>
      <c r="B1145" s="137"/>
      <c r="C1145" s="137"/>
      <c r="D1145" s="194"/>
      <c r="E1145" s="194"/>
      <c r="F1145" s="137"/>
      <c r="G1145" s="137"/>
      <c r="H1145" s="137"/>
      <c r="I1145" s="137"/>
      <c r="J1145" s="197"/>
      <c r="K1145" s="198"/>
      <c r="L1145" s="196"/>
      <c r="M1145" s="196"/>
      <c r="N1145" s="196"/>
      <c r="O1145" s="196"/>
      <c r="P1145" s="127"/>
    </row>
    <row r="1146" spans="1:16" ht="20.25" customHeight="1" x14ac:dyDescent="0.3">
      <c r="A1146" s="137"/>
      <c r="B1146" s="137"/>
      <c r="C1146" s="137"/>
      <c r="D1146" s="194"/>
      <c r="E1146" s="194"/>
      <c r="F1146" s="137"/>
      <c r="G1146" s="137"/>
      <c r="H1146" s="137"/>
      <c r="I1146" s="137"/>
      <c r="J1146" s="197"/>
      <c r="K1146" s="198"/>
      <c r="L1146" s="196"/>
      <c r="M1146" s="196"/>
      <c r="N1146" s="196"/>
      <c r="O1146" s="196"/>
      <c r="P1146" s="127"/>
    </row>
    <row r="1147" spans="1:16" ht="20.25" customHeight="1" x14ac:dyDescent="0.3">
      <c r="A1147" s="137"/>
      <c r="B1147" s="137"/>
      <c r="C1147" s="137"/>
      <c r="D1147" s="194"/>
      <c r="E1147" s="194"/>
      <c r="F1147" s="137"/>
      <c r="G1147" s="137"/>
      <c r="H1147" s="137"/>
      <c r="I1147" s="137"/>
      <c r="J1147" s="197"/>
      <c r="K1147" s="198"/>
      <c r="L1147" s="196"/>
      <c r="M1147" s="196"/>
      <c r="N1147" s="196"/>
      <c r="O1147" s="196"/>
      <c r="P1147" s="127"/>
    </row>
    <row r="1148" spans="1:16" ht="20.25" customHeight="1" x14ac:dyDescent="0.3">
      <c r="A1148" s="137"/>
      <c r="B1148" s="137"/>
      <c r="C1148" s="137"/>
      <c r="D1148" s="194"/>
      <c r="E1148" s="194"/>
      <c r="F1148" s="137"/>
      <c r="G1148" s="137"/>
      <c r="H1148" s="137"/>
      <c r="I1148" s="137"/>
      <c r="J1148" s="197"/>
      <c r="K1148" s="198"/>
      <c r="L1148" s="196"/>
      <c r="M1148" s="196"/>
      <c r="N1148" s="196"/>
      <c r="O1148" s="196"/>
      <c r="P1148" s="127"/>
    </row>
    <row r="1149" spans="1:16" ht="20.25" customHeight="1" x14ac:dyDescent="0.3">
      <c r="A1149" s="137"/>
      <c r="B1149" s="137"/>
      <c r="C1149" s="137"/>
      <c r="D1149" s="194"/>
      <c r="E1149" s="194"/>
      <c r="F1149" s="137"/>
      <c r="G1149" s="137"/>
      <c r="H1149" s="137"/>
      <c r="I1149" s="137"/>
      <c r="J1149" s="197"/>
      <c r="K1149" s="198"/>
      <c r="L1149" s="196"/>
      <c r="M1149" s="196"/>
      <c r="N1149" s="196"/>
      <c r="O1149" s="196"/>
      <c r="P1149" s="127"/>
    </row>
    <row r="1150" spans="1:16" ht="20.25" customHeight="1" x14ac:dyDescent="0.3">
      <c r="A1150" s="137"/>
      <c r="B1150" s="137"/>
      <c r="C1150" s="137"/>
      <c r="D1150" s="194"/>
      <c r="E1150" s="194"/>
      <c r="F1150" s="137"/>
      <c r="G1150" s="137"/>
      <c r="H1150" s="137"/>
      <c r="I1150" s="137"/>
      <c r="J1150" s="197"/>
      <c r="K1150" s="198"/>
      <c r="L1150" s="196"/>
      <c r="M1150" s="196"/>
      <c r="N1150" s="196"/>
      <c r="O1150" s="196"/>
      <c r="P1150" s="127"/>
    </row>
    <row r="1151" spans="1:16" ht="20.25" customHeight="1" x14ac:dyDescent="0.3">
      <c r="A1151" s="137"/>
      <c r="B1151" s="137"/>
      <c r="C1151" s="137"/>
      <c r="D1151" s="194"/>
      <c r="E1151" s="194"/>
      <c r="F1151" s="137"/>
      <c r="G1151" s="137"/>
      <c r="H1151" s="137"/>
      <c r="I1151" s="137"/>
      <c r="J1151" s="197"/>
      <c r="K1151" s="198"/>
      <c r="L1151" s="196"/>
      <c r="M1151" s="196"/>
      <c r="N1151" s="196"/>
      <c r="O1151" s="196"/>
      <c r="P1151" s="127"/>
    </row>
    <row r="1152" spans="1:16" ht="20.25" customHeight="1" x14ac:dyDescent="0.3">
      <c r="A1152" s="137"/>
      <c r="B1152" s="137"/>
      <c r="C1152" s="137"/>
      <c r="D1152" s="194"/>
      <c r="E1152" s="194"/>
      <c r="F1152" s="137"/>
      <c r="G1152" s="137"/>
      <c r="H1152" s="137"/>
      <c r="I1152" s="137"/>
      <c r="J1152" s="197"/>
      <c r="K1152" s="198"/>
      <c r="L1152" s="196"/>
      <c r="M1152" s="196"/>
      <c r="N1152" s="196"/>
      <c r="O1152" s="196"/>
      <c r="P1152" s="127"/>
    </row>
    <row r="1153" spans="1:16" ht="20.25" customHeight="1" x14ac:dyDescent="0.3">
      <c r="A1153" s="137"/>
      <c r="B1153" s="137"/>
      <c r="C1153" s="137"/>
      <c r="D1153" s="194"/>
      <c r="E1153" s="194"/>
      <c r="F1153" s="137"/>
      <c r="G1153" s="137"/>
      <c r="H1153" s="137"/>
      <c r="I1153" s="137"/>
      <c r="J1153" s="197"/>
      <c r="K1153" s="198"/>
      <c r="L1153" s="196"/>
      <c r="M1153" s="196"/>
      <c r="N1153" s="196"/>
      <c r="O1153" s="196"/>
      <c r="P1153" s="127"/>
    </row>
    <row r="1154" spans="1:16" ht="20.25" customHeight="1" x14ac:dyDescent="0.3">
      <c r="A1154" s="137"/>
      <c r="B1154" s="137"/>
      <c r="C1154" s="137"/>
      <c r="D1154" s="194"/>
      <c r="E1154" s="194"/>
      <c r="F1154" s="137"/>
      <c r="G1154" s="137"/>
      <c r="H1154" s="137"/>
      <c r="I1154" s="137"/>
      <c r="J1154" s="197"/>
      <c r="K1154" s="198"/>
      <c r="L1154" s="196"/>
      <c r="M1154" s="196"/>
      <c r="N1154" s="196"/>
      <c r="O1154" s="196"/>
      <c r="P1154" s="127"/>
    </row>
    <row r="1155" spans="1:16" ht="20.25" customHeight="1" x14ac:dyDescent="0.3">
      <c r="A1155" s="137"/>
      <c r="B1155" s="137"/>
      <c r="C1155" s="137"/>
      <c r="D1155" s="194"/>
      <c r="E1155" s="194"/>
      <c r="F1155" s="137"/>
      <c r="G1155" s="137"/>
      <c r="H1155" s="137"/>
      <c r="I1155" s="137"/>
      <c r="J1155" s="197"/>
      <c r="K1155" s="198"/>
      <c r="L1155" s="196"/>
      <c r="M1155" s="196"/>
      <c r="N1155" s="196"/>
      <c r="O1155" s="196"/>
      <c r="P1155" s="127"/>
    </row>
    <row r="1156" spans="1:16" ht="20.25" customHeight="1" x14ac:dyDescent="0.3">
      <c r="A1156" s="137"/>
      <c r="B1156" s="137"/>
      <c r="C1156" s="137"/>
      <c r="D1156" s="194"/>
      <c r="E1156" s="194"/>
      <c r="F1156" s="137"/>
      <c r="G1156" s="137"/>
      <c r="H1156" s="137"/>
      <c r="I1156" s="137"/>
      <c r="J1156" s="197"/>
      <c r="K1156" s="198"/>
      <c r="L1156" s="196"/>
      <c r="M1156" s="196"/>
      <c r="N1156" s="196"/>
      <c r="O1156" s="196"/>
      <c r="P1156" s="127"/>
    </row>
    <row r="1157" spans="1:16" ht="20.25" customHeight="1" x14ac:dyDescent="0.3">
      <c r="A1157" s="137"/>
      <c r="B1157" s="137"/>
      <c r="C1157" s="137"/>
      <c r="D1157" s="194"/>
      <c r="E1157" s="194"/>
      <c r="F1157" s="137"/>
      <c r="G1157" s="137"/>
      <c r="H1157" s="137"/>
      <c r="I1157" s="137"/>
      <c r="J1157" s="197"/>
      <c r="K1157" s="198"/>
      <c r="L1157" s="196"/>
      <c r="M1157" s="196"/>
      <c r="N1157" s="196"/>
      <c r="O1157" s="196"/>
      <c r="P1157" s="127"/>
    </row>
    <row r="1158" spans="1:16" ht="20.25" customHeight="1" x14ac:dyDescent="0.3">
      <c r="A1158" s="137"/>
      <c r="B1158" s="137"/>
      <c r="C1158" s="137"/>
      <c r="D1158" s="194"/>
      <c r="E1158" s="194"/>
      <c r="F1158" s="137"/>
      <c r="G1158" s="137"/>
      <c r="H1158" s="137"/>
      <c r="I1158" s="137"/>
      <c r="J1158" s="197"/>
      <c r="K1158" s="198"/>
      <c r="L1158" s="196"/>
      <c r="M1158" s="196"/>
      <c r="N1158" s="196"/>
      <c r="O1158" s="196"/>
      <c r="P1158" s="127"/>
    </row>
    <row r="1159" spans="1:16" ht="20.25" customHeight="1" x14ac:dyDescent="0.3">
      <c r="A1159" s="137"/>
      <c r="B1159" s="137"/>
      <c r="C1159" s="137"/>
      <c r="D1159" s="194"/>
      <c r="E1159" s="194"/>
      <c r="F1159" s="137"/>
      <c r="G1159" s="137"/>
      <c r="H1159" s="137"/>
      <c r="I1159" s="137"/>
      <c r="J1159" s="197"/>
      <c r="K1159" s="198"/>
      <c r="L1159" s="196"/>
      <c r="M1159" s="196"/>
      <c r="N1159" s="196"/>
      <c r="O1159" s="196"/>
      <c r="P1159" s="127"/>
    </row>
    <row r="1160" spans="1:16" ht="20.25" customHeight="1" x14ac:dyDescent="0.3">
      <c r="A1160" s="137"/>
      <c r="B1160" s="137"/>
      <c r="C1160" s="137"/>
      <c r="D1160" s="194"/>
      <c r="E1160" s="194"/>
      <c r="F1160" s="137"/>
      <c r="G1160" s="137"/>
      <c r="H1160" s="137"/>
      <c r="I1160" s="137"/>
      <c r="J1160" s="197"/>
      <c r="K1160" s="198"/>
      <c r="L1160" s="196"/>
      <c r="M1160" s="196"/>
      <c r="N1160" s="196"/>
      <c r="O1160" s="196"/>
      <c r="P1160" s="127"/>
    </row>
    <row r="1161" spans="1:16" ht="20.25" customHeight="1" x14ac:dyDescent="0.3">
      <c r="A1161" s="137"/>
      <c r="B1161" s="137"/>
      <c r="C1161" s="137"/>
      <c r="D1161" s="194"/>
      <c r="E1161" s="194"/>
      <c r="F1161" s="137"/>
      <c r="G1161" s="137"/>
      <c r="H1161" s="137"/>
      <c r="I1161" s="137"/>
      <c r="J1161" s="197"/>
      <c r="K1161" s="198"/>
      <c r="L1161" s="196"/>
      <c r="M1161" s="196"/>
      <c r="N1161" s="196"/>
      <c r="O1161" s="196"/>
      <c r="P1161" s="127"/>
    </row>
    <row r="1162" spans="1:16" ht="20.25" customHeight="1" x14ac:dyDescent="0.3">
      <c r="A1162" s="137"/>
      <c r="B1162" s="137"/>
      <c r="C1162" s="137"/>
      <c r="D1162" s="194"/>
      <c r="E1162" s="194"/>
      <c r="F1162" s="137"/>
      <c r="G1162" s="137"/>
      <c r="H1162" s="137"/>
      <c r="I1162" s="137"/>
      <c r="J1162" s="197"/>
      <c r="K1162" s="198"/>
      <c r="L1162" s="196"/>
      <c r="M1162" s="196"/>
      <c r="N1162" s="196"/>
      <c r="O1162" s="196"/>
      <c r="P1162" s="127"/>
    </row>
    <row r="1163" spans="1:16" ht="20.25" customHeight="1" x14ac:dyDescent="0.3">
      <c r="A1163" s="137"/>
      <c r="B1163" s="137"/>
      <c r="C1163" s="137"/>
      <c r="D1163" s="194"/>
      <c r="E1163" s="194"/>
      <c r="F1163" s="137"/>
      <c r="G1163" s="137"/>
      <c r="H1163" s="137"/>
      <c r="I1163" s="137"/>
      <c r="J1163" s="197"/>
      <c r="K1163" s="198"/>
      <c r="L1163" s="196"/>
      <c r="M1163" s="196"/>
      <c r="N1163" s="196"/>
      <c r="O1163" s="196"/>
      <c r="P1163" s="127"/>
    </row>
    <row r="1164" spans="1:16" ht="20.25" customHeight="1" x14ac:dyDescent="0.3">
      <c r="A1164" s="137"/>
      <c r="B1164" s="137"/>
      <c r="C1164" s="137"/>
      <c r="D1164" s="194"/>
      <c r="E1164" s="194"/>
      <c r="F1164" s="137"/>
      <c r="G1164" s="137"/>
      <c r="H1164" s="137"/>
      <c r="I1164" s="137"/>
      <c r="J1164" s="197"/>
      <c r="K1164" s="198"/>
      <c r="L1164" s="196"/>
      <c r="M1164" s="196"/>
      <c r="N1164" s="196"/>
      <c r="O1164" s="196"/>
      <c r="P1164" s="127"/>
    </row>
    <row r="1165" spans="1:16" ht="20.25" customHeight="1" x14ac:dyDescent="0.3">
      <c r="A1165" s="137"/>
      <c r="B1165" s="137"/>
      <c r="C1165" s="137"/>
      <c r="D1165" s="194"/>
      <c r="E1165" s="194"/>
      <c r="F1165" s="137"/>
      <c r="G1165" s="137"/>
      <c r="H1165" s="137"/>
      <c r="I1165" s="137"/>
      <c r="J1165" s="197"/>
      <c r="K1165" s="198"/>
      <c r="L1165" s="196"/>
      <c r="M1165" s="196"/>
      <c r="N1165" s="196"/>
      <c r="O1165" s="196"/>
      <c r="P1165" s="127"/>
    </row>
    <row r="1166" spans="1:16" ht="20.25" customHeight="1" x14ac:dyDescent="0.3">
      <c r="A1166" s="137"/>
      <c r="B1166" s="137"/>
      <c r="C1166" s="137"/>
      <c r="D1166" s="194"/>
      <c r="E1166" s="194"/>
      <c r="F1166" s="137"/>
      <c r="G1166" s="137"/>
      <c r="H1166" s="137"/>
      <c r="I1166" s="137"/>
      <c r="J1166" s="197"/>
      <c r="K1166" s="198"/>
      <c r="L1166" s="196"/>
      <c r="M1166" s="196"/>
      <c r="N1166" s="196"/>
      <c r="O1166" s="196"/>
      <c r="P1166" s="127"/>
    </row>
    <row r="1167" spans="1:16" ht="20.25" customHeight="1" x14ac:dyDescent="0.3">
      <c r="A1167" s="137"/>
      <c r="B1167" s="137"/>
      <c r="C1167" s="137"/>
      <c r="D1167" s="194"/>
      <c r="E1167" s="194"/>
      <c r="F1167" s="137"/>
      <c r="G1167" s="137"/>
      <c r="H1167" s="137"/>
      <c r="I1167" s="137"/>
      <c r="J1167" s="197"/>
      <c r="K1167" s="198"/>
      <c r="L1167" s="196"/>
      <c r="M1167" s="196"/>
      <c r="N1167" s="196"/>
      <c r="O1167" s="196"/>
      <c r="P1167" s="127"/>
    </row>
    <row r="1168" spans="1:16" ht="20.25" customHeight="1" x14ac:dyDescent="0.3">
      <c r="A1168" s="137"/>
      <c r="B1168" s="137"/>
      <c r="C1168" s="137"/>
      <c r="D1168" s="194"/>
      <c r="E1168" s="194"/>
      <c r="F1168" s="137"/>
      <c r="G1168" s="137"/>
      <c r="H1168" s="137"/>
      <c r="I1168" s="137"/>
      <c r="J1168" s="197"/>
      <c r="K1168" s="198"/>
      <c r="L1168" s="196"/>
      <c r="M1168" s="196"/>
      <c r="N1168" s="196"/>
      <c r="O1168" s="196"/>
      <c r="P1168" s="127"/>
    </row>
    <row r="1169" spans="1:16" ht="20.25" customHeight="1" x14ac:dyDescent="0.3">
      <c r="A1169" s="137"/>
      <c r="B1169" s="137"/>
      <c r="C1169" s="137"/>
      <c r="D1169" s="194"/>
      <c r="E1169" s="194"/>
      <c r="F1169" s="137"/>
      <c r="G1169" s="137"/>
      <c r="H1169" s="137"/>
      <c r="I1169" s="137"/>
      <c r="J1169" s="197"/>
      <c r="K1169" s="198"/>
      <c r="L1169" s="196"/>
      <c r="M1169" s="196"/>
      <c r="N1169" s="196"/>
      <c r="O1169" s="196"/>
      <c r="P1169" s="127"/>
    </row>
    <row r="1170" spans="1:16" ht="20.25" customHeight="1" x14ac:dyDescent="0.3">
      <c r="A1170" s="137"/>
      <c r="B1170" s="137"/>
      <c r="C1170" s="137"/>
      <c r="D1170" s="194"/>
      <c r="E1170" s="194"/>
      <c r="F1170" s="137"/>
      <c r="G1170" s="137"/>
      <c r="H1170" s="137"/>
      <c r="I1170" s="137"/>
      <c r="J1170" s="197"/>
      <c r="K1170" s="198"/>
      <c r="L1170" s="196"/>
      <c r="M1170" s="196"/>
      <c r="N1170" s="196"/>
      <c r="O1170" s="196"/>
      <c r="P1170" s="127"/>
    </row>
    <row r="1171" spans="1:16" ht="20.25" customHeight="1" x14ac:dyDescent="0.3">
      <c r="A1171" s="137"/>
      <c r="B1171" s="137"/>
      <c r="C1171" s="137"/>
      <c r="D1171" s="194"/>
      <c r="E1171" s="194"/>
      <c r="F1171" s="137"/>
      <c r="G1171" s="137"/>
      <c r="H1171" s="137"/>
      <c r="I1171" s="137"/>
      <c r="J1171" s="197"/>
      <c r="K1171" s="198"/>
      <c r="L1171" s="196"/>
      <c r="M1171" s="196"/>
      <c r="N1171" s="196"/>
      <c r="O1171" s="196"/>
      <c r="P1171" s="127"/>
    </row>
    <row r="1172" spans="1:16" ht="20.25" customHeight="1" x14ac:dyDescent="0.3">
      <c r="A1172" s="137"/>
      <c r="B1172" s="137"/>
      <c r="C1172" s="137"/>
      <c r="D1172" s="194"/>
      <c r="E1172" s="194"/>
      <c r="F1172" s="137"/>
      <c r="G1172" s="137"/>
      <c r="H1172" s="137"/>
      <c r="I1172" s="137"/>
      <c r="J1172" s="197"/>
      <c r="K1172" s="198"/>
      <c r="L1172" s="196"/>
      <c r="M1172" s="196"/>
      <c r="N1172" s="196"/>
      <c r="O1172" s="196"/>
      <c r="P1172" s="127"/>
    </row>
    <row r="1173" spans="1:16" ht="20.25" customHeight="1" x14ac:dyDescent="0.3">
      <c r="A1173" s="137"/>
      <c r="B1173" s="137"/>
      <c r="C1173" s="137"/>
      <c r="D1173" s="194"/>
      <c r="E1173" s="194"/>
      <c r="F1173" s="137"/>
      <c r="G1173" s="137"/>
      <c r="H1173" s="137"/>
      <c r="I1173" s="137"/>
      <c r="J1173" s="197"/>
      <c r="K1173" s="198"/>
      <c r="L1173" s="196"/>
      <c r="M1173" s="196"/>
      <c r="N1173" s="196"/>
      <c r="O1173" s="196"/>
      <c r="P1173" s="127"/>
    </row>
    <row r="1174" spans="1:16" ht="20.25" customHeight="1" x14ac:dyDescent="0.3">
      <c r="A1174" s="137"/>
      <c r="B1174" s="137"/>
      <c r="C1174" s="137"/>
      <c r="D1174" s="194"/>
      <c r="E1174" s="194"/>
      <c r="F1174" s="137"/>
      <c r="G1174" s="137"/>
      <c r="H1174" s="137"/>
      <c r="I1174" s="137"/>
      <c r="J1174" s="197"/>
      <c r="K1174" s="198"/>
      <c r="L1174" s="196"/>
      <c r="M1174" s="196"/>
      <c r="N1174" s="196"/>
      <c r="O1174" s="196"/>
      <c r="P1174" s="127"/>
    </row>
    <row r="1175" spans="1:16" ht="20.25" customHeight="1" x14ac:dyDescent="0.3">
      <c r="A1175" s="137"/>
      <c r="B1175" s="137"/>
      <c r="C1175" s="137"/>
      <c r="D1175" s="194"/>
      <c r="E1175" s="194"/>
      <c r="F1175" s="137"/>
      <c r="G1175" s="137"/>
      <c r="H1175" s="137"/>
      <c r="I1175" s="137"/>
      <c r="J1175" s="197"/>
      <c r="K1175" s="198"/>
      <c r="L1175" s="196"/>
      <c r="M1175" s="196"/>
      <c r="N1175" s="196"/>
      <c r="O1175" s="196"/>
      <c r="P1175" s="127"/>
    </row>
    <row r="1176" spans="1:16" ht="20.25" customHeight="1" x14ac:dyDescent="0.3">
      <c r="A1176" s="137"/>
      <c r="B1176" s="137"/>
      <c r="C1176" s="137"/>
      <c r="D1176" s="194"/>
      <c r="E1176" s="194"/>
      <c r="F1176" s="137"/>
      <c r="G1176" s="137"/>
      <c r="H1176" s="137"/>
      <c r="I1176" s="137"/>
      <c r="J1176" s="197"/>
      <c r="K1176" s="198"/>
      <c r="L1176" s="196"/>
      <c r="M1176" s="196"/>
      <c r="N1176" s="196"/>
      <c r="O1176" s="196"/>
      <c r="P1176" s="127"/>
    </row>
    <row r="1177" spans="1:16" ht="20.25" customHeight="1" x14ac:dyDescent="0.3">
      <c r="A1177" s="137"/>
      <c r="B1177" s="137"/>
      <c r="C1177" s="137"/>
      <c r="D1177" s="194"/>
      <c r="E1177" s="194"/>
      <c r="F1177" s="137"/>
      <c r="G1177" s="137"/>
      <c r="H1177" s="137"/>
      <c r="I1177" s="137"/>
      <c r="J1177" s="197"/>
      <c r="K1177" s="198"/>
      <c r="L1177" s="196"/>
      <c r="M1177" s="196"/>
      <c r="N1177" s="196"/>
      <c r="O1177" s="196"/>
      <c r="P1177" s="127"/>
    </row>
    <row r="1178" spans="1:16" ht="20.25" customHeight="1" x14ac:dyDescent="0.3">
      <c r="A1178" s="137"/>
      <c r="B1178" s="137"/>
      <c r="C1178" s="137"/>
      <c r="D1178" s="194"/>
      <c r="E1178" s="194"/>
      <c r="F1178" s="137"/>
      <c r="G1178" s="137"/>
      <c r="H1178" s="137"/>
      <c r="I1178" s="137"/>
      <c r="J1178" s="197"/>
      <c r="K1178" s="198"/>
      <c r="L1178" s="196"/>
      <c r="M1178" s="196"/>
      <c r="N1178" s="196"/>
      <c r="O1178" s="196"/>
      <c r="P1178" s="127"/>
    </row>
    <row r="1179" spans="1:16" ht="20.25" customHeight="1" x14ac:dyDescent="0.3">
      <c r="A1179" s="137"/>
      <c r="B1179" s="137"/>
      <c r="C1179" s="137"/>
      <c r="D1179" s="194"/>
      <c r="E1179" s="194"/>
      <c r="F1179" s="137"/>
      <c r="G1179" s="137"/>
      <c r="H1179" s="137"/>
      <c r="I1179" s="137"/>
      <c r="J1179" s="197"/>
      <c r="K1179" s="198"/>
      <c r="L1179" s="196"/>
      <c r="M1179" s="196"/>
      <c r="N1179" s="196"/>
      <c r="O1179" s="196"/>
      <c r="P1179" s="127"/>
    </row>
    <row r="1180" spans="1:16" ht="20.25" customHeight="1" x14ac:dyDescent="0.3">
      <c r="A1180" s="137"/>
      <c r="B1180" s="137"/>
      <c r="C1180" s="137"/>
      <c r="D1180" s="194"/>
      <c r="E1180" s="194"/>
      <c r="F1180" s="137"/>
      <c r="G1180" s="137"/>
      <c r="H1180" s="137"/>
      <c r="I1180" s="137"/>
      <c r="J1180" s="197"/>
      <c r="K1180" s="198"/>
      <c r="L1180" s="196"/>
      <c r="M1180" s="196"/>
      <c r="N1180" s="196"/>
      <c r="O1180" s="196"/>
      <c r="P1180" s="127"/>
    </row>
    <row r="1181" spans="1:16" ht="20.25" customHeight="1" x14ac:dyDescent="0.3">
      <c r="A1181" s="137"/>
      <c r="B1181" s="137"/>
      <c r="C1181" s="137"/>
      <c r="D1181" s="194"/>
      <c r="E1181" s="194"/>
      <c r="F1181" s="137"/>
      <c r="G1181" s="137"/>
      <c r="H1181" s="137"/>
      <c r="I1181" s="137"/>
      <c r="J1181" s="197"/>
      <c r="K1181" s="198"/>
      <c r="L1181" s="196"/>
      <c r="M1181" s="196"/>
      <c r="N1181" s="196"/>
      <c r="O1181" s="196"/>
      <c r="P1181" s="127"/>
    </row>
    <row r="1182" spans="1:16" ht="20.25" customHeight="1" x14ac:dyDescent="0.3">
      <c r="A1182" s="137"/>
      <c r="B1182" s="137"/>
      <c r="C1182" s="137"/>
      <c r="D1182" s="194"/>
      <c r="E1182" s="194"/>
      <c r="F1182" s="137"/>
      <c r="G1182" s="137"/>
      <c r="H1182" s="137"/>
      <c r="I1182" s="137"/>
      <c r="J1182" s="197"/>
      <c r="K1182" s="198"/>
      <c r="L1182" s="196"/>
      <c r="M1182" s="196"/>
      <c r="N1182" s="196"/>
      <c r="O1182" s="196"/>
      <c r="P1182" s="127"/>
    </row>
    <row r="1183" spans="1:16" ht="20.25" customHeight="1" x14ac:dyDescent="0.3">
      <c r="A1183" s="137"/>
      <c r="B1183" s="137"/>
      <c r="C1183" s="137"/>
      <c r="D1183" s="194"/>
      <c r="E1183" s="194"/>
      <c r="F1183" s="137"/>
      <c r="G1183" s="137"/>
      <c r="H1183" s="137"/>
      <c r="I1183" s="137"/>
      <c r="J1183" s="197"/>
      <c r="K1183" s="198"/>
      <c r="L1183" s="196"/>
      <c r="M1183" s="196"/>
      <c r="N1183" s="196"/>
      <c r="O1183" s="196"/>
      <c r="P1183" s="127"/>
    </row>
    <row r="1184" spans="1:16" ht="20.25" customHeight="1" x14ac:dyDescent="0.3">
      <c r="A1184" s="137"/>
      <c r="B1184" s="137"/>
      <c r="C1184" s="137"/>
      <c r="D1184" s="194"/>
      <c r="E1184" s="194"/>
      <c r="F1184" s="137"/>
      <c r="G1184" s="137"/>
      <c r="H1184" s="137"/>
      <c r="I1184" s="137"/>
      <c r="J1184" s="197"/>
      <c r="K1184" s="198"/>
      <c r="L1184" s="196"/>
      <c r="M1184" s="196"/>
      <c r="N1184" s="196"/>
      <c r="O1184" s="196"/>
      <c r="P1184" s="127"/>
    </row>
    <row r="1185" spans="1:16" ht="20.25" customHeight="1" x14ac:dyDescent="0.3">
      <c r="A1185" s="137"/>
      <c r="B1185" s="137"/>
      <c r="C1185" s="137"/>
      <c r="D1185" s="194"/>
      <c r="E1185" s="194"/>
      <c r="F1185" s="137"/>
      <c r="G1185" s="137"/>
      <c r="H1185" s="137"/>
      <c r="I1185" s="137"/>
      <c r="J1185" s="197"/>
      <c r="K1185" s="198"/>
      <c r="L1185" s="196"/>
      <c r="M1185" s="196"/>
      <c r="N1185" s="196"/>
      <c r="O1185" s="196"/>
      <c r="P1185" s="127"/>
    </row>
    <row r="1186" spans="1:16" ht="20.25" customHeight="1" x14ac:dyDescent="0.3">
      <c r="A1186" s="137"/>
      <c r="B1186" s="137"/>
      <c r="C1186" s="137"/>
      <c r="D1186" s="194"/>
      <c r="E1186" s="194"/>
      <c r="F1186" s="137"/>
      <c r="G1186" s="137"/>
      <c r="H1186" s="137"/>
      <c r="I1186" s="137"/>
      <c r="J1186" s="197"/>
      <c r="K1186" s="198"/>
      <c r="L1186" s="196"/>
      <c r="M1186" s="196"/>
      <c r="N1186" s="196"/>
      <c r="O1186" s="196"/>
      <c r="P1186" s="127"/>
    </row>
    <row r="1187" spans="1:16" ht="20.25" customHeight="1" x14ac:dyDescent="0.3">
      <c r="A1187" s="137"/>
      <c r="B1187" s="137"/>
      <c r="C1187" s="137"/>
      <c r="D1187" s="194"/>
      <c r="E1187" s="194"/>
      <c r="F1187" s="137"/>
      <c r="G1187" s="137"/>
      <c r="H1187" s="137"/>
      <c r="I1187" s="137"/>
      <c r="J1187" s="197"/>
      <c r="K1187" s="198"/>
      <c r="L1187" s="196"/>
      <c r="M1187" s="196"/>
      <c r="N1187" s="196"/>
      <c r="O1187" s="196"/>
      <c r="P1187" s="127"/>
    </row>
    <row r="1188" spans="1:16" ht="20.25" customHeight="1" x14ac:dyDescent="0.3">
      <c r="A1188" s="137"/>
      <c r="B1188" s="137"/>
      <c r="C1188" s="137"/>
      <c r="D1188" s="194"/>
      <c r="E1188" s="194"/>
      <c r="F1188" s="137"/>
      <c r="G1188" s="137"/>
      <c r="H1188" s="137"/>
      <c r="I1188" s="137"/>
      <c r="J1188" s="197"/>
      <c r="K1188" s="198"/>
      <c r="L1188" s="196"/>
      <c r="M1188" s="196"/>
      <c r="N1188" s="196"/>
      <c r="O1188" s="196"/>
      <c r="P1188" s="127"/>
    </row>
    <row r="1189" spans="1:16" ht="20.25" customHeight="1" x14ac:dyDescent="0.3">
      <c r="A1189" s="137"/>
      <c r="B1189" s="137"/>
      <c r="C1189" s="137"/>
      <c r="D1189" s="194"/>
      <c r="E1189" s="194"/>
      <c r="F1189" s="137"/>
      <c r="G1189" s="137"/>
      <c r="H1189" s="137"/>
      <c r="I1189" s="137"/>
      <c r="J1189" s="197"/>
      <c r="K1189" s="198"/>
      <c r="L1189" s="196"/>
      <c r="M1189" s="196"/>
      <c r="N1189" s="196"/>
      <c r="O1189" s="196"/>
      <c r="P1189" s="127"/>
    </row>
    <row r="1190" spans="1:16" ht="20.25" customHeight="1" x14ac:dyDescent="0.3">
      <c r="A1190" s="137"/>
      <c r="B1190" s="137"/>
      <c r="C1190" s="137"/>
      <c r="D1190" s="194"/>
      <c r="E1190" s="194"/>
      <c r="F1190" s="137"/>
      <c r="G1190" s="137"/>
      <c r="H1190" s="137"/>
      <c r="I1190" s="137"/>
      <c r="J1190" s="197"/>
      <c r="K1190" s="198"/>
      <c r="L1190" s="196"/>
      <c r="M1190" s="196"/>
      <c r="N1190" s="196"/>
      <c r="O1190" s="196"/>
      <c r="P1190" s="127"/>
    </row>
    <row r="1191" spans="1:16" ht="20.25" customHeight="1" x14ac:dyDescent="0.3">
      <c r="A1191" s="137"/>
      <c r="B1191" s="137"/>
      <c r="C1191" s="137"/>
      <c r="D1191" s="194"/>
      <c r="E1191" s="194"/>
      <c r="F1191" s="137"/>
      <c r="G1191" s="137"/>
      <c r="H1191" s="137"/>
      <c r="I1191" s="137"/>
      <c r="J1191" s="197"/>
      <c r="K1191" s="198"/>
      <c r="L1191" s="196"/>
      <c r="M1191" s="196"/>
      <c r="N1191" s="196"/>
      <c r="O1191" s="196"/>
      <c r="P1191" s="127"/>
    </row>
    <row r="1192" spans="1:16" ht="20.25" customHeight="1" x14ac:dyDescent="0.3">
      <c r="A1192" s="137"/>
      <c r="B1192" s="137"/>
      <c r="C1192" s="137"/>
      <c r="D1192" s="194"/>
      <c r="E1192" s="194"/>
      <c r="F1192" s="137"/>
      <c r="G1192" s="137"/>
      <c r="H1192" s="137"/>
      <c r="I1192" s="137"/>
      <c r="J1192" s="197"/>
      <c r="K1192" s="198"/>
      <c r="L1192" s="196"/>
      <c r="M1192" s="196"/>
      <c r="N1192" s="196"/>
      <c r="O1192" s="196"/>
      <c r="P1192" s="127"/>
    </row>
    <row r="1193" spans="1:16" ht="20.25" customHeight="1" x14ac:dyDescent="0.3">
      <c r="A1193" s="137"/>
      <c r="B1193" s="137"/>
      <c r="C1193" s="137"/>
      <c r="D1193" s="194"/>
      <c r="E1193" s="194"/>
      <c r="F1193" s="137"/>
      <c r="G1193" s="137"/>
      <c r="H1193" s="137"/>
      <c r="I1193" s="137"/>
      <c r="J1193" s="197"/>
      <c r="K1193" s="198"/>
      <c r="L1193" s="196"/>
      <c r="M1193" s="196"/>
      <c r="N1193" s="196"/>
      <c r="O1193" s="196"/>
      <c r="P1193" s="127"/>
    </row>
    <row r="1194" spans="1:16" ht="20.25" customHeight="1" x14ac:dyDescent="0.3">
      <c r="A1194" s="137"/>
      <c r="B1194" s="137"/>
      <c r="C1194" s="137"/>
      <c r="D1194" s="194"/>
      <c r="E1194" s="194"/>
      <c r="F1194" s="137"/>
      <c r="G1194" s="137"/>
      <c r="H1194" s="137"/>
      <c r="I1194" s="137"/>
      <c r="J1194" s="197"/>
      <c r="K1194" s="198"/>
      <c r="L1194" s="196"/>
      <c r="M1194" s="196"/>
      <c r="N1194" s="196"/>
      <c r="O1194" s="196"/>
      <c r="P1194" s="127"/>
    </row>
    <row r="1195" spans="1:16" ht="20.25" customHeight="1" x14ac:dyDescent="0.3">
      <c r="A1195" s="137"/>
      <c r="B1195" s="137"/>
      <c r="C1195" s="137"/>
      <c r="D1195" s="194"/>
      <c r="E1195" s="194"/>
      <c r="F1195" s="137"/>
      <c r="G1195" s="137"/>
      <c r="H1195" s="137"/>
      <c r="I1195" s="137"/>
      <c r="J1195" s="197"/>
      <c r="K1195" s="198"/>
      <c r="L1195" s="196"/>
      <c r="M1195" s="196"/>
      <c r="N1195" s="196"/>
      <c r="O1195" s="196"/>
      <c r="P1195" s="127"/>
    </row>
    <row r="1196" spans="1:16" ht="20.25" customHeight="1" x14ac:dyDescent="0.3">
      <c r="A1196" s="137"/>
      <c r="B1196" s="137"/>
      <c r="C1196" s="137"/>
      <c r="D1196" s="194"/>
      <c r="E1196" s="194"/>
      <c r="F1196" s="137"/>
      <c r="G1196" s="137"/>
      <c r="H1196" s="137"/>
      <c r="I1196" s="137"/>
      <c r="J1196" s="197"/>
      <c r="K1196" s="198"/>
      <c r="L1196" s="196"/>
      <c r="M1196" s="196"/>
      <c r="N1196" s="196"/>
      <c r="O1196" s="196"/>
      <c r="P1196" s="127"/>
    </row>
    <row r="1197" spans="1:16" ht="20.25" customHeight="1" x14ac:dyDescent="0.3">
      <c r="A1197" s="137"/>
      <c r="B1197" s="137"/>
      <c r="C1197" s="137"/>
      <c r="D1197" s="194"/>
      <c r="E1197" s="194"/>
      <c r="F1197" s="137"/>
      <c r="G1197" s="137"/>
      <c r="H1197" s="137"/>
      <c r="I1197" s="137"/>
      <c r="J1197" s="197"/>
      <c r="K1197" s="198"/>
      <c r="L1197" s="196"/>
      <c r="M1197" s="196"/>
      <c r="N1197" s="196"/>
      <c r="O1197" s="196"/>
      <c r="P1197" s="127"/>
    </row>
    <row r="1198" spans="1:16" ht="20.25" customHeight="1" x14ac:dyDescent="0.3">
      <c r="A1198" s="137"/>
      <c r="B1198" s="137"/>
      <c r="C1198" s="137"/>
      <c r="D1198" s="194"/>
      <c r="E1198" s="194"/>
      <c r="F1198" s="137"/>
      <c r="G1198" s="137"/>
      <c r="H1198" s="137"/>
      <c r="I1198" s="137"/>
      <c r="J1198" s="197"/>
      <c r="K1198" s="198"/>
      <c r="L1198" s="196"/>
      <c r="M1198" s="196"/>
      <c r="N1198" s="196"/>
      <c r="O1198" s="196"/>
      <c r="P1198" s="127"/>
    </row>
    <row r="1199" spans="1:16" ht="20.25" customHeight="1" x14ac:dyDescent="0.3">
      <c r="A1199" s="137"/>
      <c r="B1199" s="137"/>
      <c r="C1199" s="137"/>
      <c r="D1199" s="194"/>
      <c r="E1199" s="194"/>
      <c r="F1199" s="137"/>
      <c r="G1199" s="137"/>
      <c r="H1199" s="137"/>
      <c r="I1199" s="137"/>
      <c r="J1199" s="197"/>
      <c r="K1199" s="198"/>
      <c r="L1199" s="196"/>
      <c r="M1199" s="196"/>
      <c r="N1199" s="196"/>
      <c r="O1199" s="196"/>
      <c r="P1199" s="127"/>
    </row>
    <row r="1200" spans="1:16" ht="20.25" customHeight="1" x14ac:dyDescent="0.3">
      <c r="A1200" s="137"/>
      <c r="B1200" s="137"/>
      <c r="C1200" s="137"/>
      <c r="D1200" s="194"/>
      <c r="E1200" s="194"/>
      <c r="F1200" s="137"/>
      <c r="G1200" s="137"/>
      <c r="H1200" s="137"/>
      <c r="I1200" s="137"/>
      <c r="J1200" s="197"/>
      <c r="K1200" s="198"/>
      <c r="L1200" s="196"/>
      <c r="M1200" s="196"/>
      <c r="N1200" s="196"/>
      <c r="O1200" s="196"/>
      <c r="P1200" s="127"/>
    </row>
    <row r="1201" spans="1:16" ht="20.25" customHeight="1" x14ac:dyDescent="0.3">
      <c r="A1201" s="137"/>
      <c r="B1201" s="137"/>
      <c r="C1201" s="137"/>
      <c r="D1201" s="194"/>
      <c r="E1201" s="194"/>
      <c r="F1201" s="137"/>
      <c r="G1201" s="137"/>
      <c r="H1201" s="137"/>
      <c r="I1201" s="137"/>
      <c r="J1201" s="197"/>
      <c r="K1201" s="198"/>
      <c r="L1201" s="196"/>
      <c r="M1201" s="196"/>
      <c r="N1201" s="196"/>
      <c r="O1201" s="196"/>
      <c r="P1201" s="127"/>
    </row>
    <row r="1202" spans="1:16" ht="20.25" customHeight="1" x14ac:dyDescent="0.3">
      <c r="A1202" s="137"/>
      <c r="B1202" s="137"/>
      <c r="C1202" s="137"/>
      <c r="D1202" s="194"/>
      <c r="E1202" s="194"/>
      <c r="F1202" s="137"/>
      <c r="G1202" s="137"/>
      <c r="H1202" s="137"/>
      <c r="I1202" s="137"/>
      <c r="J1202" s="197"/>
      <c r="K1202" s="198"/>
      <c r="L1202" s="196"/>
      <c r="M1202" s="196"/>
      <c r="N1202" s="196"/>
      <c r="O1202" s="196"/>
      <c r="P1202" s="127"/>
    </row>
    <row r="1203" spans="1:16" ht="20.25" customHeight="1" x14ac:dyDescent="0.3">
      <c r="A1203" s="137"/>
      <c r="B1203" s="137"/>
      <c r="C1203" s="137"/>
      <c r="D1203" s="194"/>
      <c r="E1203" s="194"/>
      <c r="F1203" s="137"/>
      <c r="G1203" s="137"/>
      <c r="H1203" s="137"/>
      <c r="I1203" s="137"/>
      <c r="J1203" s="197"/>
      <c r="K1203" s="198"/>
      <c r="L1203" s="196"/>
      <c r="M1203" s="196"/>
      <c r="N1203" s="196"/>
      <c r="O1203" s="196"/>
      <c r="P1203" s="127"/>
    </row>
    <row r="1204" spans="1:16" ht="20.25" customHeight="1" x14ac:dyDescent="0.3">
      <c r="A1204" s="137"/>
      <c r="B1204" s="137"/>
      <c r="C1204" s="137"/>
      <c r="D1204" s="194"/>
      <c r="E1204" s="194"/>
      <c r="F1204" s="137"/>
      <c r="G1204" s="137"/>
      <c r="H1204" s="137"/>
      <c r="I1204" s="137"/>
      <c r="J1204" s="197"/>
      <c r="K1204" s="198"/>
      <c r="L1204" s="196"/>
      <c r="M1204" s="196"/>
      <c r="N1204" s="196"/>
      <c r="O1204" s="196"/>
      <c r="P1204" s="127"/>
    </row>
    <row r="1205" spans="1:16" ht="20.25" customHeight="1" x14ac:dyDescent="0.3">
      <c r="A1205" s="137"/>
      <c r="B1205" s="137"/>
      <c r="C1205" s="137"/>
      <c r="D1205" s="194"/>
      <c r="E1205" s="194"/>
      <c r="F1205" s="137"/>
      <c r="G1205" s="137"/>
      <c r="H1205" s="137"/>
      <c r="I1205" s="137"/>
      <c r="J1205" s="197"/>
      <c r="K1205" s="198"/>
      <c r="L1205" s="196"/>
      <c r="M1205" s="196"/>
      <c r="N1205" s="196"/>
      <c r="O1205" s="196"/>
      <c r="P1205" s="127"/>
    </row>
    <row r="1206" spans="1:16" ht="20.25" customHeight="1" x14ac:dyDescent="0.3">
      <c r="A1206" s="137"/>
      <c r="B1206" s="137"/>
      <c r="C1206" s="137"/>
      <c r="D1206" s="194"/>
      <c r="E1206" s="194"/>
      <c r="F1206" s="137"/>
      <c r="G1206" s="137"/>
      <c r="H1206" s="137"/>
      <c r="I1206" s="137"/>
      <c r="J1206" s="197"/>
      <c r="K1206" s="198"/>
      <c r="L1206" s="196"/>
      <c r="M1206" s="196"/>
      <c r="N1206" s="196"/>
      <c r="O1206" s="196"/>
      <c r="P1206" s="127"/>
    </row>
    <row r="1207" spans="1:16" ht="20.25" customHeight="1" x14ac:dyDescent="0.3">
      <c r="A1207" s="137"/>
      <c r="B1207" s="137"/>
      <c r="C1207" s="137"/>
      <c r="D1207" s="194"/>
      <c r="E1207" s="194"/>
      <c r="F1207" s="137"/>
      <c r="G1207" s="137"/>
      <c r="H1207" s="137"/>
      <c r="I1207" s="137"/>
      <c r="J1207" s="197"/>
      <c r="K1207" s="198"/>
      <c r="L1207" s="196"/>
      <c r="M1207" s="196"/>
      <c r="N1207" s="196"/>
      <c r="O1207" s="196"/>
      <c r="P1207" s="127"/>
    </row>
    <row r="1208" spans="1:16" ht="20.25" customHeight="1" x14ac:dyDescent="0.3">
      <c r="A1208" s="137"/>
      <c r="B1208" s="137"/>
      <c r="C1208" s="137"/>
      <c r="D1208" s="194"/>
      <c r="E1208" s="194"/>
      <c r="F1208" s="137"/>
      <c r="G1208" s="137"/>
      <c r="H1208" s="137"/>
      <c r="I1208" s="137"/>
      <c r="J1208" s="197"/>
      <c r="K1208" s="198"/>
      <c r="L1208" s="196"/>
      <c r="M1208" s="196"/>
      <c r="N1208" s="196"/>
      <c r="O1208" s="196"/>
      <c r="P1208" s="127"/>
    </row>
    <row r="1209" spans="1:16" ht="20.25" customHeight="1" x14ac:dyDescent="0.3">
      <c r="A1209" s="137"/>
      <c r="B1209" s="137"/>
      <c r="C1209" s="137"/>
      <c r="D1209" s="194"/>
      <c r="E1209" s="194"/>
      <c r="F1209" s="137"/>
      <c r="G1209" s="137"/>
      <c r="H1209" s="137"/>
      <c r="I1209" s="137"/>
      <c r="J1209" s="197"/>
      <c r="K1209" s="198"/>
      <c r="L1209" s="196"/>
      <c r="M1209" s="196"/>
      <c r="N1209" s="196"/>
      <c r="O1209" s="196"/>
      <c r="P1209" s="127"/>
    </row>
    <row r="1210" spans="1:16" ht="20.25" customHeight="1" x14ac:dyDescent="0.3">
      <c r="A1210" s="137"/>
      <c r="B1210" s="137"/>
      <c r="C1210" s="137"/>
      <c r="D1210" s="194"/>
      <c r="E1210" s="194"/>
      <c r="F1210" s="137"/>
      <c r="G1210" s="137"/>
      <c r="H1210" s="137"/>
      <c r="I1210" s="137"/>
      <c r="J1210" s="197"/>
      <c r="K1210" s="198"/>
      <c r="L1210" s="196"/>
      <c r="M1210" s="196"/>
      <c r="N1210" s="196"/>
      <c r="O1210" s="196"/>
      <c r="P1210" s="127"/>
    </row>
    <row r="1211" spans="1:16" ht="20.25" customHeight="1" x14ac:dyDescent="0.3">
      <c r="A1211" s="137"/>
      <c r="B1211" s="137"/>
      <c r="C1211" s="137"/>
      <c r="D1211" s="194"/>
      <c r="E1211" s="194"/>
      <c r="F1211" s="137"/>
      <c r="G1211" s="137"/>
      <c r="H1211" s="137"/>
      <c r="I1211" s="137"/>
      <c r="J1211" s="197"/>
      <c r="K1211" s="198"/>
      <c r="L1211" s="196"/>
      <c r="M1211" s="196"/>
      <c r="N1211" s="196"/>
      <c r="O1211" s="196"/>
      <c r="P1211" s="127"/>
    </row>
    <row r="1212" spans="1:16" ht="20.25" customHeight="1" x14ac:dyDescent="0.3">
      <c r="A1212" s="137"/>
      <c r="B1212" s="137"/>
      <c r="C1212" s="137"/>
      <c r="D1212" s="194"/>
      <c r="E1212" s="194"/>
      <c r="F1212" s="137"/>
      <c r="G1212" s="137"/>
      <c r="H1212" s="137"/>
      <c r="I1212" s="137"/>
      <c r="J1212" s="197"/>
      <c r="K1212" s="198"/>
      <c r="L1212" s="196"/>
      <c r="M1212" s="196"/>
      <c r="N1212" s="196"/>
      <c r="O1212" s="196"/>
      <c r="P1212" s="127"/>
    </row>
    <row r="1213" spans="1:16" ht="20.25" customHeight="1" x14ac:dyDescent="0.3">
      <c r="A1213" s="137"/>
      <c r="B1213" s="137"/>
      <c r="C1213" s="137"/>
      <c r="D1213" s="194"/>
      <c r="E1213" s="194"/>
      <c r="F1213" s="137"/>
      <c r="G1213" s="137"/>
      <c r="H1213" s="137"/>
      <c r="I1213" s="137"/>
      <c r="J1213" s="197"/>
      <c r="K1213" s="198"/>
      <c r="L1213" s="196"/>
      <c r="M1213" s="196"/>
      <c r="N1213" s="196"/>
      <c r="O1213" s="196"/>
      <c r="P1213" s="127"/>
    </row>
    <row r="1214" spans="1:16" ht="20.25" customHeight="1" x14ac:dyDescent="0.3">
      <c r="A1214" s="137"/>
      <c r="B1214" s="137"/>
      <c r="C1214" s="137"/>
      <c r="D1214" s="194"/>
      <c r="E1214" s="194"/>
      <c r="F1214" s="137"/>
      <c r="G1214" s="137"/>
      <c r="H1214" s="137"/>
      <c r="I1214" s="137"/>
      <c r="J1214" s="197"/>
      <c r="K1214" s="198"/>
      <c r="L1214" s="196"/>
      <c r="M1214" s="196"/>
      <c r="N1214" s="196"/>
      <c r="O1214" s="196"/>
      <c r="P1214" s="127"/>
    </row>
    <row r="1215" spans="1:16" ht="20.25" customHeight="1" x14ac:dyDescent="0.3">
      <c r="A1215" s="137"/>
      <c r="B1215" s="137"/>
      <c r="C1215" s="137"/>
      <c r="D1215" s="194"/>
      <c r="E1215" s="194"/>
      <c r="F1215" s="137"/>
      <c r="G1215" s="137"/>
      <c r="H1215" s="137"/>
      <c r="I1215" s="137"/>
      <c r="J1215" s="197"/>
      <c r="K1215" s="198"/>
      <c r="L1215" s="196"/>
      <c r="M1215" s="196"/>
      <c r="N1215" s="196"/>
      <c r="O1215" s="196"/>
      <c r="P1215" s="127"/>
    </row>
    <row r="1216" spans="1:16" ht="20.25" customHeight="1" x14ac:dyDescent="0.3">
      <c r="A1216" s="137"/>
      <c r="B1216" s="137"/>
      <c r="C1216" s="137"/>
      <c r="D1216" s="194"/>
      <c r="E1216" s="194"/>
      <c r="F1216" s="137"/>
      <c r="G1216" s="137"/>
      <c r="H1216" s="137"/>
      <c r="I1216" s="137"/>
      <c r="J1216" s="197"/>
      <c r="K1216" s="198"/>
      <c r="L1216" s="196"/>
      <c r="M1216" s="196"/>
      <c r="N1216" s="196"/>
      <c r="O1216" s="196"/>
      <c r="P1216" s="127"/>
    </row>
    <row r="1217" spans="1:16" ht="20.25" customHeight="1" x14ac:dyDescent="0.3">
      <c r="A1217" s="137"/>
      <c r="B1217" s="137"/>
      <c r="C1217" s="137"/>
      <c r="D1217" s="194"/>
      <c r="E1217" s="194"/>
      <c r="F1217" s="137"/>
      <c r="G1217" s="137"/>
      <c r="H1217" s="137"/>
      <c r="I1217" s="137"/>
      <c r="J1217" s="197"/>
      <c r="K1217" s="198"/>
      <c r="L1217" s="196"/>
      <c r="M1217" s="196"/>
      <c r="N1217" s="196"/>
      <c r="O1217" s="196"/>
      <c r="P1217" s="127"/>
    </row>
    <row r="1218" spans="1:16" ht="20.25" customHeight="1" x14ac:dyDescent="0.3">
      <c r="A1218" s="137"/>
      <c r="B1218" s="137"/>
      <c r="C1218" s="137"/>
      <c r="D1218" s="194"/>
      <c r="E1218" s="194"/>
      <c r="F1218" s="137"/>
      <c r="G1218" s="137"/>
      <c r="H1218" s="137"/>
      <c r="I1218" s="137"/>
      <c r="J1218" s="197"/>
      <c r="K1218" s="198"/>
      <c r="L1218" s="196"/>
      <c r="M1218" s="196"/>
      <c r="N1218" s="196"/>
      <c r="O1218" s="196"/>
      <c r="P1218" s="127"/>
    </row>
    <row r="1219" spans="1:16" ht="20.25" customHeight="1" x14ac:dyDescent="0.3">
      <c r="A1219" s="137"/>
      <c r="B1219" s="137"/>
      <c r="C1219" s="137"/>
      <c r="D1219" s="194"/>
      <c r="E1219" s="194"/>
      <c r="F1219" s="137"/>
      <c r="G1219" s="137"/>
      <c r="H1219" s="137"/>
      <c r="I1219" s="137"/>
      <c r="J1219" s="197"/>
      <c r="K1219" s="198"/>
      <c r="L1219" s="196"/>
      <c r="M1219" s="196"/>
      <c r="N1219" s="196"/>
      <c r="O1219" s="196"/>
      <c r="P1219" s="127"/>
    </row>
    <row r="1220" spans="1:16" ht="20.25" customHeight="1" x14ac:dyDescent="0.3">
      <c r="A1220" s="137"/>
      <c r="B1220" s="137"/>
      <c r="C1220" s="137"/>
      <c r="D1220" s="194"/>
      <c r="E1220" s="194"/>
      <c r="F1220" s="137"/>
      <c r="G1220" s="137"/>
      <c r="H1220" s="137"/>
      <c r="I1220" s="137"/>
      <c r="J1220" s="197"/>
      <c r="K1220" s="198"/>
      <c r="L1220" s="196"/>
      <c r="M1220" s="196"/>
      <c r="N1220" s="196"/>
      <c r="O1220" s="196"/>
      <c r="P1220" s="127"/>
    </row>
    <row r="1221" spans="1:16" ht="20.25" customHeight="1" x14ac:dyDescent="0.3">
      <c r="A1221" s="137"/>
      <c r="B1221" s="137"/>
      <c r="C1221" s="137"/>
      <c r="D1221" s="194"/>
      <c r="E1221" s="194"/>
      <c r="F1221" s="137"/>
      <c r="G1221" s="137"/>
      <c r="H1221" s="137"/>
      <c r="I1221" s="137"/>
      <c r="J1221" s="197"/>
      <c r="K1221" s="198"/>
      <c r="L1221" s="196"/>
      <c r="M1221" s="196"/>
      <c r="N1221" s="196"/>
      <c r="O1221" s="196"/>
      <c r="P1221" s="127"/>
    </row>
    <row r="1222" spans="1:16" ht="20.25" customHeight="1" x14ac:dyDescent="0.3">
      <c r="A1222" s="137"/>
      <c r="B1222" s="137"/>
      <c r="C1222" s="137"/>
      <c r="D1222" s="194"/>
      <c r="E1222" s="194"/>
      <c r="F1222" s="137"/>
      <c r="G1222" s="137"/>
      <c r="H1222" s="137"/>
      <c r="I1222" s="137"/>
      <c r="J1222" s="197"/>
      <c r="K1222" s="198"/>
      <c r="L1222" s="196"/>
      <c r="M1222" s="196"/>
      <c r="N1222" s="196"/>
      <c r="O1222" s="196"/>
      <c r="P1222" s="127"/>
    </row>
    <row r="1223" spans="1:16" ht="20.25" customHeight="1" x14ac:dyDescent="0.3">
      <c r="A1223" s="137"/>
      <c r="B1223" s="137"/>
      <c r="C1223" s="137"/>
      <c r="D1223" s="194"/>
      <c r="E1223" s="194"/>
      <c r="F1223" s="137"/>
      <c r="G1223" s="137"/>
      <c r="H1223" s="137"/>
      <c r="I1223" s="137"/>
      <c r="J1223" s="197"/>
      <c r="K1223" s="198"/>
      <c r="L1223" s="196"/>
      <c r="M1223" s="196"/>
      <c r="N1223" s="196"/>
      <c r="O1223" s="196"/>
      <c r="P1223" s="127"/>
    </row>
    <row r="1224" spans="1:16" ht="20.25" customHeight="1" x14ac:dyDescent="0.3">
      <c r="A1224" s="137"/>
      <c r="B1224" s="137"/>
      <c r="C1224" s="137"/>
      <c r="D1224" s="194"/>
      <c r="E1224" s="194"/>
      <c r="F1224" s="137"/>
      <c r="G1224" s="137"/>
      <c r="H1224" s="137"/>
      <c r="I1224" s="137"/>
      <c r="J1224" s="197"/>
      <c r="K1224" s="198"/>
      <c r="L1224" s="196"/>
      <c r="M1224" s="196"/>
      <c r="N1224" s="196"/>
      <c r="O1224" s="196"/>
      <c r="P1224" s="127"/>
    </row>
    <row r="1225" spans="1:16" ht="20.25" customHeight="1" x14ac:dyDescent="0.3">
      <c r="A1225" s="137"/>
      <c r="B1225" s="137"/>
      <c r="C1225" s="137"/>
      <c r="D1225" s="194"/>
      <c r="E1225" s="194"/>
      <c r="F1225" s="137"/>
      <c r="G1225" s="137"/>
      <c r="H1225" s="137"/>
      <c r="I1225" s="137"/>
      <c r="J1225" s="197"/>
      <c r="K1225" s="198"/>
      <c r="L1225" s="196"/>
      <c r="M1225" s="196"/>
      <c r="N1225" s="196"/>
      <c r="O1225" s="196"/>
      <c r="P1225" s="127"/>
    </row>
    <row r="1226" spans="1:16" ht="20.25" customHeight="1" x14ac:dyDescent="0.3">
      <c r="A1226" s="137"/>
      <c r="B1226" s="137"/>
      <c r="C1226" s="137"/>
      <c r="D1226" s="194"/>
      <c r="E1226" s="194"/>
      <c r="F1226" s="137"/>
      <c r="G1226" s="137"/>
      <c r="H1226" s="137"/>
      <c r="I1226" s="137"/>
      <c r="J1226" s="197"/>
      <c r="K1226" s="198"/>
      <c r="L1226" s="196"/>
      <c r="M1226" s="196"/>
      <c r="N1226" s="196"/>
      <c r="O1226" s="196"/>
      <c r="P1226" s="127"/>
    </row>
    <row r="1227" spans="1:16" ht="20.25" customHeight="1" x14ac:dyDescent="0.3">
      <c r="A1227" s="137"/>
      <c r="B1227" s="137"/>
      <c r="C1227" s="137"/>
      <c r="D1227" s="194"/>
      <c r="E1227" s="194"/>
      <c r="F1227" s="137"/>
      <c r="G1227" s="137"/>
      <c r="H1227" s="137"/>
      <c r="I1227" s="137"/>
      <c r="J1227" s="197"/>
      <c r="K1227" s="198"/>
      <c r="L1227" s="196"/>
      <c r="M1227" s="196"/>
      <c r="N1227" s="196"/>
      <c r="O1227" s="196"/>
      <c r="P1227" s="127"/>
    </row>
    <row r="1228" spans="1:16" ht="20.25" customHeight="1" x14ac:dyDescent="0.3">
      <c r="A1228" s="137"/>
      <c r="B1228" s="137"/>
      <c r="C1228" s="137"/>
      <c r="D1228" s="194"/>
      <c r="E1228" s="194"/>
      <c r="F1228" s="137"/>
      <c r="G1228" s="137"/>
      <c r="H1228" s="137"/>
      <c r="I1228" s="137"/>
      <c r="J1228" s="197"/>
      <c r="K1228" s="198"/>
      <c r="L1228" s="196"/>
      <c r="M1228" s="196"/>
      <c r="N1228" s="196"/>
      <c r="O1228" s="196"/>
      <c r="P1228" s="127"/>
    </row>
    <row r="1229" spans="1:16" ht="20.25" customHeight="1" x14ac:dyDescent="0.3">
      <c r="A1229" s="137"/>
      <c r="B1229" s="137"/>
      <c r="C1229" s="137"/>
      <c r="D1229" s="194"/>
      <c r="E1229" s="194"/>
      <c r="F1229" s="137"/>
      <c r="G1229" s="137"/>
      <c r="H1229" s="137"/>
      <c r="I1229" s="137"/>
      <c r="J1229" s="197"/>
      <c r="K1229" s="198"/>
      <c r="L1229" s="196"/>
      <c r="M1229" s="196"/>
      <c r="N1229" s="196"/>
      <c r="O1229" s="196"/>
      <c r="P1229" s="127"/>
    </row>
    <row r="1230" spans="1:16" ht="20.25" customHeight="1" x14ac:dyDescent="0.3">
      <c r="A1230" s="137"/>
      <c r="B1230" s="137"/>
      <c r="C1230" s="137"/>
      <c r="D1230" s="194"/>
      <c r="E1230" s="194"/>
      <c r="F1230" s="137"/>
      <c r="G1230" s="137"/>
      <c r="H1230" s="137"/>
      <c r="I1230" s="137"/>
      <c r="J1230" s="197"/>
      <c r="K1230" s="198"/>
      <c r="L1230" s="196"/>
      <c r="M1230" s="196"/>
      <c r="N1230" s="196"/>
      <c r="O1230" s="196"/>
      <c r="P1230" s="127"/>
    </row>
    <row r="1231" spans="1:16" ht="20.25" customHeight="1" x14ac:dyDescent="0.3">
      <c r="A1231" s="137"/>
      <c r="B1231" s="137"/>
      <c r="C1231" s="137"/>
      <c r="D1231" s="194"/>
      <c r="E1231" s="194"/>
      <c r="F1231" s="137"/>
      <c r="G1231" s="137"/>
      <c r="H1231" s="137"/>
      <c r="I1231" s="137"/>
      <c r="J1231" s="197"/>
      <c r="K1231" s="198"/>
      <c r="L1231" s="196"/>
      <c r="M1231" s="196"/>
      <c r="N1231" s="196"/>
      <c r="O1231" s="196"/>
      <c r="P1231" s="127"/>
    </row>
    <row r="1232" spans="1:16" ht="20.25" customHeight="1" x14ac:dyDescent="0.3">
      <c r="A1232" s="137"/>
      <c r="B1232" s="137"/>
      <c r="C1232" s="137"/>
      <c r="D1232" s="194"/>
      <c r="E1232" s="194"/>
      <c r="F1232" s="137"/>
      <c r="G1232" s="137"/>
      <c r="H1232" s="137"/>
      <c r="I1232" s="137"/>
      <c r="J1232" s="197"/>
      <c r="K1232" s="198"/>
      <c r="L1232" s="196"/>
      <c r="M1232" s="196"/>
      <c r="N1232" s="196"/>
      <c r="O1232" s="196"/>
      <c r="P1232" s="127"/>
    </row>
    <row r="1233" spans="1:16" ht="20.25" customHeight="1" x14ac:dyDescent="0.3">
      <c r="A1233" s="137"/>
      <c r="B1233" s="137"/>
      <c r="C1233" s="137"/>
      <c r="D1233" s="194"/>
      <c r="E1233" s="194"/>
      <c r="F1233" s="137"/>
      <c r="G1233" s="137"/>
      <c r="H1233" s="137"/>
      <c r="I1233" s="137"/>
      <c r="J1233" s="197"/>
      <c r="K1233" s="198"/>
      <c r="L1233" s="196"/>
      <c r="M1233" s="196"/>
      <c r="N1233" s="196"/>
      <c r="O1233" s="196"/>
      <c r="P1233" s="127"/>
    </row>
    <row r="1234" spans="1:16" ht="20.25" customHeight="1" x14ac:dyDescent="0.3">
      <c r="A1234" s="137"/>
      <c r="B1234" s="137"/>
      <c r="C1234" s="137"/>
      <c r="D1234" s="194"/>
      <c r="E1234" s="194"/>
      <c r="F1234" s="137"/>
      <c r="G1234" s="137"/>
      <c r="H1234" s="137"/>
      <c r="I1234" s="137"/>
      <c r="J1234" s="197"/>
      <c r="K1234" s="198"/>
      <c r="L1234" s="196"/>
      <c r="M1234" s="196"/>
      <c r="N1234" s="196"/>
      <c r="O1234" s="196"/>
      <c r="P1234" s="127"/>
    </row>
    <row r="1235" spans="1:16" ht="20.25" customHeight="1" x14ac:dyDescent="0.3">
      <c r="A1235" s="137"/>
      <c r="B1235" s="137"/>
      <c r="C1235" s="137"/>
      <c r="D1235" s="194"/>
      <c r="E1235" s="194"/>
      <c r="F1235" s="137"/>
      <c r="G1235" s="137"/>
      <c r="H1235" s="137"/>
      <c r="I1235" s="137"/>
      <c r="J1235" s="197"/>
      <c r="K1235" s="198"/>
      <c r="L1235" s="196"/>
      <c r="M1235" s="196"/>
      <c r="N1235" s="196"/>
      <c r="O1235" s="196"/>
      <c r="P1235" s="127"/>
    </row>
    <row r="1236" spans="1:16" ht="20.25" customHeight="1" x14ac:dyDescent="0.3">
      <c r="A1236" s="137"/>
      <c r="B1236" s="137"/>
      <c r="C1236" s="137"/>
      <c r="D1236" s="194"/>
      <c r="E1236" s="194"/>
      <c r="F1236" s="137"/>
      <c r="G1236" s="137"/>
      <c r="H1236" s="137"/>
      <c r="I1236" s="137"/>
      <c r="J1236" s="197"/>
      <c r="K1236" s="198"/>
      <c r="L1236" s="196"/>
      <c r="M1236" s="196"/>
      <c r="N1236" s="196"/>
      <c r="O1236" s="196"/>
      <c r="P1236" s="127"/>
    </row>
    <row r="1237" spans="1:16" ht="20.25" customHeight="1" x14ac:dyDescent="0.3">
      <c r="A1237" s="137"/>
      <c r="B1237" s="137"/>
      <c r="C1237" s="137"/>
      <c r="D1237" s="194"/>
      <c r="E1237" s="194"/>
      <c r="F1237" s="137"/>
      <c r="G1237" s="137"/>
      <c r="H1237" s="137"/>
      <c r="I1237" s="137"/>
      <c r="J1237" s="197"/>
      <c r="K1237" s="198"/>
      <c r="L1237" s="196"/>
      <c r="M1237" s="196"/>
      <c r="N1237" s="196"/>
      <c r="O1237" s="196"/>
      <c r="P1237" s="127"/>
    </row>
    <row r="1238" spans="1:16" ht="20.25" customHeight="1" x14ac:dyDescent="0.3">
      <c r="A1238" s="137"/>
      <c r="B1238" s="137"/>
      <c r="C1238" s="137"/>
      <c r="D1238" s="194"/>
      <c r="E1238" s="194"/>
      <c r="F1238" s="137"/>
      <c r="G1238" s="137"/>
      <c r="H1238" s="137"/>
      <c r="I1238" s="137"/>
      <c r="J1238" s="197"/>
      <c r="K1238" s="198"/>
      <c r="L1238" s="196"/>
      <c r="M1238" s="196"/>
      <c r="N1238" s="196"/>
      <c r="O1238" s="196"/>
      <c r="P1238" s="127"/>
    </row>
    <row r="1239" spans="1:16" ht="20.25" customHeight="1" x14ac:dyDescent="0.3">
      <c r="A1239" s="137"/>
      <c r="B1239" s="137"/>
      <c r="C1239" s="137"/>
      <c r="D1239" s="194"/>
      <c r="E1239" s="194"/>
      <c r="F1239" s="137"/>
      <c r="G1239" s="137"/>
      <c r="H1239" s="137"/>
      <c r="I1239" s="137"/>
      <c r="J1239" s="197"/>
      <c r="K1239" s="198"/>
      <c r="L1239" s="196"/>
      <c r="M1239" s="196"/>
      <c r="N1239" s="196"/>
      <c r="O1239" s="196"/>
      <c r="P1239" s="127"/>
    </row>
    <row r="1240" spans="1:16" ht="20.25" customHeight="1" x14ac:dyDescent="0.3">
      <c r="A1240" s="137"/>
      <c r="B1240" s="137"/>
      <c r="C1240" s="137"/>
      <c r="D1240" s="194"/>
      <c r="E1240" s="194"/>
      <c r="F1240" s="137"/>
      <c r="G1240" s="137"/>
      <c r="H1240" s="137"/>
      <c r="I1240" s="137"/>
      <c r="J1240" s="197"/>
      <c r="K1240" s="198"/>
      <c r="L1240" s="196"/>
      <c r="M1240" s="196"/>
      <c r="N1240" s="196"/>
      <c r="O1240" s="196"/>
      <c r="P1240" s="127"/>
    </row>
    <row r="1241" spans="1:16" ht="20.25" customHeight="1" x14ac:dyDescent="0.3">
      <c r="A1241" s="137"/>
      <c r="B1241" s="137"/>
      <c r="C1241" s="137"/>
      <c r="D1241" s="194"/>
      <c r="E1241" s="194"/>
      <c r="F1241" s="137"/>
      <c r="G1241" s="137"/>
      <c r="H1241" s="137"/>
      <c r="I1241" s="137"/>
      <c r="J1241" s="197"/>
      <c r="K1241" s="198"/>
      <c r="L1241" s="196"/>
      <c r="M1241" s="196"/>
      <c r="N1241" s="196"/>
      <c r="O1241" s="196"/>
      <c r="P1241" s="127"/>
    </row>
    <row r="1242" spans="1:16" ht="20.25" customHeight="1" x14ac:dyDescent="0.3">
      <c r="A1242" s="137"/>
      <c r="B1242" s="137"/>
      <c r="C1242" s="137"/>
      <c r="D1242" s="194"/>
      <c r="E1242" s="194"/>
      <c r="F1242" s="137"/>
      <c r="G1242" s="137"/>
      <c r="H1242" s="137"/>
      <c r="I1242" s="137"/>
      <c r="J1242" s="197"/>
      <c r="K1242" s="198"/>
      <c r="L1242" s="196"/>
      <c r="M1242" s="196"/>
      <c r="N1242" s="196"/>
      <c r="O1242" s="196"/>
      <c r="P1242" s="127"/>
    </row>
    <row r="1243" spans="1:16" ht="20.25" customHeight="1" x14ac:dyDescent="0.3">
      <c r="A1243" s="137"/>
      <c r="B1243" s="137"/>
      <c r="C1243" s="137"/>
      <c r="D1243" s="194"/>
      <c r="E1243" s="194"/>
      <c r="F1243" s="137"/>
      <c r="G1243" s="137"/>
      <c r="H1243" s="137"/>
      <c r="I1243" s="137"/>
      <c r="J1243" s="197"/>
      <c r="K1243" s="198"/>
      <c r="L1243" s="196"/>
      <c r="M1243" s="196"/>
      <c r="N1243" s="196"/>
      <c r="O1243" s="196"/>
      <c r="P1243" s="127"/>
    </row>
    <row r="1244" spans="1:16" ht="20.25" customHeight="1" x14ac:dyDescent="0.3">
      <c r="A1244" s="137"/>
      <c r="B1244" s="137"/>
      <c r="C1244" s="137"/>
      <c r="D1244" s="194"/>
      <c r="E1244" s="194"/>
      <c r="F1244" s="137"/>
      <c r="G1244" s="137"/>
      <c r="H1244" s="137"/>
      <c r="I1244" s="137"/>
      <c r="J1244" s="197"/>
      <c r="K1244" s="198"/>
      <c r="L1244" s="196"/>
      <c r="M1244" s="196"/>
      <c r="N1244" s="196"/>
      <c r="O1244" s="196"/>
      <c r="P1244" s="127"/>
    </row>
    <row r="1245" spans="1:16" ht="20.25" customHeight="1" x14ac:dyDescent="0.3">
      <c r="A1245" s="137"/>
      <c r="B1245" s="137"/>
      <c r="C1245" s="137"/>
      <c r="D1245" s="194"/>
      <c r="E1245" s="194"/>
      <c r="F1245" s="137"/>
      <c r="G1245" s="137"/>
      <c r="H1245" s="137"/>
      <c r="I1245" s="137"/>
      <c r="J1245" s="197"/>
      <c r="K1245" s="198"/>
      <c r="L1245" s="196"/>
      <c r="M1245" s="196"/>
      <c r="N1245" s="196"/>
      <c r="O1245" s="196"/>
      <c r="P1245" s="127"/>
    </row>
    <row r="1246" spans="1:16" ht="20.25" customHeight="1" x14ac:dyDescent="0.3">
      <c r="A1246" s="137"/>
      <c r="B1246" s="137"/>
      <c r="C1246" s="137"/>
      <c r="D1246" s="194"/>
      <c r="E1246" s="194"/>
      <c r="F1246" s="137"/>
      <c r="G1246" s="137"/>
      <c r="H1246" s="137"/>
      <c r="I1246" s="137"/>
      <c r="J1246" s="197"/>
      <c r="K1246" s="198"/>
      <c r="L1246" s="196"/>
      <c r="M1246" s="196"/>
      <c r="N1246" s="196"/>
      <c r="O1246" s="196"/>
      <c r="P1246" s="127"/>
    </row>
    <row r="1247" spans="1:16" ht="20.25" customHeight="1" x14ac:dyDescent="0.3">
      <c r="A1247" s="137"/>
      <c r="B1247" s="137"/>
      <c r="C1247" s="137"/>
      <c r="D1247" s="194"/>
      <c r="E1247" s="194"/>
      <c r="F1247" s="137"/>
      <c r="G1247" s="137"/>
      <c r="H1247" s="137"/>
      <c r="I1247" s="137"/>
      <c r="J1247" s="197"/>
      <c r="K1247" s="198"/>
      <c r="L1247" s="196"/>
      <c r="M1247" s="196"/>
      <c r="N1247" s="196"/>
      <c r="O1247" s="196"/>
      <c r="P1247" s="127"/>
    </row>
    <row r="1248" spans="1:16" ht="20.25" customHeight="1" x14ac:dyDescent="0.3">
      <c r="A1248" s="137"/>
      <c r="B1248" s="137"/>
      <c r="C1248" s="137"/>
      <c r="D1248" s="194"/>
      <c r="E1248" s="194"/>
      <c r="F1248" s="137"/>
      <c r="G1248" s="137"/>
      <c r="H1248" s="137"/>
      <c r="I1248" s="137"/>
      <c r="J1248" s="197"/>
      <c r="K1248" s="198"/>
      <c r="L1248" s="196"/>
      <c r="M1248" s="196"/>
      <c r="N1248" s="196"/>
      <c r="O1248" s="196"/>
      <c r="P1248" s="127"/>
    </row>
    <row r="1249" spans="1:16" ht="20.25" customHeight="1" x14ac:dyDescent="0.3">
      <c r="A1249" s="137"/>
      <c r="B1249" s="137"/>
      <c r="C1249" s="137"/>
      <c r="D1249" s="194"/>
      <c r="E1249" s="194"/>
      <c r="F1249" s="137"/>
      <c r="G1249" s="137"/>
      <c r="H1249" s="137"/>
      <c r="I1249" s="137"/>
      <c r="J1249" s="197"/>
      <c r="K1249" s="198"/>
      <c r="L1249" s="196"/>
      <c r="M1249" s="196"/>
      <c r="N1249" s="196"/>
      <c r="O1249" s="196"/>
      <c r="P1249" s="127"/>
    </row>
    <row r="1250" spans="1:16" ht="20.25" customHeight="1" x14ac:dyDescent="0.3">
      <c r="A1250" s="137"/>
      <c r="B1250" s="137"/>
      <c r="C1250" s="137"/>
      <c r="D1250" s="194"/>
      <c r="E1250" s="194"/>
      <c r="F1250" s="137"/>
      <c r="G1250" s="137"/>
      <c r="H1250" s="137"/>
      <c r="I1250" s="137"/>
      <c r="J1250" s="197"/>
      <c r="K1250" s="198"/>
      <c r="L1250" s="196"/>
      <c r="M1250" s="196"/>
      <c r="N1250" s="196"/>
      <c r="O1250" s="196"/>
      <c r="P1250" s="127"/>
    </row>
    <row r="1251" spans="1:16" ht="20.25" customHeight="1" x14ac:dyDescent="0.3">
      <c r="A1251" s="137"/>
      <c r="B1251" s="137"/>
      <c r="C1251" s="137"/>
      <c r="D1251" s="194"/>
      <c r="E1251" s="194"/>
      <c r="F1251" s="137"/>
      <c r="G1251" s="137"/>
      <c r="H1251" s="137"/>
      <c r="I1251" s="137"/>
      <c r="J1251" s="197"/>
      <c r="K1251" s="198"/>
      <c r="L1251" s="196"/>
      <c r="M1251" s="196"/>
      <c r="N1251" s="196"/>
      <c r="O1251" s="196"/>
      <c r="P1251" s="127"/>
    </row>
    <row r="1252" spans="1:16" ht="20.25" customHeight="1" x14ac:dyDescent="0.3">
      <c r="A1252" s="137"/>
      <c r="B1252" s="137"/>
      <c r="C1252" s="137"/>
      <c r="D1252" s="194"/>
      <c r="E1252" s="194"/>
      <c r="F1252" s="137"/>
      <c r="G1252" s="137"/>
      <c r="H1252" s="137"/>
      <c r="I1252" s="137"/>
      <c r="J1252" s="197"/>
      <c r="K1252" s="198"/>
      <c r="L1252" s="196"/>
      <c r="M1252" s="196"/>
      <c r="N1252" s="196"/>
      <c r="O1252" s="196"/>
      <c r="P1252" s="127"/>
    </row>
    <row r="1253" spans="1:16" ht="20.25" customHeight="1" x14ac:dyDescent="0.3">
      <c r="A1253" s="137"/>
      <c r="B1253" s="137"/>
      <c r="C1253" s="137"/>
      <c r="D1253" s="194"/>
      <c r="E1253" s="194"/>
      <c r="F1253" s="137"/>
      <c r="G1253" s="137"/>
      <c r="H1253" s="137"/>
      <c r="I1253" s="137"/>
      <c r="J1253" s="197"/>
      <c r="K1253" s="198"/>
      <c r="L1253" s="196"/>
      <c r="M1253" s="196"/>
      <c r="N1253" s="196"/>
      <c r="O1253" s="196"/>
      <c r="P1253" s="127"/>
    </row>
    <row r="1254" spans="1:16" ht="20.25" customHeight="1" x14ac:dyDescent="0.3">
      <c r="A1254" s="137"/>
      <c r="B1254" s="137"/>
      <c r="C1254" s="137"/>
      <c r="D1254" s="194"/>
      <c r="E1254" s="194"/>
      <c r="F1254" s="137"/>
      <c r="G1254" s="137"/>
      <c r="H1254" s="137"/>
      <c r="I1254" s="137"/>
      <c r="J1254" s="197"/>
      <c r="K1254" s="198"/>
      <c r="L1254" s="196"/>
      <c r="M1254" s="196"/>
      <c r="N1254" s="196"/>
      <c r="O1254" s="196"/>
      <c r="P1254" s="127"/>
    </row>
    <row r="1255" spans="1:16" ht="20.25" customHeight="1" x14ac:dyDescent="0.3">
      <c r="A1255" s="137"/>
      <c r="B1255" s="137"/>
      <c r="C1255" s="137"/>
      <c r="D1255" s="194"/>
      <c r="E1255" s="194"/>
      <c r="F1255" s="137"/>
      <c r="G1255" s="137"/>
      <c r="H1255" s="137"/>
      <c r="I1255" s="137"/>
      <c r="J1255" s="197"/>
      <c r="K1255" s="198"/>
      <c r="L1255" s="196"/>
      <c r="M1255" s="196"/>
      <c r="N1255" s="196"/>
      <c r="O1255" s="196"/>
      <c r="P1255" s="127"/>
    </row>
    <row r="1256" spans="1:16" ht="20.25" customHeight="1" x14ac:dyDescent="0.3">
      <c r="A1256" s="137"/>
      <c r="B1256" s="137"/>
      <c r="C1256" s="137"/>
      <c r="D1256" s="194"/>
      <c r="E1256" s="194"/>
      <c r="F1256" s="137"/>
      <c r="G1256" s="137"/>
      <c r="H1256" s="137"/>
      <c r="I1256" s="137"/>
      <c r="J1256" s="197"/>
      <c r="K1256" s="198"/>
      <c r="L1256" s="196"/>
      <c r="M1256" s="196"/>
      <c r="N1256" s="196"/>
      <c r="O1256" s="196"/>
      <c r="P1256" s="127"/>
    </row>
    <row r="1257" spans="1:16" ht="20.25" customHeight="1" x14ac:dyDescent="0.3">
      <c r="A1257" s="137"/>
      <c r="B1257" s="137"/>
      <c r="C1257" s="137"/>
      <c r="D1257" s="194"/>
      <c r="E1257" s="194"/>
      <c r="F1257" s="137"/>
      <c r="G1257" s="137"/>
      <c r="H1257" s="137"/>
      <c r="I1257" s="137"/>
      <c r="J1257" s="197"/>
      <c r="K1257" s="198"/>
      <c r="L1257" s="196"/>
      <c r="M1257" s="196"/>
      <c r="N1257" s="196"/>
      <c r="O1257" s="196"/>
      <c r="P1257" s="127"/>
    </row>
    <row r="1258" spans="1:16" ht="20.25" customHeight="1" x14ac:dyDescent="0.3">
      <c r="A1258" s="137"/>
      <c r="B1258" s="137"/>
      <c r="C1258" s="137"/>
      <c r="D1258" s="194"/>
      <c r="E1258" s="194"/>
      <c r="F1258" s="137"/>
      <c r="G1258" s="137"/>
      <c r="H1258" s="137"/>
      <c r="I1258" s="137"/>
      <c r="J1258" s="197"/>
      <c r="K1258" s="198"/>
      <c r="L1258" s="196"/>
      <c r="M1258" s="196"/>
      <c r="N1258" s="196"/>
      <c r="O1258" s="196"/>
      <c r="P1258" s="127"/>
    </row>
    <row r="1259" spans="1:16" ht="20.25" customHeight="1" x14ac:dyDescent="0.3">
      <c r="A1259" s="137"/>
      <c r="B1259" s="137"/>
      <c r="C1259" s="137"/>
      <c r="D1259" s="194"/>
      <c r="E1259" s="194"/>
      <c r="F1259" s="137"/>
      <c r="G1259" s="137"/>
      <c r="H1259" s="137"/>
      <c r="I1259" s="137"/>
      <c r="J1259" s="197"/>
      <c r="K1259" s="198"/>
      <c r="L1259" s="196"/>
      <c r="M1259" s="196"/>
      <c r="N1259" s="196"/>
      <c r="O1259" s="196"/>
      <c r="P1259" s="127"/>
    </row>
    <row r="1260" spans="1:16" ht="20.25" customHeight="1" x14ac:dyDescent="0.3">
      <c r="A1260" s="137"/>
      <c r="B1260" s="137"/>
      <c r="C1260" s="137"/>
      <c r="D1260" s="194"/>
      <c r="E1260" s="194"/>
      <c r="F1260" s="137"/>
      <c r="G1260" s="137"/>
      <c r="H1260" s="137"/>
      <c r="I1260" s="137"/>
      <c r="J1260" s="197"/>
      <c r="K1260" s="198"/>
      <c r="L1260" s="196"/>
      <c r="M1260" s="196"/>
      <c r="N1260" s="196"/>
      <c r="O1260" s="196"/>
      <c r="P1260" s="127"/>
    </row>
    <row r="1261" spans="1:16" ht="20.25" customHeight="1" x14ac:dyDescent="0.3">
      <c r="A1261" s="137"/>
      <c r="B1261" s="137"/>
      <c r="C1261" s="137"/>
      <c r="D1261" s="194"/>
      <c r="E1261" s="194"/>
      <c r="F1261" s="137"/>
      <c r="G1261" s="137"/>
      <c r="H1261" s="137"/>
      <c r="I1261" s="137"/>
      <c r="J1261" s="197"/>
      <c r="K1261" s="198"/>
      <c r="L1261" s="196"/>
      <c r="M1261" s="196"/>
      <c r="N1261" s="196"/>
      <c r="O1261" s="196"/>
      <c r="P1261" s="127"/>
    </row>
    <row r="1262" spans="1:16" ht="20.25" customHeight="1" x14ac:dyDescent="0.3">
      <c r="A1262" s="137"/>
      <c r="B1262" s="137"/>
      <c r="C1262" s="137"/>
      <c r="D1262" s="194"/>
      <c r="E1262" s="194"/>
      <c r="F1262" s="137"/>
      <c r="G1262" s="137"/>
      <c r="H1262" s="137"/>
      <c r="I1262" s="137"/>
      <c r="J1262" s="197"/>
      <c r="K1262" s="198"/>
      <c r="L1262" s="196"/>
      <c r="M1262" s="196"/>
      <c r="N1262" s="196"/>
      <c r="O1262" s="196"/>
      <c r="P1262" s="127"/>
    </row>
    <row r="1263" spans="1:16" ht="20.25" customHeight="1" x14ac:dyDescent="0.3">
      <c r="A1263" s="137"/>
      <c r="B1263" s="137"/>
      <c r="C1263" s="137"/>
      <c r="D1263" s="194"/>
      <c r="E1263" s="194"/>
      <c r="F1263" s="137"/>
      <c r="G1263" s="137"/>
      <c r="H1263" s="137"/>
      <c r="I1263" s="137"/>
      <c r="J1263" s="197"/>
      <c r="K1263" s="198"/>
      <c r="L1263" s="196"/>
      <c r="M1263" s="196"/>
      <c r="N1263" s="196"/>
      <c r="O1263" s="196"/>
      <c r="P1263" s="127"/>
    </row>
    <row r="1264" spans="1:16" ht="20.25" customHeight="1" x14ac:dyDescent="0.3">
      <c r="A1264" s="137"/>
      <c r="B1264" s="137"/>
      <c r="C1264" s="137"/>
      <c r="D1264" s="194"/>
      <c r="E1264" s="194"/>
      <c r="F1264" s="137"/>
      <c r="G1264" s="137"/>
      <c r="H1264" s="137"/>
      <c r="I1264" s="137"/>
      <c r="J1264" s="197"/>
      <c r="K1264" s="198"/>
      <c r="L1264" s="196"/>
      <c r="M1264" s="196"/>
      <c r="N1264" s="196"/>
      <c r="O1264" s="196"/>
      <c r="P1264" s="127"/>
    </row>
    <row r="1265" spans="1:16" ht="20.25" customHeight="1" x14ac:dyDescent="0.3">
      <c r="A1265" s="137"/>
      <c r="B1265" s="137"/>
      <c r="C1265" s="137"/>
      <c r="D1265" s="194"/>
      <c r="E1265" s="194"/>
      <c r="F1265" s="137"/>
      <c r="G1265" s="137"/>
      <c r="H1265" s="137"/>
      <c r="I1265" s="137"/>
      <c r="J1265" s="197"/>
      <c r="K1265" s="198"/>
      <c r="L1265" s="196"/>
      <c r="M1265" s="196"/>
      <c r="N1265" s="196"/>
      <c r="O1265" s="196"/>
      <c r="P1265" s="127"/>
    </row>
    <row r="1266" spans="1:16" ht="20.25" customHeight="1" x14ac:dyDescent="0.3">
      <c r="A1266" s="137"/>
      <c r="B1266" s="137"/>
      <c r="C1266" s="137"/>
      <c r="D1266" s="194"/>
      <c r="E1266" s="194"/>
      <c r="F1266" s="137"/>
      <c r="G1266" s="137"/>
      <c r="H1266" s="137"/>
      <c r="I1266" s="137"/>
      <c r="J1266" s="197"/>
      <c r="K1266" s="198"/>
      <c r="L1266" s="196"/>
      <c r="M1266" s="196"/>
      <c r="N1266" s="196"/>
      <c r="O1266" s="196"/>
      <c r="P1266" s="127"/>
    </row>
    <row r="1267" spans="1:16" ht="20.25" customHeight="1" x14ac:dyDescent="0.3">
      <c r="A1267" s="137"/>
      <c r="B1267" s="137"/>
      <c r="C1267" s="137"/>
      <c r="D1267" s="194"/>
      <c r="E1267" s="194"/>
      <c r="F1267" s="137"/>
      <c r="G1267" s="137"/>
      <c r="H1267" s="137"/>
      <c r="I1267" s="137"/>
      <c r="J1267" s="197"/>
      <c r="K1267" s="198"/>
      <c r="L1267" s="196"/>
      <c r="M1267" s="196"/>
      <c r="N1267" s="196"/>
      <c r="O1267" s="196"/>
      <c r="P1267" s="127"/>
    </row>
    <row r="1268" spans="1:16" ht="20.25" customHeight="1" x14ac:dyDescent="0.3">
      <c r="A1268" s="137"/>
      <c r="B1268" s="137"/>
      <c r="C1268" s="137"/>
      <c r="D1268" s="194"/>
      <c r="E1268" s="194"/>
      <c r="F1268" s="137"/>
      <c r="G1268" s="137"/>
      <c r="H1268" s="137"/>
      <c r="I1268" s="137"/>
      <c r="J1268" s="197"/>
      <c r="K1268" s="198"/>
      <c r="L1268" s="196"/>
      <c r="M1268" s="196"/>
      <c r="N1268" s="196"/>
      <c r="O1268" s="196"/>
      <c r="P1268" s="127"/>
    </row>
    <row r="1269" spans="1:16" ht="20.25" customHeight="1" x14ac:dyDescent="0.3">
      <c r="A1269" s="137"/>
      <c r="B1269" s="137"/>
      <c r="C1269" s="137"/>
      <c r="D1269" s="194"/>
      <c r="E1269" s="194"/>
      <c r="F1269" s="137"/>
      <c r="G1269" s="137"/>
      <c r="H1269" s="137"/>
      <c r="I1269" s="137"/>
      <c r="J1269" s="197"/>
      <c r="K1269" s="198"/>
      <c r="L1269" s="196"/>
      <c r="M1269" s="196"/>
      <c r="N1269" s="196"/>
      <c r="O1269" s="196"/>
      <c r="P1269" s="127"/>
    </row>
    <row r="1270" spans="1:16" ht="20.25" customHeight="1" x14ac:dyDescent="0.3">
      <c r="A1270" s="137"/>
      <c r="B1270" s="137"/>
      <c r="C1270" s="137"/>
      <c r="D1270" s="194"/>
      <c r="E1270" s="194"/>
      <c r="F1270" s="137"/>
      <c r="G1270" s="137"/>
      <c r="H1270" s="137"/>
      <c r="I1270" s="137"/>
      <c r="J1270" s="197"/>
      <c r="K1270" s="198"/>
      <c r="L1270" s="196"/>
      <c r="M1270" s="196"/>
      <c r="N1270" s="196"/>
      <c r="O1270" s="196"/>
      <c r="P1270" s="127"/>
    </row>
    <row r="1271" spans="1:16" ht="20.25" customHeight="1" x14ac:dyDescent="0.3">
      <c r="A1271" s="137"/>
      <c r="B1271" s="137"/>
      <c r="C1271" s="137"/>
      <c r="D1271" s="194"/>
      <c r="E1271" s="194"/>
      <c r="F1271" s="137"/>
      <c r="G1271" s="137"/>
      <c r="H1271" s="137"/>
      <c r="I1271" s="137"/>
      <c r="J1271" s="197"/>
      <c r="K1271" s="198"/>
      <c r="L1271" s="196"/>
      <c r="M1271" s="196"/>
      <c r="N1271" s="196"/>
      <c r="O1271" s="196"/>
      <c r="P1271" s="127"/>
    </row>
    <row r="1272" spans="1:16" ht="20.25" customHeight="1" x14ac:dyDescent="0.3">
      <c r="A1272" s="137"/>
      <c r="B1272" s="137"/>
      <c r="C1272" s="137"/>
      <c r="D1272" s="194"/>
      <c r="E1272" s="194"/>
      <c r="F1272" s="137"/>
      <c r="G1272" s="137"/>
      <c r="H1272" s="137"/>
      <c r="I1272" s="137"/>
      <c r="J1272" s="197"/>
      <c r="K1272" s="198"/>
      <c r="L1272" s="196"/>
      <c r="M1272" s="196"/>
      <c r="N1272" s="196"/>
      <c r="O1272" s="196"/>
      <c r="P1272" s="127"/>
    </row>
    <row r="1273" spans="1:16" ht="20.25" customHeight="1" x14ac:dyDescent="0.3">
      <c r="A1273" s="137"/>
      <c r="B1273" s="137"/>
      <c r="C1273" s="137"/>
      <c r="D1273" s="194"/>
      <c r="E1273" s="194"/>
      <c r="F1273" s="137"/>
      <c r="G1273" s="137"/>
      <c r="H1273" s="137"/>
      <c r="I1273" s="137"/>
      <c r="J1273" s="197"/>
      <c r="K1273" s="198"/>
      <c r="L1273" s="196"/>
      <c r="M1273" s="196"/>
      <c r="N1273" s="196"/>
      <c r="O1273" s="196"/>
      <c r="P1273" s="127"/>
    </row>
    <row r="1274" spans="1:16" ht="20.25" customHeight="1" x14ac:dyDescent="0.3">
      <c r="A1274" s="137"/>
      <c r="B1274" s="137"/>
      <c r="C1274" s="137"/>
      <c r="D1274" s="194"/>
      <c r="E1274" s="194"/>
      <c r="F1274" s="137"/>
      <c r="G1274" s="137"/>
      <c r="H1274" s="137"/>
      <c r="I1274" s="137"/>
      <c r="J1274" s="197"/>
      <c r="K1274" s="198"/>
      <c r="L1274" s="196"/>
      <c r="M1274" s="196"/>
      <c r="N1274" s="196"/>
      <c r="O1274" s="196"/>
      <c r="P1274" s="127"/>
    </row>
    <row r="1275" spans="1:16" ht="20.25" customHeight="1" x14ac:dyDescent="0.3">
      <c r="A1275" s="137"/>
      <c r="B1275" s="137"/>
      <c r="C1275" s="137"/>
      <c r="D1275" s="194"/>
      <c r="E1275" s="194"/>
      <c r="F1275" s="137"/>
      <c r="G1275" s="137"/>
      <c r="H1275" s="137"/>
      <c r="I1275" s="137"/>
      <c r="J1275" s="197"/>
      <c r="K1275" s="198"/>
      <c r="L1275" s="196"/>
      <c r="M1275" s="196"/>
      <c r="N1275" s="196"/>
      <c r="O1275" s="196"/>
      <c r="P1275" s="127"/>
    </row>
    <row r="1276" spans="1:16" ht="20.25" customHeight="1" x14ac:dyDescent="0.3">
      <c r="A1276" s="137"/>
      <c r="B1276" s="137"/>
      <c r="C1276" s="137"/>
      <c r="D1276" s="194"/>
      <c r="E1276" s="194"/>
      <c r="F1276" s="137"/>
      <c r="G1276" s="137"/>
      <c r="H1276" s="137"/>
      <c r="I1276" s="137"/>
      <c r="J1276" s="197"/>
      <c r="K1276" s="198"/>
      <c r="L1276" s="196"/>
      <c r="M1276" s="196"/>
      <c r="N1276" s="196"/>
      <c r="O1276" s="196"/>
      <c r="P1276" s="127"/>
    </row>
    <row r="1277" spans="1:16" ht="20.25" customHeight="1" x14ac:dyDescent="0.3">
      <c r="A1277" s="137"/>
      <c r="B1277" s="137"/>
      <c r="C1277" s="137"/>
      <c r="D1277" s="194"/>
      <c r="E1277" s="194"/>
      <c r="F1277" s="137"/>
      <c r="G1277" s="137"/>
      <c r="H1277" s="137"/>
      <c r="I1277" s="137"/>
      <c r="J1277" s="197"/>
      <c r="K1277" s="198"/>
      <c r="L1277" s="196"/>
      <c r="M1277" s="196"/>
      <c r="N1277" s="196"/>
      <c r="O1277" s="196"/>
      <c r="P1277" s="127"/>
    </row>
    <row r="1278" spans="1:16" ht="20.25" customHeight="1" x14ac:dyDescent="0.3">
      <c r="A1278" s="137"/>
      <c r="B1278" s="137"/>
      <c r="C1278" s="137"/>
      <c r="D1278" s="194"/>
      <c r="E1278" s="194"/>
      <c r="F1278" s="137"/>
      <c r="G1278" s="137"/>
      <c r="H1278" s="137"/>
      <c r="I1278" s="137"/>
      <c r="J1278" s="197"/>
      <c r="K1278" s="198"/>
      <c r="L1278" s="196"/>
      <c r="M1278" s="196"/>
      <c r="N1278" s="196"/>
      <c r="O1278" s="196"/>
      <c r="P1278" s="127"/>
    </row>
    <row r="1279" spans="1:16" ht="20.25" customHeight="1" x14ac:dyDescent="0.3">
      <c r="A1279" s="137"/>
      <c r="B1279" s="137"/>
      <c r="C1279" s="137"/>
      <c r="D1279" s="194"/>
      <c r="E1279" s="194"/>
      <c r="F1279" s="137"/>
      <c r="G1279" s="137"/>
      <c r="H1279" s="137"/>
      <c r="I1279" s="137"/>
      <c r="J1279" s="197"/>
      <c r="K1279" s="198"/>
      <c r="L1279" s="196"/>
      <c r="M1279" s="196"/>
      <c r="N1279" s="196"/>
      <c r="O1279" s="196"/>
      <c r="P1279" s="127"/>
    </row>
    <row r="1280" spans="1:16" ht="20.25" customHeight="1" x14ac:dyDescent="0.3">
      <c r="A1280" s="137"/>
      <c r="B1280" s="137"/>
      <c r="C1280" s="137"/>
      <c r="D1280" s="194"/>
      <c r="E1280" s="194"/>
      <c r="F1280" s="137"/>
      <c r="G1280" s="137"/>
      <c r="H1280" s="137"/>
      <c r="I1280" s="137"/>
      <c r="J1280" s="197"/>
      <c r="K1280" s="198"/>
      <c r="L1280" s="196"/>
      <c r="M1280" s="196"/>
      <c r="N1280" s="196"/>
      <c r="O1280" s="196"/>
      <c r="P1280" s="127"/>
    </row>
    <row r="1281" spans="1:16" ht="20.25" customHeight="1" x14ac:dyDescent="0.3">
      <c r="A1281" s="137"/>
      <c r="B1281" s="137"/>
      <c r="C1281" s="137"/>
      <c r="D1281" s="194"/>
      <c r="E1281" s="194"/>
      <c r="F1281" s="137"/>
      <c r="G1281" s="137"/>
      <c r="H1281" s="137"/>
      <c r="I1281" s="137"/>
      <c r="J1281" s="197"/>
      <c r="K1281" s="198"/>
      <c r="L1281" s="196"/>
      <c r="M1281" s="196"/>
      <c r="N1281" s="196"/>
      <c r="O1281" s="196"/>
      <c r="P1281" s="127"/>
    </row>
    <row r="1282" spans="1:16" ht="20.25" customHeight="1" x14ac:dyDescent="0.3">
      <c r="A1282" s="137"/>
      <c r="B1282" s="137"/>
      <c r="C1282" s="137"/>
      <c r="D1282" s="194"/>
      <c r="E1282" s="194"/>
      <c r="F1282" s="137"/>
      <c r="G1282" s="137"/>
      <c r="H1282" s="137"/>
      <c r="I1282" s="137"/>
      <c r="J1282" s="197"/>
      <c r="K1282" s="198"/>
      <c r="L1282" s="196"/>
      <c r="M1282" s="196"/>
      <c r="N1282" s="196"/>
      <c r="O1282" s="196"/>
      <c r="P1282" s="127"/>
    </row>
    <row r="1283" spans="1:16" ht="20.25" customHeight="1" x14ac:dyDescent="0.3">
      <c r="A1283" s="137"/>
      <c r="B1283" s="137"/>
      <c r="C1283" s="137"/>
      <c r="D1283" s="194"/>
      <c r="E1283" s="194"/>
      <c r="F1283" s="137"/>
      <c r="G1283" s="137"/>
      <c r="H1283" s="137"/>
      <c r="I1283" s="137"/>
      <c r="J1283" s="197"/>
      <c r="K1283" s="198"/>
      <c r="L1283" s="196"/>
      <c r="M1283" s="196"/>
      <c r="N1283" s="196"/>
      <c r="O1283" s="196"/>
      <c r="P1283" s="127"/>
    </row>
    <row r="1284" spans="1:16" ht="20.25" customHeight="1" x14ac:dyDescent="0.3">
      <c r="A1284" s="137"/>
      <c r="B1284" s="137"/>
      <c r="C1284" s="137"/>
      <c r="D1284" s="194"/>
      <c r="E1284" s="194"/>
      <c r="F1284" s="137"/>
      <c r="G1284" s="137"/>
      <c r="H1284" s="137"/>
      <c r="I1284" s="137"/>
      <c r="J1284" s="197"/>
      <c r="K1284" s="198"/>
      <c r="L1284" s="196"/>
      <c r="M1284" s="196"/>
      <c r="N1284" s="196"/>
      <c r="O1284" s="196"/>
      <c r="P1284" s="127"/>
    </row>
    <row r="1285" spans="1:16" ht="20.25" customHeight="1" x14ac:dyDescent="0.3">
      <c r="A1285" s="137"/>
      <c r="B1285" s="137"/>
      <c r="C1285" s="137"/>
      <c r="D1285" s="194"/>
      <c r="E1285" s="194"/>
      <c r="F1285" s="137"/>
      <c r="G1285" s="137"/>
      <c r="H1285" s="137"/>
      <c r="I1285" s="137"/>
      <c r="J1285" s="197"/>
      <c r="K1285" s="198"/>
      <c r="L1285" s="196"/>
      <c r="M1285" s="196"/>
      <c r="N1285" s="196"/>
      <c r="O1285" s="196"/>
      <c r="P1285" s="127"/>
    </row>
    <row r="1286" spans="1:16" ht="20.25" customHeight="1" x14ac:dyDescent="0.3">
      <c r="A1286" s="137"/>
      <c r="B1286" s="137"/>
      <c r="C1286" s="137"/>
      <c r="D1286" s="194"/>
      <c r="E1286" s="194"/>
      <c r="F1286" s="137"/>
      <c r="G1286" s="137"/>
      <c r="H1286" s="137"/>
      <c r="I1286" s="137"/>
      <c r="J1286" s="197"/>
      <c r="K1286" s="198"/>
      <c r="L1286" s="196"/>
      <c r="M1286" s="196"/>
      <c r="N1286" s="196"/>
      <c r="O1286" s="196"/>
      <c r="P1286" s="127"/>
    </row>
    <row r="1287" spans="1:16" ht="20.25" customHeight="1" x14ac:dyDescent="0.3">
      <c r="A1287" s="137"/>
      <c r="B1287" s="137"/>
      <c r="C1287" s="137"/>
      <c r="D1287" s="194"/>
      <c r="E1287" s="194"/>
      <c r="F1287" s="137"/>
      <c r="G1287" s="137"/>
      <c r="H1287" s="137"/>
      <c r="I1287" s="137"/>
      <c r="J1287" s="197"/>
      <c r="K1287" s="198"/>
      <c r="L1287" s="196"/>
      <c r="M1287" s="196"/>
      <c r="N1287" s="196"/>
      <c r="O1287" s="196"/>
      <c r="P1287" s="127"/>
    </row>
    <row r="1288" spans="1:16" ht="20.25" customHeight="1" x14ac:dyDescent="0.3">
      <c r="A1288" s="137"/>
      <c r="B1288" s="137"/>
      <c r="C1288" s="137"/>
      <c r="D1288" s="194"/>
      <c r="E1288" s="194"/>
      <c r="F1288" s="137"/>
      <c r="G1288" s="137"/>
      <c r="H1288" s="137"/>
      <c r="I1288" s="137"/>
      <c r="J1288" s="197"/>
      <c r="K1288" s="198"/>
      <c r="L1288" s="196"/>
      <c r="M1288" s="196"/>
      <c r="N1288" s="196"/>
      <c r="O1288" s="196"/>
      <c r="P1288" s="127"/>
    </row>
    <row r="1289" spans="1:16" ht="20.25" customHeight="1" x14ac:dyDescent="0.3">
      <c r="A1289" s="137"/>
      <c r="B1289" s="137"/>
      <c r="C1289" s="137"/>
      <c r="D1289" s="194"/>
      <c r="E1289" s="194"/>
      <c r="F1289" s="137"/>
      <c r="G1289" s="137"/>
      <c r="H1289" s="137"/>
      <c r="I1289" s="137"/>
      <c r="J1289" s="197"/>
      <c r="K1289" s="198"/>
      <c r="L1289" s="196"/>
      <c r="M1289" s="196"/>
      <c r="N1289" s="196"/>
      <c r="O1289" s="196"/>
      <c r="P1289" s="127"/>
    </row>
    <row r="1290" spans="1:16" ht="20.25" customHeight="1" x14ac:dyDescent="0.3">
      <c r="A1290" s="137"/>
      <c r="B1290" s="137"/>
      <c r="C1290" s="137"/>
      <c r="D1290" s="194"/>
      <c r="E1290" s="194"/>
      <c r="F1290" s="137"/>
      <c r="G1290" s="137"/>
      <c r="H1290" s="137"/>
      <c r="I1290" s="137"/>
      <c r="J1290" s="197"/>
      <c r="K1290" s="198"/>
      <c r="L1290" s="196"/>
      <c r="M1290" s="196"/>
      <c r="N1290" s="196"/>
      <c r="O1290" s="196"/>
      <c r="P1290" s="127"/>
    </row>
    <row r="1291" spans="1:16" ht="20.25" customHeight="1" x14ac:dyDescent="0.3">
      <c r="A1291" s="137"/>
      <c r="B1291" s="137"/>
      <c r="C1291" s="137"/>
      <c r="D1291" s="194"/>
      <c r="E1291" s="194"/>
      <c r="F1291" s="137"/>
      <c r="G1291" s="137"/>
      <c r="H1291" s="137"/>
      <c r="I1291" s="137"/>
      <c r="J1291" s="197"/>
      <c r="K1291" s="198"/>
      <c r="L1291" s="196"/>
      <c r="M1291" s="196"/>
      <c r="N1291" s="196"/>
      <c r="O1291" s="196"/>
      <c r="P1291" s="127"/>
    </row>
    <row r="1292" spans="1:16" ht="20.25" customHeight="1" x14ac:dyDescent="0.3">
      <c r="A1292" s="137"/>
      <c r="B1292" s="137"/>
      <c r="C1292" s="137"/>
      <c r="D1292" s="194"/>
      <c r="E1292" s="194"/>
      <c r="F1292" s="137"/>
      <c r="G1292" s="137"/>
      <c r="H1292" s="137"/>
      <c r="I1292" s="137"/>
      <c r="J1292" s="197"/>
      <c r="K1292" s="198"/>
      <c r="L1292" s="196"/>
      <c r="M1292" s="196"/>
      <c r="N1292" s="196"/>
      <c r="O1292" s="196"/>
      <c r="P1292" s="127"/>
    </row>
    <row r="1293" spans="1:16" ht="20.25" customHeight="1" x14ac:dyDescent="0.3">
      <c r="A1293" s="137"/>
      <c r="B1293" s="137"/>
      <c r="C1293" s="137"/>
      <c r="D1293" s="194"/>
      <c r="E1293" s="194"/>
      <c r="F1293" s="137"/>
      <c r="G1293" s="137"/>
      <c r="H1293" s="137"/>
      <c r="I1293" s="137"/>
      <c r="J1293" s="197"/>
      <c r="K1293" s="198"/>
      <c r="L1293" s="196"/>
      <c r="M1293" s="196"/>
      <c r="N1293" s="196"/>
      <c r="O1293" s="196"/>
      <c r="P1293" s="127"/>
    </row>
    <row r="1294" spans="1:16" ht="20.25" customHeight="1" x14ac:dyDescent="0.3">
      <c r="A1294" s="137"/>
      <c r="B1294" s="137"/>
      <c r="C1294" s="137"/>
      <c r="D1294" s="194"/>
      <c r="E1294" s="194"/>
      <c r="F1294" s="137"/>
      <c r="G1294" s="137"/>
      <c r="H1294" s="137"/>
      <c r="I1294" s="137"/>
      <c r="J1294" s="197"/>
      <c r="K1294" s="198"/>
      <c r="L1294" s="196"/>
      <c r="M1294" s="196"/>
      <c r="N1294" s="196"/>
      <c r="O1294" s="196"/>
      <c r="P1294" s="127"/>
    </row>
    <row r="1295" spans="1:16" ht="20.25" customHeight="1" x14ac:dyDescent="0.3">
      <c r="A1295" s="137"/>
      <c r="B1295" s="137"/>
      <c r="C1295" s="137"/>
      <c r="D1295" s="194"/>
      <c r="E1295" s="194"/>
      <c r="F1295" s="137"/>
      <c r="G1295" s="137"/>
      <c r="H1295" s="137"/>
      <c r="I1295" s="137"/>
      <c r="J1295" s="197"/>
      <c r="K1295" s="198"/>
      <c r="L1295" s="196"/>
      <c r="M1295" s="196"/>
      <c r="N1295" s="196"/>
      <c r="O1295" s="196"/>
      <c r="P1295" s="127"/>
    </row>
    <row r="1296" spans="1:16" ht="20.25" customHeight="1" x14ac:dyDescent="0.3">
      <c r="A1296" s="137"/>
      <c r="B1296" s="137"/>
      <c r="C1296" s="137"/>
      <c r="D1296" s="194"/>
      <c r="E1296" s="194"/>
      <c r="F1296" s="137"/>
      <c r="G1296" s="137"/>
      <c r="H1296" s="137"/>
      <c r="I1296" s="137"/>
      <c r="J1296" s="197"/>
      <c r="K1296" s="198"/>
      <c r="L1296" s="196"/>
      <c r="M1296" s="196"/>
      <c r="N1296" s="196"/>
      <c r="O1296" s="196"/>
      <c r="P1296" s="127"/>
    </row>
    <row r="1297" spans="1:16" ht="20.25" customHeight="1" x14ac:dyDescent="0.3">
      <c r="A1297" s="137"/>
      <c r="B1297" s="137"/>
      <c r="C1297" s="137"/>
      <c r="D1297" s="194"/>
      <c r="E1297" s="194"/>
      <c r="F1297" s="137"/>
      <c r="G1297" s="137"/>
      <c r="H1297" s="137"/>
      <c r="I1297" s="137"/>
      <c r="J1297" s="197"/>
      <c r="K1297" s="198"/>
      <c r="L1297" s="196"/>
      <c r="M1297" s="196"/>
      <c r="N1297" s="196"/>
      <c r="O1297" s="196"/>
      <c r="P1297" s="127"/>
    </row>
    <row r="1298" spans="1:16" ht="20.25" customHeight="1" x14ac:dyDescent="0.3">
      <c r="A1298" s="137"/>
      <c r="B1298" s="137"/>
      <c r="C1298" s="137"/>
      <c r="D1298" s="194"/>
      <c r="E1298" s="194"/>
      <c r="F1298" s="137"/>
      <c r="G1298" s="137"/>
      <c r="H1298" s="137"/>
      <c r="I1298" s="137"/>
      <c r="J1298" s="197"/>
      <c r="K1298" s="198"/>
      <c r="L1298" s="196"/>
      <c r="M1298" s="196"/>
      <c r="N1298" s="196"/>
      <c r="O1298" s="196"/>
      <c r="P1298" s="127"/>
    </row>
    <row r="1299" spans="1:16" ht="20.25" customHeight="1" x14ac:dyDescent="0.3">
      <c r="A1299" s="137"/>
      <c r="B1299" s="137"/>
      <c r="C1299" s="137"/>
      <c r="D1299" s="194"/>
      <c r="E1299" s="194"/>
      <c r="F1299" s="137"/>
      <c r="G1299" s="137"/>
      <c r="H1299" s="137"/>
      <c r="I1299" s="137"/>
      <c r="J1299" s="197"/>
      <c r="K1299" s="198"/>
      <c r="L1299" s="196"/>
      <c r="M1299" s="196"/>
      <c r="N1299" s="196"/>
      <c r="O1299" s="196"/>
      <c r="P1299" s="127"/>
    </row>
    <row r="1300" spans="1:16" ht="20.25" customHeight="1" x14ac:dyDescent="0.3">
      <c r="A1300" s="137"/>
      <c r="B1300" s="137"/>
      <c r="C1300" s="137"/>
      <c r="D1300" s="194"/>
      <c r="E1300" s="194"/>
      <c r="F1300" s="137"/>
      <c r="G1300" s="137"/>
      <c r="H1300" s="137"/>
      <c r="I1300" s="137"/>
      <c r="J1300" s="197"/>
      <c r="K1300" s="198"/>
      <c r="L1300" s="196"/>
      <c r="M1300" s="196"/>
      <c r="N1300" s="196"/>
      <c r="O1300" s="196"/>
      <c r="P1300" s="127"/>
    </row>
    <row r="1301" spans="1:16" ht="20.25" customHeight="1" x14ac:dyDescent="0.3">
      <c r="A1301" s="137"/>
      <c r="B1301" s="137"/>
      <c r="C1301" s="137"/>
      <c r="D1301" s="194"/>
      <c r="E1301" s="194"/>
      <c r="F1301" s="137"/>
      <c r="G1301" s="137"/>
      <c r="H1301" s="137"/>
      <c r="I1301" s="137"/>
      <c r="J1301" s="197"/>
      <c r="K1301" s="198"/>
      <c r="L1301" s="196"/>
      <c r="M1301" s="196"/>
      <c r="N1301" s="196"/>
      <c r="O1301" s="196"/>
      <c r="P1301" s="127"/>
    </row>
    <row r="1302" spans="1:16" ht="20.25" customHeight="1" x14ac:dyDescent="0.3">
      <c r="A1302" s="137"/>
      <c r="B1302" s="137"/>
      <c r="C1302" s="137"/>
      <c r="D1302" s="194"/>
      <c r="E1302" s="194"/>
      <c r="F1302" s="137"/>
      <c r="G1302" s="137"/>
      <c r="H1302" s="137"/>
      <c r="I1302" s="137"/>
      <c r="J1302" s="197"/>
      <c r="K1302" s="198"/>
      <c r="L1302" s="196"/>
      <c r="M1302" s="196"/>
      <c r="N1302" s="196"/>
      <c r="O1302" s="196"/>
      <c r="P1302" s="127"/>
    </row>
    <row r="1303" spans="1:16" ht="20.25" customHeight="1" x14ac:dyDescent="0.3">
      <c r="A1303" s="137"/>
      <c r="B1303" s="137"/>
      <c r="C1303" s="137"/>
      <c r="D1303" s="194"/>
      <c r="E1303" s="194"/>
      <c r="F1303" s="137"/>
      <c r="G1303" s="137"/>
      <c r="H1303" s="137"/>
      <c r="I1303" s="137"/>
      <c r="J1303" s="197"/>
      <c r="K1303" s="198"/>
      <c r="L1303" s="196"/>
      <c r="M1303" s="196"/>
      <c r="N1303" s="196"/>
      <c r="O1303" s="196"/>
      <c r="P1303" s="127"/>
    </row>
    <row r="1304" spans="1:16" ht="20.25" customHeight="1" x14ac:dyDescent="0.3">
      <c r="A1304" s="137"/>
      <c r="B1304" s="137"/>
      <c r="C1304" s="137"/>
      <c r="D1304" s="194"/>
      <c r="E1304" s="194"/>
      <c r="F1304" s="137"/>
      <c r="G1304" s="137"/>
      <c r="H1304" s="137"/>
      <c r="I1304" s="137"/>
      <c r="J1304" s="197"/>
      <c r="K1304" s="198"/>
      <c r="L1304" s="196"/>
      <c r="M1304" s="196"/>
      <c r="N1304" s="196"/>
      <c r="O1304" s="196"/>
      <c r="P1304" s="127"/>
    </row>
    <row r="1305" spans="1:16" ht="20.25" customHeight="1" x14ac:dyDescent="0.3">
      <c r="A1305" s="137"/>
      <c r="B1305" s="137"/>
      <c r="C1305" s="137"/>
      <c r="D1305" s="194"/>
      <c r="E1305" s="194"/>
      <c r="F1305" s="137"/>
      <c r="G1305" s="137"/>
      <c r="H1305" s="137"/>
      <c r="I1305" s="137"/>
      <c r="J1305" s="197"/>
      <c r="K1305" s="198"/>
      <c r="L1305" s="196"/>
      <c r="M1305" s="196"/>
      <c r="N1305" s="196"/>
      <c r="O1305" s="196"/>
      <c r="P1305" s="127"/>
    </row>
    <row r="1306" spans="1:16" ht="20.25" customHeight="1" x14ac:dyDescent="0.3">
      <c r="A1306" s="137"/>
      <c r="B1306" s="137"/>
      <c r="C1306" s="137"/>
      <c r="D1306" s="194"/>
      <c r="E1306" s="194"/>
      <c r="F1306" s="137"/>
      <c r="G1306" s="137"/>
      <c r="H1306" s="137"/>
      <c r="I1306" s="137"/>
      <c r="J1306" s="197"/>
      <c r="K1306" s="198"/>
      <c r="L1306" s="196"/>
      <c r="M1306" s="196"/>
      <c r="N1306" s="196"/>
      <c r="O1306" s="196"/>
      <c r="P1306" s="127"/>
    </row>
    <row r="1307" spans="1:16" ht="20.25" customHeight="1" x14ac:dyDescent="0.3">
      <c r="A1307" s="137"/>
      <c r="B1307" s="137"/>
      <c r="C1307" s="137"/>
      <c r="D1307" s="194"/>
      <c r="E1307" s="194"/>
      <c r="F1307" s="137"/>
      <c r="G1307" s="137"/>
      <c r="H1307" s="137"/>
      <c r="I1307" s="137"/>
      <c r="J1307" s="197"/>
      <c r="K1307" s="198"/>
      <c r="L1307" s="196"/>
      <c r="M1307" s="196"/>
      <c r="N1307" s="196"/>
      <c r="O1307" s="196"/>
      <c r="P1307" s="127"/>
    </row>
    <row r="1308" spans="1:16" ht="20.25" customHeight="1" x14ac:dyDescent="0.3">
      <c r="A1308" s="137"/>
      <c r="B1308" s="137"/>
      <c r="C1308" s="137"/>
      <c r="D1308" s="194"/>
      <c r="E1308" s="194"/>
      <c r="F1308" s="137"/>
      <c r="G1308" s="137"/>
      <c r="H1308" s="137"/>
      <c r="I1308" s="137"/>
      <c r="J1308" s="197"/>
      <c r="K1308" s="198"/>
      <c r="L1308" s="196"/>
      <c r="M1308" s="196"/>
      <c r="N1308" s="196"/>
      <c r="O1308" s="196"/>
      <c r="P1308" s="127"/>
    </row>
    <row r="1309" spans="1:16" ht="20.25" customHeight="1" x14ac:dyDescent="0.3">
      <c r="A1309" s="137"/>
      <c r="B1309" s="137"/>
      <c r="C1309" s="137"/>
      <c r="D1309" s="194"/>
      <c r="E1309" s="194"/>
      <c r="F1309" s="137"/>
      <c r="G1309" s="137"/>
      <c r="H1309" s="137"/>
      <c r="I1309" s="137"/>
      <c r="J1309" s="197"/>
      <c r="K1309" s="198"/>
      <c r="L1309" s="196"/>
      <c r="M1309" s="196"/>
      <c r="N1309" s="196"/>
      <c r="O1309" s="196"/>
      <c r="P1309" s="127"/>
    </row>
    <row r="1310" spans="1:16" ht="20.25" customHeight="1" x14ac:dyDescent="0.3">
      <c r="A1310" s="137"/>
      <c r="B1310" s="137"/>
      <c r="C1310" s="137"/>
      <c r="D1310" s="194"/>
      <c r="E1310" s="194"/>
      <c r="F1310" s="137"/>
      <c r="G1310" s="137"/>
      <c r="H1310" s="137"/>
      <c r="I1310" s="137"/>
      <c r="J1310" s="197"/>
      <c r="K1310" s="198"/>
      <c r="L1310" s="196"/>
      <c r="M1310" s="196"/>
      <c r="N1310" s="196"/>
      <c r="O1310" s="196"/>
      <c r="P1310" s="127"/>
    </row>
    <row r="1311" spans="1:16" ht="20.25" customHeight="1" x14ac:dyDescent="0.3">
      <c r="A1311" s="137"/>
      <c r="B1311" s="137"/>
      <c r="C1311" s="137"/>
      <c r="D1311" s="194"/>
      <c r="E1311" s="194"/>
      <c r="F1311" s="137"/>
      <c r="G1311" s="137"/>
      <c r="H1311" s="137"/>
      <c r="I1311" s="137"/>
      <c r="J1311" s="197"/>
      <c r="K1311" s="198"/>
      <c r="L1311" s="196"/>
      <c r="M1311" s="196"/>
      <c r="N1311" s="196"/>
      <c r="O1311" s="196"/>
      <c r="P1311" s="127"/>
    </row>
    <row r="1312" spans="1:16" ht="20.25" customHeight="1" x14ac:dyDescent="0.3">
      <c r="A1312" s="137"/>
      <c r="B1312" s="137"/>
      <c r="C1312" s="137"/>
      <c r="D1312" s="194"/>
      <c r="E1312" s="194"/>
      <c r="F1312" s="137"/>
      <c r="G1312" s="137"/>
      <c r="H1312" s="137"/>
      <c r="I1312" s="137"/>
      <c r="J1312" s="197"/>
      <c r="K1312" s="198"/>
      <c r="L1312" s="196"/>
      <c r="M1312" s="196"/>
      <c r="N1312" s="196"/>
      <c r="O1312" s="196"/>
      <c r="P1312" s="127"/>
    </row>
    <row r="1313" spans="1:16" ht="20.25" customHeight="1" x14ac:dyDescent="0.3">
      <c r="A1313" s="137"/>
      <c r="B1313" s="137"/>
      <c r="C1313" s="137"/>
      <c r="D1313" s="194"/>
      <c r="E1313" s="194"/>
      <c r="F1313" s="137"/>
      <c r="G1313" s="137"/>
      <c r="H1313" s="137"/>
      <c r="I1313" s="137"/>
      <c r="J1313" s="197"/>
      <c r="K1313" s="198"/>
      <c r="L1313" s="196"/>
      <c r="M1313" s="196"/>
      <c r="N1313" s="196"/>
      <c r="O1313" s="196"/>
      <c r="P1313" s="127"/>
    </row>
    <row r="1314" spans="1:16" ht="20.25" customHeight="1" x14ac:dyDescent="0.3">
      <c r="A1314" s="137"/>
      <c r="B1314" s="137"/>
      <c r="C1314" s="137"/>
      <c r="D1314" s="194"/>
      <c r="E1314" s="194"/>
      <c r="F1314" s="137"/>
      <c r="G1314" s="137"/>
      <c r="H1314" s="137"/>
      <c r="I1314" s="137"/>
      <c r="J1314" s="197"/>
      <c r="K1314" s="198"/>
      <c r="L1314" s="196"/>
      <c r="M1314" s="196"/>
      <c r="N1314" s="196"/>
      <c r="O1314" s="196"/>
      <c r="P1314" s="127"/>
    </row>
    <row r="1315" spans="1:16" ht="20.25" customHeight="1" x14ac:dyDescent="0.3">
      <c r="A1315" s="137"/>
      <c r="B1315" s="137"/>
      <c r="C1315" s="137"/>
      <c r="D1315" s="194"/>
      <c r="E1315" s="194"/>
      <c r="F1315" s="137"/>
      <c r="G1315" s="137"/>
      <c r="H1315" s="137"/>
      <c r="I1315" s="137"/>
      <c r="J1315" s="197"/>
      <c r="K1315" s="198"/>
      <c r="L1315" s="196"/>
      <c r="M1315" s="196"/>
      <c r="N1315" s="196"/>
      <c r="O1315" s="196"/>
      <c r="P1315" s="127"/>
    </row>
    <row r="1316" spans="1:16" ht="20.25" customHeight="1" x14ac:dyDescent="0.3">
      <c r="A1316" s="137"/>
      <c r="B1316" s="137"/>
      <c r="C1316" s="137"/>
      <c r="D1316" s="194"/>
      <c r="E1316" s="194"/>
      <c r="F1316" s="137"/>
      <c r="G1316" s="137"/>
      <c r="H1316" s="137"/>
      <c r="I1316" s="137"/>
      <c r="J1316" s="197"/>
      <c r="K1316" s="198"/>
      <c r="L1316" s="196"/>
      <c r="M1316" s="196"/>
      <c r="N1316" s="196"/>
      <c r="O1316" s="196"/>
      <c r="P1316" s="127"/>
    </row>
    <row r="1317" spans="1:16" ht="20.25" customHeight="1" x14ac:dyDescent="0.3">
      <c r="A1317" s="137"/>
      <c r="B1317" s="137"/>
      <c r="C1317" s="137"/>
      <c r="D1317" s="194"/>
      <c r="E1317" s="194"/>
      <c r="F1317" s="137"/>
      <c r="G1317" s="137"/>
      <c r="H1317" s="137"/>
      <c r="I1317" s="137"/>
      <c r="J1317" s="197"/>
      <c r="K1317" s="198"/>
      <c r="L1317" s="196"/>
      <c r="M1317" s="196"/>
      <c r="N1317" s="196"/>
      <c r="O1317" s="196"/>
      <c r="P1317" s="127"/>
    </row>
    <row r="1318" spans="1:16" ht="20.25" customHeight="1" x14ac:dyDescent="0.3">
      <c r="A1318" s="137"/>
      <c r="B1318" s="137"/>
      <c r="C1318" s="137"/>
      <c r="D1318" s="194"/>
      <c r="E1318" s="194"/>
      <c r="F1318" s="137"/>
      <c r="G1318" s="137"/>
      <c r="H1318" s="137"/>
      <c r="I1318" s="137"/>
      <c r="J1318" s="197"/>
      <c r="K1318" s="198"/>
      <c r="L1318" s="196"/>
      <c r="M1318" s="196"/>
      <c r="N1318" s="196"/>
      <c r="O1318" s="196"/>
      <c r="P1318" s="127"/>
    </row>
    <row r="1319" spans="1:16" ht="20.25" customHeight="1" x14ac:dyDescent="0.3">
      <c r="A1319" s="137"/>
      <c r="B1319" s="137"/>
      <c r="C1319" s="137"/>
      <c r="D1319" s="194"/>
      <c r="E1319" s="194"/>
      <c r="F1319" s="137"/>
      <c r="G1319" s="137"/>
      <c r="H1319" s="137"/>
      <c r="I1319" s="137"/>
      <c r="J1319" s="197"/>
      <c r="K1319" s="198"/>
      <c r="L1319" s="196"/>
      <c r="M1319" s="196"/>
      <c r="N1319" s="196"/>
      <c r="O1319" s="196"/>
      <c r="P1319" s="127"/>
    </row>
    <row r="1320" spans="1:16" ht="20.25" customHeight="1" x14ac:dyDescent="0.3">
      <c r="A1320" s="137"/>
      <c r="B1320" s="137"/>
      <c r="C1320" s="137"/>
      <c r="D1320" s="194"/>
      <c r="E1320" s="194"/>
      <c r="F1320" s="137"/>
      <c r="G1320" s="137"/>
      <c r="H1320" s="137"/>
      <c r="I1320" s="137"/>
      <c r="J1320" s="197"/>
      <c r="K1320" s="198"/>
      <c r="L1320" s="196"/>
      <c r="M1320" s="196"/>
      <c r="N1320" s="196"/>
      <c r="O1320" s="196"/>
      <c r="P1320" s="127"/>
    </row>
    <row r="1321" spans="1:16" ht="20.25" customHeight="1" x14ac:dyDescent="0.3">
      <c r="A1321" s="137"/>
      <c r="B1321" s="137"/>
      <c r="C1321" s="137"/>
      <c r="D1321" s="194"/>
      <c r="E1321" s="194"/>
      <c r="F1321" s="137"/>
      <c r="G1321" s="137"/>
      <c r="H1321" s="137"/>
      <c r="I1321" s="137"/>
      <c r="J1321" s="197"/>
      <c r="K1321" s="198"/>
      <c r="L1321" s="196"/>
      <c r="M1321" s="196"/>
      <c r="N1321" s="196"/>
      <c r="O1321" s="196"/>
      <c r="P1321" s="127"/>
    </row>
    <row r="1322" spans="1:16" ht="20.25" customHeight="1" x14ac:dyDescent="0.3">
      <c r="A1322" s="137"/>
      <c r="B1322" s="137"/>
      <c r="C1322" s="137"/>
      <c r="D1322" s="194"/>
      <c r="E1322" s="194"/>
      <c r="F1322" s="137"/>
      <c r="G1322" s="137"/>
      <c r="H1322" s="137"/>
      <c r="I1322" s="137"/>
      <c r="J1322" s="197"/>
      <c r="K1322" s="198"/>
      <c r="L1322" s="196"/>
      <c r="M1322" s="196"/>
      <c r="N1322" s="196"/>
      <c r="O1322" s="196"/>
      <c r="P1322" s="127"/>
    </row>
    <row r="1323" spans="1:16" ht="20.25" customHeight="1" x14ac:dyDescent="0.3">
      <c r="A1323" s="137"/>
      <c r="B1323" s="137"/>
      <c r="C1323" s="137"/>
      <c r="D1323" s="194"/>
      <c r="E1323" s="194"/>
      <c r="F1323" s="137"/>
      <c r="G1323" s="137"/>
      <c r="H1323" s="137"/>
      <c r="I1323" s="137"/>
      <c r="J1323" s="197"/>
      <c r="K1323" s="198"/>
      <c r="L1323" s="196"/>
      <c r="M1323" s="196"/>
      <c r="N1323" s="196"/>
      <c r="O1323" s="196"/>
      <c r="P1323" s="127"/>
    </row>
    <row r="1324" spans="1:16" ht="20.25" customHeight="1" x14ac:dyDescent="0.3">
      <c r="A1324" s="137"/>
      <c r="B1324" s="137"/>
      <c r="C1324" s="137"/>
      <c r="D1324" s="194"/>
      <c r="E1324" s="194"/>
      <c r="F1324" s="137"/>
      <c r="G1324" s="137"/>
      <c r="H1324" s="137"/>
      <c r="I1324" s="137"/>
      <c r="J1324" s="197"/>
      <c r="K1324" s="198"/>
      <c r="L1324" s="196"/>
      <c r="M1324" s="196"/>
      <c r="N1324" s="196"/>
      <c r="O1324" s="196"/>
      <c r="P1324" s="127"/>
    </row>
    <row r="1325" spans="1:16" ht="20.25" customHeight="1" x14ac:dyDescent="0.3">
      <c r="A1325" s="137"/>
      <c r="B1325" s="137"/>
      <c r="C1325" s="137"/>
      <c r="D1325" s="194"/>
      <c r="E1325" s="194"/>
      <c r="F1325" s="137"/>
      <c r="G1325" s="137"/>
      <c r="H1325" s="137"/>
      <c r="I1325" s="137"/>
      <c r="J1325" s="197"/>
      <c r="K1325" s="198"/>
      <c r="L1325" s="196"/>
      <c r="M1325" s="196"/>
      <c r="N1325" s="196"/>
      <c r="O1325" s="196"/>
      <c r="P1325" s="127"/>
    </row>
    <row r="1326" spans="1:16" ht="20.25" customHeight="1" x14ac:dyDescent="0.3">
      <c r="A1326" s="137"/>
      <c r="B1326" s="137"/>
      <c r="C1326" s="137"/>
      <c r="D1326" s="194"/>
      <c r="E1326" s="194"/>
      <c r="F1326" s="137"/>
      <c r="G1326" s="137"/>
      <c r="H1326" s="137"/>
      <c r="I1326" s="137"/>
      <c r="J1326" s="197"/>
      <c r="K1326" s="198"/>
      <c r="L1326" s="196"/>
      <c r="M1326" s="196"/>
      <c r="N1326" s="196"/>
      <c r="O1326" s="196"/>
      <c r="P1326" s="127"/>
    </row>
    <row r="1327" spans="1:16" ht="20.25" customHeight="1" x14ac:dyDescent="0.3">
      <c r="A1327" s="137"/>
      <c r="B1327" s="137"/>
      <c r="C1327" s="137"/>
      <c r="D1327" s="194"/>
      <c r="E1327" s="194"/>
      <c r="F1327" s="137"/>
      <c r="G1327" s="137"/>
      <c r="H1327" s="137"/>
      <c r="I1327" s="137"/>
      <c r="J1327" s="197"/>
      <c r="K1327" s="198"/>
      <c r="L1327" s="196"/>
      <c r="M1327" s="196"/>
      <c r="N1327" s="196"/>
      <c r="O1327" s="196"/>
      <c r="P1327" s="127"/>
    </row>
    <row r="1328" spans="1:16" ht="20.25" customHeight="1" x14ac:dyDescent="0.3">
      <c r="A1328" s="137"/>
      <c r="B1328" s="137"/>
      <c r="C1328" s="137"/>
      <c r="D1328" s="194"/>
      <c r="E1328" s="194"/>
      <c r="F1328" s="137"/>
      <c r="G1328" s="137"/>
      <c r="H1328" s="137"/>
      <c r="I1328" s="137"/>
      <c r="J1328" s="197"/>
      <c r="K1328" s="198"/>
      <c r="L1328" s="196"/>
      <c r="M1328" s="196"/>
      <c r="N1328" s="196"/>
      <c r="O1328" s="196"/>
      <c r="P1328" s="127"/>
    </row>
    <row r="1329" spans="1:16" ht="20.25" customHeight="1" x14ac:dyDescent="0.3">
      <c r="A1329" s="137"/>
      <c r="B1329" s="137"/>
      <c r="C1329" s="137"/>
      <c r="D1329" s="194"/>
      <c r="E1329" s="194"/>
      <c r="F1329" s="137"/>
      <c r="G1329" s="137"/>
      <c r="H1329" s="137"/>
      <c r="I1329" s="137"/>
      <c r="J1329" s="197"/>
      <c r="K1329" s="198"/>
      <c r="L1329" s="196"/>
      <c r="M1329" s="196"/>
      <c r="N1329" s="196"/>
      <c r="O1329" s="196"/>
      <c r="P1329" s="127"/>
    </row>
    <row r="1330" spans="1:16" ht="20.25" customHeight="1" x14ac:dyDescent="0.3">
      <c r="A1330" s="137"/>
      <c r="B1330" s="137"/>
      <c r="C1330" s="137"/>
      <c r="D1330" s="194"/>
      <c r="E1330" s="194"/>
      <c r="F1330" s="137"/>
      <c r="G1330" s="137"/>
      <c r="H1330" s="137"/>
      <c r="I1330" s="137"/>
      <c r="J1330" s="197"/>
      <c r="K1330" s="198"/>
      <c r="L1330" s="196"/>
      <c r="M1330" s="196"/>
      <c r="N1330" s="196"/>
      <c r="O1330" s="196"/>
      <c r="P1330" s="127"/>
    </row>
    <row r="1331" spans="1:16" ht="20.25" customHeight="1" x14ac:dyDescent="0.3">
      <c r="A1331" s="137"/>
      <c r="B1331" s="137"/>
      <c r="C1331" s="137"/>
      <c r="D1331" s="194"/>
      <c r="E1331" s="194"/>
      <c r="F1331" s="137"/>
      <c r="G1331" s="137"/>
      <c r="H1331" s="137"/>
      <c r="I1331" s="137"/>
      <c r="J1331" s="197"/>
      <c r="K1331" s="198"/>
      <c r="L1331" s="196"/>
      <c r="M1331" s="196"/>
      <c r="N1331" s="196"/>
      <c r="O1331" s="196"/>
      <c r="P1331" s="127"/>
    </row>
    <row r="1332" spans="1:16" ht="20.25" customHeight="1" x14ac:dyDescent="0.3">
      <c r="A1332" s="137"/>
      <c r="B1332" s="137"/>
      <c r="C1332" s="137"/>
      <c r="D1332" s="194"/>
      <c r="E1332" s="194"/>
      <c r="F1332" s="137"/>
      <c r="G1332" s="137"/>
      <c r="H1332" s="137"/>
      <c r="I1332" s="137"/>
      <c r="J1332" s="197"/>
      <c r="K1332" s="198"/>
      <c r="L1332" s="196"/>
      <c r="M1332" s="196"/>
      <c r="N1332" s="196"/>
      <c r="O1332" s="196"/>
      <c r="P1332" s="127"/>
    </row>
    <row r="1333" spans="1:16" ht="20.25" customHeight="1" x14ac:dyDescent="0.3">
      <c r="A1333" s="137"/>
      <c r="B1333" s="137"/>
      <c r="C1333" s="137"/>
      <c r="D1333" s="194"/>
      <c r="E1333" s="194"/>
      <c r="F1333" s="137"/>
      <c r="G1333" s="137"/>
      <c r="H1333" s="137"/>
      <c r="I1333" s="137"/>
      <c r="J1333" s="197"/>
      <c r="K1333" s="198"/>
      <c r="L1333" s="196"/>
      <c r="M1333" s="196"/>
      <c r="N1333" s="196"/>
      <c r="O1333" s="196"/>
      <c r="P1333" s="127"/>
    </row>
    <row r="1334" spans="1:16" ht="20.25" customHeight="1" x14ac:dyDescent="0.3">
      <c r="A1334" s="137"/>
      <c r="B1334" s="137"/>
      <c r="C1334" s="137"/>
      <c r="D1334" s="194"/>
      <c r="E1334" s="194"/>
      <c r="F1334" s="137"/>
      <c r="G1334" s="137"/>
      <c r="H1334" s="137"/>
      <c r="I1334" s="137"/>
      <c r="J1334" s="197"/>
      <c r="K1334" s="198"/>
      <c r="L1334" s="196"/>
      <c r="M1334" s="196"/>
      <c r="N1334" s="196"/>
      <c r="O1334" s="196"/>
      <c r="P1334" s="127"/>
    </row>
    <row r="1335" spans="1:16" ht="20.25" customHeight="1" x14ac:dyDescent="0.3">
      <c r="A1335" s="137"/>
      <c r="B1335" s="137"/>
      <c r="C1335" s="137"/>
      <c r="D1335" s="194"/>
      <c r="E1335" s="194"/>
      <c r="F1335" s="137"/>
      <c r="G1335" s="137"/>
      <c r="H1335" s="137"/>
      <c r="I1335" s="137"/>
      <c r="J1335" s="197"/>
      <c r="K1335" s="198"/>
      <c r="L1335" s="196"/>
      <c r="M1335" s="196"/>
      <c r="N1335" s="196"/>
      <c r="O1335" s="196"/>
      <c r="P1335" s="127"/>
    </row>
    <row r="1336" spans="1:16" ht="20.25" customHeight="1" x14ac:dyDescent="0.3">
      <c r="A1336" s="137"/>
      <c r="B1336" s="137"/>
      <c r="C1336" s="137"/>
      <c r="D1336" s="194"/>
      <c r="E1336" s="194"/>
      <c r="F1336" s="137"/>
      <c r="G1336" s="137"/>
      <c r="H1336" s="137"/>
      <c r="I1336" s="137"/>
      <c r="J1336" s="197"/>
      <c r="K1336" s="198"/>
      <c r="L1336" s="196"/>
      <c r="M1336" s="196"/>
      <c r="N1336" s="196"/>
      <c r="O1336" s="196"/>
      <c r="P1336" s="127"/>
    </row>
    <row r="1337" spans="1:16" ht="20.25" customHeight="1" x14ac:dyDescent="0.3">
      <c r="A1337" s="137"/>
      <c r="B1337" s="137"/>
      <c r="C1337" s="137"/>
      <c r="D1337" s="194"/>
      <c r="E1337" s="194"/>
      <c r="F1337" s="137"/>
      <c r="G1337" s="137"/>
      <c r="H1337" s="137"/>
      <c r="I1337" s="137"/>
      <c r="J1337" s="197"/>
      <c r="K1337" s="198"/>
      <c r="L1337" s="196"/>
      <c r="M1337" s="196"/>
      <c r="N1337" s="196"/>
      <c r="O1337" s="196"/>
      <c r="P1337" s="127"/>
    </row>
    <row r="1338" spans="1:16" ht="20.25" customHeight="1" x14ac:dyDescent="0.3">
      <c r="A1338" s="137"/>
      <c r="B1338" s="137"/>
      <c r="C1338" s="137"/>
      <c r="D1338" s="194"/>
      <c r="E1338" s="194"/>
      <c r="F1338" s="137"/>
      <c r="G1338" s="137"/>
      <c r="H1338" s="137"/>
      <c r="I1338" s="137"/>
      <c r="J1338" s="197"/>
      <c r="K1338" s="198"/>
      <c r="L1338" s="196"/>
      <c r="M1338" s="196"/>
      <c r="N1338" s="196"/>
      <c r="O1338" s="196"/>
      <c r="P1338" s="127"/>
    </row>
    <row r="1339" spans="1:16" ht="20.25" customHeight="1" x14ac:dyDescent="0.3">
      <c r="A1339" s="137"/>
      <c r="B1339" s="137"/>
      <c r="C1339" s="137"/>
      <c r="D1339" s="194"/>
      <c r="E1339" s="194"/>
      <c r="F1339" s="137"/>
      <c r="G1339" s="137"/>
      <c r="H1339" s="137"/>
      <c r="I1339" s="137"/>
      <c r="J1339" s="197"/>
      <c r="K1339" s="198"/>
      <c r="L1339" s="196"/>
      <c r="M1339" s="196"/>
      <c r="N1339" s="196"/>
      <c r="O1339" s="196"/>
      <c r="P1339" s="127"/>
    </row>
    <row r="1340" spans="1:16" ht="20.25" customHeight="1" x14ac:dyDescent="0.3">
      <c r="A1340" s="137"/>
      <c r="B1340" s="137"/>
      <c r="C1340" s="137"/>
      <c r="D1340" s="194"/>
      <c r="E1340" s="194"/>
      <c r="F1340" s="137"/>
      <c r="G1340" s="137"/>
      <c r="H1340" s="137"/>
      <c r="I1340" s="137"/>
      <c r="J1340" s="197"/>
      <c r="K1340" s="198"/>
      <c r="L1340" s="196"/>
      <c r="M1340" s="196"/>
      <c r="N1340" s="196"/>
      <c r="O1340" s="196"/>
      <c r="P1340" s="127"/>
    </row>
    <row r="1341" spans="1:16" ht="20.25" customHeight="1" x14ac:dyDescent="0.3">
      <c r="A1341" s="137"/>
      <c r="B1341" s="137"/>
      <c r="C1341" s="137"/>
      <c r="D1341" s="194"/>
      <c r="E1341" s="194"/>
      <c r="F1341" s="137"/>
      <c r="G1341" s="137"/>
      <c r="H1341" s="137"/>
      <c r="I1341" s="137"/>
      <c r="J1341" s="197"/>
      <c r="K1341" s="198"/>
      <c r="L1341" s="196"/>
      <c r="M1341" s="196"/>
      <c r="N1341" s="196"/>
      <c r="O1341" s="196"/>
      <c r="P1341" s="127"/>
    </row>
    <row r="1342" spans="1:16" ht="20.25" customHeight="1" x14ac:dyDescent="0.3">
      <c r="A1342" s="137"/>
      <c r="B1342" s="137"/>
      <c r="C1342" s="137"/>
      <c r="D1342" s="194"/>
      <c r="E1342" s="194"/>
      <c r="F1342" s="137"/>
      <c r="G1342" s="137"/>
      <c r="H1342" s="137"/>
      <c r="I1342" s="137"/>
      <c r="J1342" s="197"/>
      <c r="K1342" s="198"/>
      <c r="L1342" s="196"/>
      <c r="M1342" s="196"/>
      <c r="N1342" s="196"/>
      <c r="O1342" s="196"/>
      <c r="P1342" s="127"/>
    </row>
    <row r="1343" spans="1:16" ht="20.25" customHeight="1" x14ac:dyDescent="0.3">
      <c r="A1343" s="137"/>
      <c r="B1343" s="137"/>
      <c r="C1343" s="137"/>
      <c r="D1343" s="194"/>
      <c r="E1343" s="194"/>
      <c r="F1343" s="137"/>
      <c r="G1343" s="137"/>
      <c r="H1343" s="137"/>
      <c r="I1343" s="137"/>
      <c r="J1343" s="197"/>
      <c r="K1343" s="198"/>
      <c r="L1343" s="196"/>
      <c r="M1343" s="196"/>
      <c r="N1343" s="196"/>
      <c r="O1343" s="196"/>
      <c r="P1343" s="127"/>
    </row>
    <row r="1344" spans="1:16" ht="20.25" customHeight="1" x14ac:dyDescent="0.3">
      <c r="A1344" s="137"/>
      <c r="B1344" s="137"/>
      <c r="C1344" s="137"/>
      <c r="D1344" s="194"/>
      <c r="E1344" s="194"/>
      <c r="F1344" s="137"/>
      <c r="G1344" s="137"/>
      <c r="H1344" s="137"/>
      <c r="I1344" s="137"/>
      <c r="J1344" s="197"/>
      <c r="K1344" s="198"/>
      <c r="L1344" s="196"/>
      <c r="M1344" s="196"/>
      <c r="N1344" s="196"/>
      <c r="O1344" s="196"/>
      <c r="P1344" s="127"/>
    </row>
    <row r="1345" spans="1:16" ht="20.25" customHeight="1" x14ac:dyDescent="0.3">
      <c r="A1345" s="137"/>
      <c r="B1345" s="137"/>
      <c r="C1345" s="137"/>
      <c r="D1345" s="194"/>
      <c r="E1345" s="194"/>
      <c r="F1345" s="137"/>
      <c r="G1345" s="137"/>
      <c r="H1345" s="137"/>
      <c r="I1345" s="137"/>
      <c r="J1345" s="197"/>
      <c r="K1345" s="198"/>
      <c r="L1345" s="196"/>
      <c r="M1345" s="196"/>
      <c r="N1345" s="196"/>
      <c r="O1345" s="196"/>
      <c r="P1345" s="127"/>
    </row>
    <row r="1346" spans="1:16" ht="20.25" customHeight="1" x14ac:dyDescent="0.3">
      <c r="A1346" s="137"/>
      <c r="B1346" s="137"/>
      <c r="C1346" s="137"/>
      <c r="D1346" s="194"/>
      <c r="E1346" s="194"/>
      <c r="F1346" s="137"/>
      <c r="G1346" s="137"/>
      <c r="H1346" s="137"/>
      <c r="I1346" s="137"/>
      <c r="J1346" s="197"/>
      <c r="K1346" s="198"/>
      <c r="L1346" s="196"/>
      <c r="M1346" s="196"/>
      <c r="N1346" s="196"/>
      <c r="O1346" s="196"/>
      <c r="P1346" s="127"/>
    </row>
    <row r="1347" spans="1:16" ht="20.25" customHeight="1" x14ac:dyDescent="0.3">
      <c r="A1347" s="137"/>
      <c r="B1347" s="137"/>
      <c r="C1347" s="137"/>
      <c r="D1347" s="194"/>
      <c r="E1347" s="194"/>
      <c r="F1347" s="137"/>
      <c r="G1347" s="137"/>
      <c r="H1347" s="137"/>
      <c r="I1347" s="137"/>
      <c r="J1347" s="197"/>
      <c r="K1347" s="198"/>
      <c r="L1347" s="196"/>
      <c r="M1347" s="196"/>
      <c r="N1347" s="196"/>
      <c r="O1347" s="196"/>
      <c r="P1347" s="127"/>
    </row>
    <row r="1348" spans="1:16" ht="20.25" customHeight="1" x14ac:dyDescent="0.3">
      <c r="A1348" s="137"/>
      <c r="B1348" s="137"/>
      <c r="C1348" s="137"/>
      <c r="D1348" s="194"/>
      <c r="E1348" s="194"/>
      <c r="F1348" s="137"/>
      <c r="G1348" s="137"/>
      <c r="H1348" s="137"/>
      <c r="I1348" s="137"/>
      <c r="J1348" s="197"/>
      <c r="K1348" s="198"/>
      <c r="L1348" s="196"/>
      <c r="M1348" s="196"/>
      <c r="N1348" s="196"/>
      <c r="O1348" s="196"/>
      <c r="P1348" s="127"/>
    </row>
    <row r="1349" spans="1:16" ht="20.25" customHeight="1" x14ac:dyDescent="0.3">
      <c r="A1349" s="137"/>
      <c r="B1349" s="137"/>
      <c r="C1349" s="137"/>
      <c r="D1349" s="194"/>
      <c r="E1349" s="194"/>
      <c r="F1349" s="137"/>
      <c r="G1349" s="137"/>
      <c r="H1349" s="137"/>
      <c r="I1349" s="137"/>
      <c r="J1349" s="197"/>
      <c r="K1349" s="198"/>
      <c r="L1349" s="196"/>
      <c r="M1349" s="196"/>
      <c r="N1349" s="196"/>
      <c r="O1349" s="196"/>
      <c r="P1349" s="127"/>
    </row>
    <row r="1350" spans="1:16" ht="20.25" customHeight="1" x14ac:dyDescent="0.3">
      <c r="A1350" s="137"/>
      <c r="B1350" s="137"/>
      <c r="C1350" s="137"/>
      <c r="D1350" s="194"/>
      <c r="E1350" s="194"/>
      <c r="F1350" s="137"/>
      <c r="G1350" s="137"/>
      <c r="H1350" s="137"/>
      <c r="I1350" s="137"/>
      <c r="J1350" s="197"/>
      <c r="K1350" s="198"/>
      <c r="L1350" s="196"/>
      <c r="M1350" s="196"/>
      <c r="N1350" s="196"/>
      <c r="O1350" s="196"/>
      <c r="P1350" s="127"/>
    </row>
    <row r="1351" spans="1:16" ht="20.25" customHeight="1" x14ac:dyDescent="0.3">
      <c r="A1351" s="137"/>
      <c r="B1351" s="137"/>
      <c r="C1351" s="137"/>
      <c r="D1351" s="194"/>
      <c r="E1351" s="194"/>
      <c r="F1351" s="137"/>
      <c r="G1351" s="137"/>
      <c r="H1351" s="137"/>
      <c r="I1351" s="137"/>
      <c r="J1351" s="197"/>
      <c r="K1351" s="198"/>
      <c r="L1351" s="196"/>
      <c r="M1351" s="196"/>
      <c r="N1351" s="196"/>
      <c r="O1351" s="196"/>
      <c r="P1351" s="127"/>
    </row>
    <row r="1352" spans="1:16" ht="20.25" customHeight="1" x14ac:dyDescent="0.3">
      <c r="A1352" s="137"/>
      <c r="B1352" s="137"/>
      <c r="C1352" s="137"/>
      <c r="D1352" s="194"/>
      <c r="E1352" s="194"/>
      <c r="F1352" s="137"/>
      <c r="G1352" s="137"/>
      <c r="H1352" s="137"/>
      <c r="I1352" s="137"/>
      <c r="J1352" s="197"/>
      <c r="K1352" s="198"/>
      <c r="L1352" s="196"/>
      <c r="M1352" s="196"/>
      <c r="N1352" s="196"/>
      <c r="O1352" s="196"/>
      <c r="P1352" s="127"/>
    </row>
    <row r="1353" spans="1:16" ht="20.25" customHeight="1" x14ac:dyDescent="0.3">
      <c r="A1353" s="137"/>
      <c r="B1353" s="137"/>
      <c r="C1353" s="137"/>
      <c r="D1353" s="194"/>
      <c r="E1353" s="194"/>
      <c r="F1353" s="137"/>
      <c r="G1353" s="137"/>
      <c r="H1353" s="137"/>
      <c r="I1353" s="137"/>
      <c r="J1353" s="197"/>
      <c r="K1353" s="198"/>
      <c r="L1353" s="196"/>
      <c r="M1353" s="196"/>
      <c r="N1353" s="196"/>
      <c r="O1353" s="196"/>
      <c r="P1353" s="127"/>
    </row>
    <row r="1354" spans="1:16" ht="20.25" customHeight="1" x14ac:dyDescent="0.3">
      <c r="A1354" s="137"/>
      <c r="B1354" s="137"/>
      <c r="C1354" s="137"/>
      <c r="D1354" s="194"/>
      <c r="E1354" s="194"/>
      <c r="F1354" s="137"/>
      <c r="G1354" s="137"/>
      <c r="H1354" s="137"/>
      <c r="I1354" s="137"/>
      <c r="J1354" s="197"/>
      <c r="K1354" s="198"/>
      <c r="L1354" s="196"/>
      <c r="M1354" s="196"/>
      <c r="N1354" s="196"/>
      <c r="O1354" s="196"/>
      <c r="P1354" s="127"/>
    </row>
    <row r="1355" spans="1:16" ht="20.25" customHeight="1" x14ac:dyDescent="0.3">
      <c r="A1355" s="137"/>
      <c r="B1355" s="137"/>
      <c r="C1355" s="137"/>
      <c r="D1355" s="194"/>
      <c r="E1355" s="194"/>
      <c r="F1355" s="137"/>
      <c r="G1355" s="137"/>
      <c r="H1355" s="137"/>
      <c r="I1355" s="137"/>
      <c r="J1355" s="197"/>
      <c r="K1355" s="198"/>
      <c r="L1355" s="196"/>
      <c r="M1355" s="196"/>
      <c r="N1355" s="196"/>
      <c r="O1355" s="196"/>
      <c r="P1355" s="127"/>
    </row>
    <row r="1356" spans="1:16" ht="20.25" customHeight="1" x14ac:dyDescent="0.3">
      <c r="A1356" s="137"/>
      <c r="B1356" s="137"/>
      <c r="C1356" s="137"/>
      <c r="D1356" s="194"/>
      <c r="E1356" s="194"/>
      <c r="F1356" s="137"/>
      <c r="G1356" s="137"/>
      <c r="H1356" s="137"/>
      <c r="I1356" s="137"/>
      <c r="J1356" s="197"/>
      <c r="K1356" s="198"/>
      <c r="L1356" s="196"/>
      <c r="M1356" s="196"/>
      <c r="N1356" s="196"/>
      <c r="O1356" s="196"/>
      <c r="P1356" s="127"/>
    </row>
    <row r="1357" spans="1:16" ht="20.25" customHeight="1" x14ac:dyDescent="0.3">
      <c r="A1357" s="137"/>
      <c r="B1357" s="137"/>
      <c r="C1357" s="137"/>
      <c r="D1357" s="194"/>
      <c r="E1357" s="194"/>
      <c r="F1357" s="137"/>
      <c r="G1357" s="137"/>
      <c r="H1357" s="137"/>
      <c r="I1357" s="137"/>
      <c r="J1357" s="197"/>
      <c r="K1357" s="198"/>
      <c r="L1357" s="196"/>
      <c r="M1357" s="196"/>
      <c r="N1357" s="196"/>
      <c r="O1357" s="196"/>
      <c r="P1357" s="127"/>
    </row>
    <row r="1358" spans="1:16" ht="20.25" customHeight="1" x14ac:dyDescent="0.3">
      <c r="A1358" s="137"/>
      <c r="B1358" s="137"/>
      <c r="C1358" s="137"/>
      <c r="D1358" s="194"/>
      <c r="E1358" s="194"/>
      <c r="F1358" s="137"/>
      <c r="G1358" s="137"/>
      <c r="H1358" s="137"/>
      <c r="I1358" s="137"/>
      <c r="J1358" s="197"/>
      <c r="K1358" s="198"/>
      <c r="L1358" s="196"/>
      <c r="M1358" s="196"/>
      <c r="N1358" s="196"/>
      <c r="O1358" s="196"/>
      <c r="P1358" s="127"/>
    </row>
    <row r="1359" spans="1:16" ht="20.25" customHeight="1" x14ac:dyDescent="0.3">
      <c r="A1359" s="137"/>
      <c r="B1359" s="137"/>
      <c r="C1359" s="137"/>
      <c r="D1359" s="194"/>
      <c r="E1359" s="194"/>
      <c r="F1359" s="137"/>
      <c r="G1359" s="137"/>
      <c r="H1359" s="137"/>
      <c r="I1359" s="137"/>
      <c r="J1359" s="197"/>
      <c r="K1359" s="198"/>
      <c r="L1359" s="196"/>
      <c r="M1359" s="196"/>
      <c r="N1359" s="196"/>
      <c r="O1359" s="196"/>
      <c r="P1359" s="127"/>
    </row>
    <row r="1360" spans="1:16" ht="20.25" customHeight="1" x14ac:dyDescent="0.3">
      <c r="A1360" s="137"/>
      <c r="B1360" s="137"/>
      <c r="C1360" s="137"/>
      <c r="D1360" s="194"/>
      <c r="E1360" s="194"/>
      <c r="F1360" s="137"/>
      <c r="G1360" s="137"/>
      <c r="H1360" s="137"/>
      <c r="I1360" s="137"/>
      <c r="J1360" s="197"/>
      <c r="K1360" s="198"/>
      <c r="L1360" s="196"/>
      <c r="M1360" s="196"/>
      <c r="N1360" s="196"/>
      <c r="O1360" s="196"/>
      <c r="P1360" s="127"/>
    </row>
    <row r="1361" spans="1:16" ht="20.25" customHeight="1" x14ac:dyDescent="0.3">
      <c r="A1361" s="137"/>
      <c r="B1361" s="137"/>
      <c r="C1361" s="137"/>
      <c r="D1361" s="194"/>
      <c r="E1361" s="194"/>
      <c r="F1361" s="137"/>
      <c r="G1361" s="137"/>
      <c r="H1361" s="137"/>
      <c r="I1361" s="137"/>
      <c r="J1361" s="197"/>
      <c r="K1361" s="198"/>
      <c r="L1361" s="196"/>
      <c r="M1361" s="196"/>
      <c r="N1361" s="196"/>
      <c r="O1361" s="196"/>
      <c r="P1361" s="127"/>
    </row>
    <row r="1362" spans="1:16" ht="20.25" customHeight="1" x14ac:dyDescent="0.3">
      <c r="A1362" s="137"/>
      <c r="B1362" s="137"/>
      <c r="C1362" s="137"/>
      <c r="D1362" s="194"/>
      <c r="E1362" s="194"/>
      <c r="F1362" s="137"/>
      <c r="G1362" s="137"/>
      <c r="H1362" s="137"/>
      <c r="I1362" s="137"/>
      <c r="J1362" s="197"/>
      <c r="K1362" s="198"/>
      <c r="L1362" s="196"/>
      <c r="M1362" s="196"/>
      <c r="N1362" s="196"/>
      <c r="O1362" s="196"/>
      <c r="P1362" s="127"/>
    </row>
    <row r="1363" spans="1:16" ht="20.25" customHeight="1" x14ac:dyDescent="0.3">
      <c r="A1363" s="137"/>
      <c r="B1363" s="137"/>
      <c r="C1363" s="137"/>
      <c r="D1363" s="194"/>
      <c r="E1363" s="194"/>
      <c r="F1363" s="137"/>
      <c r="G1363" s="137"/>
      <c r="H1363" s="137"/>
      <c r="I1363" s="137"/>
      <c r="J1363" s="197"/>
      <c r="K1363" s="198"/>
      <c r="L1363" s="196"/>
      <c r="M1363" s="196"/>
      <c r="N1363" s="196"/>
      <c r="O1363" s="196"/>
      <c r="P1363" s="127"/>
    </row>
    <row r="1364" spans="1:16" ht="20.25" customHeight="1" x14ac:dyDescent="0.3">
      <c r="A1364" s="137"/>
      <c r="B1364" s="137"/>
      <c r="C1364" s="137"/>
      <c r="D1364" s="194"/>
      <c r="E1364" s="194"/>
      <c r="F1364" s="137"/>
      <c r="G1364" s="137"/>
      <c r="H1364" s="137"/>
      <c r="I1364" s="137"/>
      <c r="J1364" s="197"/>
      <c r="K1364" s="198"/>
      <c r="L1364" s="196"/>
      <c r="M1364" s="196"/>
      <c r="N1364" s="196"/>
      <c r="O1364" s="196"/>
      <c r="P1364" s="127"/>
    </row>
    <row r="1365" spans="1:16" ht="20.25" customHeight="1" x14ac:dyDescent="0.3">
      <c r="A1365" s="137"/>
      <c r="B1365" s="137"/>
      <c r="C1365" s="137"/>
      <c r="D1365" s="194"/>
      <c r="E1365" s="194"/>
      <c r="F1365" s="137"/>
      <c r="G1365" s="137"/>
      <c r="H1365" s="137"/>
      <c r="I1365" s="137"/>
      <c r="J1365" s="197"/>
      <c r="K1365" s="198"/>
      <c r="L1365" s="196"/>
      <c r="M1365" s="196"/>
      <c r="N1365" s="196"/>
      <c r="O1365" s="196"/>
      <c r="P1365" s="127"/>
    </row>
    <row r="1366" spans="1:16" ht="20.25" customHeight="1" x14ac:dyDescent="0.3">
      <c r="A1366" s="137"/>
      <c r="B1366" s="137"/>
      <c r="C1366" s="137"/>
      <c r="D1366" s="194"/>
      <c r="E1366" s="194"/>
      <c r="F1366" s="137"/>
      <c r="G1366" s="137"/>
      <c r="H1366" s="137"/>
      <c r="I1366" s="137"/>
      <c r="J1366" s="197"/>
      <c r="K1366" s="198"/>
      <c r="L1366" s="196"/>
      <c r="M1366" s="196"/>
      <c r="N1366" s="196"/>
      <c r="O1366" s="196"/>
      <c r="P1366" s="127"/>
    </row>
    <row r="1367" spans="1:16" ht="20.25" customHeight="1" x14ac:dyDescent="0.3">
      <c r="A1367" s="137"/>
      <c r="B1367" s="137"/>
      <c r="C1367" s="137"/>
      <c r="D1367" s="194"/>
      <c r="E1367" s="194"/>
      <c r="F1367" s="137"/>
      <c r="G1367" s="137"/>
      <c r="H1367" s="137"/>
      <c r="I1367" s="137"/>
      <c r="J1367" s="197"/>
      <c r="K1367" s="198"/>
      <c r="L1367" s="196"/>
      <c r="M1367" s="196"/>
      <c r="N1367" s="196"/>
      <c r="O1367" s="196"/>
      <c r="P1367" s="127"/>
    </row>
    <row r="1368" spans="1:16" ht="20.25" customHeight="1" x14ac:dyDescent="0.3">
      <c r="A1368" s="137"/>
      <c r="B1368" s="137"/>
      <c r="C1368" s="137"/>
      <c r="D1368" s="194"/>
      <c r="E1368" s="194"/>
      <c r="F1368" s="137"/>
      <c r="G1368" s="137"/>
      <c r="H1368" s="137"/>
      <c r="I1368" s="137"/>
      <c r="J1368" s="197"/>
      <c r="K1368" s="198"/>
      <c r="L1368" s="196"/>
      <c r="M1368" s="196"/>
      <c r="N1368" s="196"/>
      <c r="O1368" s="196"/>
      <c r="P1368" s="127"/>
    </row>
    <row r="1369" spans="1:16" ht="20.25" customHeight="1" x14ac:dyDescent="0.3">
      <c r="A1369" s="137"/>
      <c r="B1369" s="137"/>
      <c r="C1369" s="137"/>
      <c r="D1369" s="194"/>
      <c r="E1369" s="194"/>
      <c r="F1369" s="137"/>
      <c r="G1369" s="137"/>
      <c r="H1369" s="137"/>
      <c r="I1369" s="137"/>
      <c r="J1369" s="197"/>
      <c r="K1369" s="198"/>
      <c r="L1369" s="196"/>
      <c r="M1369" s="196"/>
      <c r="N1369" s="196"/>
      <c r="O1369" s="196"/>
      <c r="P1369" s="127"/>
    </row>
    <row r="1370" spans="1:16" ht="20.25" customHeight="1" x14ac:dyDescent="0.3">
      <c r="A1370" s="137"/>
      <c r="B1370" s="137"/>
      <c r="C1370" s="137"/>
      <c r="D1370" s="194"/>
      <c r="E1370" s="194"/>
      <c r="F1370" s="137"/>
      <c r="G1370" s="137"/>
      <c r="H1370" s="137"/>
      <c r="I1370" s="137"/>
      <c r="J1370" s="197"/>
      <c r="K1370" s="198"/>
      <c r="L1370" s="196"/>
      <c r="M1370" s="196"/>
      <c r="N1370" s="196"/>
      <c r="O1370" s="196"/>
      <c r="P1370" s="127"/>
    </row>
    <row r="1371" spans="1:16" ht="20.25" customHeight="1" x14ac:dyDescent="0.3">
      <c r="A1371" s="137"/>
      <c r="B1371" s="137"/>
      <c r="C1371" s="137"/>
      <c r="D1371" s="194"/>
      <c r="E1371" s="194"/>
      <c r="F1371" s="137"/>
      <c r="G1371" s="137"/>
      <c r="H1371" s="137"/>
      <c r="I1371" s="137"/>
      <c r="J1371" s="197"/>
      <c r="K1371" s="198"/>
      <c r="L1371" s="196"/>
      <c r="M1371" s="196"/>
      <c r="N1371" s="196"/>
      <c r="O1371" s="196"/>
      <c r="P1371" s="127"/>
    </row>
    <row r="1372" spans="1:16" ht="20.25" customHeight="1" x14ac:dyDescent="0.3">
      <c r="A1372" s="137"/>
      <c r="B1372" s="137"/>
      <c r="C1372" s="137"/>
      <c r="D1372" s="194"/>
      <c r="E1372" s="194"/>
      <c r="F1372" s="137"/>
      <c r="G1372" s="137"/>
      <c r="H1372" s="137"/>
      <c r="I1372" s="137"/>
      <c r="J1372" s="197"/>
      <c r="K1372" s="198"/>
      <c r="L1372" s="196"/>
      <c r="M1372" s="196"/>
      <c r="N1372" s="196"/>
      <c r="O1372" s="196"/>
      <c r="P1372" s="127"/>
    </row>
    <row r="1373" spans="1:16" ht="20.25" customHeight="1" x14ac:dyDescent="0.3">
      <c r="A1373" s="137"/>
      <c r="B1373" s="137"/>
      <c r="C1373" s="137"/>
      <c r="D1373" s="194"/>
      <c r="E1373" s="194"/>
      <c r="F1373" s="137"/>
      <c r="G1373" s="137"/>
      <c r="H1373" s="137"/>
      <c r="I1373" s="137"/>
      <c r="J1373" s="197"/>
      <c r="K1373" s="198"/>
      <c r="L1373" s="196"/>
      <c r="M1373" s="196"/>
      <c r="N1373" s="196"/>
      <c r="O1373" s="196"/>
      <c r="P1373" s="127"/>
    </row>
    <row r="1374" spans="1:16" ht="20.25" customHeight="1" x14ac:dyDescent="0.3">
      <c r="A1374" s="137"/>
      <c r="B1374" s="137"/>
      <c r="C1374" s="137"/>
      <c r="D1374" s="194"/>
      <c r="E1374" s="194"/>
      <c r="F1374" s="137"/>
      <c r="G1374" s="137"/>
      <c r="H1374" s="137"/>
      <c r="I1374" s="137"/>
      <c r="J1374" s="197"/>
      <c r="K1374" s="198"/>
      <c r="L1374" s="196"/>
      <c r="M1374" s="196"/>
      <c r="N1374" s="196"/>
      <c r="O1374" s="196"/>
      <c r="P1374" s="127"/>
    </row>
    <row r="1375" spans="1:16" ht="20.25" customHeight="1" x14ac:dyDescent="0.3">
      <c r="A1375" s="137"/>
      <c r="B1375" s="137"/>
      <c r="C1375" s="137"/>
      <c r="D1375" s="194"/>
      <c r="E1375" s="194"/>
      <c r="F1375" s="137"/>
      <c r="G1375" s="137"/>
      <c r="H1375" s="137"/>
      <c r="I1375" s="137"/>
      <c r="J1375" s="197"/>
      <c r="K1375" s="198"/>
      <c r="L1375" s="196"/>
      <c r="M1375" s="196"/>
      <c r="N1375" s="196"/>
      <c r="O1375" s="196"/>
      <c r="P1375" s="127"/>
    </row>
    <row r="1376" spans="1:16" ht="20.25" customHeight="1" x14ac:dyDescent="0.3">
      <c r="A1376" s="137"/>
      <c r="B1376" s="137"/>
      <c r="C1376" s="137"/>
      <c r="D1376" s="194"/>
      <c r="E1376" s="194"/>
      <c r="F1376" s="137"/>
      <c r="G1376" s="137"/>
      <c r="H1376" s="137"/>
      <c r="I1376" s="137"/>
      <c r="J1376" s="197"/>
      <c r="K1376" s="198"/>
      <c r="L1376" s="196"/>
      <c r="M1376" s="196"/>
      <c r="N1376" s="196"/>
      <c r="O1376" s="196"/>
      <c r="P1376" s="127"/>
    </row>
    <row r="1377" spans="1:16" ht="20.25" customHeight="1" x14ac:dyDescent="0.3">
      <c r="A1377" s="137"/>
      <c r="B1377" s="137"/>
      <c r="C1377" s="137"/>
      <c r="D1377" s="194"/>
      <c r="E1377" s="194"/>
      <c r="F1377" s="137"/>
      <c r="G1377" s="137"/>
      <c r="H1377" s="137"/>
      <c r="I1377" s="137"/>
      <c r="J1377" s="197"/>
      <c r="K1377" s="198"/>
      <c r="L1377" s="196"/>
      <c r="M1377" s="196"/>
      <c r="N1377" s="196"/>
      <c r="O1377" s="196"/>
      <c r="P1377" s="127"/>
    </row>
    <row r="1378" spans="1:16" ht="20.25" customHeight="1" x14ac:dyDescent="0.3">
      <c r="A1378" s="137"/>
      <c r="B1378" s="137"/>
      <c r="C1378" s="137"/>
      <c r="D1378" s="194"/>
      <c r="E1378" s="194"/>
      <c r="F1378" s="137"/>
      <c r="G1378" s="137"/>
      <c r="H1378" s="137"/>
      <c r="I1378" s="137"/>
      <c r="J1378" s="197"/>
      <c r="K1378" s="198"/>
      <c r="L1378" s="196"/>
      <c r="M1378" s="196"/>
      <c r="N1378" s="196"/>
      <c r="O1378" s="196"/>
      <c r="P1378" s="127"/>
    </row>
    <row r="1379" spans="1:16" ht="20.25" customHeight="1" x14ac:dyDescent="0.3">
      <c r="A1379" s="137"/>
      <c r="B1379" s="137"/>
      <c r="C1379" s="137"/>
      <c r="D1379" s="194"/>
      <c r="E1379" s="194"/>
      <c r="F1379" s="137"/>
      <c r="G1379" s="137"/>
      <c r="H1379" s="137"/>
      <c r="I1379" s="137"/>
      <c r="J1379" s="197"/>
      <c r="K1379" s="198"/>
      <c r="L1379" s="196"/>
      <c r="M1379" s="196"/>
      <c r="N1379" s="196"/>
      <c r="O1379" s="196"/>
      <c r="P1379" s="127"/>
    </row>
    <row r="1380" spans="1:16" ht="20.25" customHeight="1" x14ac:dyDescent="0.3">
      <c r="A1380" s="137"/>
      <c r="B1380" s="137"/>
      <c r="C1380" s="137"/>
      <c r="D1380" s="194"/>
      <c r="E1380" s="194"/>
      <c r="F1380" s="137"/>
      <c r="G1380" s="137"/>
      <c r="H1380" s="137"/>
      <c r="I1380" s="137"/>
      <c r="J1380" s="197"/>
      <c r="K1380" s="198"/>
      <c r="L1380" s="196"/>
      <c r="M1380" s="196"/>
      <c r="N1380" s="196"/>
      <c r="O1380" s="196"/>
      <c r="P1380" s="127"/>
    </row>
    <row r="1381" spans="1:16" ht="20.25" customHeight="1" x14ac:dyDescent="0.3">
      <c r="A1381" s="137"/>
      <c r="B1381" s="137"/>
      <c r="C1381" s="137"/>
      <c r="D1381" s="194"/>
      <c r="E1381" s="194"/>
      <c r="F1381" s="137"/>
      <c r="G1381" s="137"/>
      <c r="H1381" s="137"/>
      <c r="I1381" s="137"/>
      <c r="J1381" s="197"/>
      <c r="K1381" s="198"/>
      <c r="L1381" s="196"/>
      <c r="M1381" s="196"/>
      <c r="N1381" s="196"/>
      <c r="O1381" s="196"/>
      <c r="P1381" s="127"/>
    </row>
    <row r="1382" spans="1:16" ht="20.25" customHeight="1" x14ac:dyDescent="0.3">
      <c r="A1382" s="137"/>
      <c r="B1382" s="137"/>
      <c r="C1382" s="137"/>
      <c r="D1382" s="194"/>
      <c r="E1382" s="194"/>
      <c r="F1382" s="137"/>
      <c r="G1382" s="137"/>
      <c r="H1382" s="137"/>
      <c r="I1382" s="137"/>
      <c r="J1382" s="197"/>
      <c r="K1382" s="198"/>
      <c r="L1382" s="196"/>
      <c r="M1382" s="196"/>
      <c r="N1382" s="196"/>
      <c r="O1382" s="196"/>
      <c r="P1382" s="127"/>
    </row>
    <row r="1383" spans="1:16" ht="20.25" customHeight="1" x14ac:dyDescent="0.3">
      <c r="A1383" s="137"/>
      <c r="B1383" s="137"/>
      <c r="C1383" s="137"/>
      <c r="D1383" s="194"/>
      <c r="E1383" s="194"/>
      <c r="F1383" s="137"/>
      <c r="G1383" s="137"/>
      <c r="H1383" s="137"/>
      <c r="I1383" s="137"/>
      <c r="J1383" s="197"/>
      <c r="K1383" s="198"/>
      <c r="L1383" s="196"/>
      <c r="M1383" s="196"/>
      <c r="N1383" s="196"/>
      <c r="O1383" s="196"/>
      <c r="P1383" s="127"/>
    </row>
    <row r="1384" spans="1:16" ht="20.25" customHeight="1" x14ac:dyDescent="0.3">
      <c r="A1384" s="137"/>
      <c r="B1384" s="137"/>
      <c r="C1384" s="137"/>
      <c r="D1384" s="194"/>
      <c r="E1384" s="194"/>
      <c r="F1384" s="137"/>
      <c r="G1384" s="137"/>
      <c r="H1384" s="137"/>
      <c r="I1384" s="137"/>
      <c r="J1384" s="197"/>
      <c r="K1384" s="198"/>
      <c r="L1384" s="196"/>
      <c r="M1384" s="196"/>
      <c r="N1384" s="196"/>
      <c r="O1384" s="196"/>
      <c r="P1384" s="127"/>
    </row>
    <row r="1385" spans="1:16" ht="20.25" customHeight="1" x14ac:dyDescent="0.3">
      <c r="A1385" s="137"/>
      <c r="B1385" s="137"/>
      <c r="C1385" s="137"/>
      <c r="D1385" s="194"/>
      <c r="E1385" s="194"/>
      <c r="F1385" s="137"/>
      <c r="G1385" s="137"/>
      <c r="H1385" s="137"/>
      <c r="I1385" s="137"/>
      <c r="J1385" s="197"/>
      <c r="K1385" s="198"/>
      <c r="L1385" s="196"/>
      <c r="M1385" s="196"/>
      <c r="N1385" s="196"/>
      <c r="O1385" s="196"/>
      <c r="P1385" s="127"/>
    </row>
    <row r="1386" spans="1:16" ht="20.25" customHeight="1" x14ac:dyDescent="0.3">
      <c r="A1386" s="137"/>
      <c r="B1386" s="137"/>
      <c r="C1386" s="137"/>
      <c r="D1386" s="194"/>
      <c r="E1386" s="194"/>
      <c r="F1386" s="137"/>
      <c r="G1386" s="137"/>
      <c r="H1386" s="137"/>
      <c r="I1386" s="137"/>
      <c r="J1386" s="197"/>
      <c r="K1386" s="198"/>
      <c r="L1386" s="196"/>
      <c r="M1386" s="196"/>
      <c r="N1386" s="196"/>
      <c r="O1386" s="196"/>
      <c r="P1386" s="127"/>
    </row>
    <row r="1387" spans="1:16" ht="20.25" customHeight="1" x14ac:dyDescent="0.3">
      <c r="A1387" s="137"/>
      <c r="B1387" s="137"/>
      <c r="C1387" s="137"/>
      <c r="D1387" s="194"/>
      <c r="E1387" s="194"/>
      <c r="F1387" s="137"/>
      <c r="G1387" s="137"/>
      <c r="H1387" s="137"/>
      <c r="I1387" s="137"/>
      <c r="J1387" s="197"/>
      <c r="K1387" s="198"/>
      <c r="L1387" s="196"/>
      <c r="M1387" s="196"/>
      <c r="N1387" s="196"/>
      <c r="O1387" s="196"/>
      <c r="P1387" s="127"/>
    </row>
    <row r="1388" spans="1:16" ht="20.25" customHeight="1" x14ac:dyDescent="0.3">
      <c r="A1388" s="137"/>
      <c r="B1388" s="137"/>
      <c r="C1388" s="137"/>
      <c r="D1388" s="194"/>
      <c r="E1388" s="194"/>
      <c r="F1388" s="137"/>
      <c r="G1388" s="137"/>
      <c r="H1388" s="137"/>
      <c r="I1388" s="137"/>
      <c r="J1388" s="197"/>
      <c r="K1388" s="198"/>
      <c r="L1388" s="196"/>
      <c r="M1388" s="196"/>
      <c r="N1388" s="196"/>
      <c r="O1388" s="196"/>
      <c r="P1388" s="127"/>
    </row>
    <row r="1389" spans="1:16" ht="20.25" customHeight="1" x14ac:dyDescent="0.3">
      <c r="A1389" s="137"/>
      <c r="B1389" s="137"/>
      <c r="C1389" s="137"/>
      <c r="D1389" s="194"/>
      <c r="E1389" s="194"/>
      <c r="F1389" s="137"/>
      <c r="G1389" s="137"/>
      <c r="H1389" s="137"/>
      <c r="I1389" s="137"/>
      <c r="J1389" s="197"/>
      <c r="K1389" s="198"/>
      <c r="L1389" s="196"/>
      <c r="M1389" s="196"/>
      <c r="N1389" s="196"/>
      <c r="O1389" s="196"/>
      <c r="P1389" s="127"/>
    </row>
    <row r="1390" spans="1:16" ht="20.25" customHeight="1" x14ac:dyDescent="0.3">
      <c r="A1390" s="137"/>
      <c r="B1390" s="137"/>
      <c r="C1390" s="137"/>
      <c r="D1390" s="194"/>
      <c r="E1390" s="194"/>
      <c r="F1390" s="137"/>
      <c r="G1390" s="137"/>
      <c r="H1390" s="137"/>
      <c r="I1390" s="137"/>
      <c r="J1390" s="197"/>
      <c r="K1390" s="198"/>
      <c r="L1390" s="196"/>
      <c r="M1390" s="196"/>
      <c r="N1390" s="196"/>
      <c r="O1390" s="196"/>
      <c r="P1390" s="127"/>
    </row>
    <row r="1391" spans="1:16" ht="20.25" customHeight="1" x14ac:dyDescent="0.3">
      <c r="A1391" s="137"/>
      <c r="B1391" s="137"/>
      <c r="C1391" s="137"/>
      <c r="D1391" s="194"/>
      <c r="E1391" s="194"/>
      <c r="F1391" s="137"/>
      <c r="G1391" s="137"/>
      <c r="H1391" s="137"/>
      <c r="I1391" s="137"/>
      <c r="J1391" s="197"/>
      <c r="K1391" s="198"/>
      <c r="L1391" s="196"/>
      <c r="M1391" s="196"/>
      <c r="N1391" s="196"/>
      <c r="O1391" s="196"/>
      <c r="P1391" s="127"/>
    </row>
    <row r="1392" spans="1:16" ht="20.25" customHeight="1" x14ac:dyDescent="0.3">
      <c r="A1392" s="137"/>
      <c r="B1392" s="137"/>
      <c r="C1392" s="137"/>
      <c r="D1392" s="194"/>
      <c r="E1392" s="194"/>
      <c r="F1392" s="137"/>
      <c r="G1392" s="137"/>
      <c r="H1392" s="137"/>
      <c r="I1392" s="137"/>
      <c r="J1392" s="197"/>
      <c r="K1392" s="198"/>
      <c r="L1392" s="196"/>
      <c r="M1392" s="196"/>
      <c r="N1392" s="196"/>
      <c r="O1392" s="196"/>
      <c r="P1392" s="127"/>
    </row>
    <row r="1393" spans="1:16" ht="20.25" customHeight="1" x14ac:dyDescent="0.3">
      <c r="A1393" s="137"/>
      <c r="B1393" s="137"/>
      <c r="C1393" s="137"/>
      <c r="D1393" s="194"/>
      <c r="E1393" s="194"/>
      <c r="F1393" s="137"/>
      <c r="G1393" s="137"/>
      <c r="H1393" s="137"/>
      <c r="I1393" s="137"/>
      <c r="J1393" s="197"/>
      <c r="K1393" s="198"/>
      <c r="L1393" s="196"/>
      <c r="M1393" s="196"/>
      <c r="N1393" s="196"/>
      <c r="O1393" s="196"/>
      <c r="P1393" s="127"/>
    </row>
    <row r="1394" spans="1:16" ht="20.25" customHeight="1" x14ac:dyDescent="0.3">
      <c r="A1394" s="137"/>
      <c r="B1394" s="137"/>
      <c r="C1394" s="137"/>
      <c r="D1394" s="194"/>
      <c r="E1394" s="194"/>
      <c r="F1394" s="137"/>
      <c r="G1394" s="137"/>
      <c r="H1394" s="137"/>
      <c r="I1394" s="137"/>
      <c r="J1394" s="197"/>
      <c r="K1394" s="198"/>
      <c r="L1394" s="196"/>
      <c r="M1394" s="196"/>
      <c r="N1394" s="196"/>
      <c r="O1394" s="196"/>
      <c r="P1394" s="127"/>
    </row>
    <row r="1395" spans="1:16" ht="20.25" customHeight="1" x14ac:dyDescent="0.3">
      <c r="A1395" s="137"/>
      <c r="B1395" s="137"/>
      <c r="C1395" s="137"/>
      <c r="D1395" s="194"/>
      <c r="E1395" s="194"/>
      <c r="F1395" s="137"/>
      <c r="G1395" s="137"/>
      <c r="H1395" s="137"/>
      <c r="I1395" s="137"/>
      <c r="J1395" s="197"/>
      <c r="K1395" s="198"/>
      <c r="L1395" s="196"/>
      <c r="M1395" s="196"/>
      <c r="N1395" s="196"/>
      <c r="O1395" s="196"/>
      <c r="P1395" s="127"/>
    </row>
    <row r="1396" spans="1:16" ht="20.25" customHeight="1" x14ac:dyDescent="0.3">
      <c r="A1396" s="137"/>
      <c r="B1396" s="137"/>
      <c r="C1396" s="137"/>
      <c r="D1396" s="194"/>
      <c r="E1396" s="194"/>
      <c r="F1396" s="137"/>
      <c r="G1396" s="137"/>
      <c r="H1396" s="137"/>
      <c r="I1396" s="137"/>
      <c r="J1396" s="197"/>
      <c r="K1396" s="198"/>
      <c r="L1396" s="196"/>
      <c r="M1396" s="196"/>
      <c r="N1396" s="196"/>
      <c r="O1396" s="196"/>
      <c r="P1396" s="127"/>
    </row>
    <row r="1397" spans="1:16" ht="20.25" customHeight="1" x14ac:dyDescent="0.3">
      <c r="A1397" s="137"/>
      <c r="B1397" s="137"/>
      <c r="C1397" s="137"/>
      <c r="D1397" s="194"/>
      <c r="E1397" s="194"/>
      <c r="F1397" s="137"/>
      <c r="G1397" s="137"/>
      <c r="H1397" s="137"/>
      <c r="I1397" s="137"/>
      <c r="J1397" s="197"/>
      <c r="K1397" s="198"/>
      <c r="L1397" s="196"/>
      <c r="M1397" s="196"/>
      <c r="N1397" s="196"/>
      <c r="O1397" s="196"/>
      <c r="P1397" s="127"/>
    </row>
    <row r="1398" spans="1:16" ht="20.25" customHeight="1" x14ac:dyDescent="0.3">
      <c r="A1398" s="137"/>
      <c r="B1398" s="137"/>
      <c r="C1398" s="137"/>
      <c r="D1398" s="194"/>
      <c r="E1398" s="194"/>
      <c r="F1398" s="137"/>
      <c r="G1398" s="137"/>
      <c r="H1398" s="137"/>
      <c r="I1398" s="137"/>
      <c r="J1398" s="197"/>
      <c r="K1398" s="198"/>
      <c r="L1398" s="196"/>
      <c r="M1398" s="196"/>
      <c r="N1398" s="196"/>
      <c r="O1398" s="196"/>
      <c r="P1398" s="127"/>
    </row>
    <row r="1399" spans="1:16" ht="20.25" customHeight="1" x14ac:dyDescent="0.3">
      <c r="A1399" s="137"/>
      <c r="B1399" s="137"/>
      <c r="C1399" s="137"/>
      <c r="D1399" s="194"/>
      <c r="E1399" s="194"/>
      <c r="F1399" s="137"/>
      <c r="G1399" s="137"/>
      <c r="H1399" s="137"/>
      <c r="I1399" s="137"/>
      <c r="J1399" s="197"/>
      <c r="K1399" s="198"/>
      <c r="L1399" s="196"/>
      <c r="M1399" s="196"/>
      <c r="N1399" s="196"/>
      <c r="O1399" s="196"/>
      <c r="P1399" s="127"/>
    </row>
    <row r="1400" spans="1:16" ht="20.25" customHeight="1" x14ac:dyDescent="0.3">
      <c r="A1400" s="137"/>
      <c r="B1400" s="137"/>
      <c r="C1400" s="137"/>
      <c r="D1400" s="194"/>
      <c r="E1400" s="194"/>
      <c r="F1400" s="137"/>
      <c r="G1400" s="137"/>
      <c r="H1400" s="137"/>
      <c r="I1400" s="137"/>
      <c r="J1400" s="197"/>
      <c r="K1400" s="198"/>
      <c r="L1400" s="196"/>
      <c r="M1400" s="196"/>
      <c r="N1400" s="196"/>
      <c r="O1400" s="196"/>
      <c r="P1400" s="127"/>
    </row>
    <row r="1401" spans="1:16" ht="20.25" customHeight="1" x14ac:dyDescent="0.3">
      <c r="A1401" s="137"/>
      <c r="B1401" s="137"/>
      <c r="C1401" s="137"/>
      <c r="D1401" s="194"/>
      <c r="E1401" s="194"/>
      <c r="F1401" s="137"/>
      <c r="G1401" s="137"/>
      <c r="H1401" s="137"/>
      <c r="I1401" s="137"/>
      <c r="J1401" s="197"/>
      <c r="K1401" s="198"/>
      <c r="L1401" s="196"/>
      <c r="M1401" s="196"/>
      <c r="N1401" s="196"/>
      <c r="O1401" s="196"/>
      <c r="P1401" s="127"/>
    </row>
    <row r="1402" spans="1:16" ht="20.25" customHeight="1" x14ac:dyDescent="0.3">
      <c r="A1402" s="137"/>
      <c r="B1402" s="137"/>
      <c r="C1402" s="137"/>
      <c r="D1402" s="194"/>
      <c r="E1402" s="194"/>
      <c r="F1402" s="137"/>
      <c r="G1402" s="137"/>
      <c r="H1402" s="137"/>
      <c r="I1402" s="137"/>
      <c r="J1402" s="197"/>
      <c r="K1402" s="198"/>
      <c r="L1402" s="196"/>
      <c r="M1402" s="196"/>
      <c r="N1402" s="196"/>
      <c r="O1402" s="196"/>
      <c r="P1402" s="127"/>
    </row>
    <row r="1403" spans="1:16" ht="20.25" customHeight="1" x14ac:dyDescent="0.3">
      <c r="A1403" s="137"/>
      <c r="B1403" s="137"/>
      <c r="C1403" s="137"/>
      <c r="D1403" s="194"/>
      <c r="E1403" s="194"/>
      <c r="F1403" s="137"/>
      <c r="G1403" s="137"/>
      <c r="H1403" s="137"/>
      <c r="I1403" s="137"/>
      <c r="J1403" s="197"/>
      <c r="K1403" s="198"/>
      <c r="L1403" s="196"/>
      <c r="M1403" s="196"/>
      <c r="N1403" s="196"/>
      <c r="O1403" s="196"/>
      <c r="P1403" s="127"/>
    </row>
    <row r="1404" spans="1:16" ht="20.25" customHeight="1" x14ac:dyDescent="0.3">
      <c r="A1404" s="137"/>
      <c r="B1404" s="137"/>
      <c r="C1404" s="137"/>
      <c r="D1404" s="194"/>
      <c r="E1404" s="194"/>
      <c r="F1404" s="137"/>
      <c r="G1404" s="137"/>
      <c r="H1404" s="137"/>
      <c r="I1404" s="137"/>
      <c r="J1404" s="197"/>
      <c r="K1404" s="198"/>
      <c r="L1404" s="196"/>
      <c r="M1404" s="196"/>
      <c r="N1404" s="196"/>
      <c r="O1404" s="196"/>
      <c r="P1404" s="127"/>
    </row>
    <row r="1405" spans="1:16" ht="20.25" customHeight="1" x14ac:dyDescent="0.3">
      <c r="A1405" s="137"/>
      <c r="B1405" s="137"/>
      <c r="C1405" s="137"/>
      <c r="D1405" s="194"/>
      <c r="E1405" s="194"/>
      <c r="F1405" s="137"/>
      <c r="G1405" s="137"/>
      <c r="H1405" s="137"/>
      <c r="I1405" s="137"/>
      <c r="J1405" s="197"/>
      <c r="K1405" s="198"/>
      <c r="L1405" s="196"/>
      <c r="M1405" s="196"/>
      <c r="N1405" s="196"/>
      <c r="O1405" s="196"/>
      <c r="P1405" s="127"/>
    </row>
    <row r="1406" spans="1:16" ht="20.25" customHeight="1" x14ac:dyDescent="0.3">
      <c r="A1406" s="137"/>
      <c r="B1406" s="137"/>
      <c r="C1406" s="137"/>
      <c r="D1406" s="194"/>
      <c r="E1406" s="194"/>
      <c r="F1406" s="137"/>
      <c r="G1406" s="137"/>
      <c r="H1406" s="137"/>
      <c r="I1406" s="137"/>
      <c r="J1406" s="197"/>
      <c r="K1406" s="198"/>
      <c r="L1406" s="196"/>
      <c r="M1406" s="196"/>
      <c r="N1406" s="196"/>
      <c r="O1406" s="196"/>
      <c r="P1406" s="127"/>
    </row>
    <row r="1407" spans="1:16" ht="20.25" customHeight="1" x14ac:dyDescent="0.3">
      <c r="A1407" s="137"/>
      <c r="B1407" s="137"/>
      <c r="C1407" s="137"/>
      <c r="D1407" s="194"/>
      <c r="E1407" s="194"/>
      <c r="F1407" s="137"/>
      <c r="G1407" s="137"/>
      <c r="H1407" s="137"/>
      <c r="I1407" s="137"/>
      <c r="J1407" s="197"/>
      <c r="K1407" s="198"/>
      <c r="L1407" s="196"/>
      <c r="M1407" s="196"/>
      <c r="N1407" s="196"/>
      <c r="O1407" s="196"/>
      <c r="P1407" s="127"/>
    </row>
    <row r="1408" spans="1:16" ht="20.25" customHeight="1" x14ac:dyDescent="0.3">
      <c r="A1408" s="137"/>
      <c r="B1408" s="137"/>
      <c r="C1408" s="137"/>
      <c r="D1408" s="194"/>
      <c r="E1408" s="194"/>
      <c r="F1408" s="137"/>
      <c r="G1408" s="137"/>
      <c r="H1408" s="137"/>
      <c r="I1408" s="137"/>
      <c r="J1408" s="197"/>
      <c r="K1408" s="198"/>
      <c r="L1408" s="196"/>
      <c r="M1408" s="196"/>
      <c r="N1408" s="196"/>
      <c r="O1408" s="196"/>
      <c r="P1408" s="127"/>
    </row>
    <row r="1409" spans="1:16" ht="20.25" customHeight="1" x14ac:dyDescent="0.3">
      <c r="A1409" s="137"/>
      <c r="B1409" s="137"/>
      <c r="C1409" s="137"/>
      <c r="D1409" s="194"/>
      <c r="E1409" s="194"/>
      <c r="F1409" s="137"/>
      <c r="G1409" s="137"/>
      <c r="H1409" s="137"/>
      <c r="I1409" s="137"/>
      <c r="J1409" s="197"/>
      <c r="K1409" s="198"/>
      <c r="L1409" s="196"/>
      <c r="M1409" s="196"/>
      <c r="N1409" s="196"/>
      <c r="O1409" s="196"/>
      <c r="P1409" s="127"/>
    </row>
    <row r="1410" spans="1:16" ht="20.25" customHeight="1" x14ac:dyDescent="0.3">
      <c r="A1410" s="137"/>
      <c r="B1410" s="137"/>
      <c r="C1410" s="137"/>
      <c r="D1410" s="194"/>
      <c r="E1410" s="194"/>
      <c r="F1410" s="137"/>
      <c r="G1410" s="137"/>
      <c r="H1410" s="137"/>
      <c r="I1410" s="137"/>
      <c r="J1410" s="197"/>
      <c r="K1410" s="198"/>
      <c r="L1410" s="196"/>
      <c r="M1410" s="196"/>
      <c r="N1410" s="196"/>
      <c r="O1410" s="196"/>
      <c r="P1410" s="127"/>
    </row>
    <row r="1411" spans="1:16" ht="20.25" customHeight="1" x14ac:dyDescent="0.3">
      <c r="A1411" s="137"/>
      <c r="B1411" s="137"/>
      <c r="C1411" s="137"/>
      <c r="D1411" s="194"/>
      <c r="E1411" s="194"/>
      <c r="F1411" s="137"/>
      <c r="G1411" s="137"/>
      <c r="H1411" s="137"/>
      <c r="I1411" s="137"/>
      <c r="J1411" s="197"/>
      <c r="K1411" s="198"/>
      <c r="L1411" s="196"/>
      <c r="M1411" s="196"/>
      <c r="N1411" s="196"/>
      <c r="O1411" s="196"/>
      <c r="P1411" s="127"/>
    </row>
    <row r="1412" spans="1:16" ht="20.25" customHeight="1" x14ac:dyDescent="0.3">
      <c r="A1412" s="137"/>
      <c r="B1412" s="137"/>
      <c r="C1412" s="137"/>
      <c r="D1412" s="194"/>
      <c r="E1412" s="194"/>
      <c r="F1412" s="137"/>
      <c r="G1412" s="137"/>
      <c r="H1412" s="137"/>
      <c r="I1412" s="137"/>
      <c r="J1412" s="197"/>
      <c r="K1412" s="198"/>
      <c r="L1412" s="196"/>
      <c r="M1412" s="196"/>
      <c r="N1412" s="196"/>
      <c r="O1412" s="196"/>
      <c r="P1412" s="127"/>
    </row>
    <row r="1413" spans="1:16" ht="20.25" customHeight="1" x14ac:dyDescent="0.3">
      <c r="A1413" s="137"/>
      <c r="B1413" s="137"/>
      <c r="C1413" s="137"/>
      <c r="D1413" s="194"/>
      <c r="E1413" s="194"/>
      <c r="F1413" s="137"/>
      <c r="G1413" s="137"/>
      <c r="H1413" s="137"/>
      <c r="I1413" s="137"/>
      <c r="J1413" s="197"/>
      <c r="K1413" s="198"/>
      <c r="L1413" s="196"/>
      <c r="M1413" s="196"/>
      <c r="N1413" s="196"/>
      <c r="O1413" s="196"/>
      <c r="P1413" s="127"/>
    </row>
    <row r="1414" spans="1:16" ht="20.25" customHeight="1" x14ac:dyDescent="0.3">
      <c r="A1414" s="137"/>
      <c r="B1414" s="137"/>
      <c r="C1414" s="137"/>
      <c r="D1414" s="194"/>
      <c r="E1414" s="194"/>
      <c r="F1414" s="137"/>
      <c r="G1414" s="137"/>
      <c r="H1414" s="137"/>
      <c r="I1414" s="137"/>
      <c r="J1414" s="197"/>
      <c r="K1414" s="198"/>
      <c r="L1414" s="196"/>
      <c r="M1414" s="196"/>
      <c r="N1414" s="196"/>
      <c r="O1414" s="196"/>
      <c r="P1414" s="127"/>
    </row>
    <row r="1415" spans="1:16" ht="20.25" customHeight="1" x14ac:dyDescent="0.3">
      <c r="A1415" s="137"/>
      <c r="B1415" s="137"/>
      <c r="C1415" s="137"/>
      <c r="D1415" s="194"/>
      <c r="E1415" s="194"/>
      <c r="F1415" s="137"/>
      <c r="G1415" s="137"/>
      <c r="H1415" s="137"/>
      <c r="I1415" s="137"/>
      <c r="J1415" s="197"/>
      <c r="K1415" s="198"/>
      <c r="L1415" s="196"/>
      <c r="M1415" s="196"/>
      <c r="N1415" s="196"/>
      <c r="O1415" s="196"/>
      <c r="P1415" s="127"/>
    </row>
    <row r="1416" spans="1:16" ht="20.25" customHeight="1" x14ac:dyDescent="0.3">
      <c r="A1416" s="137"/>
      <c r="B1416" s="137"/>
      <c r="C1416" s="137"/>
      <c r="D1416" s="194"/>
      <c r="E1416" s="194"/>
      <c r="F1416" s="137"/>
      <c r="G1416" s="137"/>
      <c r="H1416" s="137"/>
      <c r="I1416" s="137"/>
      <c r="J1416" s="197"/>
      <c r="K1416" s="198"/>
      <c r="L1416" s="196"/>
      <c r="M1416" s="196"/>
      <c r="N1416" s="196"/>
      <c r="O1416" s="196"/>
      <c r="P1416" s="127"/>
    </row>
    <row r="1417" spans="1:16" ht="20.25" customHeight="1" x14ac:dyDescent="0.3">
      <c r="A1417" s="137"/>
      <c r="B1417" s="137"/>
      <c r="C1417" s="137"/>
      <c r="D1417" s="194"/>
      <c r="E1417" s="194"/>
      <c r="F1417" s="137"/>
      <c r="G1417" s="137"/>
      <c r="H1417" s="137"/>
      <c r="I1417" s="137"/>
      <c r="J1417" s="197"/>
      <c r="K1417" s="198"/>
      <c r="L1417" s="196"/>
      <c r="M1417" s="196"/>
      <c r="N1417" s="196"/>
      <c r="O1417" s="196"/>
      <c r="P1417" s="127"/>
    </row>
    <row r="1418" spans="1:16" ht="20.25" customHeight="1" x14ac:dyDescent="0.3">
      <c r="A1418" s="137"/>
      <c r="B1418" s="137"/>
      <c r="C1418" s="137"/>
      <c r="D1418" s="194"/>
      <c r="E1418" s="194"/>
      <c r="F1418" s="137"/>
      <c r="G1418" s="137"/>
      <c r="H1418" s="137"/>
      <c r="I1418" s="137"/>
      <c r="J1418" s="197"/>
      <c r="K1418" s="198"/>
      <c r="L1418" s="196"/>
      <c r="M1418" s="196"/>
      <c r="N1418" s="196"/>
      <c r="O1418" s="196"/>
      <c r="P1418" s="127"/>
    </row>
    <row r="1419" spans="1:16" ht="20.25" customHeight="1" x14ac:dyDescent="0.3">
      <c r="A1419" s="137"/>
      <c r="B1419" s="137"/>
      <c r="C1419" s="137"/>
      <c r="D1419" s="194"/>
      <c r="E1419" s="194"/>
      <c r="F1419" s="137"/>
      <c r="G1419" s="137"/>
      <c r="H1419" s="137"/>
      <c r="I1419" s="137"/>
      <c r="J1419" s="197"/>
      <c r="K1419" s="198"/>
      <c r="L1419" s="196"/>
      <c r="M1419" s="196"/>
      <c r="N1419" s="196"/>
      <c r="O1419" s="196"/>
      <c r="P1419" s="127"/>
    </row>
    <row r="1420" spans="1:16" ht="20.25" customHeight="1" x14ac:dyDescent="0.3">
      <c r="A1420" s="137"/>
      <c r="B1420" s="137"/>
      <c r="C1420" s="137"/>
      <c r="D1420" s="194"/>
      <c r="E1420" s="194"/>
      <c r="F1420" s="137"/>
      <c r="G1420" s="137"/>
      <c r="H1420" s="137"/>
      <c r="I1420" s="137"/>
      <c r="J1420" s="197"/>
      <c r="K1420" s="198"/>
      <c r="L1420" s="196"/>
      <c r="M1420" s="196"/>
      <c r="N1420" s="196"/>
      <c r="O1420" s="196"/>
      <c r="P1420" s="127"/>
    </row>
    <row r="1421" spans="1:16" ht="20.25" customHeight="1" x14ac:dyDescent="0.3">
      <c r="A1421" s="137"/>
      <c r="B1421" s="137"/>
      <c r="C1421" s="137"/>
      <c r="D1421" s="194"/>
      <c r="E1421" s="194"/>
      <c r="F1421" s="137"/>
      <c r="G1421" s="137"/>
      <c r="H1421" s="137"/>
      <c r="I1421" s="137"/>
      <c r="J1421" s="197"/>
      <c r="K1421" s="198"/>
      <c r="L1421" s="196"/>
      <c r="M1421" s="196"/>
      <c r="N1421" s="196"/>
      <c r="O1421" s="196"/>
      <c r="P1421" s="127"/>
    </row>
    <row r="1422" spans="1:16" ht="20.25" customHeight="1" x14ac:dyDescent="0.3">
      <c r="A1422" s="137"/>
      <c r="B1422" s="137"/>
      <c r="C1422" s="137"/>
      <c r="D1422" s="194"/>
      <c r="E1422" s="194"/>
      <c r="F1422" s="137"/>
      <c r="G1422" s="137"/>
      <c r="H1422" s="137"/>
      <c r="I1422" s="137"/>
      <c r="J1422" s="197"/>
      <c r="K1422" s="198"/>
      <c r="L1422" s="196"/>
      <c r="M1422" s="196"/>
      <c r="N1422" s="196"/>
      <c r="O1422" s="196"/>
      <c r="P1422" s="127"/>
    </row>
    <row r="1423" spans="1:16" ht="20.25" customHeight="1" x14ac:dyDescent="0.3">
      <c r="A1423" s="137"/>
      <c r="B1423" s="137"/>
      <c r="C1423" s="137"/>
      <c r="D1423" s="194"/>
      <c r="E1423" s="194"/>
      <c r="F1423" s="137"/>
      <c r="G1423" s="137"/>
      <c r="H1423" s="137"/>
      <c r="I1423" s="137"/>
      <c r="J1423" s="197"/>
      <c r="K1423" s="198"/>
      <c r="L1423" s="196"/>
      <c r="M1423" s="196"/>
      <c r="N1423" s="196"/>
      <c r="O1423" s="196"/>
      <c r="P1423" s="127"/>
    </row>
    <row r="1424" spans="1:16" ht="20.25" customHeight="1" x14ac:dyDescent="0.3">
      <c r="A1424" s="137"/>
      <c r="B1424" s="137"/>
      <c r="C1424" s="137"/>
      <c r="D1424" s="194"/>
      <c r="E1424" s="194"/>
      <c r="F1424" s="137"/>
      <c r="G1424" s="137"/>
      <c r="H1424" s="137"/>
      <c r="I1424" s="137"/>
      <c r="J1424" s="197"/>
      <c r="K1424" s="198"/>
      <c r="L1424" s="196"/>
      <c r="M1424" s="196"/>
      <c r="N1424" s="196"/>
      <c r="O1424" s="196"/>
      <c r="P1424" s="127"/>
    </row>
    <row r="1425" spans="1:16" ht="20.25" customHeight="1" x14ac:dyDescent="0.3">
      <c r="A1425" s="137"/>
      <c r="B1425" s="137"/>
      <c r="C1425" s="137"/>
      <c r="D1425" s="194"/>
      <c r="E1425" s="194"/>
      <c r="F1425" s="137"/>
      <c r="G1425" s="137"/>
      <c r="H1425" s="137"/>
      <c r="I1425" s="137"/>
      <c r="J1425" s="197"/>
      <c r="K1425" s="198"/>
      <c r="L1425" s="196"/>
      <c r="M1425" s="196"/>
      <c r="N1425" s="196"/>
      <c r="O1425" s="196"/>
      <c r="P1425" s="127"/>
    </row>
    <row r="1426" spans="1:16" ht="20.25" customHeight="1" x14ac:dyDescent="0.3">
      <c r="A1426" s="137"/>
      <c r="B1426" s="137"/>
      <c r="C1426" s="137"/>
      <c r="D1426" s="194"/>
      <c r="E1426" s="194"/>
      <c r="F1426" s="137"/>
      <c r="G1426" s="137"/>
      <c r="H1426" s="137"/>
      <c r="I1426" s="137"/>
      <c r="J1426" s="197"/>
      <c r="K1426" s="198"/>
      <c r="L1426" s="196"/>
      <c r="M1426" s="196"/>
      <c r="N1426" s="196"/>
      <c r="O1426" s="196"/>
      <c r="P1426" s="127"/>
    </row>
    <row r="1427" spans="1:16" ht="20.25" customHeight="1" x14ac:dyDescent="0.3">
      <c r="A1427" s="137"/>
      <c r="B1427" s="137"/>
      <c r="C1427" s="137"/>
      <c r="D1427" s="194"/>
      <c r="E1427" s="194"/>
      <c r="F1427" s="137"/>
      <c r="G1427" s="137"/>
      <c r="H1427" s="137"/>
      <c r="I1427" s="137"/>
      <c r="J1427" s="197"/>
      <c r="K1427" s="198"/>
      <c r="L1427" s="196"/>
      <c r="M1427" s="196"/>
      <c r="N1427" s="196"/>
      <c r="O1427" s="196"/>
      <c r="P1427" s="127"/>
    </row>
    <row r="1428" spans="1:16" ht="20.25" customHeight="1" x14ac:dyDescent="0.3">
      <c r="A1428" s="137"/>
      <c r="B1428" s="137"/>
      <c r="C1428" s="137"/>
      <c r="D1428" s="194"/>
      <c r="E1428" s="194"/>
      <c r="F1428" s="137"/>
      <c r="G1428" s="137"/>
      <c r="H1428" s="137"/>
      <c r="I1428" s="137"/>
      <c r="J1428" s="197"/>
      <c r="K1428" s="198"/>
      <c r="L1428" s="196"/>
      <c r="M1428" s="196"/>
      <c r="N1428" s="196"/>
      <c r="O1428" s="196"/>
      <c r="P1428" s="127"/>
    </row>
    <row r="1429" spans="1:16" ht="20.25" customHeight="1" x14ac:dyDescent="0.3">
      <c r="A1429" s="137"/>
      <c r="B1429" s="137"/>
      <c r="C1429" s="137"/>
      <c r="D1429" s="194"/>
      <c r="E1429" s="194"/>
      <c r="F1429" s="137"/>
      <c r="G1429" s="137"/>
      <c r="H1429" s="137"/>
      <c r="I1429" s="137"/>
      <c r="J1429" s="197"/>
      <c r="K1429" s="198"/>
      <c r="L1429" s="196"/>
      <c r="M1429" s="196"/>
      <c r="N1429" s="196"/>
      <c r="O1429" s="196"/>
      <c r="P1429" s="127"/>
    </row>
    <row r="1430" spans="1:16" ht="20.25" customHeight="1" x14ac:dyDescent="0.3">
      <c r="A1430" s="137"/>
      <c r="B1430" s="137"/>
      <c r="C1430" s="137"/>
      <c r="D1430" s="194"/>
      <c r="E1430" s="194"/>
      <c r="F1430" s="137"/>
      <c r="G1430" s="137"/>
      <c r="H1430" s="137"/>
      <c r="I1430" s="137"/>
      <c r="J1430" s="197"/>
      <c r="K1430" s="198"/>
      <c r="L1430" s="196"/>
      <c r="M1430" s="196"/>
      <c r="N1430" s="196"/>
      <c r="O1430" s="196"/>
      <c r="P1430" s="127"/>
    </row>
    <row r="1431" spans="1:16" ht="20.25" customHeight="1" x14ac:dyDescent="0.3">
      <c r="A1431" s="137"/>
      <c r="B1431" s="137"/>
      <c r="C1431" s="137"/>
      <c r="D1431" s="194"/>
      <c r="E1431" s="194"/>
      <c r="F1431" s="137"/>
      <c r="G1431" s="137"/>
      <c r="H1431" s="137"/>
      <c r="I1431" s="137"/>
      <c r="J1431" s="197"/>
      <c r="K1431" s="198"/>
      <c r="L1431" s="196"/>
      <c r="M1431" s="196"/>
      <c r="N1431" s="196"/>
      <c r="O1431" s="196"/>
      <c r="P1431" s="127"/>
    </row>
    <row r="1432" spans="1:16" ht="20.25" customHeight="1" x14ac:dyDescent="0.3">
      <c r="A1432" s="137"/>
      <c r="B1432" s="137"/>
      <c r="C1432" s="137"/>
      <c r="D1432" s="194"/>
      <c r="E1432" s="194"/>
      <c r="F1432" s="137"/>
      <c r="G1432" s="137"/>
      <c r="H1432" s="137"/>
      <c r="I1432" s="137"/>
      <c r="J1432" s="197"/>
      <c r="K1432" s="198"/>
      <c r="L1432" s="196"/>
      <c r="M1432" s="196"/>
      <c r="N1432" s="196"/>
      <c r="O1432" s="196"/>
      <c r="P1432" s="127"/>
    </row>
    <row r="1433" spans="1:16" ht="20.25" customHeight="1" x14ac:dyDescent="0.3">
      <c r="A1433" s="137"/>
      <c r="B1433" s="137"/>
      <c r="C1433" s="137"/>
      <c r="D1433" s="194"/>
      <c r="E1433" s="194"/>
      <c r="F1433" s="137"/>
      <c r="G1433" s="137"/>
      <c r="H1433" s="137"/>
      <c r="I1433" s="137"/>
      <c r="J1433" s="197"/>
      <c r="K1433" s="198"/>
      <c r="L1433" s="196"/>
      <c r="M1433" s="196"/>
      <c r="N1433" s="196"/>
      <c r="O1433" s="196"/>
      <c r="P1433" s="127"/>
    </row>
    <row r="1434" spans="1:16" ht="20.25" customHeight="1" x14ac:dyDescent="0.3">
      <c r="A1434" s="137"/>
      <c r="B1434" s="137"/>
      <c r="C1434" s="137"/>
      <c r="D1434" s="194"/>
      <c r="E1434" s="194"/>
      <c r="F1434" s="137"/>
      <c r="G1434" s="137"/>
      <c r="H1434" s="137"/>
      <c r="I1434" s="137"/>
      <c r="J1434" s="197"/>
      <c r="K1434" s="198"/>
      <c r="L1434" s="196"/>
      <c r="M1434" s="196"/>
      <c r="N1434" s="196"/>
      <c r="O1434" s="196"/>
      <c r="P1434" s="127"/>
    </row>
    <row r="1435" spans="1:16" ht="20.25" customHeight="1" x14ac:dyDescent="0.3">
      <c r="A1435" s="137"/>
      <c r="B1435" s="137"/>
      <c r="C1435" s="137"/>
      <c r="D1435" s="194"/>
      <c r="E1435" s="194"/>
      <c r="F1435" s="137"/>
      <c r="G1435" s="137"/>
      <c r="H1435" s="137"/>
      <c r="I1435" s="137"/>
      <c r="J1435" s="197"/>
      <c r="K1435" s="198"/>
      <c r="L1435" s="196"/>
      <c r="M1435" s="196"/>
      <c r="N1435" s="196"/>
      <c r="O1435" s="196"/>
      <c r="P1435" s="127"/>
    </row>
    <row r="1436" spans="1:16" ht="20.25" customHeight="1" x14ac:dyDescent="0.3">
      <c r="A1436" s="137"/>
      <c r="B1436" s="137"/>
      <c r="C1436" s="137"/>
      <c r="D1436" s="194"/>
      <c r="E1436" s="194"/>
      <c r="F1436" s="137"/>
      <c r="G1436" s="137"/>
      <c r="H1436" s="137"/>
      <c r="I1436" s="137"/>
      <c r="J1436" s="197"/>
      <c r="K1436" s="198"/>
      <c r="L1436" s="196"/>
      <c r="M1436" s="196"/>
      <c r="N1436" s="196"/>
      <c r="O1436" s="196"/>
      <c r="P1436" s="127"/>
    </row>
    <row r="1437" spans="1:16" ht="20.25" customHeight="1" x14ac:dyDescent="0.3">
      <c r="A1437" s="137"/>
      <c r="B1437" s="137"/>
      <c r="C1437" s="137"/>
      <c r="D1437" s="194"/>
      <c r="E1437" s="194"/>
      <c r="F1437" s="137"/>
      <c r="G1437" s="137"/>
      <c r="H1437" s="137"/>
      <c r="I1437" s="137"/>
      <c r="J1437" s="197"/>
      <c r="K1437" s="198"/>
      <c r="L1437" s="196"/>
      <c r="M1437" s="196"/>
      <c r="N1437" s="196"/>
      <c r="O1437" s="196"/>
      <c r="P1437" s="127"/>
    </row>
    <row r="1438" spans="1:16" ht="20.25" customHeight="1" x14ac:dyDescent="0.3">
      <c r="A1438" s="137"/>
      <c r="B1438" s="137"/>
      <c r="C1438" s="137"/>
      <c r="D1438" s="194"/>
      <c r="E1438" s="194"/>
      <c r="F1438" s="137"/>
      <c r="G1438" s="137"/>
      <c r="H1438" s="137"/>
      <c r="I1438" s="137"/>
      <c r="J1438" s="197"/>
      <c r="K1438" s="198"/>
      <c r="L1438" s="196"/>
      <c r="M1438" s="196"/>
      <c r="N1438" s="196"/>
      <c r="O1438" s="196"/>
      <c r="P1438" s="127"/>
    </row>
    <row r="1439" spans="1:16" ht="20.25" customHeight="1" x14ac:dyDescent="0.3">
      <c r="A1439" s="137"/>
      <c r="B1439" s="137"/>
      <c r="C1439" s="137"/>
      <c r="D1439" s="194"/>
      <c r="E1439" s="194"/>
      <c r="F1439" s="137"/>
      <c r="G1439" s="137"/>
      <c r="H1439" s="137"/>
      <c r="I1439" s="137"/>
      <c r="J1439" s="197"/>
      <c r="K1439" s="198"/>
      <c r="L1439" s="196"/>
      <c r="M1439" s="196"/>
      <c r="N1439" s="196"/>
      <c r="O1439" s="196"/>
      <c r="P1439" s="127"/>
    </row>
    <row r="1440" spans="1:16" ht="20.25" customHeight="1" x14ac:dyDescent="0.3">
      <c r="A1440" s="137"/>
      <c r="B1440" s="137"/>
      <c r="C1440" s="137"/>
      <c r="D1440" s="194"/>
      <c r="E1440" s="194"/>
      <c r="F1440" s="137"/>
      <c r="G1440" s="137"/>
      <c r="H1440" s="137"/>
      <c r="I1440" s="137"/>
      <c r="J1440" s="197"/>
      <c r="K1440" s="198"/>
      <c r="L1440" s="196"/>
      <c r="M1440" s="196"/>
      <c r="N1440" s="196"/>
      <c r="O1440" s="196"/>
      <c r="P1440" s="127"/>
    </row>
    <row r="1441" spans="1:16" ht="20.25" customHeight="1" x14ac:dyDescent="0.3">
      <c r="A1441" s="137"/>
      <c r="B1441" s="137"/>
      <c r="C1441" s="137"/>
      <c r="D1441" s="194"/>
      <c r="E1441" s="194"/>
      <c r="F1441" s="137"/>
      <c r="G1441" s="137"/>
      <c r="H1441" s="137"/>
      <c r="I1441" s="137"/>
      <c r="J1441" s="197"/>
      <c r="K1441" s="198"/>
      <c r="L1441" s="196"/>
      <c r="M1441" s="196"/>
      <c r="N1441" s="196"/>
      <c r="O1441" s="196"/>
      <c r="P1441" s="127"/>
    </row>
    <row r="1442" spans="1:16" ht="20.25" customHeight="1" x14ac:dyDescent="0.3">
      <c r="A1442" s="137"/>
      <c r="B1442" s="137"/>
      <c r="C1442" s="137"/>
      <c r="D1442" s="194"/>
      <c r="E1442" s="194"/>
      <c r="F1442" s="137"/>
      <c r="G1442" s="137"/>
      <c r="H1442" s="137"/>
      <c r="I1442" s="137"/>
      <c r="J1442" s="197"/>
      <c r="K1442" s="198"/>
      <c r="L1442" s="196"/>
      <c r="M1442" s="196"/>
      <c r="N1442" s="196"/>
      <c r="O1442" s="196"/>
      <c r="P1442" s="127"/>
    </row>
    <row r="1443" spans="1:16" ht="20.25" customHeight="1" x14ac:dyDescent="0.3">
      <c r="A1443" s="137"/>
      <c r="B1443" s="137"/>
      <c r="C1443" s="137"/>
      <c r="D1443" s="194"/>
      <c r="E1443" s="194"/>
      <c r="F1443" s="137"/>
      <c r="G1443" s="137"/>
      <c r="H1443" s="137"/>
      <c r="I1443" s="137"/>
      <c r="J1443" s="197"/>
      <c r="K1443" s="198"/>
      <c r="L1443" s="196"/>
      <c r="M1443" s="196"/>
      <c r="N1443" s="196"/>
      <c r="O1443" s="196"/>
      <c r="P1443" s="127"/>
    </row>
    <row r="1444" spans="1:16" ht="20.25" customHeight="1" x14ac:dyDescent="0.3">
      <c r="A1444" s="137"/>
      <c r="B1444" s="137"/>
      <c r="C1444" s="137"/>
      <c r="D1444" s="194"/>
      <c r="E1444" s="194"/>
      <c r="F1444" s="137"/>
      <c r="G1444" s="137"/>
      <c r="H1444" s="137"/>
      <c r="I1444" s="137"/>
      <c r="J1444" s="197"/>
      <c r="K1444" s="198"/>
      <c r="L1444" s="196"/>
      <c r="M1444" s="196"/>
      <c r="N1444" s="196"/>
      <c r="O1444" s="196"/>
      <c r="P1444" s="127"/>
    </row>
    <row r="1445" spans="1:16" ht="20.25" customHeight="1" x14ac:dyDescent="0.3">
      <c r="A1445" s="137"/>
      <c r="B1445" s="137"/>
      <c r="C1445" s="137"/>
      <c r="D1445" s="194"/>
      <c r="E1445" s="194"/>
      <c r="F1445" s="137"/>
      <c r="G1445" s="137"/>
      <c r="H1445" s="137"/>
      <c r="I1445" s="137"/>
      <c r="J1445" s="197"/>
      <c r="K1445" s="198"/>
      <c r="L1445" s="196"/>
      <c r="M1445" s="196"/>
      <c r="N1445" s="196"/>
      <c r="O1445" s="196"/>
      <c r="P1445" s="127"/>
    </row>
    <row r="1446" spans="1:16" ht="20.25" customHeight="1" x14ac:dyDescent="0.3">
      <c r="A1446" s="137"/>
      <c r="B1446" s="137"/>
      <c r="C1446" s="137"/>
      <c r="D1446" s="194"/>
      <c r="E1446" s="194"/>
      <c r="F1446" s="137"/>
      <c r="G1446" s="137"/>
      <c r="H1446" s="137"/>
      <c r="I1446" s="137"/>
      <c r="J1446" s="197"/>
      <c r="K1446" s="198"/>
      <c r="L1446" s="196"/>
      <c r="M1446" s="196"/>
      <c r="N1446" s="196"/>
      <c r="O1446" s="196"/>
      <c r="P1446" s="127"/>
    </row>
    <row r="1447" spans="1:16" ht="20.25" customHeight="1" x14ac:dyDescent="0.3">
      <c r="A1447" s="137"/>
      <c r="B1447" s="137"/>
      <c r="C1447" s="137"/>
      <c r="D1447" s="194"/>
      <c r="E1447" s="194"/>
      <c r="F1447" s="137"/>
      <c r="G1447" s="137"/>
      <c r="H1447" s="137"/>
      <c r="I1447" s="137"/>
      <c r="J1447" s="197"/>
      <c r="K1447" s="198"/>
      <c r="L1447" s="196"/>
      <c r="M1447" s="196"/>
      <c r="N1447" s="196"/>
      <c r="O1447" s="196"/>
      <c r="P1447" s="127"/>
    </row>
    <row r="1448" spans="1:16" ht="20.25" customHeight="1" x14ac:dyDescent="0.3">
      <c r="A1448" s="137"/>
      <c r="B1448" s="137"/>
      <c r="C1448" s="137"/>
      <c r="D1448" s="194"/>
      <c r="E1448" s="194"/>
      <c r="F1448" s="137"/>
      <c r="G1448" s="137"/>
      <c r="H1448" s="137"/>
      <c r="I1448" s="137"/>
      <c r="J1448" s="197"/>
      <c r="K1448" s="198"/>
      <c r="L1448" s="196"/>
      <c r="M1448" s="196"/>
      <c r="N1448" s="196"/>
      <c r="O1448" s="196"/>
      <c r="P1448" s="127"/>
    </row>
    <row r="1449" spans="1:16" ht="20.25" customHeight="1" x14ac:dyDescent="0.3">
      <c r="A1449" s="137"/>
      <c r="B1449" s="137"/>
      <c r="C1449" s="137"/>
      <c r="D1449" s="194"/>
      <c r="E1449" s="194"/>
      <c r="F1449" s="137"/>
      <c r="G1449" s="137"/>
      <c r="H1449" s="137"/>
      <c r="I1449" s="137"/>
      <c r="J1449" s="197"/>
      <c r="K1449" s="198"/>
      <c r="L1449" s="196"/>
      <c r="M1449" s="196"/>
      <c r="N1449" s="196"/>
      <c r="O1449" s="196"/>
      <c r="P1449" s="127"/>
    </row>
    <row r="1450" spans="1:16" ht="20.25" customHeight="1" x14ac:dyDescent="0.3">
      <c r="A1450" s="137"/>
      <c r="B1450" s="137"/>
      <c r="C1450" s="137"/>
      <c r="D1450" s="194"/>
      <c r="E1450" s="194"/>
      <c r="F1450" s="137"/>
      <c r="G1450" s="137"/>
      <c r="H1450" s="137"/>
      <c r="I1450" s="137"/>
      <c r="J1450" s="197"/>
      <c r="K1450" s="198"/>
      <c r="L1450" s="196"/>
      <c r="M1450" s="196"/>
      <c r="N1450" s="196"/>
      <c r="O1450" s="196"/>
      <c r="P1450" s="127"/>
    </row>
    <row r="1451" spans="1:16" ht="20.25" customHeight="1" x14ac:dyDescent="0.3">
      <c r="A1451" s="137"/>
      <c r="B1451" s="137"/>
      <c r="C1451" s="137"/>
      <c r="D1451" s="194"/>
      <c r="E1451" s="194"/>
      <c r="F1451" s="137"/>
      <c r="G1451" s="137"/>
      <c r="H1451" s="137"/>
      <c r="I1451" s="137"/>
      <c r="J1451" s="197"/>
      <c r="K1451" s="198"/>
      <c r="L1451" s="196"/>
      <c r="M1451" s="196"/>
      <c r="N1451" s="196"/>
      <c r="O1451" s="196"/>
      <c r="P1451" s="127"/>
    </row>
    <row r="1452" spans="1:16" ht="20.25" customHeight="1" x14ac:dyDescent="0.3">
      <c r="A1452" s="137"/>
      <c r="B1452" s="137"/>
      <c r="C1452" s="137"/>
      <c r="D1452" s="194"/>
      <c r="E1452" s="194"/>
      <c r="F1452" s="137"/>
      <c r="G1452" s="137"/>
      <c r="H1452" s="137"/>
      <c r="I1452" s="137"/>
      <c r="J1452" s="197"/>
      <c r="K1452" s="198"/>
      <c r="L1452" s="196"/>
      <c r="M1452" s="196"/>
      <c r="N1452" s="196"/>
      <c r="O1452" s="196"/>
      <c r="P1452" s="127"/>
    </row>
    <row r="1453" spans="1:16" ht="20.25" customHeight="1" x14ac:dyDescent="0.3">
      <c r="A1453" s="137"/>
      <c r="B1453" s="137"/>
      <c r="C1453" s="137"/>
      <c r="D1453" s="194"/>
      <c r="E1453" s="194"/>
      <c r="F1453" s="137"/>
      <c r="G1453" s="137"/>
      <c r="H1453" s="137"/>
      <c r="I1453" s="137"/>
      <c r="J1453" s="197"/>
      <c r="K1453" s="198"/>
      <c r="L1453" s="196"/>
      <c r="M1453" s="196"/>
      <c r="N1453" s="196"/>
      <c r="O1453" s="196"/>
      <c r="P1453" s="127"/>
    </row>
    <row r="1454" spans="1:16" ht="20.25" customHeight="1" x14ac:dyDescent="0.3">
      <c r="A1454" s="137"/>
      <c r="B1454" s="137"/>
      <c r="C1454" s="137"/>
      <c r="D1454" s="194"/>
      <c r="E1454" s="194"/>
      <c r="F1454" s="137"/>
      <c r="G1454" s="137"/>
      <c r="H1454" s="137"/>
      <c r="I1454" s="137"/>
      <c r="J1454" s="197"/>
      <c r="K1454" s="198"/>
      <c r="L1454" s="196"/>
      <c r="M1454" s="196"/>
      <c r="N1454" s="196"/>
      <c r="O1454" s="196"/>
      <c r="P1454" s="127"/>
    </row>
    <row r="1455" spans="1:16" ht="20.25" customHeight="1" x14ac:dyDescent="0.3">
      <c r="A1455" s="137"/>
      <c r="B1455" s="137"/>
      <c r="C1455" s="137"/>
      <c r="D1455" s="194"/>
      <c r="E1455" s="194"/>
      <c r="F1455" s="137"/>
      <c r="G1455" s="137"/>
      <c r="H1455" s="137"/>
      <c r="I1455" s="137"/>
      <c r="J1455" s="197"/>
      <c r="K1455" s="198"/>
      <c r="L1455" s="196"/>
      <c r="M1455" s="196"/>
      <c r="N1455" s="196"/>
      <c r="O1455" s="196"/>
      <c r="P1455" s="127"/>
    </row>
    <row r="1456" spans="1:16" ht="20.25" customHeight="1" x14ac:dyDescent="0.3">
      <c r="A1456" s="137"/>
      <c r="B1456" s="137"/>
      <c r="C1456" s="137"/>
      <c r="D1456" s="194"/>
      <c r="E1456" s="194"/>
      <c r="F1456" s="137"/>
      <c r="G1456" s="137"/>
      <c r="H1456" s="137"/>
      <c r="I1456" s="137"/>
      <c r="J1456" s="197"/>
      <c r="K1456" s="198"/>
      <c r="L1456" s="196"/>
      <c r="M1456" s="196"/>
      <c r="N1456" s="196"/>
      <c r="O1456" s="196"/>
      <c r="P1456" s="127"/>
    </row>
    <row r="1457" spans="1:16" ht="20.25" customHeight="1" x14ac:dyDescent="0.3">
      <c r="A1457" s="137"/>
      <c r="B1457" s="137"/>
      <c r="C1457" s="137"/>
      <c r="D1457" s="194"/>
      <c r="E1457" s="194"/>
      <c r="F1457" s="137"/>
      <c r="G1457" s="137"/>
      <c r="H1457" s="137"/>
      <c r="I1457" s="137"/>
      <c r="J1457" s="197"/>
      <c r="K1457" s="198"/>
      <c r="L1457" s="196"/>
      <c r="M1457" s="196"/>
      <c r="N1457" s="196"/>
      <c r="O1457" s="196"/>
      <c r="P1457" s="127"/>
    </row>
    <row r="1458" spans="1:16" ht="20.25" customHeight="1" x14ac:dyDescent="0.3">
      <c r="A1458" s="137"/>
      <c r="B1458" s="137"/>
      <c r="C1458" s="137"/>
      <c r="D1458" s="194"/>
      <c r="E1458" s="194"/>
      <c r="F1458" s="137"/>
      <c r="G1458" s="137"/>
      <c r="H1458" s="137"/>
      <c r="I1458" s="137"/>
      <c r="J1458" s="197"/>
      <c r="K1458" s="198"/>
      <c r="L1458" s="196"/>
      <c r="M1458" s="196"/>
      <c r="N1458" s="196"/>
      <c r="O1458" s="196"/>
      <c r="P1458" s="127"/>
    </row>
    <row r="1459" spans="1:16" ht="20.25" customHeight="1" x14ac:dyDescent="0.3">
      <c r="A1459" s="137"/>
      <c r="B1459" s="137"/>
      <c r="C1459" s="137"/>
      <c r="D1459" s="194"/>
      <c r="E1459" s="194"/>
      <c r="F1459" s="137"/>
      <c r="G1459" s="137"/>
      <c r="H1459" s="137"/>
      <c r="I1459" s="137"/>
      <c r="J1459" s="197"/>
      <c r="K1459" s="198"/>
      <c r="L1459" s="196"/>
      <c r="M1459" s="196"/>
      <c r="N1459" s="196"/>
      <c r="O1459" s="196"/>
      <c r="P1459" s="127"/>
    </row>
    <row r="1460" spans="1:16" ht="20.25" customHeight="1" x14ac:dyDescent="0.3">
      <c r="A1460" s="137"/>
      <c r="B1460" s="137"/>
      <c r="C1460" s="137"/>
      <c r="D1460" s="194"/>
      <c r="E1460" s="194"/>
      <c r="F1460" s="137"/>
      <c r="G1460" s="137"/>
      <c r="H1460" s="137"/>
      <c r="I1460" s="137"/>
      <c r="J1460" s="197"/>
      <c r="K1460" s="198"/>
      <c r="L1460" s="196"/>
      <c r="M1460" s="196"/>
      <c r="N1460" s="196"/>
      <c r="O1460" s="196"/>
      <c r="P1460" s="127"/>
    </row>
    <row r="1461" spans="1:16" ht="20.25" customHeight="1" x14ac:dyDescent="0.3">
      <c r="A1461" s="137"/>
      <c r="B1461" s="137"/>
      <c r="C1461" s="137"/>
      <c r="D1461" s="194"/>
      <c r="E1461" s="194"/>
      <c r="F1461" s="137"/>
      <c r="G1461" s="137"/>
      <c r="H1461" s="137"/>
      <c r="I1461" s="137"/>
      <c r="J1461" s="197"/>
      <c r="K1461" s="198"/>
      <c r="L1461" s="196"/>
      <c r="M1461" s="196"/>
      <c r="N1461" s="196"/>
      <c r="O1461" s="196"/>
      <c r="P1461" s="127"/>
    </row>
    <row r="1462" spans="1:16" ht="20.25" customHeight="1" x14ac:dyDescent="0.3">
      <c r="A1462" s="137"/>
      <c r="B1462" s="137"/>
      <c r="C1462" s="137"/>
      <c r="D1462" s="194"/>
      <c r="E1462" s="194"/>
      <c r="F1462" s="137"/>
      <c r="G1462" s="137"/>
      <c r="H1462" s="137"/>
      <c r="I1462" s="137"/>
      <c r="J1462" s="197"/>
      <c r="K1462" s="198"/>
      <c r="L1462" s="196"/>
      <c r="M1462" s="196"/>
      <c r="N1462" s="196"/>
      <c r="O1462" s="196"/>
      <c r="P1462" s="127"/>
    </row>
    <row r="1463" spans="1:16" ht="20.25" customHeight="1" x14ac:dyDescent="0.3">
      <c r="A1463" s="137"/>
      <c r="B1463" s="137"/>
      <c r="C1463" s="137"/>
      <c r="D1463" s="194"/>
      <c r="E1463" s="194"/>
      <c r="F1463" s="137"/>
      <c r="G1463" s="137"/>
      <c r="H1463" s="137"/>
      <c r="I1463" s="137"/>
      <c r="J1463" s="197"/>
      <c r="K1463" s="198"/>
      <c r="L1463" s="196"/>
      <c r="M1463" s="196"/>
      <c r="N1463" s="196"/>
      <c r="O1463" s="196"/>
      <c r="P1463" s="127"/>
    </row>
    <row r="1464" spans="1:16" ht="20.25" customHeight="1" x14ac:dyDescent="0.3">
      <c r="A1464" s="137"/>
      <c r="B1464" s="137"/>
      <c r="C1464" s="137"/>
      <c r="D1464" s="194"/>
      <c r="E1464" s="194"/>
      <c r="F1464" s="137"/>
      <c r="G1464" s="137"/>
      <c r="H1464" s="137"/>
      <c r="I1464" s="137"/>
      <c r="J1464" s="197"/>
      <c r="K1464" s="198"/>
      <c r="L1464" s="196"/>
      <c r="M1464" s="196"/>
      <c r="N1464" s="196"/>
      <c r="O1464" s="196"/>
      <c r="P1464" s="127"/>
    </row>
    <row r="1465" spans="1:16" ht="20.25" customHeight="1" x14ac:dyDescent="0.3">
      <c r="A1465" s="137"/>
      <c r="B1465" s="137"/>
      <c r="C1465" s="137"/>
      <c r="D1465" s="194"/>
      <c r="E1465" s="194"/>
      <c r="F1465" s="137"/>
      <c r="G1465" s="137"/>
      <c r="H1465" s="137"/>
      <c r="I1465" s="137"/>
      <c r="J1465" s="197"/>
      <c r="K1465" s="198"/>
      <c r="L1465" s="196"/>
      <c r="M1465" s="196"/>
      <c r="N1465" s="196"/>
      <c r="O1465" s="196"/>
      <c r="P1465" s="127"/>
    </row>
    <row r="1466" spans="1:16" ht="20.25" customHeight="1" x14ac:dyDescent="0.3">
      <c r="A1466" s="137"/>
      <c r="B1466" s="137"/>
      <c r="C1466" s="137"/>
      <c r="D1466" s="194"/>
      <c r="E1466" s="194"/>
      <c r="F1466" s="137"/>
      <c r="G1466" s="137"/>
      <c r="H1466" s="137"/>
      <c r="I1466" s="137"/>
      <c r="J1466" s="197"/>
      <c r="K1466" s="198"/>
      <c r="L1466" s="196"/>
      <c r="M1466" s="196"/>
      <c r="N1466" s="196"/>
      <c r="O1466" s="196"/>
      <c r="P1466" s="127"/>
    </row>
    <row r="1467" spans="1:16" ht="20.25" customHeight="1" x14ac:dyDescent="0.3">
      <c r="A1467" s="137"/>
      <c r="B1467" s="137"/>
      <c r="C1467" s="137"/>
      <c r="D1467" s="194"/>
      <c r="E1467" s="194"/>
      <c r="F1467" s="137"/>
      <c r="G1467" s="137"/>
      <c r="H1467" s="137"/>
      <c r="I1467" s="137"/>
      <c r="J1467" s="197"/>
      <c r="K1467" s="198"/>
      <c r="L1467" s="196"/>
      <c r="M1467" s="196"/>
      <c r="N1467" s="196"/>
      <c r="O1467" s="196"/>
      <c r="P1467" s="127"/>
    </row>
    <row r="1468" spans="1:16" ht="20.25" customHeight="1" x14ac:dyDescent="0.3">
      <c r="A1468" s="137"/>
      <c r="B1468" s="137"/>
      <c r="C1468" s="137"/>
      <c r="D1468" s="194"/>
      <c r="E1468" s="194"/>
      <c r="F1468" s="137"/>
      <c r="G1468" s="137"/>
      <c r="H1468" s="137"/>
      <c r="I1468" s="137"/>
      <c r="J1468" s="197"/>
      <c r="K1468" s="198"/>
      <c r="L1468" s="196"/>
      <c r="M1468" s="196"/>
      <c r="N1468" s="196"/>
      <c r="O1468" s="196"/>
      <c r="P1468" s="127"/>
    </row>
    <row r="1469" spans="1:16" ht="20.25" customHeight="1" x14ac:dyDescent="0.3">
      <c r="A1469" s="137"/>
      <c r="B1469" s="137"/>
      <c r="C1469" s="137"/>
      <c r="D1469" s="194"/>
      <c r="E1469" s="194"/>
      <c r="F1469" s="137"/>
      <c r="G1469" s="137"/>
      <c r="H1469" s="137"/>
      <c r="I1469" s="137"/>
      <c r="J1469" s="197"/>
      <c r="K1469" s="198"/>
      <c r="L1469" s="196"/>
      <c r="M1469" s="196"/>
      <c r="N1469" s="196"/>
      <c r="O1469" s="196"/>
      <c r="P1469" s="127"/>
    </row>
    <row r="1470" spans="1:16" ht="20.25" customHeight="1" x14ac:dyDescent="0.3">
      <c r="A1470" s="137"/>
      <c r="B1470" s="137"/>
      <c r="C1470" s="137"/>
      <c r="D1470" s="194"/>
      <c r="E1470" s="194"/>
      <c r="F1470" s="137"/>
      <c r="G1470" s="137"/>
      <c r="H1470" s="137"/>
      <c r="I1470" s="137"/>
      <c r="J1470" s="197"/>
      <c r="K1470" s="198"/>
      <c r="L1470" s="196"/>
      <c r="M1470" s="196"/>
      <c r="N1470" s="196"/>
      <c r="O1470" s="196"/>
      <c r="P1470" s="127"/>
    </row>
    <row r="1471" spans="1:16" ht="20.25" customHeight="1" x14ac:dyDescent="0.3">
      <c r="A1471" s="137"/>
      <c r="B1471" s="137"/>
      <c r="C1471" s="137"/>
      <c r="D1471" s="194"/>
      <c r="E1471" s="194"/>
      <c r="F1471" s="137"/>
      <c r="G1471" s="137"/>
      <c r="H1471" s="137"/>
      <c r="I1471" s="137"/>
      <c r="J1471" s="197"/>
      <c r="K1471" s="198"/>
      <c r="L1471" s="196"/>
      <c r="M1471" s="196"/>
      <c r="N1471" s="196"/>
      <c r="O1471" s="196"/>
      <c r="P1471" s="127"/>
    </row>
    <row r="1472" spans="1:16" ht="20.25" customHeight="1" x14ac:dyDescent="0.3">
      <c r="A1472" s="137"/>
      <c r="B1472" s="137"/>
      <c r="C1472" s="137"/>
      <c r="D1472" s="194"/>
      <c r="E1472" s="194"/>
      <c r="F1472" s="137"/>
      <c r="G1472" s="137"/>
      <c r="H1472" s="137"/>
      <c r="I1472" s="137"/>
      <c r="J1472" s="197"/>
      <c r="K1472" s="198"/>
      <c r="L1472" s="196"/>
      <c r="M1472" s="196"/>
      <c r="N1472" s="196"/>
      <c r="O1472" s="196"/>
      <c r="P1472" s="127"/>
    </row>
    <row r="1473" spans="1:16" ht="20.25" customHeight="1" x14ac:dyDescent="0.3">
      <c r="A1473" s="137"/>
      <c r="B1473" s="137"/>
      <c r="C1473" s="137"/>
      <c r="D1473" s="194"/>
      <c r="E1473" s="194"/>
      <c r="F1473" s="137"/>
      <c r="G1473" s="137"/>
      <c r="H1473" s="137"/>
      <c r="I1473" s="137"/>
      <c r="J1473" s="197"/>
      <c r="K1473" s="198"/>
      <c r="L1473" s="196"/>
      <c r="M1473" s="196"/>
      <c r="N1473" s="196"/>
      <c r="O1473" s="196"/>
      <c r="P1473" s="127"/>
    </row>
    <row r="1474" spans="1:16" ht="20.25" customHeight="1" x14ac:dyDescent="0.3">
      <c r="A1474" s="137"/>
      <c r="B1474" s="137"/>
      <c r="C1474" s="137"/>
      <c r="D1474" s="194"/>
      <c r="E1474" s="194"/>
      <c r="F1474" s="137"/>
      <c r="G1474" s="137"/>
      <c r="H1474" s="137"/>
      <c r="I1474" s="137"/>
      <c r="J1474" s="197"/>
      <c r="K1474" s="198"/>
      <c r="L1474" s="196"/>
      <c r="M1474" s="196"/>
      <c r="N1474" s="196"/>
      <c r="O1474" s="196"/>
      <c r="P1474" s="127"/>
    </row>
    <row r="1475" spans="1:16" ht="20.25" customHeight="1" x14ac:dyDescent="0.3">
      <c r="A1475" s="137"/>
      <c r="B1475" s="137"/>
      <c r="C1475" s="137"/>
      <c r="D1475" s="194"/>
      <c r="E1475" s="194"/>
      <c r="F1475" s="137"/>
      <c r="G1475" s="137"/>
      <c r="H1475" s="137"/>
      <c r="I1475" s="137"/>
      <c r="J1475" s="197"/>
      <c r="K1475" s="198"/>
      <c r="L1475" s="196"/>
      <c r="M1475" s="196"/>
      <c r="N1475" s="196"/>
      <c r="O1475" s="196"/>
      <c r="P1475" s="127"/>
    </row>
    <row r="1476" spans="1:16" ht="20.25" customHeight="1" x14ac:dyDescent="0.3">
      <c r="A1476" s="137"/>
      <c r="B1476" s="137"/>
      <c r="C1476" s="137"/>
      <c r="D1476" s="194"/>
      <c r="E1476" s="194"/>
      <c r="F1476" s="137"/>
      <c r="G1476" s="137"/>
      <c r="H1476" s="137"/>
      <c r="I1476" s="137"/>
      <c r="J1476" s="197"/>
      <c r="K1476" s="198"/>
      <c r="L1476" s="196"/>
      <c r="M1476" s="196"/>
      <c r="N1476" s="196"/>
      <c r="O1476" s="196"/>
      <c r="P1476" s="127"/>
    </row>
    <row r="1477" spans="1:16" ht="20.25" customHeight="1" x14ac:dyDescent="0.3">
      <c r="A1477" s="137"/>
      <c r="B1477" s="137"/>
      <c r="C1477" s="137"/>
      <c r="D1477" s="194"/>
      <c r="E1477" s="194"/>
      <c r="F1477" s="137"/>
      <c r="G1477" s="137"/>
      <c r="H1477" s="137"/>
      <c r="I1477" s="137"/>
      <c r="J1477" s="197"/>
      <c r="K1477" s="198"/>
      <c r="L1477" s="196"/>
      <c r="M1477" s="196"/>
      <c r="N1477" s="196"/>
      <c r="O1477" s="196"/>
      <c r="P1477" s="127"/>
    </row>
    <row r="1478" spans="1:16" ht="20.25" customHeight="1" x14ac:dyDescent="0.3">
      <c r="A1478" s="137"/>
      <c r="B1478" s="137"/>
      <c r="C1478" s="137"/>
      <c r="D1478" s="194"/>
      <c r="E1478" s="194"/>
      <c r="F1478" s="137"/>
      <c r="G1478" s="137"/>
      <c r="H1478" s="137"/>
      <c r="I1478" s="137"/>
      <c r="J1478" s="197"/>
      <c r="K1478" s="198"/>
      <c r="L1478" s="196"/>
      <c r="M1478" s="196"/>
      <c r="N1478" s="196"/>
      <c r="O1478" s="196"/>
      <c r="P1478" s="127"/>
    </row>
    <row r="1479" spans="1:16" ht="20.25" customHeight="1" x14ac:dyDescent="0.3">
      <c r="A1479" s="137"/>
      <c r="B1479" s="137"/>
      <c r="C1479" s="137"/>
      <c r="D1479" s="194"/>
      <c r="E1479" s="194"/>
      <c r="F1479" s="137"/>
      <c r="G1479" s="137"/>
      <c r="H1479" s="137"/>
      <c r="I1479" s="137"/>
      <c r="J1479" s="197"/>
      <c r="K1479" s="198"/>
      <c r="L1479" s="196"/>
      <c r="M1479" s="196"/>
      <c r="N1479" s="196"/>
      <c r="O1479" s="196"/>
      <c r="P1479" s="127"/>
    </row>
    <row r="1480" spans="1:16" ht="20.25" customHeight="1" x14ac:dyDescent="0.3">
      <c r="A1480" s="137"/>
      <c r="B1480" s="137"/>
      <c r="C1480" s="137"/>
      <c r="D1480" s="194"/>
      <c r="E1480" s="194"/>
      <c r="F1480" s="137"/>
      <c r="G1480" s="137"/>
      <c r="H1480" s="137"/>
      <c r="I1480" s="137"/>
      <c r="J1480" s="197"/>
      <c r="K1480" s="198"/>
      <c r="L1480" s="196"/>
      <c r="M1480" s="196"/>
      <c r="N1480" s="196"/>
      <c r="O1480" s="196"/>
      <c r="P1480" s="127"/>
    </row>
    <row r="1481" spans="1:16" ht="20.25" customHeight="1" x14ac:dyDescent="0.3">
      <c r="A1481" s="137"/>
      <c r="B1481" s="137"/>
      <c r="C1481" s="137"/>
      <c r="D1481" s="194"/>
      <c r="E1481" s="194"/>
      <c r="F1481" s="137"/>
      <c r="G1481" s="137"/>
      <c r="H1481" s="137"/>
      <c r="I1481" s="137"/>
      <c r="J1481" s="197"/>
      <c r="K1481" s="198"/>
      <c r="L1481" s="196"/>
      <c r="M1481" s="196"/>
      <c r="N1481" s="196"/>
      <c r="O1481" s="196"/>
      <c r="P1481" s="127"/>
    </row>
    <row r="1482" spans="1:16" ht="20.25" customHeight="1" x14ac:dyDescent="0.3">
      <c r="A1482" s="137"/>
      <c r="B1482" s="137"/>
      <c r="C1482" s="137"/>
      <c r="D1482" s="194"/>
      <c r="E1482" s="194"/>
      <c r="F1482" s="137"/>
      <c r="G1482" s="137"/>
      <c r="H1482" s="137"/>
      <c r="I1482" s="137"/>
      <c r="J1482" s="197"/>
      <c r="K1482" s="198"/>
      <c r="L1482" s="196"/>
      <c r="M1482" s="196"/>
      <c r="N1482" s="196"/>
      <c r="O1482" s="196"/>
      <c r="P1482" s="127"/>
    </row>
    <row r="1483" spans="1:16" ht="20.25" customHeight="1" x14ac:dyDescent="0.3">
      <c r="A1483" s="137"/>
      <c r="B1483" s="137"/>
      <c r="C1483" s="137"/>
      <c r="D1483" s="194"/>
      <c r="E1483" s="194"/>
      <c r="F1483" s="137"/>
      <c r="G1483" s="137"/>
      <c r="H1483" s="137"/>
      <c r="I1483" s="137"/>
      <c r="J1483" s="197"/>
      <c r="K1483" s="198"/>
      <c r="L1483" s="196"/>
      <c r="M1483" s="196"/>
      <c r="N1483" s="196"/>
      <c r="O1483" s="196"/>
      <c r="P1483" s="127"/>
    </row>
    <row r="1484" spans="1:16" ht="20.25" customHeight="1" x14ac:dyDescent="0.3">
      <c r="A1484" s="137"/>
      <c r="B1484" s="137"/>
      <c r="C1484" s="137"/>
      <c r="D1484" s="194"/>
      <c r="E1484" s="194"/>
      <c r="F1484" s="137"/>
      <c r="G1484" s="137"/>
      <c r="H1484" s="137"/>
      <c r="I1484" s="137"/>
      <c r="J1484" s="197"/>
      <c r="K1484" s="198"/>
      <c r="L1484" s="196"/>
      <c r="M1484" s="196"/>
      <c r="N1484" s="196"/>
      <c r="O1484" s="196"/>
      <c r="P1484" s="127"/>
    </row>
    <row r="1485" spans="1:16" ht="20.25" customHeight="1" x14ac:dyDescent="0.3">
      <c r="A1485" s="137"/>
      <c r="B1485" s="137"/>
      <c r="C1485" s="137"/>
      <c r="D1485" s="194"/>
      <c r="E1485" s="194"/>
      <c r="F1485" s="137"/>
      <c r="G1485" s="137"/>
      <c r="H1485" s="137"/>
      <c r="I1485" s="137"/>
      <c r="J1485" s="197"/>
      <c r="K1485" s="198"/>
      <c r="L1485" s="196"/>
      <c r="M1485" s="196"/>
      <c r="N1485" s="196"/>
      <c r="O1485" s="196"/>
      <c r="P1485" s="127"/>
    </row>
    <row r="1486" spans="1:16" ht="20.25" customHeight="1" x14ac:dyDescent="0.3">
      <c r="A1486" s="137"/>
      <c r="B1486" s="137"/>
      <c r="C1486" s="137"/>
      <c r="D1486" s="194"/>
      <c r="E1486" s="194"/>
      <c r="F1486" s="137"/>
      <c r="G1486" s="137"/>
      <c r="H1486" s="137"/>
      <c r="I1486" s="137"/>
      <c r="J1486" s="197"/>
      <c r="K1486" s="198"/>
      <c r="L1486" s="196"/>
      <c r="M1486" s="196"/>
      <c r="N1486" s="196"/>
      <c r="O1486" s="196"/>
      <c r="P1486" s="127"/>
    </row>
    <row r="1487" spans="1:16" ht="20.25" customHeight="1" x14ac:dyDescent="0.3">
      <c r="A1487" s="137"/>
      <c r="B1487" s="137"/>
      <c r="C1487" s="137"/>
      <c r="D1487" s="194"/>
      <c r="E1487" s="194"/>
      <c r="F1487" s="137"/>
      <c r="G1487" s="137"/>
      <c r="H1487" s="137"/>
      <c r="I1487" s="137"/>
      <c r="J1487" s="197"/>
      <c r="K1487" s="198"/>
      <c r="L1487" s="196"/>
      <c r="M1487" s="196"/>
      <c r="N1487" s="196"/>
      <c r="O1487" s="196"/>
      <c r="P1487" s="127"/>
    </row>
    <row r="1488" spans="1:16" ht="20.25" customHeight="1" x14ac:dyDescent="0.3">
      <c r="A1488" s="137"/>
      <c r="B1488" s="137"/>
      <c r="C1488" s="137"/>
      <c r="D1488" s="194"/>
      <c r="E1488" s="194"/>
      <c r="F1488" s="137"/>
      <c r="G1488" s="137"/>
      <c r="H1488" s="137"/>
      <c r="I1488" s="137"/>
      <c r="J1488" s="197"/>
      <c r="K1488" s="198"/>
      <c r="L1488" s="196"/>
      <c r="M1488" s="196"/>
      <c r="N1488" s="196"/>
      <c r="O1488" s="196"/>
      <c r="P1488" s="127"/>
    </row>
    <row r="1489" spans="1:16" ht="20.25" customHeight="1" x14ac:dyDescent="0.3">
      <c r="A1489" s="137"/>
      <c r="B1489" s="137"/>
      <c r="C1489" s="137"/>
      <c r="D1489" s="194"/>
      <c r="E1489" s="194"/>
      <c r="F1489" s="137"/>
      <c r="G1489" s="137"/>
      <c r="H1489" s="137"/>
      <c r="I1489" s="137"/>
      <c r="J1489" s="197"/>
      <c r="K1489" s="198"/>
      <c r="L1489" s="196"/>
      <c r="M1489" s="196"/>
      <c r="N1489" s="196"/>
      <c r="O1489" s="196"/>
      <c r="P1489" s="127"/>
    </row>
    <row r="1490" spans="1:16" ht="20.25" customHeight="1" x14ac:dyDescent="0.3">
      <c r="A1490" s="137"/>
      <c r="B1490" s="137"/>
      <c r="C1490" s="137"/>
      <c r="D1490" s="194"/>
      <c r="E1490" s="194"/>
      <c r="F1490" s="137"/>
      <c r="G1490" s="137"/>
      <c r="H1490" s="137"/>
      <c r="I1490" s="137"/>
      <c r="J1490" s="197"/>
      <c r="K1490" s="198"/>
      <c r="L1490" s="196"/>
      <c r="M1490" s="196"/>
      <c r="N1490" s="196"/>
      <c r="O1490" s="196"/>
      <c r="P1490" s="127"/>
    </row>
    <row r="1491" spans="1:16" ht="20.25" customHeight="1" x14ac:dyDescent="0.3">
      <c r="A1491" s="137"/>
      <c r="B1491" s="137"/>
      <c r="C1491" s="137"/>
      <c r="D1491" s="194"/>
      <c r="E1491" s="194"/>
      <c r="F1491" s="137"/>
      <c r="G1491" s="137"/>
      <c r="H1491" s="137"/>
      <c r="I1491" s="137"/>
      <c r="J1491" s="197"/>
      <c r="K1491" s="198"/>
      <c r="L1491" s="196"/>
      <c r="M1491" s="196"/>
      <c r="N1491" s="196"/>
      <c r="O1491" s="196"/>
      <c r="P1491" s="127"/>
    </row>
    <row r="1492" spans="1:16" ht="20.25" customHeight="1" x14ac:dyDescent="0.3">
      <c r="A1492" s="137"/>
      <c r="B1492" s="137"/>
      <c r="C1492" s="137"/>
      <c r="D1492" s="194"/>
      <c r="E1492" s="194"/>
      <c r="F1492" s="137"/>
      <c r="G1492" s="137"/>
      <c r="H1492" s="137"/>
      <c r="I1492" s="137"/>
      <c r="J1492" s="197"/>
      <c r="K1492" s="198"/>
      <c r="L1492" s="196"/>
      <c r="M1492" s="196"/>
      <c r="N1492" s="196"/>
      <c r="O1492" s="196"/>
      <c r="P1492" s="127"/>
    </row>
    <row r="1493" spans="1:16" ht="20.25" customHeight="1" x14ac:dyDescent="0.3">
      <c r="A1493" s="137"/>
      <c r="B1493" s="137"/>
      <c r="C1493" s="137"/>
      <c r="D1493" s="194"/>
      <c r="E1493" s="194"/>
      <c r="F1493" s="137"/>
      <c r="G1493" s="137"/>
      <c r="H1493" s="137"/>
      <c r="I1493" s="137"/>
      <c r="J1493" s="197"/>
      <c r="K1493" s="198"/>
      <c r="L1493" s="196"/>
      <c r="M1493" s="196"/>
      <c r="N1493" s="196"/>
      <c r="O1493" s="196"/>
      <c r="P1493" s="127"/>
    </row>
    <row r="1494" spans="1:16" ht="20.25" customHeight="1" x14ac:dyDescent="0.3">
      <c r="A1494" s="137"/>
      <c r="B1494" s="137"/>
      <c r="C1494" s="137"/>
      <c r="D1494" s="194"/>
      <c r="E1494" s="194"/>
      <c r="F1494" s="137"/>
      <c r="G1494" s="137"/>
      <c r="H1494" s="137"/>
      <c r="I1494" s="137"/>
      <c r="J1494" s="197"/>
      <c r="K1494" s="198"/>
      <c r="L1494" s="196"/>
      <c r="M1494" s="196"/>
      <c r="N1494" s="196"/>
      <c r="O1494" s="196"/>
      <c r="P1494" s="127"/>
    </row>
    <row r="1495" spans="1:16" ht="20.25" customHeight="1" x14ac:dyDescent="0.3">
      <c r="A1495" s="137"/>
      <c r="B1495" s="137"/>
      <c r="C1495" s="137"/>
      <c r="D1495" s="194"/>
      <c r="E1495" s="194"/>
      <c r="F1495" s="137"/>
      <c r="G1495" s="137"/>
      <c r="H1495" s="137"/>
      <c r="I1495" s="137"/>
      <c r="J1495" s="197"/>
      <c r="K1495" s="198"/>
      <c r="L1495" s="196"/>
      <c r="M1495" s="196"/>
      <c r="N1495" s="196"/>
      <c r="O1495" s="196"/>
      <c r="P1495" s="127"/>
    </row>
    <row r="1496" spans="1:16" ht="20.25" customHeight="1" x14ac:dyDescent="0.3">
      <c r="A1496" s="137"/>
      <c r="B1496" s="137"/>
      <c r="C1496" s="137"/>
      <c r="D1496" s="194"/>
      <c r="E1496" s="194"/>
      <c r="F1496" s="137"/>
      <c r="G1496" s="137"/>
      <c r="H1496" s="137"/>
      <c r="I1496" s="137"/>
      <c r="J1496" s="197"/>
      <c r="K1496" s="198"/>
      <c r="L1496" s="196"/>
      <c r="M1496" s="196"/>
      <c r="N1496" s="196"/>
      <c r="O1496" s="196"/>
      <c r="P1496" s="127"/>
    </row>
    <row r="1497" spans="1:16" ht="20.25" customHeight="1" x14ac:dyDescent="0.3">
      <c r="A1497" s="137"/>
      <c r="B1497" s="137"/>
      <c r="C1497" s="137"/>
      <c r="D1497" s="194"/>
      <c r="E1497" s="194"/>
      <c r="F1497" s="137"/>
      <c r="G1497" s="137"/>
      <c r="H1497" s="137"/>
      <c r="I1497" s="137"/>
      <c r="J1497" s="197"/>
      <c r="K1497" s="198"/>
      <c r="L1497" s="196"/>
      <c r="M1497" s="196"/>
      <c r="N1497" s="196"/>
      <c r="O1497" s="196"/>
      <c r="P1497" s="127"/>
    </row>
    <row r="1498" spans="1:16" ht="20.25" customHeight="1" x14ac:dyDescent="0.3">
      <c r="A1498" s="137"/>
      <c r="B1498" s="137"/>
      <c r="C1498" s="137"/>
      <c r="D1498" s="194"/>
      <c r="E1498" s="194"/>
      <c r="F1498" s="137"/>
      <c r="G1498" s="137"/>
      <c r="H1498" s="137"/>
      <c r="I1498" s="137"/>
      <c r="J1498" s="197"/>
      <c r="K1498" s="198"/>
      <c r="L1498" s="196"/>
      <c r="M1498" s="196"/>
      <c r="N1498" s="196"/>
      <c r="O1498" s="196"/>
      <c r="P1498" s="127"/>
    </row>
    <row r="1499" spans="1:16" ht="20.25" customHeight="1" x14ac:dyDescent="0.3">
      <c r="A1499" s="137"/>
      <c r="B1499" s="137"/>
      <c r="C1499" s="137"/>
      <c r="D1499" s="194"/>
      <c r="E1499" s="194"/>
      <c r="F1499" s="137"/>
      <c r="G1499" s="137"/>
      <c r="H1499" s="137"/>
      <c r="I1499" s="137"/>
      <c r="J1499" s="197"/>
      <c r="K1499" s="198"/>
      <c r="L1499" s="196"/>
      <c r="M1499" s="196"/>
      <c r="N1499" s="196"/>
      <c r="O1499" s="196"/>
      <c r="P1499" s="127"/>
    </row>
    <row r="1500" spans="1:16" ht="20.25" customHeight="1" x14ac:dyDescent="0.3">
      <c r="A1500" s="137"/>
      <c r="B1500" s="137"/>
      <c r="C1500" s="137"/>
      <c r="D1500" s="194"/>
      <c r="E1500" s="194"/>
      <c r="F1500" s="137"/>
      <c r="G1500" s="137"/>
      <c r="H1500" s="137"/>
      <c r="I1500" s="137"/>
      <c r="J1500" s="197"/>
      <c r="K1500" s="198"/>
      <c r="L1500" s="196"/>
      <c r="M1500" s="196"/>
      <c r="N1500" s="196"/>
      <c r="O1500" s="196"/>
      <c r="P1500" s="127"/>
    </row>
    <row r="1501" spans="1:16" ht="20.25" customHeight="1" x14ac:dyDescent="0.3">
      <c r="A1501" s="137"/>
      <c r="B1501" s="137"/>
      <c r="C1501" s="137"/>
      <c r="D1501" s="194"/>
      <c r="E1501" s="194"/>
      <c r="F1501" s="137"/>
      <c r="G1501" s="137"/>
      <c r="H1501" s="137"/>
      <c r="I1501" s="137"/>
      <c r="J1501" s="197"/>
      <c r="K1501" s="198"/>
      <c r="L1501" s="196"/>
      <c r="M1501" s="196"/>
      <c r="N1501" s="196"/>
      <c r="O1501" s="196"/>
      <c r="P1501" s="127"/>
    </row>
    <row r="1502" spans="1:16" ht="20.25" customHeight="1" x14ac:dyDescent="0.3">
      <c r="A1502" s="137"/>
      <c r="B1502" s="137"/>
      <c r="C1502" s="137"/>
      <c r="D1502" s="194"/>
      <c r="E1502" s="194"/>
      <c r="F1502" s="137"/>
      <c r="G1502" s="137"/>
      <c r="H1502" s="137"/>
      <c r="I1502" s="137"/>
      <c r="J1502" s="197"/>
      <c r="K1502" s="198"/>
      <c r="L1502" s="196"/>
      <c r="M1502" s="196"/>
      <c r="N1502" s="196"/>
      <c r="O1502" s="196"/>
      <c r="P1502" s="127"/>
    </row>
    <row r="1503" spans="1:16" ht="20.25" customHeight="1" x14ac:dyDescent="0.3">
      <c r="A1503" s="137"/>
      <c r="B1503" s="137"/>
      <c r="C1503" s="137"/>
      <c r="D1503" s="194"/>
      <c r="E1503" s="194"/>
      <c r="F1503" s="137"/>
      <c r="G1503" s="137"/>
      <c r="H1503" s="137"/>
      <c r="I1503" s="137"/>
      <c r="J1503" s="197"/>
      <c r="K1503" s="198"/>
      <c r="L1503" s="196"/>
      <c r="M1503" s="196"/>
      <c r="N1503" s="196"/>
      <c r="O1503" s="196"/>
      <c r="P1503" s="127"/>
    </row>
    <row r="1504" spans="1:16" ht="20.25" customHeight="1" x14ac:dyDescent="0.3">
      <c r="A1504" s="137"/>
      <c r="B1504" s="137"/>
      <c r="C1504" s="137"/>
      <c r="D1504" s="194"/>
      <c r="E1504" s="194"/>
      <c r="F1504" s="137"/>
      <c r="G1504" s="137"/>
      <c r="H1504" s="137"/>
      <c r="I1504" s="137"/>
      <c r="J1504" s="197"/>
      <c r="K1504" s="198"/>
      <c r="L1504" s="196"/>
      <c r="M1504" s="196"/>
      <c r="N1504" s="196"/>
      <c r="O1504" s="196"/>
      <c r="P1504" s="127"/>
    </row>
    <row r="1505" spans="1:16" ht="20.25" customHeight="1" x14ac:dyDescent="0.3">
      <c r="A1505" s="137"/>
      <c r="B1505" s="137"/>
      <c r="C1505" s="137"/>
      <c r="D1505" s="194"/>
      <c r="E1505" s="194"/>
      <c r="F1505" s="137"/>
      <c r="G1505" s="137"/>
      <c r="H1505" s="137"/>
      <c r="I1505" s="137"/>
      <c r="J1505" s="197"/>
      <c r="K1505" s="198"/>
      <c r="L1505" s="196"/>
      <c r="M1505" s="196"/>
      <c r="N1505" s="196"/>
      <c r="O1505" s="196"/>
      <c r="P1505" s="127"/>
    </row>
    <row r="1506" spans="1:16" ht="20.25" customHeight="1" x14ac:dyDescent="0.3">
      <c r="A1506" s="137"/>
      <c r="B1506" s="137"/>
      <c r="C1506" s="137"/>
      <c r="D1506" s="194"/>
      <c r="E1506" s="194"/>
      <c r="F1506" s="137"/>
      <c r="G1506" s="137"/>
      <c r="H1506" s="137"/>
      <c r="I1506" s="137"/>
      <c r="J1506" s="197"/>
      <c r="K1506" s="198"/>
      <c r="L1506" s="196"/>
      <c r="M1506" s="196"/>
      <c r="N1506" s="196"/>
      <c r="O1506" s="196"/>
      <c r="P1506" s="127"/>
    </row>
    <row r="1507" spans="1:16" ht="20.25" customHeight="1" x14ac:dyDescent="0.3">
      <c r="A1507" s="137"/>
      <c r="B1507" s="137"/>
      <c r="C1507" s="137"/>
      <c r="D1507" s="194"/>
      <c r="E1507" s="194"/>
      <c r="F1507" s="137"/>
      <c r="G1507" s="137"/>
      <c r="H1507" s="137"/>
      <c r="I1507" s="137"/>
      <c r="J1507" s="197"/>
      <c r="K1507" s="198"/>
      <c r="L1507" s="196"/>
      <c r="M1507" s="196"/>
      <c r="N1507" s="196"/>
      <c r="O1507" s="196"/>
      <c r="P1507" s="127"/>
    </row>
    <row r="1508" spans="1:16" ht="20.25" customHeight="1" x14ac:dyDescent="0.3">
      <c r="A1508" s="137"/>
      <c r="B1508" s="137"/>
      <c r="C1508" s="137"/>
      <c r="D1508" s="194"/>
      <c r="E1508" s="194"/>
      <c r="F1508" s="137"/>
      <c r="G1508" s="137"/>
      <c r="H1508" s="137"/>
      <c r="I1508" s="137"/>
      <c r="J1508" s="197"/>
      <c r="K1508" s="198"/>
      <c r="L1508" s="196"/>
      <c r="M1508" s="196"/>
      <c r="N1508" s="196"/>
      <c r="O1508" s="196"/>
      <c r="P1508" s="127"/>
    </row>
    <row r="1509" spans="1:16" ht="20.25" customHeight="1" x14ac:dyDescent="0.3">
      <c r="A1509" s="137"/>
      <c r="B1509" s="137"/>
      <c r="C1509" s="137"/>
      <c r="D1509" s="194"/>
      <c r="E1509" s="194"/>
      <c r="F1509" s="137"/>
      <c r="G1509" s="137"/>
      <c r="H1509" s="137"/>
      <c r="I1509" s="137"/>
      <c r="J1509" s="197"/>
      <c r="K1509" s="198"/>
      <c r="L1509" s="196"/>
      <c r="M1509" s="196"/>
      <c r="N1509" s="196"/>
      <c r="O1509" s="196"/>
      <c r="P1509" s="127"/>
    </row>
    <row r="1510" spans="1:16" ht="20.25" customHeight="1" x14ac:dyDescent="0.3">
      <c r="A1510" s="137"/>
      <c r="B1510" s="137"/>
      <c r="C1510" s="137"/>
      <c r="D1510" s="194"/>
      <c r="E1510" s="194"/>
      <c r="F1510" s="137"/>
      <c r="G1510" s="137"/>
      <c r="H1510" s="137"/>
      <c r="I1510" s="137"/>
      <c r="J1510" s="197"/>
      <c r="K1510" s="198"/>
      <c r="L1510" s="196"/>
      <c r="M1510" s="196"/>
      <c r="N1510" s="196"/>
      <c r="O1510" s="196"/>
      <c r="P1510" s="127"/>
    </row>
    <row r="1511" spans="1:16" ht="20.25" customHeight="1" x14ac:dyDescent="0.3">
      <c r="A1511" s="137"/>
      <c r="B1511" s="137"/>
      <c r="C1511" s="137"/>
      <c r="D1511" s="194"/>
      <c r="E1511" s="194"/>
      <c r="F1511" s="137"/>
      <c r="G1511" s="137"/>
      <c r="H1511" s="137"/>
      <c r="I1511" s="137"/>
      <c r="J1511" s="197"/>
      <c r="K1511" s="198"/>
      <c r="L1511" s="196"/>
      <c r="M1511" s="196"/>
      <c r="N1511" s="196"/>
      <c r="O1511" s="196"/>
      <c r="P1511" s="127"/>
    </row>
    <row r="1512" spans="1:16" ht="20.25" customHeight="1" x14ac:dyDescent="0.3">
      <c r="A1512" s="137"/>
      <c r="B1512" s="137"/>
      <c r="C1512" s="137"/>
      <c r="D1512" s="194"/>
      <c r="E1512" s="194"/>
      <c r="F1512" s="137"/>
      <c r="G1512" s="137"/>
      <c r="H1512" s="137"/>
      <c r="I1512" s="137"/>
      <c r="J1512" s="197"/>
      <c r="K1512" s="198"/>
      <c r="L1512" s="196"/>
      <c r="M1512" s="196"/>
      <c r="N1512" s="196"/>
      <c r="O1512" s="196"/>
      <c r="P1512" s="127"/>
    </row>
    <row r="1513" spans="1:16" ht="20.25" customHeight="1" x14ac:dyDescent="0.3">
      <c r="A1513" s="137"/>
      <c r="B1513" s="137"/>
      <c r="C1513" s="137"/>
      <c r="D1513" s="194"/>
      <c r="E1513" s="194"/>
      <c r="F1513" s="137"/>
      <c r="G1513" s="137"/>
      <c r="H1513" s="137"/>
      <c r="I1513" s="137"/>
      <c r="J1513" s="197"/>
      <c r="K1513" s="198"/>
      <c r="L1513" s="196"/>
      <c r="M1513" s="196"/>
      <c r="N1513" s="196"/>
      <c r="O1513" s="196"/>
      <c r="P1513" s="127"/>
    </row>
    <row r="1514" spans="1:16" ht="20.25" customHeight="1" x14ac:dyDescent="0.3">
      <c r="A1514" s="137"/>
      <c r="B1514" s="137"/>
      <c r="C1514" s="137"/>
      <c r="D1514" s="194"/>
      <c r="E1514" s="194"/>
      <c r="F1514" s="137"/>
      <c r="G1514" s="137"/>
      <c r="H1514" s="137"/>
      <c r="I1514" s="137"/>
      <c r="J1514" s="197"/>
      <c r="K1514" s="198"/>
      <c r="L1514" s="196"/>
      <c r="M1514" s="196"/>
      <c r="N1514" s="196"/>
      <c r="O1514" s="196"/>
      <c r="P1514" s="127"/>
    </row>
    <row r="1515" spans="1:16" ht="20.25" customHeight="1" x14ac:dyDescent="0.3">
      <c r="A1515" s="137"/>
      <c r="B1515" s="137"/>
      <c r="C1515" s="137"/>
      <c r="D1515" s="194"/>
      <c r="E1515" s="194"/>
      <c r="F1515" s="137"/>
      <c r="G1515" s="137"/>
      <c r="H1515" s="137"/>
      <c r="I1515" s="137"/>
      <c r="J1515" s="197"/>
      <c r="K1515" s="198"/>
      <c r="L1515" s="196"/>
      <c r="M1515" s="196"/>
      <c r="N1515" s="196"/>
      <c r="O1515" s="196"/>
      <c r="P1515" s="127"/>
    </row>
    <row r="1516" spans="1:16" ht="20.25" customHeight="1" x14ac:dyDescent="0.3">
      <c r="A1516" s="137"/>
      <c r="B1516" s="137"/>
      <c r="C1516" s="137"/>
      <c r="D1516" s="194"/>
      <c r="E1516" s="194"/>
      <c r="F1516" s="137"/>
      <c r="G1516" s="137"/>
      <c r="H1516" s="137"/>
      <c r="I1516" s="137"/>
      <c r="J1516" s="197"/>
      <c r="K1516" s="198"/>
      <c r="L1516" s="196"/>
      <c r="M1516" s="196"/>
      <c r="N1516" s="196"/>
      <c r="O1516" s="196"/>
      <c r="P1516" s="127"/>
    </row>
    <row r="1517" spans="1:16" ht="20.25" customHeight="1" x14ac:dyDescent="0.3">
      <c r="A1517" s="137"/>
      <c r="B1517" s="137"/>
      <c r="C1517" s="137"/>
      <c r="D1517" s="194"/>
      <c r="E1517" s="194"/>
      <c r="F1517" s="137"/>
      <c r="G1517" s="137"/>
      <c r="H1517" s="137"/>
      <c r="I1517" s="137"/>
      <c r="J1517" s="197"/>
      <c r="K1517" s="198"/>
      <c r="L1517" s="196"/>
      <c r="M1517" s="196"/>
      <c r="N1517" s="196"/>
      <c r="O1517" s="196"/>
      <c r="P1517" s="127"/>
    </row>
    <row r="1518" spans="1:16" ht="20.25" customHeight="1" x14ac:dyDescent="0.3">
      <c r="A1518" s="137"/>
      <c r="B1518" s="137"/>
      <c r="C1518" s="137"/>
      <c r="D1518" s="194"/>
      <c r="E1518" s="194"/>
      <c r="F1518" s="137"/>
      <c r="G1518" s="137"/>
      <c r="H1518" s="137"/>
      <c r="I1518" s="137"/>
      <c r="J1518" s="197"/>
      <c r="K1518" s="198"/>
      <c r="L1518" s="196"/>
      <c r="M1518" s="196"/>
      <c r="N1518" s="196"/>
      <c r="O1518" s="196"/>
      <c r="P1518" s="127"/>
    </row>
    <row r="1519" spans="1:16" ht="20.25" customHeight="1" x14ac:dyDescent="0.3">
      <c r="A1519" s="137"/>
      <c r="B1519" s="137"/>
      <c r="C1519" s="137"/>
      <c r="D1519" s="194"/>
      <c r="E1519" s="194"/>
      <c r="F1519" s="137"/>
      <c r="G1519" s="137"/>
      <c r="H1519" s="137"/>
      <c r="I1519" s="137"/>
      <c r="J1519" s="197"/>
      <c r="K1519" s="198"/>
      <c r="L1519" s="196"/>
      <c r="M1519" s="196"/>
      <c r="N1519" s="196"/>
      <c r="O1519" s="196"/>
      <c r="P1519" s="127"/>
    </row>
    <row r="1520" spans="1:16" ht="20.25" customHeight="1" x14ac:dyDescent="0.3">
      <c r="A1520" s="137"/>
      <c r="B1520" s="137"/>
      <c r="C1520" s="137"/>
      <c r="D1520" s="194"/>
      <c r="E1520" s="194"/>
      <c r="F1520" s="137"/>
      <c r="G1520" s="137"/>
      <c r="H1520" s="137"/>
      <c r="I1520" s="137"/>
      <c r="J1520" s="197"/>
      <c r="K1520" s="198"/>
      <c r="L1520" s="196"/>
      <c r="M1520" s="196"/>
      <c r="N1520" s="196"/>
      <c r="O1520" s="196"/>
      <c r="P1520" s="127"/>
    </row>
    <row r="1521" spans="1:16" ht="20.25" customHeight="1" x14ac:dyDescent="0.3">
      <c r="A1521" s="137"/>
      <c r="B1521" s="137"/>
      <c r="C1521" s="137"/>
      <c r="D1521" s="194"/>
      <c r="E1521" s="194"/>
      <c r="F1521" s="137"/>
      <c r="G1521" s="137"/>
      <c r="H1521" s="137"/>
      <c r="I1521" s="137"/>
      <c r="J1521" s="197"/>
      <c r="K1521" s="198"/>
      <c r="L1521" s="196"/>
      <c r="M1521" s="196"/>
      <c r="N1521" s="196"/>
      <c r="O1521" s="196"/>
      <c r="P1521" s="127"/>
    </row>
    <row r="1522" spans="1:16" ht="20.25" customHeight="1" x14ac:dyDescent="0.3">
      <c r="A1522" s="137"/>
      <c r="B1522" s="137"/>
      <c r="C1522" s="137"/>
      <c r="D1522" s="194"/>
      <c r="E1522" s="194"/>
      <c r="F1522" s="137"/>
      <c r="G1522" s="137"/>
      <c r="H1522" s="137"/>
      <c r="I1522" s="137"/>
      <c r="J1522" s="197"/>
      <c r="K1522" s="198"/>
      <c r="L1522" s="196"/>
      <c r="M1522" s="196"/>
      <c r="N1522" s="196"/>
      <c r="O1522" s="196"/>
      <c r="P1522" s="127"/>
    </row>
    <row r="1523" spans="1:16" ht="20.25" customHeight="1" x14ac:dyDescent="0.3">
      <c r="A1523" s="137"/>
      <c r="B1523" s="137"/>
      <c r="C1523" s="137"/>
      <c r="D1523" s="194"/>
      <c r="E1523" s="194"/>
      <c r="F1523" s="137"/>
      <c r="G1523" s="137"/>
      <c r="H1523" s="137"/>
      <c r="I1523" s="137"/>
      <c r="J1523" s="197"/>
      <c r="K1523" s="198"/>
      <c r="L1523" s="196"/>
      <c r="M1523" s="196"/>
      <c r="N1523" s="196"/>
      <c r="O1523" s="196"/>
      <c r="P1523" s="127"/>
    </row>
    <row r="1524" spans="1:16" ht="20.25" customHeight="1" x14ac:dyDescent="0.3">
      <c r="A1524" s="137"/>
      <c r="B1524" s="137"/>
      <c r="C1524" s="137"/>
      <c r="D1524" s="194"/>
      <c r="E1524" s="194"/>
      <c r="F1524" s="137"/>
      <c r="G1524" s="137"/>
      <c r="H1524" s="137"/>
      <c r="I1524" s="137"/>
      <c r="J1524" s="197"/>
      <c r="K1524" s="198"/>
      <c r="L1524" s="196"/>
      <c r="M1524" s="196"/>
      <c r="N1524" s="196"/>
      <c r="O1524" s="196"/>
      <c r="P1524" s="127"/>
    </row>
    <row r="1525" spans="1:16" ht="20.25" customHeight="1" x14ac:dyDescent="0.3">
      <c r="A1525" s="137"/>
      <c r="B1525" s="137"/>
      <c r="C1525" s="137"/>
      <c r="D1525" s="194"/>
      <c r="E1525" s="194"/>
      <c r="F1525" s="137"/>
      <c r="G1525" s="137"/>
      <c r="H1525" s="137"/>
      <c r="I1525" s="137"/>
      <c r="J1525" s="197"/>
      <c r="K1525" s="198"/>
      <c r="L1525" s="196"/>
      <c r="M1525" s="196"/>
      <c r="N1525" s="196"/>
      <c r="O1525" s="196"/>
      <c r="P1525" s="127"/>
    </row>
    <row r="1526" spans="1:16" ht="20.25" customHeight="1" x14ac:dyDescent="0.3">
      <c r="A1526" s="137"/>
      <c r="B1526" s="137"/>
      <c r="C1526" s="137"/>
      <c r="D1526" s="194"/>
      <c r="E1526" s="194"/>
      <c r="F1526" s="137"/>
      <c r="G1526" s="137"/>
      <c r="H1526" s="137"/>
      <c r="I1526" s="137"/>
      <c r="J1526" s="197"/>
      <c r="K1526" s="198"/>
      <c r="L1526" s="196"/>
      <c r="M1526" s="196"/>
      <c r="N1526" s="196"/>
      <c r="O1526" s="196"/>
      <c r="P1526" s="127"/>
    </row>
    <row r="1527" spans="1:16" ht="20.25" customHeight="1" x14ac:dyDescent="0.3">
      <c r="A1527" s="137"/>
      <c r="B1527" s="137"/>
      <c r="C1527" s="137"/>
      <c r="D1527" s="194"/>
      <c r="E1527" s="194"/>
      <c r="F1527" s="137"/>
      <c r="G1527" s="137"/>
      <c r="H1527" s="137"/>
      <c r="I1527" s="137"/>
      <c r="J1527" s="197"/>
      <c r="K1527" s="198"/>
      <c r="L1527" s="196"/>
      <c r="M1527" s="196"/>
      <c r="N1527" s="196"/>
      <c r="O1527" s="196"/>
      <c r="P1527" s="127"/>
    </row>
    <row r="1528" spans="1:16" ht="20.25" customHeight="1" x14ac:dyDescent="0.3">
      <c r="A1528" s="137"/>
      <c r="B1528" s="137"/>
      <c r="C1528" s="137"/>
      <c r="D1528" s="194"/>
      <c r="E1528" s="194"/>
      <c r="F1528" s="137"/>
      <c r="G1528" s="137"/>
      <c r="H1528" s="137"/>
      <c r="I1528" s="137"/>
      <c r="J1528" s="197"/>
      <c r="K1528" s="198"/>
      <c r="L1528" s="196"/>
      <c r="M1528" s="196"/>
      <c r="N1528" s="196"/>
      <c r="O1528" s="196"/>
      <c r="P1528" s="127"/>
    </row>
    <row r="1529" spans="1:16" ht="20.25" customHeight="1" x14ac:dyDescent="0.3">
      <c r="A1529" s="137"/>
      <c r="B1529" s="137"/>
      <c r="C1529" s="137"/>
      <c r="D1529" s="194"/>
      <c r="E1529" s="194"/>
      <c r="F1529" s="137"/>
      <c r="G1529" s="137"/>
      <c r="H1529" s="137"/>
      <c r="I1529" s="137"/>
      <c r="J1529" s="197"/>
      <c r="K1529" s="198"/>
      <c r="L1529" s="196"/>
      <c r="M1529" s="196"/>
      <c r="N1529" s="196"/>
      <c r="O1529" s="196"/>
      <c r="P1529" s="127"/>
    </row>
    <row r="1530" spans="1:16" ht="20.25" customHeight="1" x14ac:dyDescent="0.3">
      <c r="A1530" s="137"/>
      <c r="B1530" s="137"/>
      <c r="C1530" s="137"/>
      <c r="D1530" s="194"/>
      <c r="E1530" s="194"/>
      <c r="F1530" s="137"/>
      <c r="G1530" s="137"/>
      <c r="H1530" s="137"/>
      <c r="I1530" s="137"/>
      <c r="J1530" s="197"/>
      <c r="K1530" s="198"/>
      <c r="L1530" s="196"/>
      <c r="M1530" s="196"/>
      <c r="N1530" s="196"/>
      <c r="O1530" s="196"/>
      <c r="P1530" s="127"/>
    </row>
    <row r="1531" spans="1:16" ht="20.25" customHeight="1" x14ac:dyDescent="0.3">
      <c r="A1531" s="137"/>
      <c r="B1531" s="137"/>
      <c r="C1531" s="137"/>
      <c r="D1531" s="194"/>
      <c r="E1531" s="194"/>
      <c r="F1531" s="137"/>
      <c r="G1531" s="137"/>
      <c r="H1531" s="137"/>
      <c r="I1531" s="137"/>
      <c r="J1531" s="197"/>
      <c r="K1531" s="198"/>
      <c r="L1531" s="196"/>
      <c r="M1531" s="196"/>
      <c r="N1531" s="196"/>
      <c r="O1531" s="196"/>
      <c r="P1531" s="127"/>
    </row>
    <row r="1532" spans="1:16" ht="20.25" customHeight="1" x14ac:dyDescent="0.3">
      <c r="A1532" s="137"/>
      <c r="B1532" s="137"/>
      <c r="C1532" s="137"/>
      <c r="D1532" s="194"/>
      <c r="E1532" s="194"/>
      <c r="F1532" s="137"/>
      <c r="G1532" s="137"/>
      <c r="H1532" s="137"/>
      <c r="I1532" s="137"/>
      <c r="J1532" s="197"/>
      <c r="K1532" s="198"/>
      <c r="L1532" s="196"/>
      <c r="M1532" s="196"/>
      <c r="N1532" s="196"/>
      <c r="O1532" s="196"/>
      <c r="P1532" s="127"/>
    </row>
    <row r="1533" spans="1:16" ht="20.25" customHeight="1" x14ac:dyDescent="0.3">
      <c r="A1533" s="137"/>
      <c r="B1533" s="137"/>
      <c r="C1533" s="137"/>
      <c r="D1533" s="194"/>
      <c r="E1533" s="194"/>
      <c r="F1533" s="137"/>
      <c r="G1533" s="137"/>
      <c r="H1533" s="137"/>
      <c r="I1533" s="137"/>
      <c r="J1533" s="197"/>
      <c r="K1533" s="198"/>
      <c r="L1533" s="196"/>
      <c r="M1533" s="196"/>
      <c r="N1533" s="196"/>
      <c r="O1533" s="196"/>
      <c r="P1533" s="127"/>
    </row>
    <row r="1534" spans="1:16" ht="20.25" customHeight="1" x14ac:dyDescent="0.3">
      <c r="A1534" s="137"/>
      <c r="B1534" s="137"/>
      <c r="C1534" s="137"/>
      <c r="D1534" s="194"/>
      <c r="E1534" s="194"/>
      <c r="F1534" s="137"/>
      <c r="G1534" s="137"/>
      <c r="H1534" s="137"/>
      <c r="I1534" s="137"/>
      <c r="J1534" s="197"/>
      <c r="K1534" s="198"/>
      <c r="L1534" s="196"/>
      <c r="M1534" s="196"/>
      <c r="N1534" s="196"/>
      <c r="O1534" s="196"/>
      <c r="P1534" s="127"/>
    </row>
    <row r="1535" spans="1:16" ht="20.25" customHeight="1" x14ac:dyDescent="0.3">
      <c r="A1535" s="137"/>
      <c r="B1535" s="137"/>
      <c r="C1535" s="137"/>
      <c r="D1535" s="194"/>
      <c r="E1535" s="194"/>
      <c r="F1535" s="137"/>
      <c r="G1535" s="137"/>
      <c r="H1535" s="137"/>
      <c r="I1535" s="137"/>
      <c r="J1535" s="197"/>
      <c r="K1535" s="198"/>
      <c r="L1535" s="196"/>
      <c r="M1535" s="196"/>
      <c r="N1535" s="196"/>
      <c r="O1535" s="196"/>
      <c r="P1535" s="127"/>
    </row>
    <row r="1536" spans="1:16" ht="20.25" customHeight="1" x14ac:dyDescent="0.3">
      <c r="A1536" s="137"/>
      <c r="B1536" s="137"/>
      <c r="C1536" s="137"/>
      <c r="D1536" s="194"/>
      <c r="E1536" s="194"/>
      <c r="F1536" s="137"/>
      <c r="G1536" s="137"/>
      <c r="H1536" s="137"/>
      <c r="I1536" s="137"/>
      <c r="J1536" s="197"/>
      <c r="K1536" s="198"/>
      <c r="L1536" s="196"/>
      <c r="M1536" s="196"/>
      <c r="N1536" s="196"/>
      <c r="O1536" s="196"/>
      <c r="P1536" s="127"/>
    </row>
    <row r="1537" spans="1:16" ht="20.25" customHeight="1" x14ac:dyDescent="0.3">
      <c r="A1537" s="137"/>
      <c r="B1537" s="137"/>
      <c r="C1537" s="137"/>
      <c r="D1537" s="194"/>
      <c r="E1537" s="194"/>
      <c r="F1537" s="137"/>
      <c r="G1537" s="137"/>
      <c r="H1537" s="137"/>
      <c r="I1537" s="137"/>
      <c r="J1537" s="197"/>
      <c r="K1537" s="198"/>
      <c r="L1537" s="196"/>
      <c r="M1537" s="196"/>
      <c r="N1537" s="196"/>
      <c r="O1537" s="196"/>
      <c r="P1537" s="127"/>
    </row>
    <row r="1538" spans="1:16" ht="20.25" customHeight="1" x14ac:dyDescent="0.3">
      <c r="A1538" s="137"/>
      <c r="B1538" s="137"/>
      <c r="C1538" s="137"/>
      <c r="D1538" s="194"/>
      <c r="E1538" s="194"/>
      <c r="F1538" s="137"/>
      <c r="G1538" s="137"/>
      <c r="H1538" s="137"/>
      <c r="I1538" s="137"/>
      <c r="J1538" s="197"/>
      <c r="K1538" s="198"/>
      <c r="L1538" s="196"/>
      <c r="M1538" s="196"/>
      <c r="N1538" s="196"/>
      <c r="O1538" s="196"/>
      <c r="P1538" s="127"/>
    </row>
    <row r="1539" spans="1:16" ht="20.25" customHeight="1" x14ac:dyDescent="0.3">
      <c r="A1539" s="137"/>
      <c r="B1539" s="137"/>
      <c r="C1539" s="137"/>
      <c r="D1539" s="194"/>
      <c r="E1539" s="194"/>
      <c r="F1539" s="137"/>
      <c r="G1539" s="137"/>
      <c r="H1539" s="137"/>
      <c r="I1539" s="137"/>
      <c r="J1539" s="197"/>
      <c r="K1539" s="198"/>
      <c r="L1539" s="196"/>
      <c r="M1539" s="196"/>
      <c r="N1539" s="196"/>
      <c r="O1539" s="196"/>
      <c r="P1539" s="127"/>
    </row>
    <row r="1540" spans="1:16" ht="20.25" customHeight="1" x14ac:dyDescent="0.3">
      <c r="A1540" s="137"/>
      <c r="B1540" s="137"/>
      <c r="C1540" s="137"/>
      <c r="D1540" s="194"/>
      <c r="E1540" s="194"/>
      <c r="F1540" s="137"/>
      <c r="G1540" s="137"/>
      <c r="H1540" s="137"/>
      <c r="I1540" s="137"/>
      <c r="J1540" s="197"/>
      <c r="K1540" s="198"/>
      <c r="L1540" s="196"/>
      <c r="M1540" s="196"/>
      <c r="N1540" s="196"/>
      <c r="O1540" s="196"/>
      <c r="P1540" s="127"/>
    </row>
    <row r="1541" spans="1:16" ht="20.25" customHeight="1" x14ac:dyDescent="0.3">
      <c r="A1541" s="137"/>
      <c r="B1541" s="137"/>
      <c r="C1541" s="137"/>
      <c r="D1541" s="194"/>
      <c r="E1541" s="194"/>
      <c r="F1541" s="137"/>
      <c r="G1541" s="137"/>
      <c r="H1541" s="137"/>
      <c r="I1541" s="137"/>
      <c r="J1541" s="197"/>
      <c r="K1541" s="198"/>
      <c r="L1541" s="196"/>
      <c r="M1541" s="196"/>
      <c r="N1541" s="196"/>
      <c r="O1541" s="196"/>
      <c r="P1541" s="127"/>
    </row>
    <row r="1542" spans="1:16" ht="20.25" customHeight="1" x14ac:dyDescent="0.3">
      <c r="A1542" s="137"/>
      <c r="B1542" s="137"/>
      <c r="C1542" s="137"/>
      <c r="D1542" s="194"/>
      <c r="E1542" s="194"/>
      <c r="F1542" s="137"/>
      <c r="G1542" s="137"/>
      <c r="H1542" s="137"/>
      <c r="I1542" s="137"/>
      <c r="J1542" s="197"/>
      <c r="K1542" s="198"/>
      <c r="L1542" s="196"/>
      <c r="M1542" s="196"/>
      <c r="N1542" s="196"/>
      <c r="O1542" s="196"/>
      <c r="P1542" s="127"/>
    </row>
    <row r="1543" spans="1:16" ht="20.25" customHeight="1" x14ac:dyDescent="0.3">
      <c r="A1543" s="137"/>
      <c r="B1543" s="137"/>
      <c r="C1543" s="137"/>
      <c r="D1543" s="194"/>
      <c r="E1543" s="194"/>
      <c r="F1543" s="137"/>
      <c r="G1543" s="137"/>
      <c r="H1543" s="137"/>
      <c r="I1543" s="137"/>
      <c r="J1543" s="197"/>
      <c r="K1543" s="198"/>
      <c r="L1543" s="196"/>
      <c r="M1543" s="196"/>
      <c r="N1543" s="196"/>
      <c r="O1543" s="196"/>
      <c r="P1543" s="127"/>
    </row>
    <row r="1544" spans="1:16" ht="20.25" customHeight="1" x14ac:dyDescent="0.3">
      <c r="A1544" s="137"/>
      <c r="B1544" s="137"/>
      <c r="C1544" s="137"/>
      <c r="D1544" s="194"/>
      <c r="E1544" s="194"/>
      <c r="F1544" s="137"/>
      <c r="G1544" s="137"/>
      <c r="H1544" s="137"/>
      <c r="I1544" s="137"/>
      <c r="J1544" s="197"/>
      <c r="K1544" s="198"/>
      <c r="L1544" s="196"/>
      <c r="M1544" s="196"/>
      <c r="N1544" s="196"/>
      <c r="O1544" s="196"/>
      <c r="P1544" s="127"/>
    </row>
    <row r="1545" spans="1:16" ht="20.25" customHeight="1" x14ac:dyDescent="0.3">
      <c r="A1545" s="137"/>
      <c r="B1545" s="137"/>
      <c r="C1545" s="137"/>
      <c r="D1545" s="194"/>
      <c r="E1545" s="194"/>
      <c r="F1545" s="137"/>
      <c r="G1545" s="137"/>
      <c r="H1545" s="137"/>
      <c r="I1545" s="137"/>
      <c r="J1545" s="197"/>
      <c r="K1545" s="198"/>
      <c r="L1545" s="196"/>
      <c r="M1545" s="196"/>
      <c r="N1545" s="196"/>
      <c r="O1545" s="196"/>
      <c r="P1545" s="127"/>
    </row>
    <row r="1546" spans="1:16" ht="20.25" customHeight="1" x14ac:dyDescent="0.3">
      <c r="A1546" s="137"/>
      <c r="B1546" s="137"/>
      <c r="C1546" s="137"/>
      <c r="D1546" s="194"/>
      <c r="E1546" s="194"/>
      <c r="F1546" s="137"/>
      <c r="G1546" s="137"/>
      <c r="H1546" s="137"/>
      <c r="I1546" s="137"/>
      <c r="J1546" s="197"/>
      <c r="K1546" s="198"/>
      <c r="L1546" s="196"/>
      <c r="M1546" s="196"/>
      <c r="N1546" s="196"/>
      <c r="O1546" s="196"/>
      <c r="P1546" s="127"/>
    </row>
    <row r="1547" spans="1:16" ht="20.25" customHeight="1" x14ac:dyDescent="0.3">
      <c r="A1547" s="137"/>
      <c r="B1547" s="137"/>
      <c r="C1547" s="137"/>
      <c r="D1547" s="194"/>
      <c r="E1547" s="194"/>
      <c r="F1547" s="137"/>
      <c r="G1547" s="137"/>
      <c r="H1547" s="137"/>
      <c r="I1547" s="137"/>
      <c r="J1547" s="197"/>
      <c r="K1547" s="198"/>
      <c r="L1547" s="196"/>
      <c r="M1547" s="196"/>
      <c r="N1547" s="196"/>
      <c r="O1547" s="196"/>
      <c r="P1547" s="127"/>
    </row>
    <row r="1548" spans="1:16" ht="20.25" customHeight="1" x14ac:dyDescent="0.3">
      <c r="A1548" s="137"/>
      <c r="B1548" s="137"/>
      <c r="C1548" s="137"/>
      <c r="D1548" s="194"/>
      <c r="E1548" s="194"/>
      <c r="F1548" s="137"/>
      <c r="G1548" s="137"/>
      <c r="H1548" s="137"/>
      <c r="I1548" s="137"/>
      <c r="J1548" s="197"/>
      <c r="K1548" s="198"/>
      <c r="L1548" s="196"/>
      <c r="M1548" s="196"/>
      <c r="N1548" s="196"/>
      <c r="O1548" s="196"/>
      <c r="P1548" s="127"/>
    </row>
    <row r="1549" spans="1:16" ht="20.25" customHeight="1" x14ac:dyDescent="0.3">
      <c r="A1549" s="137"/>
      <c r="B1549" s="137"/>
      <c r="C1549" s="137"/>
      <c r="D1549" s="194"/>
      <c r="E1549" s="194"/>
      <c r="F1549" s="137"/>
      <c r="G1549" s="137"/>
      <c r="H1549" s="137"/>
      <c r="I1549" s="137"/>
      <c r="J1549" s="197"/>
      <c r="K1549" s="198"/>
      <c r="L1549" s="196"/>
      <c r="M1549" s="196"/>
      <c r="N1549" s="196"/>
      <c r="O1549" s="196"/>
      <c r="P1549" s="127"/>
    </row>
    <row r="1550" spans="1:16" ht="20.25" customHeight="1" x14ac:dyDescent="0.3">
      <c r="A1550" s="137"/>
      <c r="B1550" s="137"/>
      <c r="C1550" s="137"/>
      <c r="D1550" s="194"/>
      <c r="E1550" s="194"/>
      <c r="F1550" s="137"/>
      <c r="G1550" s="137"/>
      <c r="H1550" s="137"/>
      <c r="I1550" s="137"/>
      <c r="J1550" s="197"/>
      <c r="K1550" s="198"/>
      <c r="L1550" s="196"/>
      <c r="M1550" s="196"/>
      <c r="N1550" s="196"/>
      <c r="O1550" s="196"/>
      <c r="P1550" s="127"/>
    </row>
    <row r="1551" spans="1:16" ht="20.25" customHeight="1" x14ac:dyDescent="0.3">
      <c r="A1551" s="137"/>
      <c r="B1551" s="137"/>
      <c r="C1551" s="137"/>
      <c r="D1551" s="194"/>
      <c r="E1551" s="194"/>
      <c r="F1551" s="137"/>
      <c r="G1551" s="137"/>
      <c r="H1551" s="137"/>
      <c r="I1551" s="137"/>
      <c r="J1551" s="197"/>
      <c r="K1551" s="198"/>
      <c r="L1551" s="196"/>
      <c r="M1551" s="196"/>
      <c r="N1551" s="196"/>
      <c r="O1551" s="196"/>
      <c r="P1551" s="127"/>
    </row>
    <row r="1552" spans="1:16" ht="20.25" customHeight="1" x14ac:dyDescent="0.3">
      <c r="A1552" s="137"/>
      <c r="B1552" s="137"/>
      <c r="C1552" s="137"/>
      <c r="D1552" s="194"/>
      <c r="E1552" s="194"/>
      <c r="F1552" s="137"/>
      <c r="G1552" s="137"/>
      <c r="H1552" s="137"/>
      <c r="I1552" s="137"/>
      <c r="J1552" s="197"/>
      <c r="K1552" s="198"/>
      <c r="L1552" s="196"/>
      <c r="M1552" s="196"/>
      <c r="N1552" s="196"/>
      <c r="O1552" s="196"/>
      <c r="P1552" s="127"/>
    </row>
    <row r="1553" spans="1:16" ht="20.25" customHeight="1" x14ac:dyDescent="0.3">
      <c r="A1553" s="137"/>
      <c r="B1553" s="137"/>
      <c r="C1553" s="137"/>
      <c r="D1553" s="194"/>
      <c r="E1553" s="194"/>
      <c r="F1553" s="137"/>
      <c r="G1553" s="137"/>
      <c r="H1553" s="137"/>
      <c r="I1553" s="137"/>
      <c r="J1553" s="197"/>
      <c r="K1553" s="198"/>
      <c r="L1553" s="196"/>
      <c r="M1553" s="196"/>
      <c r="N1553" s="196"/>
      <c r="O1553" s="196"/>
      <c r="P1553" s="127"/>
    </row>
    <row r="1554" spans="1:16" ht="20.25" customHeight="1" x14ac:dyDescent="0.3">
      <c r="A1554" s="137"/>
      <c r="B1554" s="137"/>
      <c r="C1554" s="137"/>
      <c r="D1554" s="194"/>
      <c r="E1554" s="194"/>
      <c r="F1554" s="137"/>
      <c r="G1554" s="137"/>
      <c r="H1554" s="137"/>
      <c r="I1554" s="137"/>
      <c r="J1554" s="197"/>
      <c r="K1554" s="198"/>
      <c r="L1554" s="196"/>
      <c r="M1554" s="196"/>
      <c r="N1554" s="196"/>
      <c r="O1554" s="196"/>
      <c r="P1554" s="127"/>
    </row>
    <row r="1555" spans="1:16" ht="20.25" customHeight="1" x14ac:dyDescent="0.3">
      <c r="A1555" s="137"/>
      <c r="B1555" s="137"/>
      <c r="C1555" s="137"/>
      <c r="D1555" s="194"/>
      <c r="E1555" s="194"/>
      <c r="F1555" s="137"/>
      <c r="G1555" s="137"/>
      <c r="H1555" s="137"/>
      <c r="I1555" s="137"/>
      <c r="J1555" s="197"/>
      <c r="K1555" s="198"/>
      <c r="L1555" s="196"/>
      <c r="M1555" s="196"/>
      <c r="N1555" s="196"/>
      <c r="O1555" s="196"/>
      <c r="P1555" s="127"/>
    </row>
    <row r="1556" spans="1:16" ht="20.25" customHeight="1" x14ac:dyDescent="0.3">
      <c r="A1556" s="137"/>
      <c r="B1556" s="137"/>
      <c r="C1556" s="137"/>
      <c r="D1556" s="194"/>
      <c r="E1556" s="194"/>
      <c r="F1556" s="137"/>
      <c r="G1556" s="137"/>
      <c r="H1556" s="137"/>
      <c r="I1556" s="137"/>
      <c r="J1556" s="197"/>
      <c r="K1556" s="198"/>
      <c r="L1556" s="196"/>
      <c r="M1556" s="196"/>
      <c r="N1556" s="196"/>
      <c r="O1556" s="196"/>
      <c r="P1556" s="127"/>
    </row>
    <row r="1557" spans="1:16" ht="20.25" customHeight="1" x14ac:dyDescent="0.3">
      <c r="A1557" s="137"/>
      <c r="B1557" s="137"/>
      <c r="C1557" s="137"/>
      <c r="D1557" s="194"/>
      <c r="E1557" s="194"/>
      <c r="F1557" s="137"/>
      <c r="G1557" s="137"/>
      <c r="H1557" s="137"/>
      <c r="I1557" s="137"/>
      <c r="J1557" s="197"/>
      <c r="K1557" s="198"/>
      <c r="L1557" s="196"/>
      <c r="M1557" s="196"/>
      <c r="N1557" s="196"/>
      <c r="O1557" s="196"/>
      <c r="P1557" s="127"/>
    </row>
    <row r="1558" spans="1:16" ht="20.25" customHeight="1" x14ac:dyDescent="0.3">
      <c r="A1558" s="137"/>
      <c r="B1558" s="137"/>
      <c r="C1558" s="137"/>
      <c r="D1558" s="194"/>
      <c r="E1558" s="194"/>
      <c r="F1558" s="137"/>
      <c r="G1558" s="137"/>
      <c r="H1558" s="137"/>
      <c r="I1558" s="137"/>
      <c r="J1558" s="197"/>
      <c r="K1558" s="198"/>
      <c r="L1558" s="196"/>
      <c r="M1558" s="196"/>
      <c r="N1558" s="196"/>
      <c r="O1558" s="196"/>
      <c r="P1558" s="127"/>
    </row>
    <row r="1559" spans="1:16" ht="20.25" customHeight="1" x14ac:dyDescent="0.3">
      <c r="A1559" s="137"/>
      <c r="B1559" s="137"/>
      <c r="C1559" s="137"/>
      <c r="D1559" s="194"/>
      <c r="E1559" s="194"/>
      <c r="F1559" s="137"/>
      <c r="G1559" s="137"/>
      <c r="H1559" s="137"/>
      <c r="I1559" s="137"/>
      <c r="J1559" s="197"/>
      <c r="K1559" s="198"/>
      <c r="L1559" s="196"/>
      <c r="M1559" s="196"/>
      <c r="N1559" s="196"/>
      <c r="O1559" s="196"/>
      <c r="P1559" s="127"/>
    </row>
    <row r="1560" spans="1:16" ht="20.25" customHeight="1" x14ac:dyDescent="0.3">
      <c r="A1560" s="137"/>
      <c r="B1560" s="137"/>
      <c r="C1560" s="137"/>
      <c r="D1560" s="194"/>
      <c r="E1560" s="194"/>
      <c r="F1560" s="137"/>
      <c r="G1560" s="137"/>
      <c r="H1560" s="137"/>
      <c r="I1560" s="137"/>
      <c r="J1560" s="197"/>
      <c r="K1560" s="198"/>
      <c r="L1560" s="196"/>
      <c r="M1560" s="196"/>
      <c r="N1560" s="196"/>
      <c r="O1560" s="196"/>
      <c r="P1560" s="127"/>
    </row>
    <row r="1561" spans="1:16" ht="20.25" customHeight="1" x14ac:dyDescent="0.3">
      <c r="A1561" s="137"/>
      <c r="B1561" s="137"/>
      <c r="C1561" s="137"/>
      <c r="D1561" s="194"/>
      <c r="E1561" s="194"/>
      <c r="F1561" s="137"/>
      <c r="G1561" s="137"/>
      <c r="H1561" s="137"/>
      <c r="I1561" s="137"/>
      <c r="J1561" s="197"/>
      <c r="K1561" s="198"/>
      <c r="L1561" s="196"/>
      <c r="M1561" s="196"/>
      <c r="N1561" s="196"/>
      <c r="O1561" s="196"/>
      <c r="P1561" s="127"/>
    </row>
    <row r="1562" spans="1:16" ht="20.25" customHeight="1" x14ac:dyDescent="0.3">
      <c r="A1562" s="137"/>
      <c r="B1562" s="137"/>
      <c r="C1562" s="137"/>
      <c r="D1562" s="194"/>
      <c r="E1562" s="194"/>
      <c r="F1562" s="137"/>
      <c r="G1562" s="137"/>
      <c r="H1562" s="137"/>
      <c r="I1562" s="137"/>
      <c r="J1562" s="197"/>
      <c r="K1562" s="198"/>
      <c r="L1562" s="196"/>
      <c r="M1562" s="196"/>
      <c r="N1562" s="196"/>
      <c r="O1562" s="196"/>
      <c r="P1562" s="127"/>
    </row>
    <row r="1563" spans="1:16" ht="20.25" customHeight="1" x14ac:dyDescent="0.3">
      <c r="A1563" s="137"/>
      <c r="B1563" s="137"/>
      <c r="C1563" s="137"/>
      <c r="D1563" s="194"/>
      <c r="E1563" s="194"/>
      <c r="F1563" s="137"/>
      <c r="G1563" s="137"/>
      <c r="H1563" s="137"/>
      <c r="I1563" s="137"/>
      <c r="J1563" s="197"/>
      <c r="K1563" s="198"/>
      <c r="L1563" s="196"/>
      <c r="M1563" s="196"/>
      <c r="N1563" s="196"/>
      <c r="O1563" s="196"/>
      <c r="P1563" s="127"/>
    </row>
    <row r="1564" spans="1:16" ht="20.25" customHeight="1" x14ac:dyDescent="0.3">
      <c r="A1564" s="137"/>
      <c r="B1564" s="137"/>
      <c r="C1564" s="137"/>
      <c r="D1564" s="194"/>
      <c r="E1564" s="194"/>
      <c r="F1564" s="137"/>
      <c r="G1564" s="137"/>
      <c r="H1564" s="137"/>
      <c r="I1564" s="137"/>
      <c r="J1564" s="197"/>
      <c r="K1564" s="198"/>
      <c r="L1564" s="196"/>
      <c r="M1564" s="196"/>
      <c r="N1564" s="196"/>
      <c r="O1564" s="196"/>
      <c r="P1564" s="127"/>
    </row>
    <row r="1565" spans="1:16" ht="20.25" customHeight="1" x14ac:dyDescent="0.3">
      <c r="A1565" s="137"/>
      <c r="B1565" s="137"/>
      <c r="C1565" s="137"/>
      <c r="D1565" s="194"/>
      <c r="E1565" s="194"/>
      <c r="F1565" s="137"/>
      <c r="G1565" s="137"/>
      <c r="H1565" s="137"/>
      <c r="I1565" s="137"/>
      <c r="J1565" s="197"/>
      <c r="K1565" s="198"/>
      <c r="L1565" s="196"/>
      <c r="M1565" s="196"/>
      <c r="N1565" s="196"/>
      <c r="O1565" s="196"/>
      <c r="P1565" s="127"/>
    </row>
    <row r="1566" spans="1:16" ht="20.25" customHeight="1" x14ac:dyDescent="0.3">
      <c r="A1566" s="137"/>
      <c r="B1566" s="137"/>
      <c r="C1566" s="137"/>
      <c r="D1566" s="194"/>
      <c r="E1566" s="194"/>
      <c r="F1566" s="137"/>
      <c r="G1566" s="137"/>
      <c r="H1566" s="137"/>
      <c r="I1566" s="137"/>
      <c r="J1566" s="197"/>
      <c r="K1566" s="198"/>
      <c r="L1566" s="196"/>
      <c r="M1566" s="196"/>
      <c r="N1566" s="196"/>
      <c r="O1566" s="196"/>
      <c r="P1566" s="127"/>
    </row>
    <row r="1567" spans="1:16" ht="20.25" customHeight="1" x14ac:dyDescent="0.3">
      <c r="A1567" s="137"/>
      <c r="B1567" s="137"/>
      <c r="C1567" s="137"/>
      <c r="D1567" s="194"/>
      <c r="E1567" s="194"/>
      <c r="F1567" s="137"/>
      <c r="G1567" s="137"/>
      <c r="H1567" s="137"/>
      <c r="I1567" s="137"/>
      <c r="J1567" s="197"/>
      <c r="K1567" s="198"/>
      <c r="L1567" s="196"/>
      <c r="M1567" s="196"/>
      <c r="N1567" s="196"/>
      <c r="O1567" s="196"/>
      <c r="P1567" s="127"/>
    </row>
    <row r="1568" spans="1:16" ht="20.25" customHeight="1" x14ac:dyDescent="0.3">
      <c r="A1568" s="137"/>
      <c r="B1568" s="137"/>
      <c r="C1568" s="137"/>
      <c r="D1568" s="194"/>
      <c r="E1568" s="194"/>
      <c r="F1568" s="137"/>
      <c r="G1568" s="137"/>
      <c r="H1568" s="137"/>
      <c r="I1568" s="137"/>
      <c r="J1568" s="197"/>
      <c r="K1568" s="198"/>
      <c r="L1568" s="196"/>
      <c r="M1568" s="196"/>
      <c r="N1568" s="196"/>
      <c r="O1568" s="196"/>
      <c r="P1568" s="127"/>
    </row>
    <row r="1569" spans="1:16" ht="20.25" customHeight="1" x14ac:dyDescent="0.3">
      <c r="A1569" s="137"/>
      <c r="B1569" s="137"/>
      <c r="C1569" s="137"/>
      <c r="D1569" s="194"/>
      <c r="E1569" s="194"/>
      <c r="F1569" s="137"/>
      <c r="G1569" s="137"/>
      <c r="H1569" s="137"/>
      <c r="I1569" s="137"/>
      <c r="J1569" s="197"/>
      <c r="K1569" s="198"/>
      <c r="L1569" s="196"/>
      <c r="M1569" s="196"/>
      <c r="N1569" s="196"/>
      <c r="O1569" s="196"/>
      <c r="P1569" s="127"/>
    </row>
    <row r="1570" spans="1:16" ht="20.25" customHeight="1" x14ac:dyDescent="0.3">
      <c r="A1570" s="137"/>
      <c r="B1570" s="137"/>
      <c r="C1570" s="137"/>
      <c r="D1570" s="194"/>
      <c r="E1570" s="194"/>
      <c r="F1570" s="137"/>
      <c r="G1570" s="137"/>
      <c r="H1570" s="137"/>
      <c r="I1570" s="137"/>
      <c r="J1570" s="197"/>
      <c r="K1570" s="198"/>
      <c r="L1570" s="196"/>
      <c r="M1570" s="196"/>
      <c r="N1570" s="196"/>
      <c r="O1570" s="196"/>
      <c r="P1570" s="127"/>
    </row>
    <row r="1571" spans="1:16" ht="20.25" customHeight="1" x14ac:dyDescent="0.3">
      <c r="A1571" s="137"/>
      <c r="B1571" s="137"/>
      <c r="C1571" s="137"/>
      <c r="D1571" s="194"/>
      <c r="E1571" s="194"/>
      <c r="F1571" s="137"/>
      <c r="G1571" s="137"/>
      <c r="H1571" s="137"/>
      <c r="I1571" s="137"/>
      <c r="J1571" s="197"/>
      <c r="K1571" s="198"/>
      <c r="L1571" s="196"/>
      <c r="M1571" s="196"/>
      <c r="N1571" s="196"/>
      <c r="O1571" s="196"/>
      <c r="P1571" s="127"/>
    </row>
    <row r="1572" spans="1:16" ht="20.25" customHeight="1" x14ac:dyDescent="0.3">
      <c r="A1572" s="137"/>
      <c r="B1572" s="137"/>
      <c r="C1572" s="137"/>
      <c r="D1572" s="194"/>
      <c r="E1572" s="194"/>
      <c r="F1572" s="137"/>
      <c r="G1572" s="137"/>
      <c r="H1572" s="137"/>
      <c r="I1572" s="137"/>
      <c r="J1572" s="197"/>
      <c r="K1572" s="198"/>
      <c r="L1572" s="196"/>
      <c r="M1572" s="196"/>
      <c r="N1572" s="196"/>
      <c r="O1572" s="196"/>
      <c r="P1572" s="127"/>
    </row>
    <row r="1573" spans="1:16" ht="20.25" customHeight="1" x14ac:dyDescent="0.3">
      <c r="A1573" s="137"/>
      <c r="B1573" s="137"/>
      <c r="C1573" s="137"/>
      <c r="D1573" s="194"/>
      <c r="E1573" s="194"/>
      <c r="F1573" s="137"/>
      <c r="G1573" s="137"/>
      <c r="H1573" s="137"/>
      <c r="I1573" s="137"/>
      <c r="J1573" s="197"/>
      <c r="K1573" s="198"/>
      <c r="L1573" s="196"/>
      <c r="M1573" s="196"/>
      <c r="N1573" s="196"/>
      <c r="O1573" s="196"/>
      <c r="P1573" s="127"/>
    </row>
    <row r="1574" spans="1:16" ht="20.25" customHeight="1" x14ac:dyDescent="0.3">
      <c r="A1574" s="137"/>
      <c r="B1574" s="137"/>
      <c r="C1574" s="137"/>
      <c r="D1574" s="194"/>
      <c r="E1574" s="194"/>
      <c r="F1574" s="137"/>
      <c r="G1574" s="137"/>
      <c r="H1574" s="137"/>
      <c r="I1574" s="137"/>
      <c r="J1574" s="197"/>
      <c r="K1574" s="198"/>
      <c r="L1574" s="196"/>
      <c r="M1574" s="196"/>
      <c r="N1574" s="196"/>
      <c r="O1574" s="196"/>
      <c r="P1574" s="127"/>
    </row>
    <row r="1575" spans="1:16" ht="20.25" customHeight="1" x14ac:dyDescent="0.3">
      <c r="A1575" s="137"/>
      <c r="B1575" s="137"/>
      <c r="C1575" s="137"/>
      <c r="D1575" s="194"/>
      <c r="E1575" s="194"/>
      <c r="F1575" s="137"/>
      <c r="G1575" s="137"/>
      <c r="H1575" s="137"/>
      <c r="I1575" s="137"/>
      <c r="J1575" s="197"/>
      <c r="K1575" s="198"/>
      <c r="L1575" s="196"/>
      <c r="M1575" s="196"/>
      <c r="N1575" s="196"/>
      <c r="O1575" s="196"/>
      <c r="P1575" s="127"/>
    </row>
    <row r="1576" spans="1:16" ht="20.25" customHeight="1" x14ac:dyDescent="0.3">
      <c r="A1576" s="137"/>
      <c r="B1576" s="137"/>
      <c r="C1576" s="137"/>
      <c r="D1576" s="194"/>
      <c r="E1576" s="194"/>
      <c r="F1576" s="137"/>
      <c r="G1576" s="137"/>
      <c r="H1576" s="137"/>
      <c r="I1576" s="137"/>
      <c r="J1576" s="197"/>
      <c r="K1576" s="198"/>
      <c r="L1576" s="196"/>
      <c r="M1576" s="196"/>
      <c r="N1576" s="196"/>
      <c r="O1576" s="196"/>
      <c r="P1576" s="127"/>
    </row>
    <row r="1577" spans="1:16" ht="20.25" customHeight="1" x14ac:dyDescent="0.3">
      <c r="A1577" s="137"/>
      <c r="B1577" s="137"/>
      <c r="C1577" s="137"/>
      <c r="D1577" s="194"/>
      <c r="E1577" s="194"/>
      <c r="F1577" s="137"/>
      <c r="G1577" s="137"/>
      <c r="H1577" s="137"/>
      <c r="I1577" s="137"/>
      <c r="J1577" s="197"/>
      <c r="K1577" s="198"/>
      <c r="L1577" s="196"/>
      <c r="M1577" s="196"/>
      <c r="N1577" s="196"/>
      <c r="O1577" s="196"/>
      <c r="P1577" s="127"/>
    </row>
    <row r="1578" spans="1:16" ht="20.25" customHeight="1" x14ac:dyDescent="0.3">
      <c r="A1578" s="137"/>
      <c r="B1578" s="137"/>
      <c r="C1578" s="137"/>
      <c r="D1578" s="194"/>
      <c r="E1578" s="194"/>
      <c r="F1578" s="137"/>
      <c r="G1578" s="137"/>
      <c r="H1578" s="137"/>
      <c r="I1578" s="137"/>
      <c r="J1578" s="197"/>
      <c r="K1578" s="198"/>
      <c r="L1578" s="196"/>
      <c r="M1578" s="196"/>
      <c r="N1578" s="196"/>
      <c r="O1578" s="196"/>
      <c r="P1578" s="127"/>
    </row>
    <row r="1579" spans="1:16" ht="20.25" customHeight="1" x14ac:dyDescent="0.3">
      <c r="A1579" s="137"/>
      <c r="B1579" s="137"/>
      <c r="C1579" s="137"/>
      <c r="D1579" s="194"/>
      <c r="E1579" s="194"/>
      <c r="F1579" s="137"/>
      <c r="G1579" s="137"/>
      <c r="H1579" s="137"/>
      <c r="I1579" s="137"/>
      <c r="J1579" s="197"/>
      <c r="K1579" s="198"/>
      <c r="L1579" s="196"/>
      <c r="M1579" s="196"/>
      <c r="N1579" s="196"/>
      <c r="O1579" s="196"/>
      <c r="P1579" s="127"/>
    </row>
    <row r="1580" spans="1:16" ht="20.25" customHeight="1" x14ac:dyDescent="0.3">
      <c r="A1580" s="137"/>
      <c r="B1580" s="137"/>
      <c r="C1580" s="137"/>
      <c r="D1580" s="194"/>
      <c r="E1580" s="194"/>
      <c r="F1580" s="137"/>
      <c r="G1580" s="137"/>
      <c r="H1580" s="137"/>
      <c r="I1580" s="137"/>
      <c r="J1580" s="197"/>
      <c r="K1580" s="198"/>
      <c r="L1580" s="196"/>
      <c r="M1580" s="196"/>
      <c r="N1580" s="196"/>
      <c r="O1580" s="196"/>
      <c r="P1580" s="127"/>
    </row>
    <row r="1581" spans="1:16" ht="20.25" customHeight="1" x14ac:dyDescent="0.3">
      <c r="A1581" s="137"/>
      <c r="B1581" s="137"/>
      <c r="C1581" s="137"/>
      <c r="D1581" s="194"/>
      <c r="E1581" s="194"/>
      <c r="F1581" s="137"/>
      <c r="G1581" s="137"/>
      <c r="H1581" s="137"/>
      <c r="I1581" s="137"/>
      <c r="J1581" s="197"/>
      <c r="K1581" s="198"/>
      <c r="L1581" s="196"/>
      <c r="M1581" s="196"/>
      <c r="N1581" s="196"/>
      <c r="O1581" s="196"/>
      <c r="P1581" s="127"/>
    </row>
    <row r="1582" spans="1:16" ht="20.25" customHeight="1" x14ac:dyDescent="0.3">
      <c r="A1582" s="137"/>
      <c r="B1582" s="137"/>
      <c r="C1582" s="137"/>
      <c r="D1582" s="194"/>
      <c r="E1582" s="194"/>
      <c r="F1582" s="137"/>
      <c r="G1582" s="137"/>
      <c r="H1582" s="137"/>
      <c r="I1582" s="137"/>
      <c r="J1582" s="197"/>
      <c r="K1582" s="198"/>
      <c r="L1582" s="196"/>
      <c r="M1582" s="196"/>
      <c r="N1582" s="196"/>
      <c r="O1582" s="196"/>
      <c r="P1582" s="127"/>
    </row>
    <row r="1583" spans="1:16" ht="20.25" customHeight="1" x14ac:dyDescent="0.3">
      <c r="A1583" s="137"/>
      <c r="B1583" s="137"/>
      <c r="C1583" s="137"/>
      <c r="D1583" s="194"/>
      <c r="E1583" s="194"/>
      <c r="F1583" s="137"/>
      <c r="G1583" s="137"/>
      <c r="H1583" s="137"/>
      <c r="I1583" s="137"/>
      <c r="J1583" s="197"/>
      <c r="K1583" s="198"/>
      <c r="L1583" s="196"/>
      <c r="M1583" s="196"/>
      <c r="N1583" s="196"/>
      <c r="O1583" s="196"/>
      <c r="P1583" s="127"/>
    </row>
    <row r="1584" spans="1:16" ht="20.25" customHeight="1" x14ac:dyDescent="0.3">
      <c r="A1584" s="137"/>
      <c r="B1584" s="137"/>
      <c r="C1584" s="137"/>
      <c r="D1584" s="194"/>
      <c r="E1584" s="194"/>
      <c r="F1584" s="137"/>
      <c r="G1584" s="137"/>
      <c r="H1584" s="137"/>
      <c r="I1584" s="137"/>
      <c r="J1584" s="197"/>
      <c r="K1584" s="198"/>
      <c r="L1584" s="196"/>
      <c r="M1584" s="196"/>
      <c r="N1584" s="196"/>
      <c r="O1584" s="196"/>
      <c r="P1584" s="127"/>
    </row>
    <row r="1585" spans="1:16" ht="20.25" customHeight="1" x14ac:dyDescent="0.3">
      <c r="A1585" s="137"/>
      <c r="B1585" s="137"/>
      <c r="C1585" s="137"/>
      <c r="D1585" s="194"/>
      <c r="E1585" s="194"/>
      <c r="F1585" s="137"/>
      <c r="G1585" s="137"/>
      <c r="H1585" s="137"/>
      <c r="I1585" s="137"/>
      <c r="J1585" s="197"/>
      <c r="K1585" s="198"/>
      <c r="L1585" s="196"/>
      <c r="M1585" s="196"/>
      <c r="N1585" s="196"/>
      <c r="O1585" s="196"/>
      <c r="P1585" s="127"/>
    </row>
    <row r="1586" spans="1:16" ht="20.25" customHeight="1" x14ac:dyDescent="0.3">
      <c r="A1586" s="137"/>
      <c r="B1586" s="137"/>
      <c r="C1586" s="137"/>
      <c r="D1586" s="194"/>
      <c r="E1586" s="194"/>
      <c r="F1586" s="137"/>
      <c r="G1586" s="137"/>
      <c r="H1586" s="137"/>
      <c r="I1586" s="137"/>
      <c r="J1586" s="197"/>
      <c r="K1586" s="198"/>
      <c r="L1586" s="196"/>
      <c r="M1586" s="196"/>
      <c r="N1586" s="196"/>
      <c r="O1586" s="196"/>
      <c r="P1586" s="127"/>
    </row>
    <row r="1587" spans="1:16" ht="20.25" customHeight="1" x14ac:dyDescent="0.3">
      <c r="A1587" s="137"/>
      <c r="B1587" s="137"/>
      <c r="C1587" s="137"/>
      <c r="D1587" s="194"/>
      <c r="E1587" s="194"/>
      <c r="F1587" s="137"/>
      <c r="G1587" s="137"/>
      <c r="H1587" s="137"/>
      <c r="I1587" s="137"/>
      <c r="J1587" s="197"/>
      <c r="K1587" s="198"/>
      <c r="L1587" s="196"/>
      <c r="M1587" s="196"/>
      <c r="N1587" s="196"/>
      <c r="O1587" s="196"/>
      <c r="P1587" s="127"/>
    </row>
    <row r="1588" spans="1:16" ht="20.25" customHeight="1" x14ac:dyDescent="0.3">
      <c r="A1588" s="137"/>
      <c r="B1588" s="137"/>
      <c r="C1588" s="137"/>
      <c r="D1588" s="194"/>
      <c r="E1588" s="194"/>
      <c r="F1588" s="137"/>
      <c r="G1588" s="137"/>
      <c r="H1588" s="137"/>
      <c r="I1588" s="137"/>
      <c r="J1588" s="197"/>
      <c r="K1588" s="198"/>
      <c r="L1588" s="196"/>
      <c r="M1588" s="196"/>
      <c r="N1588" s="196"/>
      <c r="O1588" s="196"/>
      <c r="P1588" s="127"/>
    </row>
    <row r="1589" spans="1:16" ht="20.25" customHeight="1" x14ac:dyDescent="0.3">
      <c r="A1589" s="137"/>
      <c r="B1589" s="137"/>
      <c r="C1589" s="137"/>
      <c r="D1589" s="194"/>
      <c r="E1589" s="194"/>
      <c r="F1589" s="137"/>
      <c r="G1589" s="137"/>
      <c r="H1589" s="137"/>
      <c r="I1589" s="137"/>
      <c r="J1589" s="197"/>
      <c r="K1589" s="198"/>
      <c r="L1589" s="196"/>
      <c r="M1589" s="196"/>
      <c r="N1589" s="196"/>
      <c r="O1589" s="196"/>
      <c r="P1589" s="127"/>
    </row>
    <row r="1590" spans="1:16" ht="20.25" customHeight="1" x14ac:dyDescent="0.3">
      <c r="A1590" s="137"/>
      <c r="B1590" s="137"/>
      <c r="C1590" s="137"/>
      <c r="D1590" s="194"/>
      <c r="E1590" s="194"/>
      <c r="F1590" s="137"/>
      <c r="G1590" s="137"/>
      <c r="H1590" s="137"/>
      <c r="I1590" s="137"/>
      <c r="J1590" s="197"/>
      <c r="K1590" s="198"/>
      <c r="L1590" s="196"/>
      <c r="M1590" s="196"/>
      <c r="N1590" s="196"/>
      <c r="O1590" s="196"/>
      <c r="P1590" s="127"/>
    </row>
    <row r="1591" spans="1:16" ht="20.25" customHeight="1" x14ac:dyDescent="0.3">
      <c r="A1591" s="137"/>
      <c r="B1591" s="137"/>
      <c r="C1591" s="137"/>
      <c r="D1591" s="194"/>
      <c r="E1591" s="194"/>
      <c r="F1591" s="137"/>
      <c r="G1591" s="137"/>
      <c r="H1591" s="137"/>
      <c r="I1591" s="137"/>
      <c r="J1591" s="197"/>
      <c r="K1591" s="198"/>
      <c r="L1591" s="196"/>
      <c r="M1591" s="196"/>
      <c r="N1591" s="196"/>
      <c r="O1591" s="196"/>
      <c r="P1591" s="127"/>
    </row>
    <row r="1592" spans="1:16" ht="20.25" customHeight="1" x14ac:dyDescent="0.3">
      <c r="A1592" s="137"/>
      <c r="B1592" s="137"/>
      <c r="C1592" s="137"/>
      <c r="D1592" s="194"/>
      <c r="E1592" s="194"/>
      <c r="F1592" s="137"/>
      <c r="G1592" s="137"/>
      <c r="H1592" s="137"/>
      <c r="I1592" s="137"/>
      <c r="J1592" s="197"/>
      <c r="K1592" s="198"/>
      <c r="L1592" s="196"/>
      <c r="M1592" s="196"/>
      <c r="N1592" s="196"/>
      <c r="O1592" s="196"/>
      <c r="P1592" s="127"/>
    </row>
    <row r="1593" spans="1:16" ht="20.25" customHeight="1" x14ac:dyDescent="0.3">
      <c r="A1593" s="137"/>
      <c r="B1593" s="137"/>
      <c r="C1593" s="137"/>
      <c r="D1593" s="194"/>
      <c r="E1593" s="194"/>
      <c r="F1593" s="137"/>
      <c r="G1593" s="137"/>
      <c r="H1593" s="137"/>
      <c r="I1593" s="137"/>
      <c r="J1593" s="197"/>
      <c r="K1593" s="198"/>
      <c r="L1593" s="196"/>
      <c r="M1593" s="196"/>
      <c r="N1593" s="196"/>
      <c r="O1593" s="196"/>
      <c r="P1593" s="127"/>
    </row>
    <row r="1594" spans="1:16" ht="20.25" customHeight="1" x14ac:dyDescent="0.3">
      <c r="A1594" s="137"/>
      <c r="B1594" s="137"/>
      <c r="C1594" s="137"/>
      <c r="D1594" s="194"/>
      <c r="E1594" s="194"/>
      <c r="F1594" s="137"/>
      <c r="G1594" s="137"/>
      <c r="H1594" s="137"/>
      <c r="I1594" s="137"/>
      <c r="J1594" s="197"/>
      <c r="K1594" s="198"/>
      <c r="L1594" s="196"/>
      <c r="M1594" s="196"/>
      <c r="N1594" s="196"/>
      <c r="O1594" s="196"/>
      <c r="P1594" s="127"/>
    </row>
    <row r="1595" spans="1:16" ht="20.25" customHeight="1" x14ac:dyDescent="0.3">
      <c r="A1595" s="137"/>
      <c r="B1595" s="137"/>
      <c r="C1595" s="137"/>
      <c r="D1595" s="194"/>
      <c r="E1595" s="194"/>
      <c r="F1595" s="137"/>
      <c r="G1595" s="137"/>
      <c r="H1595" s="137"/>
      <c r="I1595" s="137"/>
      <c r="J1595" s="197"/>
      <c r="K1595" s="198"/>
      <c r="L1595" s="196"/>
      <c r="M1595" s="196"/>
      <c r="N1595" s="196"/>
      <c r="O1595" s="196"/>
      <c r="P1595" s="127"/>
    </row>
    <row r="1596" spans="1:16" ht="20.25" customHeight="1" x14ac:dyDescent="0.3">
      <c r="A1596" s="137"/>
      <c r="B1596" s="137"/>
      <c r="C1596" s="137"/>
      <c r="D1596" s="194"/>
      <c r="E1596" s="194"/>
      <c r="F1596" s="137"/>
      <c r="G1596" s="137"/>
      <c r="H1596" s="137"/>
      <c r="I1596" s="137"/>
      <c r="J1596" s="197"/>
      <c r="K1596" s="198"/>
      <c r="L1596" s="196"/>
      <c r="M1596" s="196"/>
      <c r="N1596" s="196"/>
      <c r="O1596" s="196"/>
      <c r="P1596" s="127"/>
    </row>
    <row r="1597" spans="1:16" ht="20.25" customHeight="1" x14ac:dyDescent="0.3">
      <c r="A1597" s="137"/>
      <c r="B1597" s="137"/>
      <c r="C1597" s="137"/>
      <c r="D1597" s="194"/>
      <c r="E1597" s="194"/>
      <c r="F1597" s="137"/>
      <c r="G1597" s="137"/>
      <c r="H1597" s="137"/>
      <c r="I1597" s="137"/>
      <c r="J1597" s="197"/>
      <c r="K1597" s="198"/>
      <c r="L1597" s="196"/>
      <c r="M1597" s="196"/>
      <c r="N1597" s="196"/>
      <c r="O1597" s="196"/>
      <c r="P1597" s="127"/>
    </row>
    <row r="1598" spans="1:16" ht="20.25" customHeight="1" x14ac:dyDescent="0.3">
      <c r="A1598" s="137"/>
      <c r="B1598" s="137"/>
      <c r="C1598" s="137"/>
      <c r="D1598" s="194"/>
      <c r="E1598" s="194"/>
      <c r="F1598" s="137"/>
      <c r="G1598" s="137"/>
      <c r="H1598" s="137"/>
      <c r="I1598" s="137"/>
      <c r="J1598" s="197"/>
      <c r="K1598" s="198"/>
      <c r="L1598" s="196"/>
      <c r="M1598" s="196"/>
      <c r="N1598" s="196"/>
      <c r="O1598" s="196"/>
      <c r="P1598" s="127"/>
    </row>
    <row r="1599" spans="1:16" ht="20.25" customHeight="1" x14ac:dyDescent="0.3">
      <c r="A1599" s="137"/>
      <c r="B1599" s="137"/>
      <c r="C1599" s="137"/>
      <c r="D1599" s="194"/>
      <c r="E1599" s="194"/>
      <c r="F1599" s="137"/>
      <c r="G1599" s="137"/>
      <c r="H1599" s="137"/>
      <c r="I1599" s="137"/>
      <c r="J1599" s="197"/>
      <c r="K1599" s="198"/>
      <c r="L1599" s="196"/>
      <c r="M1599" s="196"/>
      <c r="N1599" s="196"/>
      <c r="O1599" s="196"/>
      <c r="P1599" s="127"/>
    </row>
    <row r="1600" spans="1:16" ht="20.25" customHeight="1" x14ac:dyDescent="0.3">
      <c r="A1600" s="137"/>
      <c r="B1600" s="137"/>
      <c r="C1600" s="137"/>
      <c r="D1600" s="194"/>
      <c r="E1600" s="194"/>
      <c r="F1600" s="137"/>
      <c r="G1600" s="137"/>
      <c r="H1600" s="137"/>
      <c r="I1600" s="137"/>
      <c r="J1600" s="197"/>
      <c r="K1600" s="198"/>
      <c r="L1600" s="196"/>
      <c r="M1600" s="196"/>
      <c r="N1600" s="196"/>
      <c r="O1600" s="196"/>
      <c r="P1600" s="127"/>
    </row>
    <row r="1601" spans="1:16" ht="20.25" customHeight="1" x14ac:dyDescent="0.3">
      <c r="A1601" s="137"/>
      <c r="B1601" s="137"/>
      <c r="C1601" s="137"/>
      <c r="D1601" s="194"/>
      <c r="E1601" s="194"/>
      <c r="F1601" s="137"/>
      <c r="G1601" s="137"/>
      <c r="H1601" s="137"/>
      <c r="I1601" s="137"/>
      <c r="J1601" s="197"/>
      <c r="K1601" s="198"/>
      <c r="L1601" s="196"/>
      <c r="M1601" s="196"/>
      <c r="N1601" s="196"/>
      <c r="O1601" s="196"/>
      <c r="P1601" s="127"/>
    </row>
    <row r="1602" spans="1:16" ht="20.25" customHeight="1" x14ac:dyDescent="0.3">
      <c r="A1602" s="137"/>
      <c r="B1602" s="137"/>
      <c r="C1602" s="137"/>
      <c r="D1602" s="194"/>
      <c r="E1602" s="194"/>
      <c r="F1602" s="137"/>
      <c r="G1602" s="137"/>
      <c r="H1602" s="137"/>
      <c r="I1602" s="137"/>
      <c r="J1602" s="197"/>
      <c r="K1602" s="198"/>
      <c r="L1602" s="196"/>
      <c r="M1602" s="196"/>
      <c r="N1602" s="196"/>
      <c r="O1602" s="196"/>
      <c r="P1602" s="127"/>
    </row>
    <row r="1603" spans="1:16" ht="20.25" customHeight="1" x14ac:dyDescent="0.3">
      <c r="A1603" s="137"/>
      <c r="B1603" s="137"/>
      <c r="C1603" s="137"/>
      <c r="D1603" s="194"/>
      <c r="E1603" s="194"/>
      <c r="F1603" s="137"/>
      <c r="G1603" s="137"/>
      <c r="H1603" s="137"/>
      <c r="I1603" s="137"/>
      <c r="J1603" s="197"/>
      <c r="K1603" s="198"/>
      <c r="L1603" s="196"/>
      <c r="M1603" s="196"/>
      <c r="N1603" s="196"/>
      <c r="O1603" s="196"/>
      <c r="P1603" s="127"/>
    </row>
    <row r="1604" spans="1:16" ht="20.25" customHeight="1" x14ac:dyDescent="0.3">
      <c r="A1604" s="137"/>
      <c r="B1604" s="137"/>
      <c r="C1604" s="137"/>
      <c r="D1604" s="194"/>
      <c r="E1604" s="194"/>
      <c r="F1604" s="137"/>
      <c r="G1604" s="137"/>
      <c r="H1604" s="137"/>
      <c r="I1604" s="137"/>
      <c r="J1604" s="197"/>
      <c r="K1604" s="198"/>
      <c r="L1604" s="196"/>
      <c r="M1604" s="196"/>
      <c r="N1604" s="196"/>
      <c r="O1604" s="196"/>
      <c r="P1604" s="127"/>
    </row>
    <row r="1605" spans="1:16" ht="20.25" customHeight="1" x14ac:dyDescent="0.3">
      <c r="A1605" s="137"/>
      <c r="B1605" s="137"/>
      <c r="C1605" s="137"/>
      <c r="D1605" s="194"/>
      <c r="E1605" s="194"/>
      <c r="F1605" s="137"/>
      <c r="G1605" s="137"/>
      <c r="H1605" s="137"/>
      <c r="I1605" s="137"/>
      <c r="J1605" s="197"/>
      <c r="K1605" s="198"/>
      <c r="L1605" s="196"/>
      <c r="M1605" s="196"/>
      <c r="N1605" s="196"/>
      <c r="O1605" s="196"/>
      <c r="P1605" s="127"/>
    </row>
    <row r="1606" spans="1:16" ht="20.25" customHeight="1" x14ac:dyDescent="0.3">
      <c r="A1606" s="137"/>
      <c r="B1606" s="137"/>
      <c r="C1606" s="137"/>
      <c r="D1606" s="194"/>
      <c r="E1606" s="194"/>
      <c r="F1606" s="137"/>
      <c r="G1606" s="137"/>
      <c r="H1606" s="137"/>
      <c r="I1606" s="137"/>
      <c r="J1606" s="197"/>
      <c r="K1606" s="198"/>
      <c r="L1606" s="196"/>
      <c r="M1606" s="196"/>
      <c r="N1606" s="196"/>
      <c r="O1606" s="196"/>
      <c r="P1606" s="127"/>
    </row>
    <row r="1607" spans="1:16" ht="20.25" customHeight="1" x14ac:dyDescent="0.3">
      <c r="A1607" s="137"/>
      <c r="B1607" s="137"/>
      <c r="C1607" s="137"/>
      <c r="D1607" s="194"/>
      <c r="E1607" s="194"/>
      <c r="F1607" s="137"/>
      <c r="G1607" s="137"/>
      <c r="H1607" s="137"/>
      <c r="I1607" s="137"/>
      <c r="J1607" s="197"/>
      <c r="K1607" s="198"/>
      <c r="L1607" s="196"/>
      <c r="M1607" s="196"/>
      <c r="N1607" s="196"/>
      <c r="O1607" s="196"/>
      <c r="P1607" s="127"/>
    </row>
    <row r="1608" spans="1:16" ht="20.25" customHeight="1" x14ac:dyDescent="0.3">
      <c r="A1608" s="137"/>
      <c r="B1608" s="137"/>
      <c r="C1608" s="137"/>
      <c r="D1608" s="194"/>
      <c r="E1608" s="194"/>
      <c r="F1608" s="137"/>
      <c r="G1608" s="137"/>
      <c r="H1608" s="137"/>
      <c r="I1608" s="137"/>
      <c r="J1608" s="197"/>
      <c r="K1608" s="198"/>
      <c r="L1608" s="196"/>
      <c r="M1608" s="196"/>
      <c r="N1608" s="196"/>
      <c r="O1608" s="196"/>
      <c r="P1608" s="127"/>
    </row>
    <row r="1609" spans="1:16" ht="20.25" customHeight="1" x14ac:dyDescent="0.3">
      <c r="A1609" s="137"/>
      <c r="B1609" s="137"/>
      <c r="C1609" s="137"/>
      <c r="D1609" s="194"/>
      <c r="E1609" s="194"/>
      <c r="F1609" s="137"/>
      <c r="G1609" s="137"/>
      <c r="H1609" s="137"/>
      <c r="I1609" s="137"/>
      <c r="J1609" s="197"/>
      <c r="K1609" s="198"/>
      <c r="L1609" s="196"/>
      <c r="M1609" s="196"/>
      <c r="N1609" s="196"/>
      <c r="O1609" s="196"/>
      <c r="P1609" s="127"/>
    </row>
    <row r="1610" spans="1:16" ht="20.25" customHeight="1" x14ac:dyDescent="0.3">
      <c r="A1610" s="137"/>
      <c r="B1610" s="137"/>
      <c r="C1610" s="137"/>
      <c r="D1610" s="194"/>
      <c r="E1610" s="194"/>
      <c r="F1610" s="137"/>
      <c r="G1610" s="137"/>
      <c r="H1610" s="137"/>
      <c r="I1610" s="137"/>
      <c r="J1610" s="197"/>
      <c r="K1610" s="198"/>
      <c r="L1610" s="196"/>
      <c r="M1610" s="196"/>
      <c r="N1610" s="196"/>
      <c r="O1610" s="196"/>
      <c r="P1610" s="127"/>
    </row>
    <row r="1611" spans="1:16" ht="20.25" customHeight="1" x14ac:dyDescent="0.3">
      <c r="A1611" s="137"/>
      <c r="B1611" s="137"/>
      <c r="C1611" s="137"/>
      <c r="D1611" s="194"/>
      <c r="E1611" s="194"/>
      <c r="F1611" s="137"/>
      <c r="G1611" s="137"/>
      <c r="H1611" s="137"/>
      <c r="I1611" s="137"/>
      <c r="J1611" s="197"/>
      <c r="K1611" s="198"/>
      <c r="L1611" s="196"/>
      <c r="M1611" s="196"/>
      <c r="N1611" s="196"/>
      <c r="O1611" s="196"/>
      <c r="P1611" s="127"/>
    </row>
    <row r="1612" spans="1:16" ht="20.25" customHeight="1" x14ac:dyDescent="0.3">
      <c r="A1612" s="137"/>
      <c r="B1612" s="137"/>
      <c r="C1612" s="137"/>
      <c r="D1612" s="194"/>
      <c r="E1612" s="194"/>
      <c r="F1612" s="137"/>
      <c r="G1612" s="137"/>
      <c r="H1612" s="137"/>
      <c r="I1612" s="137"/>
      <c r="J1612" s="197"/>
      <c r="K1612" s="198"/>
      <c r="L1612" s="196"/>
      <c r="M1612" s="196"/>
      <c r="N1612" s="196"/>
      <c r="O1612" s="196"/>
      <c r="P1612" s="127"/>
    </row>
    <row r="1613" spans="1:16" ht="20.25" customHeight="1" x14ac:dyDescent="0.3">
      <c r="A1613" s="137"/>
      <c r="B1613" s="137"/>
      <c r="C1613" s="137"/>
      <c r="D1613" s="194"/>
      <c r="E1613" s="194"/>
      <c r="F1613" s="137"/>
      <c r="G1613" s="137"/>
      <c r="H1613" s="137"/>
      <c r="I1613" s="137"/>
      <c r="J1613" s="197"/>
      <c r="K1613" s="198"/>
      <c r="L1613" s="196"/>
      <c r="M1613" s="196"/>
      <c r="N1613" s="196"/>
      <c r="O1613" s="196"/>
      <c r="P1613" s="127"/>
    </row>
    <row r="1614" spans="1:16" ht="20.25" customHeight="1" x14ac:dyDescent="0.3">
      <c r="A1614" s="137"/>
      <c r="B1614" s="137"/>
      <c r="C1614" s="137"/>
      <c r="D1614" s="194"/>
      <c r="E1614" s="194"/>
      <c r="F1614" s="137"/>
      <c r="G1614" s="137"/>
      <c r="H1614" s="137"/>
      <c r="I1614" s="137"/>
      <c r="J1614" s="197"/>
      <c r="K1614" s="198"/>
      <c r="L1614" s="196"/>
      <c r="M1614" s="196"/>
      <c r="N1614" s="196"/>
      <c r="O1614" s="196"/>
      <c r="P1614" s="127"/>
    </row>
    <row r="1615" spans="1:16" ht="20.25" customHeight="1" x14ac:dyDescent="0.3">
      <c r="A1615" s="137"/>
      <c r="B1615" s="137"/>
      <c r="C1615" s="137"/>
      <c r="D1615" s="194"/>
      <c r="E1615" s="194"/>
      <c r="F1615" s="137"/>
      <c r="G1615" s="137"/>
      <c r="H1615" s="137"/>
      <c r="I1615" s="137"/>
      <c r="J1615" s="197"/>
      <c r="K1615" s="198"/>
      <c r="L1615" s="196"/>
      <c r="M1615" s="196"/>
      <c r="N1615" s="196"/>
      <c r="O1615" s="196"/>
      <c r="P1615" s="127"/>
    </row>
    <row r="1616" spans="1:16" ht="20.25" customHeight="1" x14ac:dyDescent="0.3">
      <c r="A1616" s="137"/>
      <c r="B1616" s="137"/>
      <c r="C1616" s="137"/>
      <c r="D1616" s="194"/>
      <c r="E1616" s="194"/>
      <c r="F1616" s="137"/>
      <c r="G1616" s="137"/>
      <c r="H1616" s="137"/>
      <c r="I1616" s="137"/>
      <c r="J1616" s="197"/>
      <c r="K1616" s="198"/>
      <c r="L1616" s="196"/>
      <c r="M1616" s="196"/>
      <c r="N1616" s="196"/>
      <c r="O1616" s="196"/>
      <c r="P1616" s="127"/>
    </row>
    <row r="1617" spans="1:16" ht="20.25" customHeight="1" x14ac:dyDescent="0.3">
      <c r="A1617" s="137"/>
      <c r="B1617" s="137"/>
      <c r="C1617" s="137"/>
      <c r="D1617" s="194"/>
      <c r="E1617" s="194"/>
      <c r="F1617" s="137"/>
      <c r="G1617" s="137"/>
      <c r="H1617" s="137"/>
      <c r="I1617" s="137"/>
      <c r="J1617" s="197"/>
      <c r="K1617" s="198"/>
      <c r="L1617" s="196"/>
      <c r="M1617" s="196"/>
      <c r="N1617" s="196"/>
      <c r="O1617" s="196"/>
      <c r="P1617" s="127"/>
    </row>
    <row r="1618" spans="1:16" ht="20.25" customHeight="1" x14ac:dyDescent="0.3">
      <c r="A1618" s="137"/>
      <c r="B1618" s="137"/>
      <c r="C1618" s="137"/>
      <c r="D1618" s="194"/>
      <c r="E1618" s="194"/>
      <c r="F1618" s="137"/>
      <c r="G1618" s="137"/>
      <c r="H1618" s="137"/>
      <c r="I1618" s="137"/>
      <c r="J1618" s="197"/>
      <c r="K1618" s="198"/>
      <c r="L1618" s="196"/>
      <c r="M1618" s="196"/>
      <c r="N1618" s="196"/>
      <c r="O1618" s="196"/>
      <c r="P1618" s="127"/>
    </row>
    <row r="1619" spans="1:16" ht="20.25" customHeight="1" x14ac:dyDescent="0.3">
      <c r="A1619" s="137"/>
      <c r="B1619" s="137"/>
      <c r="C1619" s="137"/>
      <c r="D1619" s="194"/>
      <c r="E1619" s="194"/>
      <c r="F1619" s="137"/>
      <c r="G1619" s="137"/>
      <c r="H1619" s="137"/>
      <c r="I1619" s="137"/>
      <c r="J1619" s="197"/>
      <c r="K1619" s="198"/>
      <c r="L1619" s="196"/>
      <c r="M1619" s="196"/>
      <c r="N1619" s="196"/>
      <c r="O1619" s="196"/>
      <c r="P1619" s="127"/>
    </row>
    <row r="1620" spans="1:16" ht="20.25" customHeight="1" x14ac:dyDescent="0.3">
      <c r="A1620" s="137"/>
      <c r="B1620" s="137"/>
      <c r="C1620" s="137"/>
      <c r="D1620" s="194"/>
      <c r="E1620" s="194"/>
      <c r="F1620" s="137"/>
      <c r="G1620" s="137"/>
      <c r="H1620" s="137"/>
      <c r="I1620" s="137"/>
      <c r="J1620" s="197"/>
      <c r="K1620" s="198"/>
      <c r="L1620" s="196"/>
      <c r="M1620" s="196"/>
      <c r="N1620" s="196"/>
      <c r="O1620" s="196"/>
      <c r="P1620" s="127"/>
    </row>
    <row r="1621" spans="1:16" ht="20.25" customHeight="1" x14ac:dyDescent="0.3">
      <c r="A1621" s="137"/>
      <c r="B1621" s="137"/>
      <c r="C1621" s="137"/>
      <c r="D1621" s="194"/>
      <c r="E1621" s="194"/>
      <c r="F1621" s="137"/>
      <c r="G1621" s="137"/>
      <c r="H1621" s="137"/>
      <c r="I1621" s="137"/>
      <c r="J1621" s="197"/>
      <c r="K1621" s="198"/>
      <c r="L1621" s="196"/>
      <c r="M1621" s="196"/>
      <c r="N1621" s="196"/>
      <c r="O1621" s="196"/>
      <c r="P1621" s="127"/>
    </row>
    <row r="1622" spans="1:16" ht="20.25" customHeight="1" x14ac:dyDescent="0.3">
      <c r="A1622" s="137"/>
      <c r="B1622" s="137"/>
      <c r="C1622" s="137"/>
      <c r="D1622" s="194"/>
      <c r="E1622" s="194"/>
      <c r="F1622" s="137"/>
      <c r="G1622" s="137"/>
      <c r="H1622" s="137"/>
      <c r="I1622" s="137"/>
      <c r="J1622" s="197"/>
      <c r="K1622" s="198"/>
      <c r="L1622" s="196"/>
      <c r="M1622" s="196"/>
      <c r="N1622" s="196"/>
      <c r="O1622" s="196"/>
      <c r="P1622" s="127"/>
    </row>
    <row r="1623" spans="1:16" ht="20.25" customHeight="1" x14ac:dyDescent="0.3">
      <c r="A1623" s="137"/>
      <c r="B1623" s="137"/>
      <c r="C1623" s="137"/>
      <c r="D1623" s="194"/>
      <c r="E1623" s="194"/>
      <c r="F1623" s="137"/>
      <c r="G1623" s="137"/>
      <c r="H1623" s="137"/>
      <c r="I1623" s="137"/>
      <c r="J1623" s="197"/>
      <c r="K1623" s="198"/>
      <c r="L1623" s="196"/>
      <c r="M1623" s="196"/>
      <c r="N1623" s="196"/>
      <c r="O1623" s="196"/>
      <c r="P1623" s="127"/>
    </row>
    <row r="1624" spans="1:16" ht="20.25" customHeight="1" x14ac:dyDescent="0.3">
      <c r="A1624" s="137"/>
      <c r="B1624" s="137"/>
      <c r="C1624" s="137"/>
      <c r="D1624" s="194"/>
      <c r="E1624" s="194"/>
      <c r="F1624" s="137"/>
      <c r="G1624" s="137"/>
      <c r="H1624" s="137"/>
      <c r="I1624" s="137"/>
      <c r="J1624" s="197"/>
      <c r="K1624" s="198"/>
      <c r="L1624" s="196"/>
      <c r="M1624" s="196"/>
      <c r="N1624" s="196"/>
      <c r="O1624" s="196"/>
      <c r="P1624" s="127"/>
    </row>
    <row r="1625" spans="1:16" ht="20.25" customHeight="1" x14ac:dyDescent="0.3">
      <c r="A1625" s="137"/>
      <c r="B1625" s="137"/>
      <c r="C1625" s="137"/>
      <c r="D1625" s="194"/>
      <c r="E1625" s="194"/>
      <c r="F1625" s="137"/>
      <c r="G1625" s="137"/>
      <c r="H1625" s="137"/>
      <c r="I1625" s="137"/>
      <c r="J1625" s="197"/>
      <c r="K1625" s="198"/>
      <c r="L1625" s="196"/>
      <c r="M1625" s="196"/>
      <c r="N1625" s="196"/>
      <c r="O1625" s="196"/>
      <c r="P1625" s="127"/>
    </row>
    <row r="1626" spans="1:16" ht="20.25" customHeight="1" x14ac:dyDescent="0.3">
      <c r="A1626" s="137"/>
      <c r="B1626" s="137"/>
      <c r="C1626" s="137"/>
      <c r="D1626" s="194"/>
      <c r="E1626" s="194"/>
      <c r="F1626" s="137"/>
      <c r="G1626" s="137"/>
      <c r="H1626" s="137"/>
      <c r="I1626" s="137"/>
      <c r="J1626" s="197"/>
      <c r="K1626" s="198"/>
      <c r="L1626" s="196"/>
      <c r="M1626" s="196"/>
      <c r="N1626" s="196"/>
      <c r="O1626" s="196"/>
      <c r="P1626" s="127"/>
    </row>
    <row r="1627" spans="1:16" ht="20.25" customHeight="1" x14ac:dyDescent="0.3">
      <c r="A1627" s="137"/>
      <c r="B1627" s="137"/>
      <c r="C1627" s="137"/>
      <c r="D1627" s="194"/>
      <c r="E1627" s="194"/>
      <c r="F1627" s="137"/>
      <c r="G1627" s="137"/>
      <c r="H1627" s="137"/>
      <c r="I1627" s="137"/>
      <c r="J1627" s="197"/>
      <c r="K1627" s="198"/>
      <c r="L1627" s="196"/>
      <c r="M1627" s="196"/>
      <c r="N1627" s="196"/>
      <c r="O1627" s="196"/>
      <c r="P1627" s="127"/>
    </row>
    <row r="1628" spans="1:16" ht="20.25" customHeight="1" x14ac:dyDescent="0.3">
      <c r="A1628" s="137"/>
      <c r="B1628" s="137"/>
      <c r="C1628" s="137"/>
      <c r="D1628" s="194"/>
      <c r="E1628" s="194"/>
      <c r="F1628" s="137"/>
      <c r="G1628" s="137"/>
      <c r="H1628" s="137"/>
      <c r="I1628" s="137"/>
      <c r="J1628" s="197"/>
      <c r="K1628" s="198"/>
      <c r="L1628" s="196"/>
      <c r="M1628" s="196"/>
      <c r="N1628" s="196"/>
      <c r="O1628" s="196"/>
      <c r="P1628" s="127"/>
    </row>
    <row r="1629" spans="1:16" ht="20.25" customHeight="1" x14ac:dyDescent="0.3">
      <c r="A1629" s="137"/>
      <c r="B1629" s="137"/>
      <c r="C1629" s="137"/>
      <c r="D1629" s="194"/>
      <c r="E1629" s="194"/>
      <c r="F1629" s="137"/>
      <c r="G1629" s="137"/>
      <c r="H1629" s="137"/>
      <c r="I1629" s="137"/>
      <c r="J1629" s="197"/>
      <c r="K1629" s="198"/>
      <c r="L1629" s="196"/>
      <c r="M1629" s="196"/>
      <c r="N1629" s="196"/>
      <c r="O1629" s="196"/>
      <c r="P1629" s="127"/>
    </row>
    <row r="1630" spans="1:16" ht="20.25" customHeight="1" x14ac:dyDescent="0.3">
      <c r="A1630" s="137"/>
      <c r="B1630" s="137"/>
      <c r="C1630" s="137"/>
      <c r="D1630" s="194"/>
      <c r="E1630" s="194"/>
      <c r="F1630" s="137"/>
      <c r="G1630" s="137"/>
      <c r="H1630" s="137"/>
      <c r="I1630" s="137"/>
      <c r="J1630" s="197"/>
      <c r="K1630" s="198"/>
      <c r="L1630" s="196"/>
      <c r="M1630" s="196"/>
      <c r="N1630" s="196"/>
      <c r="O1630" s="196"/>
      <c r="P1630" s="127"/>
    </row>
    <row r="1631" spans="1:16" ht="20.25" customHeight="1" x14ac:dyDescent="0.3">
      <c r="A1631" s="137"/>
      <c r="B1631" s="137"/>
      <c r="C1631" s="137"/>
      <c r="D1631" s="194"/>
      <c r="E1631" s="194"/>
      <c r="F1631" s="137"/>
      <c r="G1631" s="137"/>
      <c r="H1631" s="137"/>
      <c r="I1631" s="137"/>
      <c r="J1631" s="197"/>
      <c r="K1631" s="198"/>
      <c r="L1631" s="196"/>
      <c r="M1631" s="196"/>
      <c r="N1631" s="196"/>
      <c r="O1631" s="196"/>
      <c r="P1631" s="127"/>
    </row>
    <row r="1632" spans="1:16" ht="20.25" customHeight="1" x14ac:dyDescent="0.3">
      <c r="A1632" s="137"/>
      <c r="B1632" s="137"/>
      <c r="C1632" s="137"/>
      <c r="D1632" s="194"/>
      <c r="E1632" s="194"/>
      <c r="F1632" s="137"/>
      <c r="G1632" s="137"/>
      <c r="H1632" s="137"/>
      <c r="I1632" s="137"/>
      <c r="J1632" s="197"/>
      <c r="K1632" s="198"/>
      <c r="L1632" s="196"/>
      <c r="M1632" s="196"/>
      <c r="N1632" s="196"/>
      <c r="O1632" s="196"/>
      <c r="P1632" s="127"/>
    </row>
    <row r="1633" spans="1:16" ht="20.25" customHeight="1" x14ac:dyDescent="0.3">
      <c r="A1633" s="137"/>
      <c r="B1633" s="137"/>
      <c r="C1633" s="137"/>
      <c r="D1633" s="194"/>
      <c r="E1633" s="194"/>
      <c r="F1633" s="137"/>
      <c r="G1633" s="137"/>
      <c r="H1633" s="137"/>
      <c r="I1633" s="137"/>
      <c r="J1633" s="197"/>
      <c r="K1633" s="198"/>
      <c r="L1633" s="196"/>
      <c r="M1633" s="196"/>
      <c r="N1633" s="196"/>
      <c r="O1633" s="196"/>
      <c r="P1633" s="127"/>
    </row>
    <row r="1634" spans="1:16" ht="20.25" customHeight="1" x14ac:dyDescent="0.3">
      <c r="A1634" s="137"/>
      <c r="B1634" s="137"/>
      <c r="C1634" s="137"/>
      <c r="D1634" s="194"/>
      <c r="E1634" s="194"/>
      <c r="F1634" s="137"/>
      <c r="G1634" s="137"/>
      <c r="H1634" s="137"/>
      <c r="I1634" s="137"/>
      <c r="J1634" s="197"/>
      <c r="K1634" s="198"/>
      <c r="L1634" s="196"/>
      <c r="M1634" s="196"/>
      <c r="N1634" s="196"/>
      <c r="O1634" s="196"/>
      <c r="P1634" s="127"/>
    </row>
    <row r="1635" spans="1:16" ht="20.25" customHeight="1" x14ac:dyDescent="0.3">
      <c r="A1635" s="137"/>
      <c r="B1635" s="137"/>
      <c r="C1635" s="137"/>
      <c r="D1635" s="194"/>
      <c r="E1635" s="194"/>
      <c r="F1635" s="137"/>
      <c r="G1635" s="137"/>
      <c r="H1635" s="137"/>
      <c r="I1635" s="137"/>
      <c r="J1635" s="197"/>
      <c r="K1635" s="198"/>
      <c r="L1635" s="196"/>
      <c r="M1635" s="196"/>
      <c r="N1635" s="196"/>
      <c r="O1635" s="196"/>
      <c r="P1635" s="127"/>
    </row>
    <row r="1636" spans="1:16" ht="20.25" customHeight="1" x14ac:dyDescent="0.3">
      <c r="A1636" s="137"/>
      <c r="B1636" s="137"/>
      <c r="C1636" s="137"/>
      <c r="D1636" s="194"/>
      <c r="E1636" s="194"/>
      <c r="F1636" s="137"/>
      <c r="G1636" s="137"/>
      <c r="H1636" s="137"/>
      <c r="I1636" s="137"/>
      <c r="J1636" s="197"/>
      <c r="K1636" s="198"/>
      <c r="L1636" s="196"/>
      <c r="M1636" s="196"/>
      <c r="N1636" s="196"/>
      <c r="O1636" s="196"/>
      <c r="P1636" s="127"/>
    </row>
    <row r="1637" spans="1:16" ht="20.25" customHeight="1" x14ac:dyDescent="0.3">
      <c r="A1637" s="137"/>
      <c r="B1637" s="137"/>
      <c r="C1637" s="137"/>
      <c r="D1637" s="194"/>
      <c r="E1637" s="194"/>
      <c r="F1637" s="137"/>
      <c r="G1637" s="137"/>
      <c r="H1637" s="137"/>
      <c r="I1637" s="137"/>
      <c r="J1637" s="197"/>
      <c r="K1637" s="198"/>
      <c r="L1637" s="196"/>
      <c r="M1637" s="196"/>
      <c r="N1637" s="196"/>
      <c r="O1637" s="196"/>
      <c r="P1637" s="127"/>
    </row>
    <row r="1638" spans="1:16" ht="20.25" customHeight="1" x14ac:dyDescent="0.3">
      <c r="A1638" s="137"/>
      <c r="B1638" s="137"/>
      <c r="C1638" s="137"/>
      <c r="D1638" s="194"/>
      <c r="E1638" s="194"/>
      <c r="F1638" s="137"/>
      <c r="G1638" s="137"/>
      <c r="H1638" s="137"/>
      <c r="I1638" s="137"/>
      <c r="J1638" s="197"/>
      <c r="K1638" s="198"/>
      <c r="L1638" s="196"/>
      <c r="M1638" s="196"/>
      <c r="N1638" s="196"/>
      <c r="O1638" s="196"/>
      <c r="P1638" s="127"/>
    </row>
    <row r="1639" spans="1:16" ht="20.25" customHeight="1" x14ac:dyDescent="0.3">
      <c r="A1639" s="137"/>
      <c r="B1639" s="137"/>
      <c r="C1639" s="137"/>
      <c r="D1639" s="194"/>
      <c r="E1639" s="194"/>
      <c r="F1639" s="137"/>
      <c r="G1639" s="137"/>
      <c r="H1639" s="137"/>
      <c r="I1639" s="137"/>
      <c r="J1639" s="197"/>
      <c r="K1639" s="198"/>
      <c r="L1639" s="196"/>
      <c r="M1639" s="196"/>
      <c r="N1639" s="196"/>
      <c r="O1639" s="196"/>
      <c r="P1639" s="127"/>
    </row>
    <row r="1640" spans="1:16" ht="20.25" customHeight="1" x14ac:dyDescent="0.3">
      <c r="A1640" s="137"/>
      <c r="B1640" s="137"/>
      <c r="C1640" s="137"/>
      <c r="D1640" s="194"/>
      <c r="E1640" s="194"/>
      <c r="F1640" s="137"/>
      <c r="G1640" s="137"/>
      <c r="H1640" s="137"/>
      <c r="I1640" s="137"/>
      <c r="J1640" s="197"/>
      <c r="K1640" s="198"/>
      <c r="L1640" s="196"/>
      <c r="M1640" s="196"/>
      <c r="N1640" s="196"/>
      <c r="O1640" s="196"/>
      <c r="P1640" s="127"/>
    </row>
    <row r="1641" spans="1:16" ht="20.25" customHeight="1" x14ac:dyDescent="0.3">
      <c r="A1641" s="137"/>
      <c r="B1641" s="137"/>
      <c r="C1641" s="137"/>
      <c r="D1641" s="194"/>
      <c r="E1641" s="194"/>
      <c r="F1641" s="137"/>
      <c r="G1641" s="137"/>
      <c r="H1641" s="137"/>
      <c r="I1641" s="137"/>
      <c r="J1641" s="197"/>
      <c r="K1641" s="198"/>
      <c r="L1641" s="196"/>
      <c r="M1641" s="196"/>
      <c r="N1641" s="196"/>
      <c r="O1641" s="196"/>
      <c r="P1641" s="127"/>
    </row>
    <row r="1642" spans="1:16" ht="20.25" customHeight="1" x14ac:dyDescent="0.3">
      <c r="A1642" s="137"/>
      <c r="B1642" s="137"/>
      <c r="C1642" s="137"/>
      <c r="D1642" s="194"/>
      <c r="E1642" s="194"/>
      <c r="F1642" s="137"/>
      <c r="G1642" s="137"/>
      <c r="H1642" s="137"/>
      <c r="I1642" s="137"/>
      <c r="J1642" s="197"/>
      <c r="K1642" s="198"/>
      <c r="L1642" s="196"/>
      <c r="M1642" s="196"/>
      <c r="N1642" s="196"/>
      <c r="O1642" s="196"/>
      <c r="P1642" s="127"/>
    </row>
    <row r="1643" spans="1:16" ht="20.25" customHeight="1" x14ac:dyDescent="0.3">
      <c r="A1643" s="137"/>
      <c r="B1643" s="137"/>
      <c r="C1643" s="137"/>
      <c r="D1643" s="194"/>
      <c r="E1643" s="194"/>
      <c r="F1643" s="137"/>
      <c r="G1643" s="137"/>
      <c r="H1643" s="137"/>
      <c r="I1643" s="137"/>
      <c r="J1643" s="197"/>
      <c r="K1643" s="198"/>
      <c r="L1643" s="196"/>
      <c r="M1643" s="196"/>
      <c r="N1643" s="196"/>
      <c r="O1643" s="196"/>
      <c r="P1643" s="127"/>
    </row>
    <row r="1644" spans="1:16" ht="20.25" customHeight="1" x14ac:dyDescent="0.3">
      <c r="A1644" s="137"/>
      <c r="B1644" s="137"/>
      <c r="C1644" s="137"/>
      <c r="D1644" s="194"/>
      <c r="E1644" s="194"/>
      <c r="F1644" s="137"/>
      <c r="G1644" s="137"/>
      <c r="H1644" s="137"/>
      <c r="I1644" s="137"/>
      <c r="J1644" s="197"/>
      <c r="K1644" s="198"/>
      <c r="L1644" s="196"/>
      <c r="M1644" s="196"/>
      <c r="N1644" s="196"/>
      <c r="O1644" s="196"/>
      <c r="P1644" s="127"/>
    </row>
    <row r="1645" spans="1:16" ht="20.25" customHeight="1" x14ac:dyDescent="0.3">
      <c r="A1645" s="137"/>
      <c r="B1645" s="137"/>
      <c r="C1645" s="137"/>
      <c r="D1645" s="194"/>
      <c r="E1645" s="194"/>
      <c r="F1645" s="137"/>
      <c r="G1645" s="137"/>
      <c r="H1645" s="137"/>
      <c r="I1645" s="137"/>
      <c r="J1645" s="197"/>
      <c r="K1645" s="198"/>
      <c r="L1645" s="196"/>
      <c r="M1645" s="196"/>
      <c r="N1645" s="196"/>
      <c r="O1645" s="196"/>
      <c r="P1645" s="127"/>
    </row>
    <row r="1646" spans="1:16" ht="20.25" customHeight="1" x14ac:dyDescent="0.3">
      <c r="A1646" s="137"/>
      <c r="B1646" s="137"/>
      <c r="C1646" s="137"/>
      <c r="D1646" s="194"/>
      <c r="E1646" s="194"/>
      <c r="F1646" s="137"/>
      <c r="G1646" s="137"/>
      <c r="H1646" s="137"/>
      <c r="I1646" s="137"/>
      <c r="J1646" s="197"/>
      <c r="K1646" s="198"/>
      <c r="L1646" s="196"/>
      <c r="M1646" s="196"/>
      <c r="N1646" s="196"/>
      <c r="O1646" s="196"/>
      <c r="P1646" s="127"/>
    </row>
    <row r="1647" spans="1:16" ht="20.25" customHeight="1" x14ac:dyDescent="0.3">
      <c r="A1647" s="137"/>
      <c r="B1647" s="137"/>
      <c r="C1647" s="137"/>
      <c r="D1647" s="194"/>
      <c r="E1647" s="194"/>
      <c r="F1647" s="137"/>
      <c r="G1647" s="137"/>
      <c r="H1647" s="137"/>
      <c r="I1647" s="137"/>
      <c r="J1647" s="197"/>
      <c r="K1647" s="198"/>
      <c r="L1647" s="196"/>
      <c r="M1647" s="196"/>
      <c r="N1647" s="196"/>
      <c r="O1647" s="196"/>
      <c r="P1647" s="127"/>
    </row>
    <row r="1648" spans="1:16" ht="20.25" customHeight="1" x14ac:dyDescent="0.3">
      <c r="A1648" s="137"/>
      <c r="B1648" s="137"/>
      <c r="C1648" s="137"/>
      <c r="D1648" s="194"/>
      <c r="E1648" s="194"/>
      <c r="F1648" s="137"/>
      <c r="G1648" s="137"/>
      <c r="H1648" s="137"/>
      <c r="I1648" s="137"/>
      <c r="J1648" s="197"/>
      <c r="K1648" s="198"/>
      <c r="L1648" s="196"/>
      <c r="M1648" s="196"/>
      <c r="N1648" s="196"/>
      <c r="O1648" s="196"/>
      <c r="P1648" s="127"/>
    </row>
    <row r="1649" spans="1:16" ht="20.25" customHeight="1" x14ac:dyDescent="0.3">
      <c r="A1649" s="137"/>
      <c r="B1649" s="137"/>
      <c r="C1649" s="137"/>
      <c r="D1649" s="194"/>
      <c r="E1649" s="194"/>
      <c r="F1649" s="137"/>
      <c r="G1649" s="137"/>
      <c r="H1649" s="137"/>
      <c r="I1649" s="137"/>
      <c r="J1649" s="197"/>
      <c r="K1649" s="198"/>
      <c r="L1649" s="196"/>
      <c r="M1649" s="196"/>
      <c r="N1649" s="196"/>
      <c r="O1649" s="196"/>
      <c r="P1649" s="127"/>
    </row>
    <row r="1650" spans="1:16" ht="20.25" customHeight="1" x14ac:dyDescent="0.3">
      <c r="A1650" s="137"/>
      <c r="B1650" s="137"/>
      <c r="C1650" s="137"/>
      <c r="D1650" s="194"/>
      <c r="E1650" s="194"/>
      <c r="F1650" s="137"/>
      <c r="G1650" s="137"/>
      <c r="H1650" s="137"/>
      <c r="I1650" s="137"/>
      <c r="J1650" s="197"/>
      <c r="K1650" s="198"/>
      <c r="L1650" s="196"/>
      <c r="M1650" s="196"/>
      <c r="N1650" s="196"/>
      <c r="O1650" s="196"/>
      <c r="P1650" s="127"/>
    </row>
    <row r="1651" spans="1:16" ht="20.25" customHeight="1" x14ac:dyDescent="0.3">
      <c r="A1651" s="137"/>
      <c r="B1651" s="137"/>
      <c r="C1651" s="137"/>
      <c r="D1651" s="194"/>
      <c r="E1651" s="194"/>
      <c r="F1651" s="137"/>
      <c r="G1651" s="137"/>
      <c r="H1651" s="137"/>
      <c r="I1651" s="137"/>
      <c r="J1651" s="197"/>
      <c r="K1651" s="198"/>
      <c r="L1651" s="196"/>
      <c r="M1651" s="196"/>
      <c r="N1651" s="196"/>
      <c r="O1651" s="196"/>
      <c r="P1651" s="127"/>
    </row>
    <row r="1652" spans="1:16" ht="20.25" customHeight="1" x14ac:dyDescent="0.3">
      <c r="A1652" s="137"/>
      <c r="B1652" s="137"/>
      <c r="C1652" s="137"/>
      <c r="D1652" s="194"/>
      <c r="E1652" s="194"/>
      <c r="F1652" s="137"/>
      <c r="G1652" s="137"/>
      <c r="H1652" s="137"/>
      <c r="I1652" s="137"/>
      <c r="J1652" s="197"/>
      <c r="K1652" s="198"/>
      <c r="L1652" s="196"/>
      <c r="M1652" s="196"/>
      <c r="N1652" s="196"/>
      <c r="O1652" s="196"/>
      <c r="P1652" s="127"/>
    </row>
    <row r="1653" spans="1:16" ht="20.25" customHeight="1" x14ac:dyDescent="0.3">
      <c r="A1653" s="137"/>
      <c r="B1653" s="137"/>
      <c r="C1653" s="137"/>
      <c r="D1653" s="194"/>
      <c r="E1653" s="194"/>
      <c r="F1653" s="137"/>
      <c r="G1653" s="137"/>
      <c r="H1653" s="137"/>
      <c r="I1653" s="137"/>
      <c r="J1653" s="197"/>
      <c r="K1653" s="198"/>
      <c r="L1653" s="196"/>
      <c r="M1653" s="196"/>
      <c r="N1653" s="196"/>
      <c r="O1653" s="196"/>
      <c r="P1653" s="127"/>
    </row>
    <row r="1654" spans="1:16" ht="20.25" customHeight="1" x14ac:dyDescent="0.3">
      <c r="A1654" s="137"/>
      <c r="B1654" s="137"/>
      <c r="C1654" s="137"/>
      <c r="D1654" s="194"/>
      <c r="E1654" s="194"/>
      <c r="F1654" s="137"/>
      <c r="G1654" s="137"/>
      <c r="H1654" s="137"/>
      <c r="I1654" s="137"/>
      <c r="J1654" s="197"/>
      <c r="K1654" s="198"/>
      <c r="L1654" s="196"/>
      <c r="M1654" s="196"/>
      <c r="N1654" s="196"/>
      <c r="O1654" s="196"/>
      <c r="P1654" s="127"/>
    </row>
    <row r="1655" spans="1:16" ht="20.25" customHeight="1" x14ac:dyDescent="0.3">
      <c r="A1655" s="137"/>
      <c r="B1655" s="137"/>
      <c r="C1655" s="137"/>
      <c r="D1655" s="194"/>
      <c r="E1655" s="194"/>
      <c r="F1655" s="137"/>
      <c r="G1655" s="137"/>
      <c r="H1655" s="137"/>
      <c r="I1655" s="137"/>
      <c r="J1655" s="197"/>
      <c r="K1655" s="198"/>
      <c r="L1655" s="196"/>
      <c r="M1655" s="196"/>
      <c r="N1655" s="196"/>
      <c r="O1655" s="196"/>
      <c r="P1655" s="127"/>
    </row>
    <row r="1656" spans="1:16" ht="20.25" customHeight="1" x14ac:dyDescent="0.3">
      <c r="A1656" s="137"/>
      <c r="B1656" s="137"/>
      <c r="C1656" s="137"/>
      <c r="D1656" s="194"/>
      <c r="E1656" s="194"/>
      <c r="F1656" s="137"/>
      <c r="G1656" s="137"/>
      <c r="H1656" s="137"/>
      <c r="I1656" s="137"/>
      <c r="J1656" s="197"/>
      <c r="K1656" s="198"/>
      <c r="L1656" s="196"/>
      <c r="M1656" s="196"/>
      <c r="N1656" s="196"/>
      <c r="O1656" s="196"/>
      <c r="P1656" s="127"/>
    </row>
    <row r="1657" spans="1:16" ht="20.25" customHeight="1" x14ac:dyDescent="0.3">
      <c r="A1657" s="137"/>
      <c r="B1657" s="137"/>
      <c r="C1657" s="137"/>
      <c r="D1657" s="194"/>
      <c r="E1657" s="194"/>
      <c r="F1657" s="137"/>
      <c r="G1657" s="137"/>
      <c r="H1657" s="137"/>
      <c r="I1657" s="137"/>
      <c r="J1657" s="197"/>
      <c r="K1657" s="198"/>
      <c r="L1657" s="196"/>
      <c r="M1657" s="196"/>
      <c r="N1657" s="196"/>
      <c r="O1657" s="196"/>
      <c r="P1657" s="127"/>
    </row>
    <row r="1658" spans="1:16" ht="20.25" customHeight="1" x14ac:dyDescent="0.3">
      <c r="A1658" s="137"/>
      <c r="B1658" s="137"/>
      <c r="C1658" s="137"/>
      <c r="D1658" s="194"/>
      <c r="E1658" s="194"/>
      <c r="F1658" s="137"/>
      <c r="G1658" s="137"/>
      <c r="H1658" s="137"/>
      <c r="I1658" s="137"/>
      <c r="J1658" s="197"/>
      <c r="K1658" s="198"/>
      <c r="L1658" s="196"/>
      <c r="M1658" s="196"/>
      <c r="N1658" s="196"/>
      <c r="O1658" s="196"/>
      <c r="P1658" s="127"/>
    </row>
    <row r="1659" spans="1:16" ht="20.25" customHeight="1" x14ac:dyDescent="0.3">
      <c r="A1659" s="137"/>
      <c r="B1659" s="137"/>
      <c r="C1659" s="137"/>
      <c r="D1659" s="194"/>
      <c r="E1659" s="194"/>
      <c r="F1659" s="137"/>
      <c r="G1659" s="137"/>
      <c r="H1659" s="137"/>
      <c r="I1659" s="137"/>
      <c r="J1659" s="197"/>
      <c r="K1659" s="198"/>
      <c r="L1659" s="196"/>
      <c r="M1659" s="196"/>
      <c r="N1659" s="196"/>
      <c r="O1659" s="196"/>
      <c r="P1659" s="127"/>
    </row>
    <row r="1660" spans="1:16" ht="20.25" customHeight="1" x14ac:dyDescent="0.3">
      <c r="A1660" s="137"/>
      <c r="B1660" s="137"/>
      <c r="C1660" s="137"/>
      <c r="D1660" s="194"/>
      <c r="E1660" s="194"/>
      <c r="F1660" s="137"/>
      <c r="G1660" s="137"/>
      <c r="H1660" s="137"/>
      <c r="I1660" s="137"/>
      <c r="J1660" s="197"/>
      <c r="K1660" s="198"/>
      <c r="L1660" s="196"/>
      <c r="M1660" s="196"/>
      <c r="N1660" s="196"/>
      <c r="O1660" s="196"/>
      <c r="P1660" s="127"/>
    </row>
    <row r="1661" spans="1:16" ht="20.25" customHeight="1" x14ac:dyDescent="0.3">
      <c r="A1661" s="137"/>
      <c r="B1661" s="137"/>
      <c r="C1661" s="137"/>
      <c r="D1661" s="194"/>
      <c r="E1661" s="194"/>
      <c r="F1661" s="137"/>
      <c r="G1661" s="137"/>
      <c r="H1661" s="137"/>
      <c r="I1661" s="137"/>
      <c r="J1661" s="197"/>
      <c r="K1661" s="198"/>
      <c r="L1661" s="196"/>
      <c r="M1661" s="196"/>
      <c r="N1661" s="196"/>
      <c r="O1661" s="196"/>
      <c r="P1661" s="127"/>
    </row>
    <row r="1662" spans="1:16" ht="20.25" customHeight="1" x14ac:dyDescent="0.3">
      <c r="A1662" s="137"/>
      <c r="B1662" s="137"/>
      <c r="C1662" s="137"/>
      <c r="D1662" s="194"/>
      <c r="E1662" s="194"/>
      <c r="F1662" s="137"/>
      <c r="G1662" s="137"/>
      <c r="H1662" s="137"/>
      <c r="I1662" s="137"/>
      <c r="J1662" s="197"/>
      <c r="K1662" s="198"/>
      <c r="L1662" s="196"/>
      <c r="M1662" s="196"/>
      <c r="N1662" s="196"/>
      <c r="O1662" s="196"/>
      <c r="P1662" s="127"/>
    </row>
    <row r="1663" spans="1:16" ht="20.25" customHeight="1" x14ac:dyDescent="0.3">
      <c r="A1663" s="137"/>
      <c r="B1663" s="137"/>
      <c r="C1663" s="137"/>
      <c r="D1663" s="194"/>
      <c r="E1663" s="194"/>
      <c r="F1663" s="137"/>
      <c r="G1663" s="137"/>
      <c r="H1663" s="137"/>
      <c r="I1663" s="137"/>
      <c r="J1663" s="197"/>
      <c r="K1663" s="198"/>
      <c r="L1663" s="196"/>
      <c r="M1663" s="196"/>
      <c r="N1663" s="196"/>
      <c r="O1663" s="196"/>
      <c r="P1663" s="127"/>
    </row>
    <row r="1664" spans="1:16" ht="20.25" customHeight="1" x14ac:dyDescent="0.3">
      <c r="A1664" s="137"/>
      <c r="B1664" s="137"/>
      <c r="C1664" s="137"/>
      <c r="D1664" s="194"/>
      <c r="E1664" s="194"/>
      <c r="F1664" s="137"/>
      <c r="G1664" s="137"/>
      <c r="H1664" s="137"/>
      <c r="I1664" s="137"/>
      <c r="J1664" s="197"/>
      <c r="K1664" s="198"/>
      <c r="L1664" s="196"/>
      <c r="M1664" s="196"/>
      <c r="N1664" s="196"/>
      <c r="O1664" s="196"/>
      <c r="P1664" s="127"/>
    </row>
    <row r="1665" spans="1:16" ht="20.25" customHeight="1" x14ac:dyDescent="0.3">
      <c r="A1665" s="137"/>
      <c r="B1665" s="137"/>
      <c r="C1665" s="137"/>
      <c r="D1665" s="194"/>
      <c r="E1665" s="194"/>
      <c r="F1665" s="137"/>
      <c r="G1665" s="137"/>
      <c r="H1665" s="137"/>
      <c r="I1665" s="137"/>
      <c r="J1665" s="197"/>
      <c r="K1665" s="198"/>
      <c r="L1665" s="196"/>
      <c r="M1665" s="196"/>
      <c r="N1665" s="196"/>
      <c r="O1665" s="196"/>
      <c r="P1665" s="127"/>
    </row>
    <row r="1666" spans="1:16" ht="20.25" customHeight="1" x14ac:dyDescent="0.3">
      <c r="A1666" s="137"/>
      <c r="B1666" s="137"/>
      <c r="C1666" s="137"/>
      <c r="D1666" s="194"/>
      <c r="E1666" s="194"/>
      <c r="F1666" s="137"/>
      <c r="G1666" s="137"/>
      <c r="H1666" s="137"/>
      <c r="I1666" s="137"/>
      <c r="J1666" s="197"/>
      <c r="K1666" s="198"/>
      <c r="L1666" s="196"/>
      <c r="M1666" s="196"/>
      <c r="N1666" s="196"/>
      <c r="O1666" s="196"/>
      <c r="P1666" s="127"/>
    </row>
    <row r="1667" spans="1:16" ht="20.25" customHeight="1" x14ac:dyDescent="0.3">
      <c r="A1667" s="137"/>
      <c r="B1667" s="137"/>
      <c r="C1667" s="137"/>
      <c r="D1667" s="194"/>
      <c r="E1667" s="194"/>
      <c r="F1667" s="137"/>
      <c r="G1667" s="137"/>
      <c r="H1667" s="137"/>
      <c r="I1667" s="137"/>
      <c r="J1667" s="197"/>
      <c r="K1667" s="198"/>
      <c r="L1667" s="196"/>
      <c r="M1667" s="196"/>
      <c r="N1667" s="196"/>
      <c r="O1667" s="196"/>
      <c r="P1667" s="127"/>
    </row>
    <row r="1668" spans="1:16" ht="20.25" customHeight="1" x14ac:dyDescent="0.3">
      <c r="A1668" s="137"/>
      <c r="B1668" s="137"/>
      <c r="C1668" s="137"/>
      <c r="D1668" s="194"/>
      <c r="E1668" s="194"/>
      <c r="F1668" s="137"/>
      <c r="G1668" s="137"/>
      <c r="H1668" s="137"/>
      <c r="I1668" s="137"/>
      <c r="J1668" s="197"/>
      <c r="K1668" s="198"/>
      <c r="L1668" s="196"/>
      <c r="M1668" s="196"/>
      <c r="N1668" s="196"/>
      <c r="O1668" s="196"/>
      <c r="P1668" s="127"/>
    </row>
    <row r="1669" spans="1:16" ht="20.25" customHeight="1" x14ac:dyDescent="0.3">
      <c r="A1669" s="137"/>
      <c r="B1669" s="137"/>
      <c r="C1669" s="137"/>
      <c r="D1669" s="194"/>
      <c r="E1669" s="194"/>
      <c r="F1669" s="137"/>
      <c r="G1669" s="137"/>
      <c r="H1669" s="137"/>
      <c r="I1669" s="137"/>
      <c r="J1669" s="197"/>
      <c r="K1669" s="198"/>
      <c r="L1669" s="196"/>
      <c r="M1669" s="196"/>
      <c r="N1669" s="196"/>
      <c r="O1669" s="196"/>
      <c r="P1669" s="127"/>
    </row>
    <row r="1670" spans="1:16" ht="20.25" customHeight="1" x14ac:dyDescent="0.3">
      <c r="A1670" s="137"/>
      <c r="B1670" s="137"/>
      <c r="C1670" s="137"/>
      <c r="D1670" s="194"/>
      <c r="E1670" s="194"/>
      <c r="F1670" s="137"/>
      <c r="G1670" s="137"/>
      <c r="H1670" s="137"/>
      <c r="I1670" s="137"/>
      <c r="J1670" s="197"/>
      <c r="K1670" s="198"/>
      <c r="L1670" s="196"/>
      <c r="M1670" s="196"/>
      <c r="N1670" s="196"/>
      <c r="O1670" s="196"/>
      <c r="P1670" s="127"/>
    </row>
    <row r="1671" spans="1:16" ht="20.25" customHeight="1" x14ac:dyDescent="0.3">
      <c r="A1671" s="137"/>
      <c r="B1671" s="137"/>
      <c r="C1671" s="137"/>
      <c r="D1671" s="194"/>
      <c r="E1671" s="194"/>
      <c r="F1671" s="137"/>
      <c r="G1671" s="137"/>
      <c r="H1671" s="137"/>
      <c r="I1671" s="137"/>
      <c r="J1671" s="197"/>
      <c r="K1671" s="198"/>
      <c r="L1671" s="196"/>
      <c r="M1671" s="196"/>
      <c r="N1671" s="196"/>
      <c r="O1671" s="196"/>
      <c r="P1671" s="127"/>
    </row>
    <row r="1672" spans="1:16" ht="20.25" customHeight="1" x14ac:dyDescent="0.3">
      <c r="A1672" s="137"/>
      <c r="B1672" s="137"/>
      <c r="C1672" s="137"/>
      <c r="D1672" s="194"/>
      <c r="E1672" s="194"/>
      <c r="F1672" s="137"/>
      <c r="G1672" s="137"/>
      <c r="H1672" s="137"/>
      <c r="I1672" s="137"/>
      <c r="J1672" s="197"/>
      <c r="K1672" s="198"/>
      <c r="L1672" s="196"/>
      <c r="M1672" s="196"/>
      <c r="N1672" s="196"/>
      <c r="O1672" s="196"/>
      <c r="P1672" s="127"/>
    </row>
    <row r="1673" spans="1:16" ht="20.25" customHeight="1" x14ac:dyDescent="0.3">
      <c r="A1673" s="137"/>
      <c r="B1673" s="137"/>
      <c r="C1673" s="137"/>
      <c r="D1673" s="194"/>
      <c r="E1673" s="194"/>
      <c r="F1673" s="137"/>
      <c r="G1673" s="137"/>
      <c r="H1673" s="137"/>
      <c r="I1673" s="137"/>
      <c r="J1673" s="197"/>
      <c r="K1673" s="198"/>
      <c r="L1673" s="196"/>
      <c r="M1673" s="196"/>
      <c r="N1673" s="196"/>
      <c r="O1673" s="196"/>
      <c r="P1673" s="127"/>
    </row>
    <row r="1674" spans="1:16" ht="20.25" customHeight="1" x14ac:dyDescent="0.3">
      <c r="A1674" s="137"/>
      <c r="B1674" s="137"/>
      <c r="C1674" s="137"/>
      <c r="D1674" s="194"/>
      <c r="E1674" s="194"/>
      <c r="F1674" s="137"/>
      <c r="G1674" s="137"/>
      <c r="H1674" s="137"/>
      <c r="I1674" s="137"/>
      <c r="J1674" s="197"/>
      <c r="K1674" s="198"/>
      <c r="L1674" s="196"/>
      <c r="M1674" s="196"/>
      <c r="N1674" s="196"/>
      <c r="O1674" s="196"/>
      <c r="P1674" s="127"/>
    </row>
    <row r="1675" spans="1:16" ht="20.25" customHeight="1" x14ac:dyDescent="0.3">
      <c r="A1675" s="137"/>
      <c r="B1675" s="137"/>
      <c r="C1675" s="137"/>
      <c r="D1675" s="194"/>
      <c r="E1675" s="194"/>
      <c r="F1675" s="137"/>
      <c r="G1675" s="137"/>
      <c r="H1675" s="137"/>
      <c r="I1675" s="137"/>
      <c r="J1675" s="197"/>
      <c r="K1675" s="198"/>
      <c r="L1675" s="196"/>
      <c r="M1675" s="196"/>
      <c r="N1675" s="196"/>
      <c r="O1675" s="196"/>
      <c r="P1675" s="127"/>
    </row>
    <row r="1676" spans="1:16" ht="20.25" customHeight="1" x14ac:dyDescent="0.3">
      <c r="A1676" s="137"/>
      <c r="B1676" s="137"/>
      <c r="C1676" s="137"/>
      <c r="D1676" s="194"/>
      <c r="E1676" s="194"/>
      <c r="F1676" s="137"/>
      <c r="G1676" s="137"/>
      <c r="H1676" s="137"/>
      <c r="I1676" s="137"/>
      <c r="J1676" s="197"/>
      <c r="K1676" s="198"/>
      <c r="L1676" s="196"/>
      <c r="M1676" s="196"/>
      <c r="N1676" s="196"/>
      <c r="O1676" s="196"/>
      <c r="P1676" s="127"/>
    </row>
    <row r="1677" spans="1:16" ht="20.25" customHeight="1" x14ac:dyDescent="0.3">
      <c r="A1677" s="137"/>
      <c r="B1677" s="137"/>
      <c r="C1677" s="137"/>
      <c r="D1677" s="194"/>
      <c r="E1677" s="194"/>
      <c r="F1677" s="137"/>
      <c r="G1677" s="137"/>
      <c r="H1677" s="137"/>
      <c r="I1677" s="137"/>
      <c r="J1677" s="197"/>
      <c r="K1677" s="198"/>
      <c r="L1677" s="196"/>
      <c r="M1677" s="196"/>
      <c r="N1677" s="196"/>
      <c r="O1677" s="196"/>
      <c r="P1677" s="127"/>
    </row>
    <row r="1678" spans="1:16" ht="20.25" customHeight="1" x14ac:dyDescent="0.3">
      <c r="A1678" s="137"/>
      <c r="B1678" s="137"/>
      <c r="C1678" s="137"/>
      <c r="D1678" s="194"/>
      <c r="E1678" s="194"/>
      <c r="F1678" s="137"/>
      <c r="G1678" s="137"/>
      <c r="H1678" s="137"/>
      <c r="I1678" s="137"/>
      <c r="J1678" s="197"/>
      <c r="K1678" s="198"/>
      <c r="L1678" s="196"/>
      <c r="M1678" s="196"/>
      <c r="N1678" s="196"/>
      <c r="O1678" s="196"/>
      <c r="P1678" s="127"/>
    </row>
    <row r="1679" spans="1:16" ht="20.25" customHeight="1" x14ac:dyDescent="0.3">
      <c r="A1679" s="137"/>
      <c r="B1679" s="137"/>
      <c r="C1679" s="137"/>
      <c r="D1679" s="194"/>
      <c r="E1679" s="194"/>
      <c r="F1679" s="137"/>
      <c r="G1679" s="137"/>
      <c r="H1679" s="137"/>
      <c r="I1679" s="137"/>
      <c r="J1679" s="197"/>
      <c r="K1679" s="198"/>
      <c r="L1679" s="196"/>
      <c r="M1679" s="196"/>
      <c r="N1679" s="196"/>
      <c r="O1679" s="196"/>
      <c r="P1679" s="127"/>
    </row>
    <row r="1680" spans="1:16" ht="20.25" customHeight="1" x14ac:dyDescent="0.3">
      <c r="A1680" s="137"/>
      <c r="B1680" s="137"/>
      <c r="C1680" s="137"/>
      <c r="D1680" s="194"/>
      <c r="E1680" s="194"/>
      <c r="F1680" s="137"/>
      <c r="G1680" s="137"/>
      <c r="H1680" s="137"/>
      <c r="I1680" s="137"/>
      <c r="J1680" s="197"/>
      <c r="K1680" s="198"/>
      <c r="L1680" s="196"/>
      <c r="M1680" s="196"/>
      <c r="N1680" s="196"/>
      <c r="O1680" s="196"/>
      <c r="P1680" s="127"/>
    </row>
    <row r="1681" spans="1:16" ht="20.25" customHeight="1" x14ac:dyDescent="0.3">
      <c r="A1681" s="137"/>
      <c r="B1681" s="137"/>
      <c r="C1681" s="137"/>
      <c r="D1681" s="194"/>
      <c r="E1681" s="194"/>
      <c r="F1681" s="137"/>
      <c r="G1681" s="137"/>
      <c r="H1681" s="137"/>
      <c r="I1681" s="137"/>
      <c r="J1681" s="197"/>
      <c r="K1681" s="198"/>
      <c r="L1681" s="196"/>
      <c r="M1681" s="196"/>
      <c r="N1681" s="196"/>
      <c r="O1681" s="196"/>
      <c r="P1681" s="127"/>
    </row>
    <row r="1682" spans="1:16" ht="20.25" customHeight="1" x14ac:dyDescent="0.3">
      <c r="A1682" s="137"/>
      <c r="B1682" s="137"/>
      <c r="C1682" s="137"/>
      <c r="D1682" s="194"/>
      <c r="E1682" s="194"/>
      <c r="F1682" s="137"/>
      <c r="G1682" s="137"/>
      <c r="H1682" s="137"/>
      <c r="I1682" s="137"/>
      <c r="J1682" s="197"/>
      <c r="K1682" s="198"/>
      <c r="L1682" s="196"/>
      <c r="M1682" s="196"/>
      <c r="N1682" s="196"/>
      <c r="O1682" s="196"/>
      <c r="P1682" s="127"/>
    </row>
    <row r="1683" spans="1:16" ht="20.25" customHeight="1" x14ac:dyDescent="0.3">
      <c r="A1683" s="137"/>
      <c r="B1683" s="137"/>
      <c r="C1683" s="137"/>
      <c r="D1683" s="194"/>
      <c r="E1683" s="194"/>
      <c r="F1683" s="137"/>
      <c r="G1683" s="137"/>
      <c r="H1683" s="137"/>
      <c r="I1683" s="137"/>
      <c r="J1683" s="197"/>
      <c r="K1683" s="198"/>
      <c r="L1683" s="196"/>
      <c r="M1683" s="196"/>
      <c r="N1683" s="196"/>
      <c r="O1683" s="196"/>
      <c r="P1683" s="127"/>
    </row>
    <row r="1684" spans="1:16" ht="20.25" customHeight="1" x14ac:dyDescent="0.3">
      <c r="A1684" s="137"/>
      <c r="B1684" s="137"/>
      <c r="C1684" s="137"/>
      <c r="D1684" s="194"/>
      <c r="E1684" s="194"/>
      <c r="F1684" s="137"/>
      <c r="G1684" s="137"/>
      <c r="H1684" s="137"/>
      <c r="I1684" s="137"/>
      <c r="J1684" s="197"/>
      <c r="K1684" s="198"/>
      <c r="L1684" s="196"/>
      <c r="M1684" s="196"/>
      <c r="N1684" s="196"/>
      <c r="O1684" s="196"/>
      <c r="P1684" s="127"/>
    </row>
    <row r="1685" spans="1:16" ht="20.25" customHeight="1" x14ac:dyDescent="0.3">
      <c r="A1685" s="137"/>
      <c r="B1685" s="137"/>
      <c r="C1685" s="137"/>
      <c r="D1685" s="194"/>
      <c r="E1685" s="194"/>
      <c r="F1685" s="137"/>
      <c r="G1685" s="137"/>
      <c r="H1685" s="137"/>
      <c r="I1685" s="137"/>
      <c r="J1685" s="197"/>
      <c r="K1685" s="198"/>
      <c r="L1685" s="196"/>
      <c r="M1685" s="196"/>
      <c r="N1685" s="196"/>
      <c r="O1685" s="196"/>
      <c r="P1685" s="127"/>
    </row>
    <row r="1686" spans="1:16" ht="20.25" customHeight="1" x14ac:dyDescent="0.3">
      <c r="A1686" s="137"/>
      <c r="B1686" s="137"/>
      <c r="C1686" s="137"/>
      <c r="D1686" s="194"/>
      <c r="E1686" s="194"/>
      <c r="F1686" s="137"/>
      <c r="G1686" s="137"/>
      <c r="H1686" s="137"/>
      <c r="I1686" s="137"/>
      <c r="J1686" s="197"/>
      <c r="K1686" s="198"/>
      <c r="L1686" s="196"/>
      <c r="M1686" s="196"/>
      <c r="N1686" s="196"/>
      <c r="O1686" s="196"/>
      <c r="P1686" s="127"/>
    </row>
    <row r="1687" spans="1:16" ht="20.25" customHeight="1" x14ac:dyDescent="0.3">
      <c r="A1687" s="137"/>
      <c r="B1687" s="137"/>
      <c r="C1687" s="137"/>
      <c r="D1687" s="194"/>
      <c r="E1687" s="194"/>
      <c r="F1687" s="137"/>
      <c r="G1687" s="137"/>
      <c r="H1687" s="137"/>
      <c r="I1687" s="137"/>
      <c r="J1687" s="197"/>
      <c r="K1687" s="198"/>
      <c r="L1687" s="196"/>
      <c r="M1687" s="196"/>
      <c r="N1687" s="196"/>
      <c r="O1687" s="196"/>
      <c r="P1687" s="127"/>
    </row>
    <row r="1688" spans="1:16" ht="20.25" customHeight="1" x14ac:dyDescent="0.3">
      <c r="A1688" s="137"/>
      <c r="B1688" s="137"/>
      <c r="C1688" s="137"/>
      <c r="D1688" s="194"/>
      <c r="E1688" s="194"/>
      <c r="F1688" s="137"/>
      <c r="G1688" s="137"/>
      <c r="H1688" s="137"/>
      <c r="I1688" s="137"/>
      <c r="J1688" s="197"/>
      <c r="K1688" s="198"/>
      <c r="L1688" s="196"/>
      <c r="M1688" s="196"/>
      <c r="N1688" s="196"/>
      <c r="O1688" s="196"/>
      <c r="P1688" s="127"/>
    </row>
    <row r="1689" spans="1:16" ht="20.25" customHeight="1" x14ac:dyDescent="0.3">
      <c r="A1689" s="137"/>
      <c r="B1689" s="137"/>
      <c r="C1689" s="137"/>
      <c r="D1689" s="194"/>
      <c r="E1689" s="194"/>
      <c r="F1689" s="137"/>
      <c r="G1689" s="137"/>
      <c r="H1689" s="137"/>
      <c r="I1689" s="137"/>
      <c r="J1689" s="197"/>
      <c r="K1689" s="198"/>
      <c r="L1689" s="196"/>
      <c r="M1689" s="196"/>
      <c r="N1689" s="196"/>
      <c r="O1689" s="196"/>
      <c r="P1689" s="127"/>
    </row>
    <row r="1690" spans="1:16" ht="20.25" customHeight="1" x14ac:dyDescent="0.3">
      <c r="A1690" s="137"/>
      <c r="B1690" s="137"/>
      <c r="C1690" s="137"/>
      <c r="D1690" s="194"/>
      <c r="E1690" s="194"/>
      <c r="F1690" s="137"/>
      <c r="G1690" s="137"/>
      <c r="H1690" s="137"/>
      <c r="I1690" s="137"/>
      <c r="J1690" s="197"/>
      <c r="K1690" s="198"/>
      <c r="L1690" s="196"/>
      <c r="M1690" s="196"/>
      <c r="N1690" s="196"/>
      <c r="O1690" s="196"/>
      <c r="P1690" s="127"/>
    </row>
    <row r="1691" spans="1:16" ht="20.25" customHeight="1" x14ac:dyDescent="0.3">
      <c r="A1691" s="137"/>
      <c r="B1691" s="137"/>
      <c r="C1691" s="137"/>
      <c r="D1691" s="194"/>
      <c r="E1691" s="194"/>
      <c r="F1691" s="137"/>
      <c r="G1691" s="137"/>
      <c r="H1691" s="137"/>
      <c r="I1691" s="137"/>
      <c r="J1691" s="197"/>
      <c r="K1691" s="198"/>
      <c r="L1691" s="196"/>
      <c r="M1691" s="196"/>
      <c r="N1691" s="196"/>
      <c r="O1691" s="196"/>
      <c r="P1691" s="127"/>
    </row>
    <row r="1692" spans="1:16" ht="20.25" customHeight="1" x14ac:dyDescent="0.3">
      <c r="A1692" s="137"/>
      <c r="B1692" s="137"/>
      <c r="C1692" s="137"/>
      <c r="D1692" s="194"/>
      <c r="E1692" s="194"/>
      <c r="F1692" s="137"/>
      <c r="G1692" s="137"/>
      <c r="H1692" s="137"/>
      <c r="I1692" s="137"/>
      <c r="J1692" s="197"/>
      <c r="K1692" s="198"/>
      <c r="L1692" s="196"/>
      <c r="M1692" s="196"/>
      <c r="N1692" s="196"/>
      <c r="O1692" s="196"/>
      <c r="P1692" s="127"/>
    </row>
    <row r="1693" spans="1:16" ht="20.25" customHeight="1" x14ac:dyDescent="0.3">
      <c r="A1693" s="137"/>
      <c r="B1693" s="137"/>
      <c r="C1693" s="137"/>
      <c r="D1693" s="194"/>
      <c r="E1693" s="194"/>
      <c r="F1693" s="137"/>
      <c r="G1693" s="137"/>
      <c r="H1693" s="137"/>
      <c r="I1693" s="137"/>
      <c r="J1693" s="197"/>
      <c r="K1693" s="198"/>
      <c r="L1693" s="196"/>
      <c r="M1693" s="196"/>
      <c r="N1693" s="196"/>
      <c r="O1693" s="196"/>
      <c r="P1693" s="127"/>
    </row>
    <row r="1694" spans="1:16" ht="20.25" customHeight="1" x14ac:dyDescent="0.3">
      <c r="A1694" s="137"/>
      <c r="B1694" s="137"/>
      <c r="C1694" s="137"/>
      <c r="D1694" s="194"/>
      <c r="E1694" s="194"/>
      <c r="F1694" s="137"/>
      <c r="G1694" s="137"/>
      <c r="H1694" s="137"/>
      <c r="I1694" s="137"/>
      <c r="J1694" s="197"/>
      <c r="K1694" s="198"/>
      <c r="L1694" s="196"/>
      <c r="M1694" s="196"/>
      <c r="N1694" s="196"/>
      <c r="O1694" s="196"/>
      <c r="P1694" s="127"/>
    </row>
    <row r="1695" spans="1:16" ht="20.25" customHeight="1" x14ac:dyDescent="0.3">
      <c r="A1695" s="137"/>
      <c r="B1695" s="137"/>
      <c r="C1695" s="137"/>
      <c r="D1695" s="194"/>
      <c r="E1695" s="194"/>
      <c r="F1695" s="137"/>
      <c r="G1695" s="137"/>
      <c r="H1695" s="137"/>
      <c r="I1695" s="137"/>
      <c r="J1695" s="197"/>
      <c r="K1695" s="198"/>
      <c r="L1695" s="196"/>
      <c r="M1695" s="196"/>
      <c r="N1695" s="196"/>
      <c r="O1695" s="196"/>
      <c r="P1695" s="127"/>
    </row>
    <row r="1696" spans="1:16" ht="20.25" customHeight="1" x14ac:dyDescent="0.3">
      <c r="A1696" s="137"/>
      <c r="B1696" s="137"/>
      <c r="C1696" s="137"/>
      <c r="D1696" s="194"/>
      <c r="E1696" s="194"/>
      <c r="F1696" s="137"/>
      <c r="G1696" s="137"/>
      <c r="H1696" s="137"/>
      <c r="I1696" s="137"/>
      <c r="J1696" s="197"/>
      <c r="K1696" s="198"/>
      <c r="L1696" s="196"/>
      <c r="M1696" s="196"/>
      <c r="N1696" s="196"/>
      <c r="O1696" s="196"/>
      <c r="P1696" s="127"/>
    </row>
    <row r="1697" spans="1:16" ht="20.25" customHeight="1" x14ac:dyDescent="0.3">
      <c r="A1697" s="137"/>
      <c r="B1697" s="137"/>
      <c r="C1697" s="137"/>
      <c r="D1697" s="194"/>
      <c r="E1697" s="194"/>
      <c r="F1697" s="137"/>
      <c r="G1697" s="137"/>
      <c r="H1697" s="137"/>
      <c r="I1697" s="137"/>
      <c r="J1697" s="197"/>
      <c r="K1697" s="198"/>
      <c r="L1697" s="196"/>
      <c r="M1697" s="196"/>
      <c r="N1697" s="196"/>
      <c r="O1697" s="196"/>
      <c r="P1697" s="127"/>
    </row>
    <row r="1698" spans="1:16" ht="20.25" customHeight="1" x14ac:dyDescent="0.3">
      <c r="A1698" s="137"/>
      <c r="B1698" s="137"/>
      <c r="C1698" s="137"/>
      <c r="D1698" s="194"/>
      <c r="E1698" s="194"/>
      <c r="F1698" s="137"/>
      <c r="G1698" s="137"/>
      <c r="H1698" s="137"/>
      <c r="I1698" s="137"/>
      <c r="J1698" s="197"/>
      <c r="K1698" s="198"/>
      <c r="L1698" s="196"/>
      <c r="M1698" s="196"/>
      <c r="N1698" s="196"/>
      <c r="O1698" s="196"/>
      <c r="P1698" s="127"/>
    </row>
    <row r="1699" spans="1:16" ht="20.25" customHeight="1" x14ac:dyDescent="0.3">
      <c r="A1699" s="137"/>
      <c r="B1699" s="137"/>
      <c r="C1699" s="137"/>
      <c r="D1699" s="194"/>
      <c r="E1699" s="194"/>
      <c r="F1699" s="137"/>
      <c r="G1699" s="137"/>
      <c r="H1699" s="137"/>
      <c r="I1699" s="137"/>
      <c r="J1699" s="197"/>
      <c r="K1699" s="198"/>
      <c r="L1699" s="196"/>
      <c r="M1699" s="196"/>
      <c r="N1699" s="196"/>
      <c r="O1699" s="196"/>
      <c r="P1699" s="127"/>
    </row>
    <row r="1700" spans="1:16" ht="20.25" customHeight="1" x14ac:dyDescent="0.3">
      <c r="A1700" s="137"/>
      <c r="B1700" s="137"/>
      <c r="C1700" s="137"/>
      <c r="D1700" s="194"/>
      <c r="E1700" s="194"/>
      <c r="F1700" s="137"/>
      <c r="G1700" s="137"/>
      <c r="H1700" s="137"/>
      <c r="I1700" s="137"/>
      <c r="J1700" s="197"/>
      <c r="K1700" s="198"/>
      <c r="L1700" s="196"/>
      <c r="M1700" s="196"/>
      <c r="N1700" s="196"/>
      <c r="O1700" s="196"/>
      <c r="P1700" s="127"/>
    </row>
    <row r="1701" spans="1:16" ht="20.25" customHeight="1" x14ac:dyDescent="0.3">
      <c r="A1701" s="137"/>
      <c r="B1701" s="137"/>
      <c r="C1701" s="137"/>
      <c r="D1701" s="194"/>
      <c r="E1701" s="194"/>
      <c r="F1701" s="137"/>
      <c r="G1701" s="137"/>
      <c r="H1701" s="137"/>
      <c r="I1701" s="137"/>
      <c r="J1701" s="197"/>
      <c r="K1701" s="198"/>
      <c r="L1701" s="196"/>
      <c r="M1701" s="196"/>
      <c r="N1701" s="196"/>
      <c r="O1701" s="196"/>
      <c r="P1701" s="127"/>
    </row>
    <row r="1702" spans="1:16" ht="20.25" customHeight="1" x14ac:dyDescent="0.3">
      <c r="A1702" s="137"/>
      <c r="B1702" s="137"/>
      <c r="C1702" s="137"/>
      <c r="D1702" s="194"/>
      <c r="E1702" s="194"/>
      <c r="F1702" s="137"/>
      <c r="G1702" s="137"/>
      <c r="H1702" s="137"/>
      <c r="I1702" s="137"/>
      <c r="J1702" s="197"/>
      <c r="K1702" s="198"/>
      <c r="L1702" s="196"/>
      <c r="M1702" s="196"/>
      <c r="N1702" s="196"/>
      <c r="O1702" s="196"/>
      <c r="P1702" s="127"/>
    </row>
    <row r="1703" spans="1:16" ht="20.25" customHeight="1" x14ac:dyDescent="0.3">
      <c r="A1703" s="137"/>
      <c r="B1703" s="137"/>
      <c r="C1703" s="137"/>
      <c r="D1703" s="194"/>
      <c r="E1703" s="194"/>
      <c r="F1703" s="137"/>
      <c r="G1703" s="137"/>
      <c r="H1703" s="137"/>
      <c r="I1703" s="137"/>
      <c r="J1703" s="197"/>
      <c r="K1703" s="198"/>
      <c r="L1703" s="196"/>
      <c r="M1703" s="196"/>
      <c r="N1703" s="196"/>
      <c r="O1703" s="196"/>
      <c r="P1703" s="127"/>
    </row>
    <row r="1704" spans="1:16" ht="20.25" customHeight="1" x14ac:dyDescent="0.3">
      <c r="A1704" s="137"/>
      <c r="B1704" s="137"/>
      <c r="C1704" s="137"/>
      <c r="D1704" s="194"/>
      <c r="E1704" s="194"/>
      <c r="F1704" s="137"/>
      <c r="G1704" s="137"/>
      <c r="H1704" s="137"/>
      <c r="I1704" s="137"/>
      <c r="J1704" s="197"/>
      <c r="K1704" s="198"/>
      <c r="L1704" s="196"/>
      <c r="M1704" s="196"/>
      <c r="N1704" s="196"/>
      <c r="O1704" s="196"/>
      <c r="P1704" s="127"/>
    </row>
    <row r="1705" spans="1:16" ht="20.25" customHeight="1" x14ac:dyDescent="0.3">
      <c r="A1705" s="137"/>
      <c r="B1705" s="137"/>
      <c r="C1705" s="137"/>
      <c r="D1705" s="194"/>
      <c r="E1705" s="194"/>
      <c r="F1705" s="137"/>
      <c r="G1705" s="137"/>
      <c r="H1705" s="137"/>
      <c r="I1705" s="137"/>
      <c r="J1705" s="197"/>
      <c r="K1705" s="198"/>
      <c r="L1705" s="196"/>
      <c r="M1705" s="196"/>
      <c r="N1705" s="196"/>
      <c r="O1705" s="196"/>
      <c r="P1705" s="127"/>
    </row>
    <row r="1706" spans="1:16" ht="20.25" customHeight="1" x14ac:dyDescent="0.3">
      <c r="A1706" s="137"/>
      <c r="B1706" s="137"/>
      <c r="C1706" s="137"/>
      <c r="D1706" s="194"/>
      <c r="E1706" s="194"/>
      <c r="F1706" s="137"/>
      <c r="G1706" s="137"/>
      <c r="H1706" s="137"/>
      <c r="I1706" s="137"/>
      <c r="J1706" s="197"/>
      <c r="K1706" s="198"/>
      <c r="L1706" s="196"/>
      <c r="M1706" s="196"/>
      <c r="N1706" s="196"/>
      <c r="O1706" s="196"/>
      <c r="P1706" s="127"/>
    </row>
    <row r="1707" spans="1:16" ht="20.25" customHeight="1" x14ac:dyDescent="0.3">
      <c r="A1707" s="137"/>
      <c r="B1707" s="137"/>
      <c r="C1707" s="137"/>
      <c r="D1707" s="194"/>
      <c r="E1707" s="194"/>
      <c r="F1707" s="137"/>
      <c r="G1707" s="137"/>
      <c r="H1707" s="137"/>
      <c r="I1707" s="137"/>
      <c r="J1707" s="197"/>
      <c r="K1707" s="198"/>
      <c r="L1707" s="196"/>
      <c r="M1707" s="196"/>
      <c r="N1707" s="196"/>
      <c r="O1707" s="196"/>
      <c r="P1707" s="127"/>
    </row>
    <row r="1708" spans="1:16" ht="20.25" customHeight="1" x14ac:dyDescent="0.3">
      <c r="A1708" s="137"/>
      <c r="B1708" s="137"/>
      <c r="C1708" s="137"/>
      <c r="D1708" s="194"/>
      <c r="E1708" s="194"/>
      <c r="F1708" s="137"/>
      <c r="G1708" s="137"/>
      <c r="H1708" s="137"/>
      <c r="I1708" s="137"/>
      <c r="J1708" s="197"/>
      <c r="K1708" s="198"/>
      <c r="L1708" s="196"/>
      <c r="M1708" s="196"/>
      <c r="N1708" s="196"/>
      <c r="O1708" s="196"/>
      <c r="P1708" s="127"/>
    </row>
    <row r="1709" spans="1:16" ht="20.25" customHeight="1" x14ac:dyDescent="0.3">
      <c r="A1709" s="137"/>
      <c r="B1709" s="137"/>
      <c r="C1709" s="137"/>
      <c r="D1709" s="194"/>
      <c r="E1709" s="194"/>
      <c r="F1709" s="137"/>
      <c r="G1709" s="137"/>
      <c r="H1709" s="137"/>
      <c r="I1709" s="137"/>
      <c r="J1709" s="197"/>
      <c r="K1709" s="198"/>
      <c r="L1709" s="196"/>
      <c r="M1709" s="196"/>
      <c r="N1709" s="196"/>
      <c r="O1709" s="196"/>
      <c r="P1709" s="127"/>
    </row>
    <row r="1710" spans="1:16" ht="20.25" customHeight="1" x14ac:dyDescent="0.3">
      <c r="A1710" s="137"/>
      <c r="B1710" s="137"/>
      <c r="C1710" s="137"/>
      <c r="D1710" s="194"/>
      <c r="E1710" s="194"/>
      <c r="F1710" s="137"/>
      <c r="G1710" s="137"/>
      <c r="H1710" s="137"/>
      <c r="I1710" s="137"/>
      <c r="J1710" s="197"/>
      <c r="K1710" s="198"/>
      <c r="L1710" s="196"/>
      <c r="M1710" s="196"/>
      <c r="N1710" s="196"/>
      <c r="O1710" s="196"/>
      <c r="P1710" s="127"/>
    </row>
    <row r="1711" spans="1:16" ht="20.25" customHeight="1" x14ac:dyDescent="0.3">
      <c r="A1711" s="137"/>
      <c r="B1711" s="137"/>
      <c r="C1711" s="137"/>
      <c r="D1711" s="194"/>
      <c r="E1711" s="194"/>
      <c r="F1711" s="137"/>
      <c r="G1711" s="137"/>
      <c r="H1711" s="137"/>
      <c r="I1711" s="137"/>
      <c r="J1711" s="197"/>
      <c r="K1711" s="198"/>
      <c r="L1711" s="196"/>
      <c r="M1711" s="196"/>
      <c r="N1711" s="196"/>
      <c r="O1711" s="196"/>
      <c r="P1711" s="127"/>
    </row>
    <row r="1712" spans="1:16" ht="20.25" customHeight="1" x14ac:dyDescent="0.3">
      <c r="A1712" s="137"/>
      <c r="B1712" s="137"/>
      <c r="C1712" s="137"/>
      <c r="D1712" s="194"/>
      <c r="E1712" s="194"/>
      <c r="F1712" s="137"/>
      <c r="G1712" s="137"/>
      <c r="H1712" s="137"/>
      <c r="I1712" s="137"/>
      <c r="J1712" s="197"/>
      <c r="K1712" s="198"/>
      <c r="L1712" s="196"/>
      <c r="M1712" s="196"/>
      <c r="N1712" s="196"/>
      <c r="O1712" s="196"/>
      <c r="P1712" s="127"/>
    </row>
    <row r="1713" spans="1:16" ht="20.25" customHeight="1" x14ac:dyDescent="0.3">
      <c r="A1713" s="137"/>
      <c r="B1713" s="137"/>
      <c r="C1713" s="137"/>
      <c r="D1713" s="194"/>
      <c r="E1713" s="194"/>
      <c r="F1713" s="137"/>
      <c r="G1713" s="137"/>
      <c r="H1713" s="137"/>
      <c r="I1713" s="137"/>
      <c r="J1713" s="197"/>
      <c r="K1713" s="198"/>
      <c r="L1713" s="196"/>
      <c r="M1713" s="196"/>
      <c r="N1713" s="196"/>
      <c r="O1713" s="196"/>
      <c r="P1713" s="127"/>
    </row>
    <row r="1714" spans="1:16" ht="20.25" customHeight="1" x14ac:dyDescent="0.3">
      <c r="A1714" s="137"/>
      <c r="B1714" s="137"/>
      <c r="C1714" s="137"/>
      <c r="D1714" s="194"/>
      <c r="E1714" s="194"/>
      <c r="F1714" s="137"/>
      <c r="G1714" s="137"/>
      <c r="H1714" s="137"/>
      <c r="I1714" s="137"/>
      <c r="J1714" s="197"/>
      <c r="K1714" s="198"/>
      <c r="L1714" s="196"/>
      <c r="M1714" s="196"/>
      <c r="N1714" s="196"/>
      <c r="O1714" s="196"/>
      <c r="P1714" s="127"/>
    </row>
    <row r="1715" spans="1:16" ht="20.25" customHeight="1" x14ac:dyDescent="0.3">
      <c r="A1715" s="137"/>
      <c r="B1715" s="137"/>
      <c r="C1715" s="137"/>
      <c r="D1715" s="194"/>
      <c r="E1715" s="194"/>
      <c r="F1715" s="137"/>
      <c r="G1715" s="137"/>
      <c r="H1715" s="137"/>
      <c r="I1715" s="137"/>
      <c r="J1715" s="197"/>
      <c r="K1715" s="198"/>
      <c r="L1715" s="196"/>
      <c r="M1715" s="196"/>
      <c r="N1715" s="196"/>
      <c r="O1715" s="196"/>
      <c r="P1715" s="127"/>
    </row>
    <row r="1716" spans="1:16" ht="20.25" customHeight="1" x14ac:dyDescent="0.3">
      <c r="A1716" s="137"/>
      <c r="B1716" s="137"/>
      <c r="C1716" s="137"/>
      <c r="D1716" s="194"/>
      <c r="E1716" s="194"/>
      <c r="F1716" s="137"/>
      <c r="G1716" s="137"/>
      <c r="H1716" s="137"/>
      <c r="I1716" s="137"/>
      <c r="J1716" s="197"/>
      <c r="K1716" s="198"/>
      <c r="L1716" s="196"/>
      <c r="M1716" s="196"/>
      <c r="N1716" s="196"/>
      <c r="O1716" s="196"/>
      <c r="P1716" s="127"/>
    </row>
    <row r="1717" spans="1:16" ht="20.25" customHeight="1" x14ac:dyDescent="0.3">
      <c r="A1717" s="137"/>
      <c r="B1717" s="137"/>
      <c r="C1717" s="137"/>
      <c r="D1717" s="194"/>
      <c r="E1717" s="194"/>
      <c r="F1717" s="137"/>
      <c r="G1717" s="137"/>
      <c r="H1717" s="137"/>
      <c r="I1717" s="137"/>
      <c r="J1717" s="197"/>
      <c r="K1717" s="198"/>
      <c r="L1717" s="196"/>
      <c r="M1717" s="196"/>
      <c r="N1717" s="196"/>
      <c r="O1717" s="196"/>
      <c r="P1717" s="127"/>
    </row>
    <row r="1718" spans="1:16" ht="20.25" customHeight="1" x14ac:dyDescent="0.3">
      <c r="A1718" s="137"/>
      <c r="B1718" s="137"/>
      <c r="C1718" s="137"/>
      <c r="D1718" s="194"/>
      <c r="E1718" s="194"/>
      <c r="F1718" s="137"/>
      <c r="G1718" s="137"/>
      <c r="H1718" s="137"/>
      <c r="I1718" s="137"/>
      <c r="J1718" s="197"/>
      <c r="K1718" s="198"/>
      <c r="L1718" s="196"/>
      <c r="M1718" s="196"/>
      <c r="N1718" s="196"/>
      <c r="O1718" s="196"/>
      <c r="P1718" s="127"/>
    </row>
    <row r="1719" spans="1:16" ht="20.25" customHeight="1" x14ac:dyDescent="0.3">
      <c r="A1719" s="137"/>
      <c r="B1719" s="137"/>
      <c r="C1719" s="137"/>
      <c r="D1719" s="194"/>
      <c r="E1719" s="194"/>
      <c r="F1719" s="137"/>
      <c r="G1719" s="137"/>
      <c r="H1719" s="137"/>
      <c r="I1719" s="137"/>
      <c r="J1719" s="197"/>
      <c r="K1719" s="198"/>
      <c r="L1719" s="196"/>
      <c r="M1719" s="196"/>
      <c r="N1719" s="196"/>
      <c r="O1719" s="196"/>
      <c r="P1719" s="127"/>
    </row>
    <row r="1720" spans="1:16" ht="20.25" customHeight="1" x14ac:dyDescent="0.3">
      <c r="A1720" s="137"/>
      <c r="B1720" s="137"/>
      <c r="C1720" s="137"/>
      <c r="D1720" s="194"/>
      <c r="E1720" s="194"/>
      <c r="F1720" s="137"/>
      <c r="G1720" s="137"/>
      <c r="H1720" s="137"/>
      <c r="I1720" s="137"/>
      <c r="J1720" s="197"/>
      <c r="K1720" s="198"/>
      <c r="L1720" s="196"/>
      <c r="M1720" s="196"/>
      <c r="N1720" s="196"/>
      <c r="O1720" s="196"/>
      <c r="P1720" s="127"/>
    </row>
    <row r="1721" spans="1:16" ht="20.25" customHeight="1" x14ac:dyDescent="0.3">
      <c r="A1721" s="137"/>
      <c r="B1721" s="137"/>
      <c r="C1721" s="137"/>
      <c r="D1721" s="194"/>
      <c r="E1721" s="194"/>
      <c r="F1721" s="137"/>
      <c r="G1721" s="137"/>
      <c r="H1721" s="137"/>
      <c r="I1721" s="137"/>
      <c r="J1721" s="197"/>
      <c r="K1721" s="198"/>
      <c r="L1721" s="196"/>
      <c r="M1721" s="196"/>
      <c r="N1721" s="196"/>
      <c r="O1721" s="196"/>
      <c r="P1721" s="127"/>
    </row>
    <row r="1722" spans="1:16" ht="20.25" customHeight="1" x14ac:dyDescent="0.3">
      <c r="A1722" s="137"/>
      <c r="B1722" s="137"/>
      <c r="C1722" s="137"/>
      <c r="D1722" s="194"/>
      <c r="E1722" s="194"/>
      <c r="F1722" s="137"/>
      <c r="G1722" s="137"/>
      <c r="H1722" s="137"/>
      <c r="I1722" s="137"/>
      <c r="J1722" s="197"/>
      <c r="K1722" s="198"/>
      <c r="L1722" s="196"/>
      <c r="M1722" s="196"/>
      <c r="N1722" s="196"/>
      <c r="O1722" s="196"/>
      <c r="P1722" s="127"/>
    </row>
    <row r="1723" spans="1:16" ht="20.25" customHeight="1" x14ac:dyDescent="0.3">
      <c r="A1723" s="137"/>
      <c r="B1723" s="137"/>
      <c r="C1723" s="137"/>
      <c r="D1723" s="194"/>
      <c r="E1723" s="194"/>
      <c r="F1723" s="137"/>
      <c r="G1723" s="137"/>
      <c r="H1723" s="137"/>
      <c r="I1723" s="137"/>
      <c r="J1723" s="197"/>
      <c r="K1723" s="198"/>
      <c r="L1723" s="196"/>
      <c r="M1723" s="196"/>
      <c r="N1723" s="196"/>
      <c r="O1723" s="196"/>
      <c r="P1723" s="127"/>
    </row>
    <row r="1724" spans="1:16" ht="20.25" customHeight="1" x14ac:dyDescent="0.3">
      <c r="A1724" s="137"/>
      <c r="B1724" s="137"/>
      <c r="C1724" s="137"/>
      <c r="D1724" s="194"/>
      <c r="E1724" s="194"/>
      <c r="F1724" s="137"/>
      <c r="G1724" s="137"/>
      <c r="H1724" s="137"/>
      <c r="I1724" s="137"/>
      <c r="J1724" s="197"/>
      <c r="K1724" s="198"/>
      <c r="L1724" s="196"/>
      <c r="M1724" s="196"/>
      <c r="N1724" s="196"/>
      <c r="O1724" s="196"/>
      <c r="P1724" s="127"/>
    </row>
    <row r="1725" spans="1:16" ht="20.25" customHeight="1" x14ac:dyDescent="0.3">
      <c r="A1725" s="137"/>
      <c r="B1725" s="137"/>
      <c r="C1725" s="137"/>
      <c r="D1725" s="194"/>
      <c r="E1725" s="194"/>
      <c r="F1725" s="137"/>
      <c r="G1725" s="137"/>
      <c r="H1725" s="137"/>
      <c r="I1725" s="137"/>
      <c r="J1725" s="197"/>
      <c r="K1725" s="198"/>
      <c r="L1725" s="196"/>
      <c r="M1725" s="196"/>
      <c r="N1725" s="196"/>
      <c r="O1725" s="196"/>
      <c r="P1725" s="127"/>
    </row>
    <row r="1726" spans="1:16" ht="20.25" customHeight="1" x14ac:dyDescent="0.3">
      <c r="A1726" s="137"/>
      <c r="B1726" s="137"/>
      <c r="C1726" s="137"/>
      <c r="D1726" s="194"/>
      <c r="E1726" s="194"/>
      <c r="F1726" s="137"/>
      <c r="G1726" s="137"/>
      <c r="H1726" s="137"/>
      <c r="I1726" s="137"/>
      <c r="J1726" s="197"/>
      <c r="K1726" s="198"/>
      <c r="L1726" s="196"/>
      <c r="M1726" s="196"/>
      <c r="N1726" s="196"/>
      <c r="O1726" s="196"/>
      <c r="P1726" s="127"/>
    </row>
    <row r="1727" spans="1:16" ht="20.25" customHeight="1" x14ac:dyDescent="0.3">
      <c r="A1727" s="137"/>
      <c r="B1727" s="137"/>
      <c r="C1727" s="137"/>
      <c r="D1727" s="194"/>
      <c r="E1727" s="194"/>
      <c r="F1727" s="137"/>
      <c r="G1727" s="137"/>
      <c r="H1727" s="137"/>
      <c r="I1727" s="137"/>
      <c r="J1727" s="197"/>
      <c r="K1727" s="198"/>
      <c r="L1727" s="196"/>
      <c r="M1727" s="196"/>
      <c r="N1727" s="196"/>
      <c r="O1727" s="196"/>
      <c r="P1727" s="127"/>
    </row>
    <row r="1728" spans="1:16" ht="20.25" customHeight="1" x14ac:dyDescent="0.3">
      <c r="A1728" s="137"/>
      <c r="B1728" s="137"/>
      <c r="C1728" s="137"/>
      <c r="D1728" s="194"/>
      <c r="E1728" s="194"/>
      <c r="F1728" s="137"/>
      <c r="G1728" s="137"/>
      <c r="H1728" s="137"/>
      <c r="I1728" s="137"/>
      <c r="J1728" s="197"/>
      <c r="K1728" s="198"/>
      <c r="L1728" s="196"/>
      <c r="M1728" s="196"/>
      <c r="N1728" s="196"/>
      <c r="O1728" s="196"/>
      <c r="P1728" s="127"/>
    </row>
    <row r="1729" spans="1:16" ht="20.25" customHeight="1" x14ac:dyDescent="0.3">
      <c r="A1729" s="137"/>
      <c r="B1729" s="137"/>
      <c r="C1729" s="137"/>
      <c r="D1729" s="194"/>
      <c r="E1729" s="194"/>
      <c r="F1729" s="137"/>
      <c r="G1729" s="137"/>
      <c r="H1729" s="137"/>
      <c r="I1729" s="137"/>
      <c r="J1729" s="197"/>
      <c r="K1729" s="198"/>
      <c r="L1729" s="196"/>
      <c r="M1729" s="196"/>
      <c r="N1729" s="196"/>
      <c r="O1729" s="196"/>
      <c r="P1729" s="127"/>
    </row>
    <row r="1730" spans="1:16" ht="20.25" customHeight="1" x14ac:dyDescent="0.3">
      <c r="A1730" s="137"/>
      <c r="B1730" s="137"/>
      <c r="C1730" s="137"/>
      <c r="D1730" s="194"/>
      <c r="E1730" s="194"/>
      <c r="F1730" s="137"/>
      <c r="G1730" s="137"/>
      <c r="H1730" s="137"/>
      <c r="I1730" s="137"/>
      <c r="J1730" s="197"/>
      <c r="K1730" s="198"/>
      <c r="L1730" s="196"/>
      <c r="M1730" s="196"/>
      <c r="N1730" s="196"/>
      <c r="O1730" s="196"/>
      <c r="P1730" s="127"/>
    </row>
    <row r="1731" spans="1:16" ht="20.25" customHeight="1" x14ac:dyDescent="0.3">
      <c r="A1731" s="137"/>
      <c r="B1731" s="137"/>
      <c r="C1731" s="137"/>
      <c r="D1731" s="194"/>
      <c r="E1731" s="194"/>
      <c r="F1731" s="137"/>
      <c r="G1731" s="137"/>
      <c r="H1731" s="137"/>
      <c r="I1731" s="137"/>
      <c r="J1731" s="197"/>
      <c r="K1731" s="198"/>
      <c r="L1731" s="196"/>
      <c r="M1731" s="196"/>
      <c r="N1731" s="196"/>
      <c r="O1731" s="196"/>
      <c r="P1731" s="127"/>
    </row>
    <row r="1732" spans="1:16" ht="20.25" customHeight="1" x14ac:dyDescent="0.3">
      <c r="A1732" s="137"/>
      <c r="B1732" s="137"/>
      <c r="C1732" s="137"/>
      <c r="D1732" s="194"/>
      <c r="E1732" s="194"/>
      <c r="F1732" s="137"/>
      <c r="G1732" s="137"/>
      <c r="H1732" s="137"/>
      <c r="I1732" s="137"/>
      <c r="J1732" s="197"/>
      <c r="K1732" s="198"/>
      <c r="L1732" s="196"/>
      <c r="M1732" s="196"/>
      <c r="N1732" s="196"/>
      <c r="O1732" s="196"/>
      <c r="P1732" s="127"/>
    </row>
    <row r="1733" spans="1:16" ht="20.25" customHeight="1" x14ac:dyDescent="0.3">
      <c r="A1733" s="137"/>
      <c r="B1733" s="137"/>
      <c r="C1733" s="137"/>
      <c r="D1733" s="194"/>
      <c r="E1733" s="194"/>
      <c r="F1733" s="137"/>
      <c r="G1733" s="137"/>
      <c r="H1733" s="137"/>
      <c r="I1733" s="137"/>
      <c r="J1733" s="197"/>
      <c r="K1733" s="198"/>
      <c r="L1733" s="196"/>
      <c r="M1733" s="196"/>
      <c r="N1733" s="196"/>
      <c r="O1733" s="196"/>
      <c r="P1733" s="127"/>
    </row>
    <row r="1734" spans="1:16" ht="20.25" customHeight="1" x14ac:dyDescent="0.3">
      <c r="A1734" s="137"/>
      <c r="B1734" s="137"/>
      <c r="C1734" s="137"/>
      <c r="D1734" s="194"/>
      <c r="E1734" s="194"/>
      <c r="F1734" s="137"/>
      <c r="G1734" s="137"/>
      <c r="H1734" s="137"/>
      <c r="I1734" s="137"/>
      <c r="J1734" s="197"/>
      <c r="K1734" s="198"/>
      <c r="L1734" s="196"/>
      <c r="M1734" s="196"/>
      <c r="N1734" s="196"/>
      <c r="O1734" s="196"/>
      <c r="P1734" s="127"/>
    </row>
    <row r="1735" spans="1:16" ht="20.25" customHeight="1" x14ac:dyDescent="0.3">
      <c r="A1735" s="137"/>
      <c r="B1735" s="137"/>
      <c r="C1735" s="137"/>
      <c r="D1735" s="194"/>
      <c r="E1735" s="194"/>
      <c r="F1735" s="137"/>
      <c r="G1735" s="137"/>
      <c r="H1735" s="137"/>
      <c r="I1735" s="137"/>
      <c r="J1735" s="197"/>
      <c r="K1735" s="198"/>
      <c r="L1735" s="196"/>
      <c r="M1735" s="196"/>
      <c r="N1735" s="196"/>
      <c r="O1735" s="196"/>
      <c r="P1735" s="127"/>
    </row>
    <row r="1736" spans="1:16" ht="20.25" customHeight="1" x14ac:dyDescent="0.3">
      <c r="A1736" s="137"/>
      <c r="B1736" s="137"/>
      <c r="C1736" s="137"/>
      <c r="D1736" s="194"/>
      <c r="E1736" s="194"/>
      <c r="F1736" s="137"/>
      <c r="G1736" s="137"/>
      <c r="H1736" s="137"/>
      <c r="I1736" s="137"/>
      <c r="J1736" s="197"/>
      <c r="K1736" s="198"/>
      <c r="L1736" s="196"/>
      <c r="M1736" s="196"/>
      <c r="N1736" s="196"/>
      <c r="O1736" s="196"/>
      <c r="P1736" s="127"/>
    </row>
    <row r="1737" spans="1:16" ht="20.25" customHeight="1" x14ac:dyDescent="0.3">
      <c r="A1737" s="137"/>
      <c r="B1737" s="137"/>
      <c r="C1737" s="137"/>
      <c r="D1737" s="194"/>
      <c r="E1737" s="194"/>
      <c r="F1737" s="137"/>
      <c r="G1737" s="137"/>
      <c r="H1737" s="137"/>
      <c r="I1737" s="137"/>
      <c r="J1737" s="197"/>
      <c r="K1737" s="198"/>
      <c r="L1737" s="196"/>
      <c r="M1737" s="196"/>
      <c r="N1737" s="196"/>
      <c r="O1737" s="196"/>
      <c r="P1737" s="127"/>
    </row>
    <row r="1738" spans="1:16" ht="20.25" customHeight="1" x14ac:dyDescent="0.3">
      <c r="A1738" s="137"/>
      <c r="B1738" s="137"/>
      <c r="C1738" s="137"/>
      <c r="D1738" s="194"/>
      <c r="E1738" s="194"/>
      <c r="F1738" s="137"/>
      <c r="G1738" s="137"/>
      <c r="H1738" s="137"/>
      <c r="I1738" s="137"/>
      <c r="J1738" s="197"/>
      <c r="K1738" s="198"/>
      <c r="L1738" s="196"/>
      <c r="M1738" s="196"/>
      <c r="N1738" s="196"/>
      <c r="O1738" s="196"/>
      <c r="P1738" s="127"/>
    </row>
    <row r="1739" spans="1:16" ht="20.25" customHeight="1" x14ac:dyDescent="0.3">
      <c r="A1739" s="137"/>
      <c r="B1739" s="137"/>
      <c r="C1739" s="137"/>
      <c r="D1739" s="194"/>
      <c r="E1739" s="194"/>
      <c r="F1739" s="137"/>
      <c r="G1739" s="137"/>
      <c r="H1739" s="137"/>
      <c r="I1739" s="137"/>
      <c r="J1739" s="197"/>
      <c r="K1739" s="198"/>
      <c r="L1739" s="196"/>
      <c r="M1739" s="196"/>
      <c r="N1739" s="196"/>
      <c r="O1739" s="196"/>
      <c r="P1739" s="127"/>
    </row>
    <row r="1740" spans="1:16" ht="20.25" customHeight="1" x14ac:dyDescent="0.3">
      <c r="A1740" s="137"/>
      <c r="B1740" s="137"/>
      <c r="C1740" s="137"/>
      <c r="D1740" s="194"/>
      <c r="E1740" s="194"/>
      <c r="F1740" s="137"/>
      <c r="G1740" s="137"/>
      <c r="H1740" s="137"/>
      <c r="I1740" s="137"/>
      <c r="J1740" s="197"/>
      <c r="K1740" s="198"/>
      <c r="L1740" s="196"/>
      <c r="M1740" s="196"/>
      <c r="N1740" s="196"/>
      <c r="O1740" s="196"/>
      <c r="P1740" s="127"/>
    </row>
    <row r="1741" spans="1:16" ht="20.25" customHeight="1" x14ac:dyDescent="0.3">
      <c r="A1741" s="137"/>
      <c r="B1741" s="137"/>
      <c r="C1741" s="137"/>
      <c r="D1741" s="194"/>
      <c r="E1741" s="194"/>
      <c r="F1741" s="137"/>
      <c r="G1741" s="137"/>
      <c r="H1741" s="137"/>
      <c r="I1741" s="137"/>
      <c r="J1741" s="197"/>
      <c r="K1741" s="198"/>
      <c r="L1741" s="196"/>
      <c r="M1741" s="196"/>
      <c r="N1741" s="196"/>
      <c r="O1741" s="196"/>
      <c r="P1741" s="127"/>
    </row>
    <row r="1742" spans="1:16" ht="20.25" customHeight="1" x14ac:dyDescent="0.3">
      <c r="A1742" s="137"/>
      <c r="B1742" s="137"/>
      <c r="C1742" s="137"/>
      <c r="D1742" s="194"/>
      <c r="E1742" s="194"/>
      <c r="F1742" s="137"/>
      <c r="G1742" s="137"/>
      <c r="H1742" s="137"/>
      <c r="I1742" s="137"/>
      <c r="J1742" s="197"/>
      <c r="K1742" s="198"/>
      <c r="L1742" s="196"/>
      <c r="M1742" s="196"/>
      <c r="N1742" s="196"/>
      <c r="O1742" s="196"/>
      <c r="P1742" s="127"/>
    </row>
    <row r="1743" spans="1:16" ht="20.25" customHeight="1" x14ac:dyDescent="0.3">
      <c r="A1743" s="137"/>
      <c r="B1743" s="137"/>
      <c r="C1743" s="137"/>
      <c r="D1743" s="194"/>
      <c r="E1743" s="194"/>
      <c r="F1743" s="137"/>
      <c r="G1743" s="137"/>
      <c r="H1743" s="137"/>
      <c r="I1743" s="137"/>
      <c r="J1743" s="197"/>
      <c r="K1743" s="198"/>
      <c r="L1743" s="196"/>
      <c r="M1743" s="196"/>
      <c r="N1743" s="196"/>
      <c r="O1743" s="196"/>
      <c r="P1743" s="127"/>
    </row>
    <row r="1744" spans="1:16" ht="20.25" customHeight="1" x14ac:dyDescent="0.3">
      <c r="A1744" s="137"/>
      <c r="B1744" s="137"/>
      <c r="C1744" s="137"/>
      <c r="D1744" s="194"/>
      <c r="E1744" s="194"/>
      <c r="F1744" s="137"/>
      <c r="G1744" s="137"/>
      <c r="H1744" s="137"/>
      <c r="I1744" s="137"/>
      <c r="J1744" s="197"/>
      <c r="K1744" s="198"/>
      <c r="L1744" s="196"/>
      <c r="M1744" s="196"/>
      <c r="N1744" s="196"/>
      <c r="O1744" s="196"/>
      <c r="P1744" s="127"/>
    </row>
    <row r="1745" spans="1:16" ht="20.25" customHeight="1" x14ac:dyDescent="0.3">
      <c r="A1745" s="137"/>
      <c r="B1745" s="137"/>
      <c r="C1745" s="137"/>
      <c r="D1745" s="194"/>
      <c r="E1745" s="194"/>
      <c r="F1745" s="137"/>
      <c r="G1745" s="137"/>
      <c r="H1745" s="137"/>
      <c r="I1745" s="137"/>
      <c r="J1745" s="197"/>
      <c r="K1745" s="198"/>
      <c r="L1745" s="196"/>
      <c r="M1745" s="196"/>
      <c r="N1745" s="196"/>
      <c r="O1745" s="196"/>
      <c r="P1745" s="127"/>
    </row>
    <row r="1746" spans="1:16" ht="20.25" customHeight="1" x14ac:dyDescent="0.3">
      <c r="A1746" s="137"/>
      <c r="B1746" s="137"/>
      <c r="C1746" s="137"/>
      <c r="D1746" s="194"/>
      <c r="E1746" s="194"/>
      <c r="F1746" s="137"/>
      <c r="G1746" s="137"/>
      <c r="H1746" s="137"/>
      <c r="I1746" s="137"/>
      <c r="J1746" s="197"/>
      <c r="K1746" s="198"/>
      <c r="L1746" s="196"/>
      <c r="M1746" s="196"/>
      <c r="N1746" s="196"/>
      <c r="O1746" s="196"/>
      <c r="P1746" s="127"/>
    </row>
    <row r="1747" spans="1:16" ht="20.25" customHeight="1" x14ac:dyDescent="0.3">
      <c r="A1747" s="137"/>
      <c r="B1747" s="137"/>
      <c r="C1747" s="137"/>
      <c r="D1747" s="194"/>
      <c r="E1747" s="194"/>
      <c r="F1747" s="137"/>
      <c r="G1747" s="137"/>
      <c r="H1747" s="137"/>
      <c r="I1747" s="137"/>
      <c r="J1747" s="197"/>
      <c r="K1747" s="198"/>
      <c r="L1747" s="196"/>
      <c r="M1747" s="196"/>
      <c r="N1747" s="196"/>
      <c r="O1747" s="196"/>
      <c r="P1747" s="127"/>
    </row>
    <row r="1748" spans="1:16" ht="20.25" customHeight="1" x14ac:dyDescent="0.3">
      <c r="A1748" s="137"/>
      <c r="B1748" s="137"/>
      <c r="C1748" s="137"/>
      <c r="D1748" s="194"/>
      <c r="E1748" s="194"/>
      <c r="F1748" s="137"/>
      <c r="G1748" s="137"/>
      <c r="H1748" s="137"/>
      <c r="I1748" s="137"/>
      <c r="J1748" s="197"/>
      <c r="K1748" s="198"/>
      <c r="L1748" s="196"/>
      <c r="M1748" s="196"/>
      <c r="N1748" s="196"/>
      <c r="O1748" s="196"/>
      <c r="P1748" s="127"/>
    </row>
    <row r="1749" spans="1:16" ht="20.25" customHeight="1" x14ac:dyDescent="0.3">
      <c r="A1749" s="137"/>
      <c r="B1749" s="137"/>
      <c r="C1749" s="137"/>
      <c r="D1749" s="194"/>
      <c r="E1749" s="194"/>
      <c r="F1749" s="137"/>
      <c r="G1749" s="137"/>
      <c r="H1749" s="137"/>
      <c r="I1749" s="137"/>
      <c r="J1749" s="197"/>
      <c r="K1749" s="198"/>
      <c r="L1749" s="196"/>
      <c r="M1749" s="196"/>
      <c r="N1749" s="196"/>
      <c r="O1749" s="196"/>
      <c r="P1749" s="127"/>
    </row>
    <row r="1750" spans="1:16" ht="20.25" customHeight="1" x14ac:dyDescent="0.3">
      <c r="A1750" s="137"/>
      <c r="B1750" s="137"/>
      <c r="C1750" s="137"/>
      <c r="D1750" s="194"/>
      <c r="E1750" s="194"/>
      <c r="F1750" s="137"/>
      <c r="G1750" s="137"/>
      <c r="H1750" s="137"/>
      <c r="I1750" s="137"/>
      <c r="J1750" s="197"/>
      <c r="K1750" s="198"/>
      <c r="L1750" s="196"/>
      <c r="M1750" s="196"/>
      <c r="N1750" s="196"/>
      <c r="O1750" s="196"/>
      <c r="P1750" s="127"/>
    </row>
    <row r="1751" spans="1:16" ht="20.25" customHeight="1" x14ac:dyDescent="0.3">
      <c r="A1751" s="137"/>
      <c r="B1751" s="137"/>
      <c r="C1751" s="137"/>
      <c r="D1751" s="194"/>
      <c r="E1751" s="194"/>
      <c r="F1751" s="137"/>
      <c r="G1751" s="137"/>
      <c r="H1751" s="137"/>
      <c r="I1751" s="137"/>
      <c r="J1751" s="197"/>
      <c r="K1751" s="198"/>
      <c r="L1751" s="196"/>
      <c r="M1751" s="196"/>
      <c r="N1751" s="196"/>
      <c r="O1751" s="196"/>
      <c r="P1751" s="127"/>
    </row>
    <row r="1752" spans="1:16" ht="20.25" customHeight="1" x14ac:dyDescent="0.3">
      <c r="A1752" s="137"/>
      <c r="B1752" s="137"/>
      <c r="C1752" s="137"/>
      <c r="D1752" s="194"/>
      <c r="E1752" s="194"/>
      <c r="F1752" s="137"/>
      <c r="G1752" s="137"/>
      <c r="H1752" s="137"/>
      <c r="I1752" s="137"/>
      <c r="J1752" s="197"/>
      <c r="K1752" s="198"/>
      <c r="L1752" s="196"/>
      <c r="M1752" s="196"/>
      <c r="N1752" s="196"/>
      <c r="O1752" s="196"/>
      <c r="P1752" s="127"/>
    </row>
    <row r="1753" spans="1:16" ht="20.25" customHeight="1" x14ac:dyDescent="0.3">
      <c r="A1753" s="137"/>
      <c r="B1753" s="137"/>
      <c r="C1753" s="137"/>
      <c r="D1753" s="194"/>
      <c r="E1753" s="194"/>
      <c r="F1753" s="137"/>
      <c r="G1753" s="137"/>
      <c r="H1753" s="137"/>
      <c r="I1753" s="137"/>
      <c r="J1753" s="197"/>
      <c r="K1753" s="198"/>
      <c r="L1753" s="196"/>
      <c r="M1753" s="196"/>
      <c r="N1753" s="196"/>
      <c r="O1753" s="196"/>
      <c r="P1753" s="127"/>
    </row>
    <row r="1754" spans="1:16" ht="20.25" customHeight="1" x14ac:dyDescent="0.3">
      <c r="A1754" s="137"/>
      <c r="B1754" s="137"/>
      <c r="C1754" s="137"/>
      <c r="D1754" s="194"/>
      <c r="E1754" s="194"/>
      <c r="F1754" s="137"/>
      <c r="G1754" s="137"/>
      <c r="H1754" s="137"/>
      <c r="I1754" s="137"/>
      <c r="J1754" s="197"/>
      <c r="K1754" s="198"/>
      <c r="L1754" s="196"/>
      <c r="M1754" s="196"/>
      <c r="N1754" s="196"/>
      <c r="O1754" s="196"/>
      <c r="P1754" s="127"/>
    </row>
    <row r="1755" spans="1:16" ht="20.25" customHeight="1" x14ac:dyDescent="0.3">
      <c r="A1755" s="137"/>
      <c r="B1755" s="137"/>
      <c r="C1755" s="137"/>
      <c r="D1755" s="194"/>
      <c r="E1755" s="194"/>
      <c r="F1755" s="137"/>
      <c r="G1755" s="137"/>
      <c r="H1755" s="137"/>
      <c r="I1755" s="137"/>
      <c r="J1755" s="197"/>
      <c r="K1755" s="198"/>
      <c r="L1755" s="196"/>
      <c r="M1755" s="196"/>
      <c r="N1755" s="196"/>
      <c r="O1755" s="196"/>
      <c r="P1755" s="127"/>
    </row>
    <row r="1756" spans="1:16" ht="20.25" customHeight="1" x14ac:dyDescent="0.3">
      <c r="A1756" s="137"/>
      <c r="B1756" s="137"/>
      <c r="C1756" s="137"/>
      <c r="D1756" s="194"/>
      <c r="E1756" s="194"/>
      <c r="F1756" s="137"/>
      <c r="G1756" s="137"/>
      <c r="H1756" s="137"/>
      <c r="I1756" s="137"/>
      <c r="J1756" s="197"/>
      <c r="K1756" s="198"/>
      <c r="L1756" s="196"/>
      <c r="M1756" s="196"/>
      <c r="N1756" s="196"/>
      <c r="O1756" s="196"/>
      <c r="P1756" s="127"/>
    </row>
    <row r="1757" spans="1:16" ht="20.25" customHeight="1" x14ac:dyDescent="0.3">
      <c r="A1757" s="137"/>
      <c r="B1757" s="137"/>
      <c r="C1757" s="137"/>
      <c r="D1757" s="194"/>
      <c r="E1757" s="194"/>
      <c r="F1757" s="137"/>
      <c r="G1757" s="137"/>
      <c r="H1757" s="137"/>
      <c r="I1757" s="137"/>
      <c r="J1757" s="197"/>
      <c r="K1757" s="198"/>
      <c r="L1757" s="196"/>
      <c r="M1757" s="196"/>
      <c r="N1757" s="196"/>
      <c r="O1757" s="196"/>
      <c r="P1757" s="127"/>
    </row>
    <row r="1758" spans="1:16" ht="20.25" customHeight="1" x14ac:dyDescent="0.3">
      <c r="A1758" s="137"/>
      <c r="B1758" s="137"/>
      <c r="C1758" s="137"/>
      <c r="D1758" s="194"/>
      <c r="E1758" s="194"/>
      <c r="F1758" s="137"/>
      <c r="G1758" s="137"/>
      <c r="H1758" s="137"/>
      <c r="I1758" s="137"/>
      <c r="J1758" s="197"/>
      <c r="K1758" s="198"/>
      <c r="L1758" s="196"/>
      <c r="M1758" s="196"/>
      <c r="N1758" s="196"/>
      <c r="O1758" s="196"/>
      <c r="P1758" s="127"/>
    </row>
    <row r="1759" spans="1:16" ht="20.25" customHeight="1" x14ac:dyDescent="0.3">
      <c r="A1759" s="137"/>
      <c r="B1759" s="137"/>
      <c r="C1759" s="137"/>
      <c r="D1759" s="194"/>
      <c r="E1759" s="194"/>
      <c r="F1759" s="137"/>
      <c r="G1759" s="137"/>
      <c r="H1759" s="137"/>
      <c r="I1759" s="137"/>
      <c r="J1759" s="197"/>
      <c r="K1759" s="198"/>
      <c r="L1759" s="196"/>
      <c r="M1759" s="196"/>
      <c r="N1759" s="196"/>
      <c r="O1759" s="196"/>
      <c r="P1759" s="127"/>
    </row>
    <row r="1760" spans="1:16" ht="20.25" customHeight="1" x14ac:dyDescent="0.3">
      <c r="A1760" s="137"/>
      <c r="B1760" s="137"/>
      <c r="C1760" s="137"/>
      <c r="D1760" s="194"/>
      <c r="E1760" s="194"/>
      <c r="F1760" s="137"/>
      <c r="G1760" s="137"/>
      <c r="H1760" s="137"/>
      <c r="I1760" s="137"/>
      <c r="J1760" s="197"/>
      <c r="K1760" s="198"/>
      <c r="L1760" s="196"/>
      <c r="M1760" s="196"/>
      <c r="N1760" s="196"/>
      <c r="O1760" s="196"/>
      <c r="P1760" s="127"/>
    </row>
    <row r="1761" spans="1:16" ht="20.25" customHeight="1" x14ac:dyDescent="0.3">
      <c r="A1761" s="137"/>
      <c r="B1761" s="137"/>
      <c r="C1761" s="137"/>
      <c r="D1761" s="194"/>
      <c r="E1761" s="194"/>
      <c r="F1761" s="137"/>
      <c r="G1761" s="137"/>
      <c r="H1761" s="137"/>
      <c r="I1761" s="137"/>
      <c r="J1761" s="197"/>
      <c r="K1761" s="198"/>
      <c r="L1761" s="196"/>
      <c r="M1761" s="196"/>
      <c r="N1761" s="196"/>
      <c r="O1761" s="196"/>
      <c r="P1761" s="127"/>
    </row>
    <row r="1762" spans="1:16" ht="20.25" customHeight="1" x14ac:dyDescent="0.3">
      <c r="A1762" s="137"/>
      <c r="B1762" s="137"/>
      <c r="C1762" s="137"/>
      <c r="D1762" s="194"/>
      <c r="E1762" s="194"/>
      <c r="F1762" s="137"/>
      <c r="G1762" s="137"/>
      <c r="H1762" s="137"/>
      <c r="I1762" s="137"/>
      <c r="J1762" s="197"/>
      <c r="K1762" s="198"/>
      <c r="L1762" s="196"/>
      <c r="M1762" s="196"/>
      <c r="N1762" s="196"/>
      <c r="O1762" s="196"/>
      <c r="P1762" s="127"/>
    </row>
    <row r="1763" spans="1:16" ht="20.25" customHeight="1" x14ac:dyDescent="0.3">
      <c r="A1763" s="137"/>
      <c r="B1763" s="137"/>
      <c r="C1763" s="137"/>
      <c r="D1763" s="194"/>
      <c r="E1763" s="194"/>
      <c r="F1763" s="137"/>
      <c r="G1763" s="137"/>
      <c r="H1763" s="137"/>
      <c r="I1763" s="137"/>
      <c r="J1763" s="197"/>
      <c r="K1763" s="198"/>
      <c r="L1763" s="196"/>
      <c r="M1763" s="196"/>
      <c r="N1763" s="196"/>
      <c r="O1763" s="196"/>
      <c r="P1763" s="127"/>
    </row>
    <row r="1764" spans="1:16" ht="20.25" customHeight="1" x14ac:dyDescent="0.3">
      <c r="A1764" s="137"/>
      <c r="B1764" s="137"/>
      <c r="C1764" s="137"/>
      <c r="D1764" s="194"/>
      <c r="E1764" s="194"/>
      <c r="F1764" s="137"/>
      <c r="G1764" s="137"/>
      <c r="H1764" s="137"/>
      <c r="I1764" s="137"/>
      <c r="J1764" s="197"/>
      <c r="K1764" s="198"/>
      <c r="L1764" s="196"/>
      <c r="M1764" s="196"/>
      <c r="N1764" s="196"/>
      <c r="O1764" s="196"/>
      <c r="P1764" s="127"/>
    </row>
    <row r="1765" spans="1:16" ht="20.25" customHeight="1" x14ac:dyDescent="0.3">
      <c r="A1765" s="137"/>
      <c r="B1765" s="137"/>
      <c r="C1765" s="137"/>
      <c r="D1765" s="194"/>
      <c r="E1765" s="194"/>
      <c r="F1765" s="137"/>
      <c r="G1765" s="137"/>
      <c r="H1765" s="137"/>
      <c r="I1765" s="137"/>
      <c r="J1765" s="197"/>
      <c r="K1765" s="198"/>
      <c r="L1765" s="196"/>
      <c r="M1765" s="196"/>
      <c r="N1765" s="196"/>
      <c r="O1765" s="196"/>
      <c r="P1765" s="127"/>
    </row>
    <row r="1766" spans="1:16" ht="20.25" customHeight="1" x14ac:dyDescent="0.3">
      <c r="A1766" s="137"/>
      <c r="B1766" s="137"/>
      <c r="C1766" s="137"/>
      <c r="D1766" s="194"/>
      <c r="E1766" s="194"/>
      <c r="F1766" s="137"/>
      <c r="G1766" s="137"/>
      <c r="H1766" s="137"/>
      <c r="I1766" s="137"/>
      <c r="J1766" s="197"/>
      <c r="K1766" s="198"/>
      <c r="L1766" s="196"/>
      <c r="M1766" s="196"/>
      <c r="N1766" s="196"/>
      <c r="O1766" s="196"/>
      <c r="P1766" s="127"/>
    </row>
    <row r="1767" spans="1:16" ht="20.25" customHeight="1" x14ac:dyDescent="0.3">
      <c r="A1767" s="137"/>
      <c r="B1767" s="137"/>
      <c r="C1767" s="137"/>
      <c r="D1767" s="194"/>
      <c r="E1767" s="194"/>
      <c r="F1767" s="137"/>
      <c r="G1767" s="137"/>
      <c r="H1767" s="137"/>
      <c r="I1767" s="137"/>
      <c r="J1767" s="197"/>
      <c r="K1767" s="198"/>
      <c r="L1767" s="196"/>
      <c r="M1767" s="196"/>
      <c r="N1767" s="196"/>
      <c r="O1767" s="196"/>
      <c r="P1767" s="127"/>
    </row>
    <row r="1768" spans="1:16" ht="20.25" customHeight="1" x14ac:dyDescent="0.3">
      <c r="A1768" s="137"/>
      <c r="B1768" s="137"/>
      <c r="C1768" s="137"/>
      <c r="D1768" s="194"/>
      <c r="E1768" s="194"/>
      <c r="F1768" s="137"/>
      <c r="G1768" s="137"/>
      <c r="H1768" s="137"/>
      <c r="I1768" s="137"/>
      <c r="J1768" s="197"/>
      <c r="K1768" s="198"/>
      <c r="L1768" s="196"/>
      <c r="M1768" s="196"/>
      <c r="N1768" s="196"/>
      <c r="O1768" s="196"/>
      <c r="P1768" s="127"/>
    </row>
    <row r="1769" spans="1:16" ht="20.25" customHeight="1" x14ac:dyDescent="0.3">
      <c r="A1769" s="137"/>
      <c r="B1769" s="137"/>
      <c r="C1769" s="137"/>
      <c r="D1769" s="194"/>
      <c r="E1769" s="194"/>
      <c r="F1769" s="137"/>
      <c r="G1769" s="137"/>
      <c r="H1769" s="137"/>
      <c r="I1769" s="137"/>
      <c r="J1769" s="197"/>
      <c r="K1769" s="198"/>
      <c r="L1769" s="196"/>
      <c r="M1769" s="196"/>
      <c r="N1769" s="196"/>
      <c r="O1769" s="196"/>
      <c r="P1769" s="127"/>
    </row>
    <row r="1770" spans="1:16" ht="20.25" customHeight="1" x14ac:dyDescent="0.3">
      <c r="A1770" s="137"/>
      <c r="B1770" s="137"/>
      <c r="C1770" s="137"/>
      <c r="D1770" s="194"/>
      <c r="E1770" s="194"/>
      <c r="F1770" s="137"/>
      <c r="G1770" s="137"/>
      <c r="H1770" s="137"/>
      <c r="I1770" s="137"/>
      <c r="J1770" s="197"/>
      <c r="K1770" s="198"/>
      <c r="L1770" s="196"/>
      <c r="M1770" s="196"/>
      <c r="N1770" s="196"/>
      <c r="O1770" s="196"/>
      <c r="P1770" s="127"/>
    </row>
    <row r="1771" spans="1:16" ht="20.25" customHeight="1" x14ac:dyDescent="0.3">
      <c r="A1771" s="137"/>
      <c r="B1771" s="137"/>
      <c r="C1771" s="137"/>
      <c r="D1771" s="194"/>
      <c r="E1771" s="194"/>
      <c r="F1771" s="137"/>
      <c r="G1771" s="137"/>
      <c r="H1771" s="137"/>
      <c r="I1771" s="137"/>
      <c r="J1771" s="197"/>
      <c r="K1771" s="198"/>
      <c r="L1771" s="196"/>
      <c r="M1771" s="196"/>
      <c r="N1771" s="196"/>
      <c r="O1771" s="196"/>
      <c r="P1771" s="127"/>
    </row>
    <row r="1772" spans="1:16" ht="20.25" customHeight="1" x14ac:dyDescent="0.3">
      <c r="A1772" s="137"/>
      <c r="B1772" s="137"/>
      <c r="C1772" s="137"/>
      <c r="D1772" s="194"/>
      <c r="E1772" s="194"/>
      <c r="F1772" s="137"/>
      <c r="G1772" s="137"/>
      <c r="H1772" s="137"/>
      <c r="I1772" s="137"/>
      <c r="J1772" s="197"/>
      <c r="K1772" s="198"/>
      <c r="L1772" s="196"/>
      <c r="M1772" s="196"/>
      <c r="N1772" s="196"/>
      <c r="O1772" s="196"/>
      <c r="P1772" s="127"/>
    </row>
    <row r="1773" spans="1:16" ht="20.25" customHeight="1" x14ac:dyDescent="0.3">
      <c r="A1773" s="137"/>
      <c r="B1773" s="137"/>
      <c r="C1773" s="137"/>
      <c r="D1773" s="194"/>
      <c r="E1773" s="194"/>
      <c r="F1773" s="137"/>
      <c r="G1773" s="137"/>
      <c r="H1773" s="137"/>
      <c r="I1773" s="137"/>
      <c r="J1773" s="197"/>
      <c r="K1773" s="198"/>
      <c r="L1773" s="196"/>
      <c r="M1773" s="196"/>
      <c r="N1773" s="196"/>
      <c r="O1773" s="196"/>
      <c r="P1773" s="127"/>
    </row>
    <row r="1774" spans="1:16" ht="20.25" customHeight="1" x14ac:dyDescent="0.3">
      <c r="A1774" s="137"/>
      <c r="B1774" s="137"/>
      <c r="C1774" s="137"/>
      <c r="D1774" s="194"/>
      <c r="E1774" s="194"/>
      <c r="F1774" s="137"/>
      <c r="G1774" s="137"/>
      <c r="H1774" s="137"/>
      <c r="I1774" s="137"/>
      <c r="J1774" s="197"/>
      <c r="K1774" s="198"/>
      <c r="L1774" s="196"/>
      <c r="M1774" s="196"/>
      <c r="N1774" s="196"/>
      <c r="O1774" s="196"/>
      <c r="P1774" s="127"/>
    </row>
    <row r="1775" spans="1:16" ht="20.25" customHeight="1" x14ac:dyDescent="0.3">
      <c r="A1775" s="137"/>
      <c r="B1775" s="137"/>
      <c r="C1775" s="137"/>
      <c r="D1775" s="194"/>
      <c r="E1775" s="194"/>
      <c r="F1775" s="137"/>
      <c r="G1775" s="137"/>
      <c r="H1775" s="137"/>
      <c r="I1775" s="137"/>
      <c r="J1775" s="197"/>
      <c r="K1775" s="198"/>
      <c r="L1775" s="196"/>
      <c r="M1775" s="196"/>
      <c r="N1775" s="196"/>
      <c r="O1775" s="196"/>
      <c r="P1775" s="127"/>
    </row>
    <row r="1776" spans="1:16" ht="20.25" customHeight="1" x14ac:dyDescent="0.3">
      <c r="A1776" s="137"/>
      <c r="B1776" s="137"/>
      <c r="C1776" s="137"/>
      <c r="D1776" s="194"/>
      <c r="E1776" s="194"/>
      <c r="F1776" s="137"/>
      <c r="G1776" s="137"/>
      <c r="H1776" s="137"/>
      <c r="I1776" s="137"/>
      <c r="J1776" s="197"/>
      <c r="K1776" s="198"/>
      <c r="L1776" s="196"/>
      <c r="M1776" s="196"/>
      <c r="N1776" s="196"/>
      <c r="O1776" s="196"/>
      <c r="P1776" s="127"/>
    </row>
    <row r="1777" spans="1:16" ht="20.25" customHeight="1" x14ac:dyDescent="0.3">
      <c r="A1777" s="137"/>
      <c r="B1777" s="137"/>
      <c r="C1777" s="137"/>
      <c r="D1777" s="194"/>
      <c r="E1777" s="194"/>
      <c r="F1777" s="137"/>
      <c r="G1777" s="137"/>
      <c r="H1777" s="137"/>
      <c r="I1777" s="137"/>
      <c r="J1777" s="197"/>
      <c r="K1777" s="198"/>
      <c r="L1777" s="196"/>
      <c r="M1777" s="196"/>
      <c r="N1777" s="196"/>
      <c r="O1777" s="196"/>
      <c r="P1777" s="127"/>
    </row>
    <row r="1778" spans="1:16" ht="20.25" customHeight="1" x14ac:dyDescent="0.3">
      <c r="A1778" s="137"/>
      <c r="B1778" s="137"/>
      <c r="C1778" s="137"/>
      <c r="D1778" s="194"/>
      <c r="E1778" s="194"/>
      <c r="F1778" s="137"/>
      <c r="G1778" s="137"/>
      <c r="H1778" s="137"/>
      <c r="I1778" s="137"/>
      <c r="J1778" s="197"/>
      <c r="K1778" s="198"/>
      <c r="L1778" s="196"/>
      <c r="M1778" s="196"/>
      <c r="N1778" s="196"/>
      <c r="O1778" s="196"/>
      <c r="P1778" s="127"/>
    </row>
    <row r="1779" spans="1:16" ht="20.25" customHeight="1" x14ac:dyDescent="0.3">
      <c r="A1779" s="137"/>
      <c r="B1779" s="137"/>
      <c r="C1779" s="137"/>
      <c r="D1779" s="194"/>
      <c r="E1779" s="194"/>
      <c r="F1779" s="137"/>
      <c r="G1779" s="137"/>
      <c r="H1779" s="137"/>
      <c r="I1779" s="137"/>
      <c r="J1779" s="197"/>
      <c r="K1779" s="198"/>
      <c r="L1779" s="196"/>
      <c r="M1779" s="196"/>
      <c r="N1779" s="196"/>
      <c r="O1779" s="196"/>
      <c r="P1779" s="127"/>
    </row>
    <row r="1780" spans="1:16" ht="20.25" customHeight="1" x14ac:dyDescent="0.3">
      <c r="A1780" s="137"/>
      <c r="B1780" s="137"/>
      <c r="C1780" s="137"/>
      <c r="D1780" s="194"/>
      <c r="E1780" s="194"/>
      <c r="F1780" s="137"/>
      <c r="G1780" s="137"/>
      <c r="H1780" s="137"/>
      <c r="I1780" s="137"/>
      <c r="J1780" s="197"/>
      <c r="K1780" s="198"/>
      <c r="L1780" s="196"/>
      <c r="M1780" s="196"/>
      <c r="N1780" s="196"/>
      <c r="O1780" s="196"/>
      <c r="P1780" s="127"/>
    </row>
    <row r="1781" spans="1:16" ht="20.25" customHeight="1" x14ac:dyDescent="0.3">
      <c r="A1781" s="137"/>
      <c r="B1781" s="137"/>
      <c r="C1781" s="137"/>
      <c r="D1781" s="194"/>
      <c r="E1781" s="194"/>
      <c r="F1781" s="137"/>
      <c r="G1781" s="137"/>
      <c r="H1781" s="137"/>
      <c r="I1781" s="137"/>
      <c r="J1781" s="197"/>
      <c r="K1781" s="198"/>
      <c r="L1781" s="196"/>
      <c r="M1781" s="196"/>
      <c r="N1781" s="196"/>
      <c r="O1781" s="196"/>
      <c r="P1781" s="127"/>
    </row>
    <row r="1782" spans="1:16" ht="20.25" customHeight="1" x14ac:dyDescent="0.3">
      <c r="A1782" s="137"/>
      <c r="B1782" s="137"/>
      <c r="C1782" s="137"/>
      <c r="D1782" s="194"/>
      <c r="E1782" s="194"/>
      <c r="F1782" s="137"/>
      <c r="G1782" s="137"/>
      <c r="H1782" s="137"/>
      <c r="I1782" s="137"/>
      <c r="J1782" s="197"/>
      <c r="K1782" s="198"/>
      <c r="L1782" s="196"/>
      <c r="M1782" s="196"/>
      <c r="N1782" s="196"/>
      <c r="O1782" s="196"/>
      <c r="P1782" s="127"/>
    </row>
    <row r="1783" spans="1:16" ht="20.25" customHeight="1" x14ac:dyDescent="0.3">
      <c r="A1783" s="137"/>
      <c r="B1783" s="137"/>
      <c r="C1783" s="137"/>
      <c r="D1783" s="194"/>
      <c r="E1783" s="194"/>
      <c r="F1783" s="137"/>
      <c r="G1783" s="137"/>
      <c r="H1783" s="137"/>
      <c r="I1783" s="137"/>
      <c r="J1783" s="197"/>
      <c r="K1783" s="198"/>
      <c r="L1783" s="196"/>
      <c r="M1783" s="196"/>
      <c r="N1783" s="196"/>
      <c r="O1783" s="196"/>
      <c r="P1783" s="127"/>
    </row>
    <row r="1784" spans="1:16" ht="20.25" customHeight="1" x14ac:dyDescent="0.3">
      <c r="A1784" s="137"/>
      <c r="B1784" s="137"/>
      <c r="C1784" s="137"/>
      <c r="D1784" s="194"/>
      <c r="E1784" s="194"/>
      <c r="F1784" s="137"/>
      <c r="G1784" s="137"/>
      <c r="H1784" s="137"/>
      <c r="I1784" s="137"/>
      <c r="J1784" s="197"/>
      <c r="K1784" s="198"/>
      <c r="L1784" s="196"/>
      <c r="M1784" s="196"/>
      <c r="N1784" s="196"/>
      <c r="O1784" s="196"/>
      <c r="P1784" s="127"/>
    </row>
    <row r="1785" spans="1:16" ht="20.25" customHeight="1" x14ac:dyDescent="0.3">
      <c r="A1785" s="137"/>
      <c r="B1785" s="137"/>
      <c r="C1785" s="137"/>
      <c r="D1785" s="194"/>
      <c r="E1785" s="194"/>
      <c r="F1785" s="137"/>
      <c r="G1785" s="137"/>
      <c r="H1785" s="137"/>
      <c r="I1785" s="137"/>
      <c r="J1785" s="197"/>
      <c r="K1785" s="198"/>
      <c r="L1785" s="196"/>
      <c r="M1785" s="196"/>
      <c r="N1785" s="196"/>
      <c r="O1785" s="196"/>
      <c r="P1785" s="127"/>
    </row>
    <row r="1786" spans="1:16" ht="20.25" customHeight="1" x14ac:dyDescent="0.3">
      <c r="A1786" s="137"/>
      <c r="B1786" s="137"/>
      <c r="C1786" s="137"/>
      <c r="D1786" s="194"/>
      <c r="E1786" s="194"/>
      <c r="F1786" s="137"/>
      <c r="G1786" s="137"/>
      <c r="H1786" s="137"/>
      <c r="I1786" s="137"/>
      <c r="J1786" s="197"/>
      <c r="K1786" s="198"/>
      <c r="L1786" s="196"/>
      <c r="M1786" s="196"/>
      <c r="N1786" s="196"/>
      <c r="O1786" s="196"/>
      <c r="P1786" s="127"/>
    </row>
    <row r="1787" spans="1:16" ht="20.25" customHeight="1" x14ac:dyDescent="0.3">
      <c r="A1787" s="137"/>
      <c r="B1787" s="137"/>
      <c r="C1787" s="137"/>
      <c r="D1787" s="194"/>
      <c r="E1787" s="194"/>
      <c r="F1787" s="137"/>
      <c r="G1787" s="137"/>
      <c r="H1787" s="137"/>
      <c r="I1787" s="137"/>
      <c r="J1787" s="197"/>
      <c r="K1787" s="198"/>
      <c r="L1787" s="196"/>
      <c r="M1787" s="196"/>
      <c r="N1787" s="196"/>
      <c r="O1787" s="196"/>
      <c r="P1787" s="127"/>
    </row>
    <row r="1788" spans="1:16" ht="20.25" customHeight="1" x14ac:dyDescent="0.3">
      <c r="A1788" s="137"/>
      <c r="B1788" s="137"/>
      <c r="C1788" s="137"/>
      <c r="D1788" s="194"/>
      <c r="E1788" s="194"/>
      <c r="F1788" s="137"/>
      <c r="G1788" s="137"/>
      <c r="H1788" s="137"/>
      <c r="I1788" s="137"/>
      <c r="J1788" s="197"/>
      <c r="K1788" s="198"/>
      <c r="L1788" s="196"/>
      <c r="M1788" s="196"/>
      <c r="N1788" s="196"/>
      <c r="O1788" s="196"/>
      <c r="P1788" s="127"/>
    </row>
    <row r="1789" spans="1:16" ht="20.25" customHeight="1" x14ac:dyDescent="0.3">
      <c r="A1789" s="137"/>
      <c r="B1789" s="137"/>
      <c r="C1789" s="137"/>
      <c r="D1789" s="194"/>
      <c r="E1789" s="194"/>
      <c r="F1789" s="137"/>
      <c r="G1789" s="137"/>
      <c r="H1789" s="137"/>
      <c r="I1789" s="137"/>
      <c r="J1789" s="197"/>
      <c r="K1789" s="198"/>
      <c r="L1789" s="196"/>
      <c r="M1789" s="196"/>
      <c r="N1789" s="196"/>
      <c r="O1789" s="196"/>
      <c r="P1789" s="127"/>
    </row>
    <row r="1790" spans="1:16" ht="20.25" customHeight="1" x14ac:dyDescent="0.3">
      <c r="A1790" s="137"/>
      <c r="B1790" s="137"/>
      <c r="C1790" s="137"/>
      <c r="D1790" s="194"/>
      <c r="E1790" s="194"/>
      <c r="F1790" s="137"/>
      <c r="G1790" s="137"/>
      <c r="H1790" s="137"/>
      <c r="I1790" s="137"/>
      <c r="J1790" s="197"/>
      <c r="K1790" s="198"/>
      <c r="L1790" s="196"/>
      <c r="M1790" s="196"/>
      <c r="N1790" s="196"/>
      <c r="O1790" s="196"/>
      <c r="P1790" s="127"/>
    </row>
    <row r="1791" spans="1:16" ht="20.25" customHeight="1" x14ac:dyDescent="0.3">
      <c r="A1791" s="137"/>
      <c r="B1791" s="137"/>
      <c r="C1791" s="137"/>
      <c r="D1791" s="194"/>
      <c r="E1791" s="194"/>
      <c r="F1791" s="137"/>
      <c r="G1791" s="137"/>
      <c r="H1791" s="137"/>
      <c r="I1791" s="137"/>
      <c r="J1791" s="197"/>
      <c r="K1791" s="198"/>
      <c r="L1791" s="196"/>
      <c r="M1791" s="196"/>
      <c r="N1791" s="196"/>
      <c r="O1791" s="196"/>
      <c r="P1791" s="127"/>
    </row>
    <row r="1792" spans="1:16" ht="20.25" customHeight="1" x14ac:dyDescent="0.3">
      <c r="A1792" s="137"/>
      <c r="B1792" s="137"/>
      <c r="C1792" s="137"/>
      <c r="D1792" s="194"/>
      <c r="E1792" s="194"/>
      <c r="F1792" s="137"/>
      <c r="G1792" s="137"/>
      <c r="H1792" s="137"/>
      <c r="I1792" s="137"/>
      <c r="J1792" s="197"/>
      <c r="K1792" s="198"/>
      <c r="L1792" s="196"/>
      <c r="M1792" s="196"/>
      <c r="N1792" s="196"/>
      <c r="O1792" s="196"/>
      <c r="P1792" s="127"/>
    </row>
    <row r="1793" spans="1:16" ht="20.25" customHeight="1" x14ac:dyDescent="0.3">
      <c r="A1793" s="137"/>
      <c r="B1793" s="137"/>
      <c r="C1793" s="137"/>
      <c r="D1793" s="194"/>
      <c r="E1793" s="194"/>
      <c r="F1793" s="137"/>
      <c r="G1793" s="137"/>
      <c r="H1793" s="137"/>
      <c r="I1793" s="137"/>
      <c r="J1793" s="197"/>
      <c r="K1793" s="198"/>
      <c r="L1793" s="196"/>
      <c r="M1793" s="196"/>
      <c r="N1793" s="196"/>
      <c r="O1793" s="196"/>
      <c r="P1793" s="127"/>
    </row>
    <row r="1794" spans="1:16" ht="20.25" customHeight="1" x14ac:dyDescent="0.3">
      <c r="A1794" s="137"/>
      <c r="B1794" s="137"/>
      <c r="C1794" s="137"/>
      <c r="D1794" s="194"/>
      <c r="E1794" s="194"/>
      <c r="F1794" s="137"/>
      <c r="G1794" s="137"/>
      <c r="H1794" s="137"/>
      <c r="I1794" s="137"/>
      <c r="J1794" s="197"/>
      <c r="K1794" s="198"/>
      <c r="L1794" s="196"/>
      <c r="M1794" s="196"/>
      <c r="N1794" s="196"/>
      <c r="O1794" s="196"/>
      <c r="P1794" s="127"/>
    </row>
    <row r="1795" spans="1:16" ht="20.25" customHeight="1" x14ac:dyDescent="0.3">
      <c r="A1795" s="137"/>
      <c r="B1795" s="137"/>
      <c r="C1795" s="137"/>
      <c r="D1795" s="194"/>
      <c r="E1795" s="194"/>
      <c r="F1795" s="137"/>
      <c r="G1795" s="137"/>
      <c r="H1795" s="137"/>
      <c r="I1795" s="137"/>
      <c r="J1795" s="197"/>
      <c r="K1795" s="198"/>
      <c r="L1795" s="196"/>
      <c r="M1795" s="196"/>
      <c r="N1795" s="196"/>
      <c r="O1795" s="196"/>
      <c r="P1795" s="127"/>
    </row>
    <row r="1796" spans="1:16" ht="20.25" customHeight="1" x14ac:dyDescent="0.3">
      <c r="A1796" s="137"/>
      <c r="B1796" s="137"/>
      <c r="C1796" s="137"/>
      <c r="D1796" s="194"/>
      <c r="E1796" s="194"/>
      <c r="F1796" s="137"/>
      <c r="G1796" s="137"/>
      <c r="H1796" s="137"/>
      <c r="I1796" s="137"/>
      <c r="J1796" s="197"/>
      <c r="K1796" s="198"/>
      <c r="L1796" s="196"/>
      <c r="M1796" s="196"/>
      <c r="N1796" s="196"/>
      <c r="O1796" s="196"/>
      <c r="P1796" s="127"/>
    </row>
    <row r="1797" spans="1:16" ht="20.25" customHeight="1" x14ac:dyDescent="0.3">
      <c r="A1797" s="137"/>
      <c r="B1797" s="137"/>
      <c r="C1797" s="137"/>
      <c r="D1797" s="194"/>
      <c r="E1797" s="194"/>
      <c r="F1797" s="137"/>
      <c r="G1797" s="137"/>
      <c r="H1797" s="137"/>
      <c r="I1797" s="137"/>
      <c r="J1797" s="197"/>
      <c r="K1797" s="198"/>
      <c r="L1797" s="196"/>
      <c r="M1797" s="196"/>
      <c r="N1797" s="196"/>
      <c r="O1797" s="196"/>
      <c r="P1797" s="127"/>
    </row>
    <row r="1798" spans="1:16" ht="20.25" customHeight="1" x14ac:dyDescent="0.3">
      <c r="A1798" s="137"/>
      <c r="B1798" s="137"/>
      <c r="C1798" s="137"/>
      <c r="D1798" s="194"/>
      <c r="E1798" s="194"/>
      <c r="F1798" s="137"/>
      <c r="G1798" s="137"/>
      <c r="H1798" s="137"/>
      <c r="I1798" s="137"/>
      <c r="J1798" s="197"/>
      <c r="K1798" s="198"/>
      <c r="L1798" s="196"/>
      <c r="M1798" s="196"/>
      <c r="N1798" s="196"/>
      <c r="O1798" s="196"/>
      <c r="P1798" s="127"/>
    </row>
    <row r="1799" spans="1:16" ht="20.25" customHeight="1" x14ac:dyDescent="0.3">
      <c r="A1799" s="137"/>
      <c r="B1799" s="137"/>
      <c r="C1799" s="137"/>
      <c r="D1799" s="194"/>
      <c r="E1799" s="194"/>
      <c r="F1799" s="137"/>
      <c r="G1799" s="137"/>
      <c r="H1799" s="137"/>
      <c r="I1799" s="137"/>
      <c r="J1799" s="197"/>
      <c r="K1799" s="198"/>
      <c r="L1799" s="196"/>
      <c r="M1799" s="196"/>
      <c r="N1799" s="196"/>
      <c r="O1799" s="196"/>
      <c r="P1799" s="127"/>
    </row>
    <row r="1800" spans="1:16" ht="20.25" customHeight="1" x14ac:dyDescent="0.3">
      <c r="A1800" s="137"/>
      <c r="B1800" s="137"/>
      <c r="C1800" s="137"/>
      <c r="D1800" s="194"/>
      <c r="E1800" s="194"/>
      <c r="F1800" s="137"/>
      <c r="G1800" s="137"/>
      <c r="H1800" s="137"/>
      <c r="I1800" s="137"/>
      <c r="J1800" s="197"/>
      <c r="K1800" s="198"/>
      <c r="L1800" s="196"/>
      <c r="M1800" s="196"/>
      <c r="N1800" s="196"/>
      <c r="O1800" s="196"/>
      <c r="P1800" s="127"/>
    </row>
    <row r="1801" spans="1:16" ht="20.25" customHeight="1" x14ac:dyDescent="0.3">
      <c r="A1801" s="137"/>
      <c r="B1801" s="137"/>
      <c r="C1801" s="137"/>
      <c r="D1801" s="194"/>
      <c r="E1801" s="194"/>
      <c r="F1801" s="137"/>
      <c r="G1801" s="137"/>
      <c r="H1801" s="137"/>
      <c r="I1801" s="137"/>
      <c r="J1801" s="197"/>
      <c r="K1801" s="198"/>
      <c r="L1801" s="196"/>
      <c r="M1801" s="196"/>
      <c r="N1801" s="196"/>
      <c r="O1801" s="196"/>
      <c r="P1801" s="127"/>
    </row>
    <row r="1802" spans="1:16" ht="20.25" customHeight="1" x14ac:dyDescent="0.3">
      <c r="A1802" s="137"/>
      <c r="B1802" s="137"/>
      <c r="C1802" s="137"/>
      <c r="D1802" s="194"/>
      <c r="E1802" s="194"/>
      <c r="F1802" s="137"/>
      <c r="G1802" s="137"/>
      <c r="H1802" s="137"/>
      <c r="I1802" s="137"/>
      <c r="J1802" s="197"/>
      <c r="K1802" s="198"/>
      <c r="L1802" s="196"/>
      <c r="M1802" s="196"/>
      <c r="N1802" s="196"/>
      <c r="O1802" s="196"/>
      <c r="P1802" s="127"/>
    </row>
    <row r="1803" spans="1:16" ht="20.25" customHeight="1" x14ac:dyDescent="0.3">
      <c r="A1803" s="137"/>
      <c r="B1803" s="137"/>
      <c r="C1803" s="137"/>
      <c r="D1803" s="194"/>
      <c r="E1803" s="194"/>
      <c r="F1803" s="137"/>
      <c r="G1803" s="137"/>
      <c r="H1803" s="137"/>
      <c r="I1803" s="137"/>
      <c r="J1803" s="197"/>
      <c r="K1803" s="198"/>
      <c r="L1803" s="196"/>
      <c r="M1803" s="196"/>
      <c r="N1803" s="196"/>
      <c r="O1803" s="196"/>
      <c r="P1803" s="127"/>
    </row>
    <row r="1804" spans="1:16" ht="20.25" customHeight="1" x14ac:dyDescent="0.3">
      <c r="A1804" s="137"/>
      <c r="B1804" s="137"/>
      <c r="C1804" s="137"/>
      <c r="D1804" s="194"/>
      <c r="E1804" s="194"/>
      <c r="F1804" s="137"/>
      <c r="G1804" s="137"/>
      <c r="H1804" s="137"/>
      <c r="I1804" s="137"/>
      <c r="J1804" s="197"/>
      <c r="K1804" s="198"/>
      <c r="L1804" s="196"/>
      <c r="M1804" s="196"/>
      <c r="N1804" s="196"/>
      <c r="O1804" s="196"/>
      <c r="P1804" s="127"/>
    </row>
    <row r="1805" spans="1:16" ht="20.25" customHeight="1" x14ac:dyDescent="0.3">
      <c r="A1805" s="137"/>
      <c r="B1805" s="137"/>
      <c r="C1805" s="137"/>
      <c r="D1805" s="194"/>
      <c r="E1805" s="194"/>
      <c r="F1805" s="137"/>
      <c r="G1805" s="137"/>
      <c r="H1805" s="137"/>
      <c r="I1805" s="137"/>
      <c r="J1805" s="197"/>
      <c r="K1805" s="198"/>
      <c r="L1805" s="196"/>
      <c r="M1805" s="196"/>
      <c r="N1805" s="196"/>
      <c r="O1805" s="196"/>
      <c r="P1805" s="127"/>
    </row>
    <row r="1806" spans="1:16" ht="20.25" customHeight="1" x14ac:dyDescent="0.3">
      <c r="A1806" s="137"/>
      <c r="B1806" s="137"/>
      <c r="C1806" s="137"/>
      <c r="D1806" s="194"/>
      <c r="E1806" s="194"/>
      <c r="F1806" s="137"/>
      <c r="G1806" s="137"/>
      <c r="H1806" s="137"/>
      <c r="I1806" s="137"/>
      <c r="J1806" s="197"/>
      <c r="K1806" s="198"/>
      <c r="L1806" s="196"/>
      <c r="M1806" s="196"/>
      <c r="N1806" s="196"/>
      <c r="O1806" s="196"/>
      <c r="P1806" s="127"/>
    </row>
    <row r="1807" spans="1:16" ht="20.25" customHeight="1" x14ac:dyDescent="0.3">
      <c r="A1807" s="137"/>
      <c r="B1807" s="137"/>
      <c r="C1807" s="137"/>
      <c r="D1807" s="194"/>
      <c r="E1807" s="194"/>
      <c r="F1807" s="137"/>
      <c r="G1807" s="137"/>
      <c r="H1807" s="137"/>
      <c r="I1807" s="137"/>
      <c r="J1807" s="197"/>
      <c r="K1807" s="198"/>
      <c r="L1807" s="196"/>
      <c r="M1807" s="196"/>
      <c r="N1807" s="196"/>
      <c r="O1807" s="196"/>
      <c r="P1807" s="127"/>
    </row>
    <row r="1808" spans="1:16" ht="20.25" customHeight="1" x14ac:dyDescent="0.3">
      <c r="A1808" s="137"/>
      <c r="B1808" s="137"/>
      <c r="C1808" s="137"/>
      <c r="D1808" s="194"/>
      <c r="E1808" s="194"/>
      <c r="F1808" s="137"/>
      <c r="G1808" s="137"/>
      <c r="H1808" s="137"/>
      <c r="I1808" s="137"/>
      <c r="J1808" s="197"/>
      <c r="K1808" s="198"/>
      <c r="L1808" s="196"/>
      <c r="M1808" s="196"/>
      <c r="N1808" s="196"/>
      <c r="O1808" s="196"/>
      <c r="P1808" s="127"/>
    </row>
    <row r="1809" spans="1:16" ht="20.25" customHeight="1" x14ac:dyDescent="0.3">
      <c r="A1809" s="137"/>
      <c r="B1809" s="137"/>
      <c r="C1809" s="137"/>
      <c r="D1809" s="194"/>
      <c r="E1809" s="194"/>
      <c r="F1809" s="137"/>
      <c r="G1809" s="137"/>
      <c r="H1809" s="137"/>
      <c r="I1809" s="137"/>
      <c r="J1809" s="197"/>
      <c r="K1809" s="198"/>
      <c r="L1809" s="196"/>
      <c r="M1809" s="196"/>
      <c r="N1809" s="196"/>
      <c r="O1809" s="196"/>
      <c r="P1809" s="127"/>
    </row>
    <row r="1810" spans="1:16" ht="20.25" customHeight="1" x14ac:dyDescent="0.3">
      <c r="A1810" s="137"/>
      <c r="B1810" s="137"/>
      <c r="C1810" s="137"/>
      <c r="D1810" s="194"/>
      <c r="E1810" s="194"/>
      <c r="F1810" s="137"/>
      <c r="G1810" s="137"/>
      <c r="H1810" s="137"/>
      <c r="I1810" s="137"/>
      <c r="J1810" s="197"/>
      <c r="K1810" s="198"/>
      <c r="L1810" s="196"/>
      <c r="M1810" s="196"/>
      <c r="N1810" s="196"/>
      <c r="O1810" s="196"/>
      <c r="P1810" s="127"/>
    </row>
    <row r="1811" spans="1:16" ht="20.25" customHeight="1" x14ac:dyDescent="0.3">
      <c r="A1811" s="137"/>
      <c r="B1811" s="137"/>
      <c r="C1811" s="137"/>
      <c r="D1811" s="194"/>
      <c r="E1811" s="194"/>
      <c r="F1811" s="137"/>
      <c r="G1811" s="137"/>
      <c r="H1811" s="137"/>
      <c r="I1811" s="137"/>
      <c r="J1811" s="197"/>
      <c r="K1811" s="198"/>
      <c r="L1811" s="196"/>
      <c r="M1811" s="196"/>
      <c r="N1811" s="196"/>
      <c r="O1811" s="196"/>
      <c r="P1811" s="127"/>
    </row>
    <row r="1812" spans="1:16" ht="20.25" customHeight="1" x14ac:dyDescent="0.3">
      <c r="A1812" s="137"/>
      <c r="B1812" s="137"/>
      <c r="C1812" s="137"/>
      <c r="D1812" s="194"/>
      <c r="E1812" s="194"/>
      <c r="F1812" s="137"/>
      <c r="G1812" s="137"/>
      <c r="H1812" s="137"/>
      <c r="I1812" s="137"/>
      <c r="J1812" s="197"/>
      <c r="K1812" s="198"/>
      <c r="L1812" s="196"/>
      <c r="M1812" s="196"/>
      <c r="N1812" s="196"/>
      <c r="O1812" s="196"/>
      <c r="P1812" s="127"/>
    </row>
    <row r="1813" spans="1:16" ht="20.25" customHeight="1" x14ac:dyDescent="0.3">
      <c r="A1813" s="137"/>
      <c r="B1813" s="137"/>
      <c r="C1813" s="137"/>
      <c r="D1813" s="194"/>
      <c r="E1813" s="194"/>
      <c r="F1813" s="137"/>
      <c r="G1813" s="137"/>
      <c r="H1813" s="137"/>
      <c r="I1813" s="137"/>
      <c r="J1813" s="197"/>
      <c r="K1813" s="198"/>
      <c r="L1813" s="196"/>
      <c r="M1813" s="196"/>
      <c r="N1813" s="196"/>
      <c r="O1813" s="196"/>
      <c r="P1813" s="127"/>
    </row>
    <row r="1814" spans="1:16" ht="20.25" customHeight="1" x14ac:dyDescent="0.3">
      <c r="A1814" s="137"/>
      <c r="B1814" s="137"/>
      <c r="C1814" s="137"/>
      <c r="D1814" s="194"/>
      <c r="E1814" s="194"/>
      <c r="F1814" s="137"/>
      <c r="G1814" s="137"/>
      <c r="H1814" s="137"/>
      <c r="I1814" s="137"/>
      <c r="J1814" s="197"/>
      <c r="K1814" s="198"/>
      <c r="L1814" s="196"/>
      <c r="M1814" s="196"/>
      <c r="N1814" s="196"/>
      <c r="O1814" s="196"/>
      <c r="P1814" s="127"/>
    </row>
    <row r="1815" spans="1:16" ht="20.25" customHeight="1" x14ac:dyDescent="0.3">
      <c r="A1815" s="137"/>
      <c r="B1815" s="137"/>
      <c r="C1815" s="137"/>
      <c r="D1815" s="194"/>
      <c r="E1815" s="194"/>
      <c r="F1815" s="137"/>
      <c r="G1815" s="137"/>
      <c r="H1815" s="137"/>
      <c r="I1815" s="137"/>
      <c r="J1815" s="197"/>
      <c r="K1815" s="198"/>
      <c r="L1815" s="196"/>
      <c r="M1815" s="196"/>
      <c r="N1815" s="196"/>
      <c r="O1815" s="196"/>
      <c r="P1815" s="127"/>
    </row>
    <row r="1816" spans="1:16" ht="20.25" customHeight="1" x14ac:dyDescent="0.3">
      <c r="A1816" s="137"/>
      <c r="B1816" s="137"/>
      <c r="C1816" s="137"/>
      <c r="D1816" s="194"/>
      <c r="E1816" s="194"/>
      <c r="F1816" s="137"/>
      <c r="G1816" s="137"/>
      <c r="H1816" s="137"/>
      <c r="I1816" s="137"/>
      <c r="J1816" s="197"/>
      <c r="K1816" s="198"/>
      <c r="L1816" s="196"/>
      <c r="M1816" s="196"/>
      <c r="N1816" s="196"/>
      <c r="O1816" s="196"/>
      <c r="P1816" s="127"/>
    </row>
    <row r="1817" spans="1:16" ht="20.25" customHeight="1" x14ac:dyDescent="0.3">
      <c r="A1817" s="137"/>
      <c r="B1817" s="137"/>
      <c r="C1817" s="137"/>
      <c r="D1817" s="194"/>
      <c r="E1817" s="194"/>
      <c r="F1817" s="137"/>
      <c r="G1817" s="137"/>
      <c r="H1817" s="137"/>
      <c r="I1817" s="137"/>
      <c r="J1817" s="197"/>
      <c r="K1817" s="198"/>
      <c r="L1817" s="196"/>
      <c r="M1817" s="196"/>
      <c r="N1817" s="196"/>
      <c r="O1817" s="196"/>
      <c r="P1817" s="127"/>
    </row>
    <row r="1818" spans="1:16" ht="20.25" customHeight="1" x14ac:dyDescent="0.3">
      <c r="A1818" s="137"/>
      <c r="B1818" s="137"/>
      <c r="C1818" s="137"/>
      <c r="D1818" s="194"/>
      <c r="E1818" s="194"/>
      <c r="F1818" s="137"/>
      <c r="G1818" s="137"/>
      <c r="H1818" s="137"/>
      <c r="I1818" s="137"/>
      <c r="J1818" s="197"/>
      <c r="K1818" s="198"/>
      <c r="L1818" s="196"/>
      <c r="M1818" s="196"/>
      <c r="N1818" s="196"/>
      <c r="O1818" s="196"/>
      <c r="P1818" s="127"/>
    </row>
    <row r="1819" spans="1:16" ht="20.25" customHeight="1" x14ac:dyDescent="0.3">
      <c r="A1819" s="137"/>
      <c r="B1819" s="137"/>
      <c r="C1819" s="137"/>
      <c r="D1819" s="194"/>
      <c r="E1819" s="194"/>
      <c r="F1819" s="137"/>
      <c r="G1819" s="137"/>
      <c r="H1819" s="137"/>
      <c r="I1819" s="137"/>
      <c r="J1819" s="197"/>
      <c r="K1819" s="198"/>
      <c r="L1819" s="196"/>
      <c r="M1819" s="196"/>
      <c r="N1819" s="196"/>
      <c r="O1819" s="196"/>
      <c r="P1819" s="127"/>
    </row>
    <row r="1820" spans="1:16" ht="20.25" customHeight="1" x14ac:dyDescent="0.3">
      <c r="A1820" s="137"/>
      <c r="B1820" s="137"/>
      <c r="C1820" s="137"/>
      <c r="D1820" s="194"/>
      <c r="E1820" s="194"/>
      <c r="F1820" s="137"/>
      <c r="G1820" s="137"/>
      <c r="H1820" s="137"/>
      <c r="I1820" s="137"/>
      <c r="J1820" s="197"/>
      <c r="K1820" s="198"/>
      <c r="L1820" s="196"/>
      <c r="M1820" s="196"/>
      <c r="N1820" s="196"/>
      <c r="O1820" s="196"/>
      <c r="P1820" s="127"/>
    </row>
    <row r="1821" spans="1:16" ht="20.25" customHeight="1" x14ac:dyDescent="0.3">
      <c r="A1821" s="137"/>
      <c r="B1821" s="137"/>
      <c r="C1821" s="137"/>
      <c r="D1821" s="194"/>
      <c r="E1821" s="194"/>
      <c r="F1821" s="137"/>
      <c r="G1821" s="137"/>
      <c r="H1821" s="137"/>
      <c r="I1821" s="137"/>
      <c r="J1821" s="197"/>
      <c r="K1821" s="198"/>
      <c r="L1821" s="196"/>
      <c r="M1821" s="196"/>
      <c r="N1821" s="196"/>
      <c r="O1821" s="196"/>
      <c r="P1821" s="127"/>
    </row>
    <row r="1822" spans="1:16" ht="20.25" customHeight="1" x14ac:dyDescent="0.3">
      <c r="A1822" s="137"/>
      <c r="B1822" s="137"/>
      <c r="C1822" s="137"/>
      <c r="D1822" s="194"/>
      <c r="E1822" s="194"/>
      <c r="F1822" s="137"/>
      <c r="G1822" s="137"/>
      <c r="H1822" s="137"/>
      <c r="I1822" s="137"/>
      <c r="J1822" s="197"/>
      <c r="K1822" s="198"/>
      <c r="L1822" s="196"/>
      <c r="M1822" s="196"/>
      <c r="N1822" s="196"/>
      <c r="O1822" s="196"/>
      <c r="P1822" s="127"/>
    </row>
    <row r="1823" spans="1:16" ht="20.25" customHeight="1" x14ac:dyDescent="0.3">
      <c r="A1823" s="137"/>
      <c r="B1823" s="137"/>
      <c r="C1823" s="137"/>
      <c r="D1823" s="194"/>
      <c r="E1823" s="194"/>
      <c r="F1823" s="137"/>
      <c r="G1823" s="137"/>
      <c r="H1823" s="137"/>
      <c r="I1823" s="137"/>
      <c r="J1823" s="197"/>
      <c r="K1823" s="198"/>
      <c r="L1823" s="196"/>
      <c r="M1823" s="196"/>
      <c r="N1823" s="196"/>
      <c r="O1823" s="196"/>
      <c r="P1823" s="127"/>
    </row>
    <row r="1824" spans="1:16" ht="20.25" customHeight="1" x14ac:dyDescent="0.3">
      <c r="A1824" s="137"/>
      <c r="B1824" s="137"/>
      <c r="C1824" s="137"/>
      <c r="D1824" s="194"/>
      <c r="E1824" s="194"/>
      <c r="F1824" s="137"/>
      <c r="G1824" s="137"/>
      <c r="H1824" s="137"/>
      <c r="I1824" s="137"/>
      <c r="J1824" s="197"/>
      <c r="K1824" s="198"/>
      <c r="L1824" s="196"/>
      <c r="M1824" s="196"/>
      <c r="N1824" s="196"/>
      <c r="O1824" s="196"/>
      <c r="P1824" s="127"/>
    </row>
    <row r="1825" spans="1:16" ht="20.25" customHeight="1" x14ac:dyDescent="0.3">
      <c r="A1825" s="137"/>
      <c r="B1825" s="137"/>
      <c r="C1825" s="137"/>
      <c r="D1825" s="194"/>
      <c r="E1825" s="194"/>
      <c r="F1825" s="137"/>
      <c r="G1825" s="137"/>
      <c r="H1825" s="137"/>
      <c r="I1825" s="137"/>
      <c r="J1825" s="197"/>
      <c r="K1825" s="198"/>
      <c r="L1825" s="196"/>
      <c r="M1825" s="196"/>
      <c r="N1825" s="196"/>
      <c r="O1825" s="196"/>
      <c r="P1825" s="127"/>
    </row>
    <row r="1826" spans="1:16" ht="20.25" customHeight="1" x14ac:dyDescent="0.3">
      <c r="A1826" s="137"/>
      <c r="B1826" s="137"/>
      <c r="C1826" s="137"/>
      <c r="D1826" s="194"/>
      <c r="E1826" s="194"/>
      <c r="F1826" s="137"/>
      <c r="G1826" s="137"/>
      <c r="H1826" s="137"/>
      <c r="I1826" s="137"/>
      <c r="J1826" s="197"/>
      <c r="K1826" s="198"/>
      <c r="L1826" s="196"/>
      <c r="M1826" s="196"/>
      <c r="N1826" s="196"/>
      <c r="O1826" s="196"/>
      <c r="P1826" s="127"/>
    </row>
    <row r="1827" spans="1:16" ht="20.25" customHeight="1" x14ac:dyDescent="0.3">
      <c r="A1827" s="137"/>
      <c r="B1827" s="137"/>
      <c r="C1827" s="137"/>
      <c r="D1827" s="194"/>
      <c r="E1827" s="194"/>
      <c r="F1827" s="137"/>
      <c r="G1827" s="137"/>
      <c r="H1827" s="137"/>
      <c r="I1827" s="137"/>
      <c r="J1827" s="197"/>
      <c r="K1827" s="198"/>
      <c r="L1827" s="196"/>
      <c r="M1827" s="196"/>
      <c r="N1827" s="196"/>
      <c r="O1827" s="196"/>
      <c r="P1827" s="127"/>
    </row>
    <row r="1828" spans="1:16" ht="20.25" customHeight="1" x14ac:dyDescent="0.3">
      <c r="A1828" s="137"/>
      <c r="B1828" s="137"/>
      <c r="C1828" s="137"/>
      <c r="D1828" s="194"/>
      <c r="E1828" s="194"/>
      <c r="F1828" s="137"/>
      <c r="G1828" s="137"/>
      <c r="H1828" s="137"/>
      <c r="I1828" s="137"/>
      <c r="J1828" s="197"/>
      <c r="K1828" s="198"/>
      <c r="L1828" s="196"/>
      <c r="M1828" s="196"/>
      <c r="N1828" s="196"/>
      <c r="O1828" s="196"/>
      <c r="P1828" s="127"/>
    </row>
    <row r="1829" spans="1:16" ht="20.25" customHeight="1" x14ac:dyDescent="0.3">
      <c r="A1829" s="137"/>
      <c r="B1829" s="137"/>
      <c r="C1829" s="137"/>
      <c r="D1829" s="194"/>
      <c r="E1829" s="194"/>
      <c r="F1829" s="137"/>
      <c r="G1829" s="137"/>
      <c r="H1829" s="137"/>
      <c r="I1829" s="137"/>
      <c r="J1829" s="197"/>
      <c r="K1829" s="198"/>
      <c r="L1829" s="196"/>
      <c r="M1829" s="196"/>
      <c r="N1829" s="196"/>
      <c r="O1829" s="196"/>
      <c r="P1829" s="127"/>
    </row>
    <row r="1830" spans="1:16" ht="20.25" customHeight="1" x14ac:dyDescent="0.3">
      <c r="A1830" s="137"/>
      <c r="B1830" s="137"/>
      <c r="C1830" s="137"/>
      <c r="D1830" s="194"/>
      <c r="E1830" s="194"/>
      <c r="F1830" s="137"/>
      <c r="G1830" s="137"/>
      <c r="H1830" s="137"/>
      <c r="I1830" s="137"/>
      <c r="J1830" s="197"/>
      <c r="K1830" s="198"/>
      <c r="L1830" s="196"/>
      <c r="M1830" s="196"/>
      <c r="N1830" s="196"/>
      <c r="O1830" s="196"/>
      <c r="P1830" s="127"/>
    </row>
    <row r="1831" spans="1:16" ht="20.25" customHeight="1" x14ac:dyDescent="0.3">
      <c r="A1831" s="137"/>
      <c r="B1831" s="137"/>
      <c r="C1831" s="137"/>
      <c r="D1831" s="194"/>
      <c r="E1831" s="194"/>
      <c r="F1831" s="137"/>
      <c r="G1831" s="137"/>
      <c r="H1831" s="137"/>
      <c r="I1831" s="137"/>
      <c r="J1831" s="197"/>
      <c r="K1831" s="198"/>
      <c r="L1831" s="196"/>
      <c r="M1831" s="196"/>
      <c r="N1831" s="196"/>
      <c r="O1831" s="196"/>
      <c r="P1831" s="127"/>
    </row>
    <row r="1832" spans="1:16" ht="20.25" customHeight="1" x14ac:dyDescent="0.3">
      <c r="A1832" s="137"/>
      <c r="B1832" s="137"/>
      <c r="C1832" s="137"/>
      <c r="D1832" s="194"/>
      <c r="E1832" s="194"/>
      <c r="F1832" s="137"/>
      <c r="G1832" s="137"/>
      <c r="H1832" s="137"/>
      <c r="I1832" s="137"/>
      <c r="J1832" s="197"/>
      <c r="K1832" s="198"/>
      <c r="L1832" s="196"/>
      <c r="M1832" s="196"/>
      <c r="N1832" s="196"/>
      <c r="O1832" s="196"/>
      <c r="P1832" s="127"/>
    </row>
    <row r="1833" spans="1:16" ht="20.25" customHeight="1" x14ac:dyDescent="0.3">
      <c r="A1833" s="137"/>
      <c r="B1833" s="137"/>
      <c r="C1833" s="137"/>
      <c r="D1833" s="194"/>
      <c r="E1833" s="194"/>
      <c r="F1833" s="137"/>
      <c r="G1833" s="137"/>
      <c r="H1833" s="137"/>
      <c r="I1833" s="137"/>
      <c r="J1833" s="197"/>
      <c r="K1833" s="198"/>
      <c r="L1833" s="196"/>
      <c r="M1833" s="196"/>
      <c r="N1833" s="196"/>
      <c r="O1833" s="196"/>
      <c r="P1833" s="127"/>
    </row>
    <row r="1834" spans="1:16" ht="20.25" customHeight="1" x14ac:dyDescent="0.3">
      <c r="A1834" s="137"/>
      <c r="B1834" s="137"/>
      <c r="C1834" s="137"/>
      <c r="D1834" s="194"/>
      <c r="E1834" s="194"/>
      <c r="F1834" s="137"/>
      <c r="G1834" s="137"/>
      <c r="H1834" s="137"/>
      <c r="I1834" s="137"/>
      <c r="J1834" s="197"/>
      <c r="K1834" s="198"/>
      <c r="L1834" s="196"/>
      <c r="M1834" s="196"/>
      <c r="N1834" s="196"/>
      <c r="O1834" s="196"/>
      <c r="P1834" s="127"/>
    </row>
    <row r="1835" spans="1:16" ht="20.25" customHeight="1" x14ac:dyDescent="0.3">
      <c r="A1835" s="137"/>
      <c r="B1835" s="137"/>
      <c r="C1835" s="137"/>
      <c r="D1835" s="194"/>
      <c r="E1835" s="194"/>
      <c r="F1835" s="137"/>
      <c r="G1835" s="137"/>
      <c r="H1835" s="137"/>
      <c r="I1835" s="137"/>
      <c r="J1835" s="197"/>
      <c r="K1835" s="198"/>
      <c r="L1835" s="196"/>
      <c r="M1835" s="196"/>
      <c r="N1835" s="196"/>
      <c r="O1835" s="196"/>
      <c r="P1835" s="127"/>
    </row>
    <row r="1836" spans="1:16" ht="20.25" customHeight="1" x14ac:dyDescent="0.3">
      <c r="A1836" s="137"/>
      <c r="B1836" s="137"/>
      <c r="C1836" s="137"/>
      <c r="D1836" s="194"/>
      <c r="E1836" s="194"/>
      <c r="F1836" s="137"/>
      <c r="G1836" s="137"/>
      <c r="H1836" s="137"/>
      <c r="I1836" s="137"/>
      <c r="J1836" s="197"/>
      <c r="K1836" s="198"/>
      <c r="L1836" s="196"/>
      <c r="M1836" s="196"/>
      <c r="N1836" s="196"/>
      <c r="O1836" s="196"/>
      <c r="P1836" s="127"/>
    </row>
    <row r="1837" spans="1:16" ht="20.25" customHeight="1" x14ac:dyDescent="0.3">
      <c r="A1837" s="137"/>
      <c r="B1837" s="137"/>
      <c r="C1837" s="137"/>
      <c r="D1837" s="194"/>
      <c r="E1837" s="194"/>
      <c r="F1837" s="137"/>
      <c r="G1837" s="137"/>
      <c r="H1837" s="137"/>
      <c r="I1837" s="137"/>
      <c r="J1837" s="197"/>
      <c r="K1837" s="198"/>
      <c r="L1837" s="196"/>
      <c r="M1837" s="196"/>
      <c r="N1837" s="196"/>
      <c r="O1837" s="196"/>
      <c r="P1837" s="127"/>
    </row>
    <row r="1838" spans="1:16" ht="20.25" customHeight="1" x14ac:dyDescent="0.3">
      <c r="A1838" s="137"/>
      <c r="B1838" s="137"/>
      <c r="C1838" s="137"/>
      <c r="D1838" s="194"/>
      <c r="E1838" s="194"/>
      <c r="F1838" s="137"/>
      <c r="G1838" s="137"/>
      <c r="H1838" s="137"/>
      <c r="I1838" s="137"/>
      <c r="J1838" s="197"/>
      <c r="K1838" s="198"/>
      <c r="L1838" s="196"/>
      <c r="M1838" s="196"/>
      <c r="N1838" s="196"/>
      <c r="O1838" s="196"/>
      <c r="P1838" s="127"/>
    </row>
    <row r="1839" spans="1:16" ht="20.25" customHeight="1" x14ac:dyDescent="0.3">
      <c r="A1839" s="137"/>
      <c r="B1839" s="137"/>
      <c r="C1839" s="137"/>
      <c r="D1839" s="194"/>
      <c r="E1839" s="194"/>
      <c r="F1839" s="137"/>
      <c r="G1839" s="137"/>
      <c r="H1839" s="137"/>
      <c r="I1839" s="137"/>
      <c r="J1839" s="197"/>
      <c r="K1839" s="198"/>
      <c r="L1839" s="196"/>
      <c r="M1839" s="196"/>
      <c r="N1839" s="196"/>
      <c r="O1839" s="196"/>
      <c r="P1839" s="127"/>
    </row>
    <row r="1840" spans="1:16" ht="20.25" customHeight="1" x14ac:dyDescent="0.3">
      <c r="A1840" s="137"/>
      <c r="B1840" s="137"/>
      <c r="C1840" s="137"/>
      <c r="D1840" s="194"/>
      <c r="E1840" s="194"/>
      <c r="F1840" s="137"/>
      <c r="G1840" s="137"/>
      <c r="H1840" s="137"/>
      <c r="I1840" s="137"/>
      <c r="J1840" s="197"/>
      <c r="K1840" s="198"/>
      <c r="L1840" s="196"/>
      <c r="M1840" s="196"/>
      <c r="N1840" s="196"/>
      <c r="O1840" s="196"/>
      <c r="P1840" s="127"/>
    </row>
    <row r="1841" spans="1:16" ht="20.25" customHeight="1" x14ac:dyDescent="0.3">
      <c r="A1841" s="137"/>
      <c r="B1841" s="137"/>
      <c r="C1841" s="137"/>
      <c r="D1841" s="194"/>
      <c r="E1841" s="194"/>
      <c r="F1841" s="137"/>
      <c r="G1841" s="137"/>
      <c r="H1841" s="137"/>
      <c r="I1841" s="137"/>
      <c r="J1841" s="197"/>
      <c r="K1841" s="198"/>
      <c r="L1841" s="196"/>
      <c r="M1841" s="196"/>
      <c r="N1841" s="196"/>
      <c r="O1841" s="196"/>
      <c r="P1841" s="127"/>
    </row>
    <row r="1842" spans="1:16" ht="20.25" customHeight="1" x14ac:dyDescent="0.3">
      <c r="A1842" s="137"/>
      <c r="B1842" s="137"/>
      <c r="C1842" s="137"/>
      <c r="D1842" s="194"/>
      <c r="E1842" s="194"/>
      <c r="F1842" s="137"/>
      <c r="G1842" s="137"/>
      <c r="H1842" s="137"/>
      <c r="I1842" s="137"/>
      <c r="J1842" s="197"/>
      <c r="K1842" s="198"/>
      <c r="L1842" s="196"/>
      <c r="M1842" s="196"/>
      <c r="N1842" s="196"/>
      <c r="O1842" s="196"/>
      <c r="P1842" s="127"/>
    </row>
    <row r="1843" spans="1:16" ht="20.25" customHeight="1" x14ac:dyDescent="0.3">
      <c r="A1843" s="137"/>
      <c r="B1843" s="137"/>
      <c r="C1843" s="137"/>
      <c r="D1843" s="194"/>
      <c r="E1843" s="194"/>
      <c r="F1843" s="137"/>
      <c r="G1843" s="137"/>
      <c r="H1843" s="137"/>
      <c r="I1843" s="137"/>
      <c r="J1843" s="197"/>
      <c r="K1843" s="198"/>
      <c r="L1843" s="196"/>
      <c r="M1843" s="196"/>
      <c r="N1843" s="196"/>
      <c r="O1843" s="196"/>
      <c r="P1843" s="127"/>
    </row>
    <row r="1844" spans="1:16" ht="20.25" customHeight="1" x14ac:dyDescent="0.3">
      <c r="A1844" s="137"/>
      <c r="B1844" s="137"/>
      <c r="C1844" s="137"/>
      <c r="D1844" s="194"/>
      <c r="E1844" s="194"/>
      <c r="F1844" s="137"/>
      <c r="G1844" s="137"/>
      <c r="H1844" s="137"/>
      <c r="I1844" s="137"/>
      <c r="J1844" s="197"/>
      <c r="K1844" s="198"/>
      <c r="L1844" s="196"/>
      <c r="M1844" s="196"/>
      <c r="N1844" s="196"/>
      <c r="O1844" s="196"/>
      <c r="P1844" s="127"/>
    </row>
    <row r="1845" spans="1:16" ht="20.25" customHeight="1" x14ac:dyDescent="0.3">
      <c r="A1845" s="137"/>
      <c r="B1845" s="137"/>
      <c r="C1845" s="137"/>
      <c r="D1845" s="194"/>
      <c r="E1845" s="194"/>
      <c r="F1845" s="137"/>
      <c r="G1845" s="137"/>
      <c r="H1845" s="137"/>
      <c r="I1845" s="137"/>
      <c r="J1845" s="197"/>
      <c r="K1845" s="198"/>
      <c r="L1845" s="196"/>
      <c r="M1845" s="196"/>
      <c r="N1845" s="196"/>
      <c r="O1845" s="196"/>
      <c r="P1845" s="127"/>
    </row>
    <row r="1846" spans="1:16" ht="20.25" customHeight="1" x14ac:dyDescent="0.3">
      <c r="A1846" s="137"/>
      <c r="B1846" s="137"/>
      <c r="C1846" s="137"/>
      <c r="D1846" s="194"/>
      <c r="E1846" s="194"/>
      <c r="F1846" s="137"/>
      <c r="G1846" s="137"/>
      <c r="H1846" s="137"/>
      <c r="I1846" s="137"/>
      <c r="J1846" s="197"/>
      <c r="K1846" s="198"/>
      <c r="L1846" s="196"/>
      <c r="M1846" s="196"/>
      <c r="N1846" s="196"/>
      <c r="O1846" s="196"/>
      <c r="P1846" s="127"/>
    </row>
    <row r="1847" spans="1:16" ht="20.25" customHeight="1" x14ac:dyDescent="0.3">
      <c r="A1847" s="137"/>
      <c r="B1847" s="137"/>
      <c r="C1847" s="137"/>
      <c r="D1847" s="194"/>
      <c r="E1847" s="194"/>
      <c r="F1847" s="137"/>
      <c r="G1847" s="137"/>
      <c r="H1847" s="137"/>
      <c r="I1847" s="137"/>
      <c r="J1847" s="197"/>
      <c r="K1847" s="198"/>
      <c r="L1847" s="196"/>
      <c r="M1847" s="196"/>
      <c r="N1847" s="196"/>
      <c r="O1847" s="196"/>
      <c r="P1847" s="127"/>
    </row>
    <row r="1848" spans="1:16" ht="20.25" customHeight="1" x14ac:dyDescent="0.3">
      <c r="A1848" s="137"/>
      <c r="B1848" s="137"/>
      <c r="C1848" s="137"/>
      <c r="D1848" s="194"/>
      <c r="E1848" s="194"/>
      <c r="F1848" s="137"/>
      <c r="G1848" s="137"/>
      <c r="H1848" s="137"/>
      <c r="I1848" s="137"/>
      <c r="J1848" s="197"/>
      <c r="K1848" s="198"/>
      <c r="L1848" s="196"/>
      <c r="M1848" s="196"/>
      <c r="N1848" s="196"/>
      <c r="O1848" s="196"/>
      <c r="P1848" s="127"/>
    </row>
    <row r="1849" spans="1:16" ht="20.25" customHeight="1" x14ac:dyDescent="0.3">
      <c r="A1849" s="137"/>
      <c r="B1849" s="137"/>
      <c r="C1849" s="137"/>
      <c r="D1849" s="194"/>
      <c r="E1849" s="194"/>
      <c r="F1849" s="137"/>
      <c r="G1849" s="137"/>
      <c r="H1849" s="137"/>
      <c r="I1849" s="137"/>
      <c r="J1849" s="197"/>
      <c r="K1849" s="198"/>
      <c r="L1849" s="196"/>
      <c r="M1849" s="196"/>
      <c r="N1849" s="196"/>
      <c r="O1849" s="196"/>
      <c r="P1849" s="127"/>
    </row>
    <row r="1850" spans="1:16" ht="20.25" customHeight="1" x14ac:dyDescent="0.3">
      <c r="A1850" s="137"/>
      <c r="B1850" s="137"/>
      <c r="C1850" s="137"/>
      <c r="D1850" s="194"/>
      <c r="E1850" s="194"/>
      <c r="F1850" s="137"/>
      <c r="G1850" s="137"/>
      <c r="H1850" s="137"/>
      <c r="I1850" s="137"/>
      <c r="J1850" s="197"/>
      <c r="K1850" s="198"/>
      <c r="L1850" s="196"/>
      <c r="M1850" s="196"/>
      <c r="N1850" s="196"/>
      <c r="O1850" s="196"/>
      <c r="P1850" s="127"/>
    </row>
    <row r="1851" spans="1:16" ht="20.25" customHeight="1" x14ac:dyDescent="0.3">
      <c r="A1851" s="137"/>
      <c r="B1851" s="137"/>
      <c r="C1851" s="137"/>
      <c r="D1851" s="194"/>
      <c r="E1851" s="194"/>
      <c r="F1851" s="137"/>
      <c r="G1851" s="137"/>
      <c r="H1851" s="137"/>
      <c r="I1851" s="137"/>
      <c r="J1851" s="197"/>
      <c r="K1851" s="198"/>
      <c r="L1851" s="196"/>
      <c r="M1851" s="196"/>
      <c r="N1851" s="196"/>
      <c r="O1851" s="196"/>
      <c r="P1851" s="127"/>
    </row>
    <row r="1852" spans="1:16" ht="20.25" customHeight="1" x14ac:dyDescent="0.3">
      <c r="A1852" s="137"/>
      <c r="B1852" s="137"/>
      <c r="C1852" s="137"/>
      <c r="D1852" s="194"/>
      <c r="E1852" s="194"/>
      <c r="F1852" s="137"/>
      <c r="G1852" s="137"/>
      <c r="H1852" s="137"/>
      <c r="I1852" s="137"/>
      <c r="J1852" s="197"/>
      <c r="K1852" s="198"/>
      <c r="L1852" s="196"/>
      <c r="M1852" s="196"/>
      <c r="N1852" s="196"/>
      <c r="O1852" s="196"/>
      <c r="P1852" s="127"/>
    </row>
    <row r="1853" spans="1:16" ht="20.25" customHeight="1" x14ac:dyDescent="0.3">
      <c r="A1853" s="137"/>
      <c r="B1853" s="137"/>
      <c r="C1853" s="137"/>
      <c r="D1853" s="194"/>
      <c r="E1853" s="194"/>
      <c r="F1853" s="137"/>
      <c r="G1853" s="137"/>
      <c r="H1853" s="137"/>
      <c r="I1853" s="137"/>
      <c r="J1853" s="197"/>
      <c r="K1853" s="198"/>
      <c r="L1853" s="196"/>
      <c r="M1853" s="196"/>
      <c r="N1853" s="196"/>
      <c r="O1853" s="196"/>
      <c r="P1853" s="127"/>
    </row>
    <row r="1854" spans="1:16" ht="20.25" customHeight="1" x14ac:dyDescent="0.3">
      <c r="A1854" s="137"/>
      <c r="B1854" s="137"/>
      <c r="C1854" s="137"/>
      <c r="D1854" s="194"/>
      <c r="E1854" s="194"/>
      <c r="F1854" s="137"/>
      <c r="G1854" s="137"/>
      <c r="H1854" s="137"/>
      <c r="I1854" s="137"/>
      <c r="J1854" s="197"/>
      <c r="K1854" s="198"/>
      <c r="L1854" s="196"/>
      <c r="M1854" s="196"/>
      <c r="N1854" s="196"/>
      <c r="O1854" s="196"/>
      <c r="P1854" s="127"/>
    </row>
    <row r="1855" spans="1:16" ht="20.25" customHeight="1" x14ac:dyDescent="0.3">
      <c r="A1855" s="137"/>
      <c r="B1855" s="137"/>
      <c r="C1855" s="137"/>
      <c r="D1855" s="194"/>
      <c r="E1855" s="194"/>
      <c r="F1855" s="137"/>
      <c r="G1855" s="137"/>
      <c r="H1855" s="137"/>
      <c r="I1855" s="137"/>
      <c r="J1855" s="197"/>
      <c r="K1855" s="198"/>
      <c r="L1855" s="196"/>
      <c r="M1855" s="196"/>
      <c r="N1855" s="196"/>
      <c r="O1855" s="196"/>
      <c r="P1855" s="127"/>
    </row>
    <row r="1856" spans="1:16" ht="20.25" customHeight="1" x14ac:dyDescent="0.3">
      <c r="A1856" s="137"/>
      <c r="B1856" s="137"/>
      <c r="C1856" s="137"/>
      <c r="D1856" s="194"/>
      <c r="E1856" s="194"/>
      <c r="F1856" s="137"/>
      <c r="G1856" s="137"/>
      <c r="H1856" s="137"/>
      <c r="I1856" s="137"/>
      <c r="J1856" s="197"/>
      <c r="K1856" s="198"/>
      <c r="L1856" s="196"/>
      <c r="M1856" s="196"/>
      <c r="N1856" s="196"/>
      <c r="O1856" s="196"/>
      <c r="P1856" s="127"/>
    </row>
    <row r="1857" spans="1:16" ht="20.25" customHeight="1" x14ac:dyDescent="0.3">
      <c r="A1857" s="137"/>
      <c r="B1857" s="137"/>
      <c r="C1857" s="137"/>
      <c r="D1857" s="194"/>
      <c r="E1857" s="194"/>
      <c r="F1857" s="137"/>
      <c r="G1857" s="137"/>
      <c r="H1857" s="137"/>
      <c r="I1857" s="137"/>
      <c r="J1857" s="197"/>
      <c r="K1857" s="198"/>
      <c r="L1857" s="196"/>
      <c r="M1857" s="196"/>
      <c r="N1857" s="196"/>
      <c r="O1857" s="196"/>
      <c r="P1857" s="127"/>
    </row>
    <row r="1858" spans="1:16" ht="20.25" customHeight="1" x14ac:dyDescent="0.3">
      <c r="A1858" s="137"/>
      <c r="B1858" s="137"/>
      <c r="C1858" s="137"/>
      <c r="D1858" s="194"/>
      <c r="E1858" s="194"/>
      <c r="F1858" s="137"/>
      <c r="G1858" s="137"/>
      <c r="H1858" s="137"/>
      <c r="I1858" s="137"/>
      <c r="J1858" s="197"/>
      <c r="K1858" s="198"/>
      <c r="L1858" s="196"/>
      <c r="M1858" s="196"/>
      <c r="N1858" s="196"/>
      <c r="O1858" s="196"/>
      <c r="P1858" s="127"/>
    </row>
    <row r="1859" spans="1:16" ht="20.25" customHeight="1" x14ac:dyDescent="0.3">
      <c r="A1859" s="137"/>
      <c r="B1859" s="137"/>
      <c r="C1859" s="137"/>
      <c r="D1859" s="194"/>
      <c r="E1859" s="194"/>
      <c r="F1859" s="137"/>
      <c r="G1859" s="137"/>
      <c r="H1859" s="137"/>
      <c r="I1859" s="137"/>
      <c r="J1859" s="197"/>
      <c r="K1859" s="198"/>
      <c r="L1859" s="196"/>
      <c r="M1859" s="196"/>
      <c r="N1859" s="196"/>
      <c r="O1859" s="196"/>
      <c r="P1859" s="127"/>
    </row>
    <row r="1860" spans="1:16" ht="20.25" customHeight="1" x14ac:dyDescent="0.3">
      <c r="A1860" s="137"/>
      <c r="B1860" s="137"/>
      <c r="C1860" s="137"/>
      <c r="D1860" s="194"/>
      <c r="E1860" s="194"/>
      <c r="F1860" s="137"/>
      <c r="G1860" s="137"/>
      <c r="H1860" s="137"/>
      <c r="I1860" s="137"/>
      <c r="J1860" s="197"/>
      <c r="K1860" s="198"/>
      <c r="L1860" s="196"/>
      <c r="M1860" s="196"/>
      <c r="N1860" s="196"/>
      <c r="O1860" s="196"/>
      <c r="P1860" s="127"/>
    </row>
    <row r="1861" spans="1:16" ht="20.25" customHeight="1" x14ac:dyDescent="0.3">
      <c r="A1861" s="137"/>
      <c r="B1861" s="137"/>
      <c r="C1861" s="137"/>
      <c r="D1861" s="194"/>
      <c r="E1861" s="194"/>
      <c r="F1861" s="137"/>
      <c r="G1861" s="137"/>
      <c r="H1861" s="137"/>
      <c r="I1861" s="137"/>
      <c r="J1861" s="197"/>
      <c r="K1861" s="198"/>
      <c r="L1861" s="196"/>
      <c r="M1861" s="196"/>
      <c r="N1861" s="196"/>
      <c r="O1861" s="196"/>
      <c r="P1861" s="127"/>
    </row>
    <row r="1862" spans="1:16" ht="20.25" customHeight="1" x14ac:dyDescent="0.3">
      <c r="A1862" s="137"/>
      <c r="B1862" s="137"/>
      <c r="C1862" s="137"/>
      <c r="D1862" s="194"/>
      <c r="E1862" s="194"/>
      <c r="F1862" s="137"/>
      <c r="G1862" s="137"/>
      <c r="H1862" s="137"/>
      <c r="I1862" s="137"/>
      <c r="J1862" s="197"/>
      <c r="K1862" s="198"/>
      <c r="L1862" s="196"/>
      <c r="M1862" s="196"/>
      <c r="N1862" s="196"/>
      <c r="O1862" s="196"/>
      <c r="P1862" s="127"/>
    </row>
    <row r="1863" spans="1:16" ht="20.25" customHeight="1" x14ac:dyDescent="0.3">
      <c r="A1863" s="137"/>
      <c r="B1863" s="137"/>
      <c r="C1863" s="137"/>
      <c r="D1863" s="194"/>
      <c r="E1863" s="194"/>
      <c r="F1863" s="137"/>
      <c r="G1863" s="137"/>
      <c r="H1863" s="137"/>
      <c r="I1863" s="137"/>
      <c r="J1863" s="197"/>
      <c r="K1863" s="198"/>
      <c r="L1863" s="196"/>
      <c r="M1863" s="196"/>
      <c r="N1863" s="196"/>
      <c r="O1863" s="196"/>
      <c r="P1863" s="127"/>
    </row>
    <row r="1864" spans="1:16" ht="20.25" customHeight="1" x14ac:dyDescent="0.3">
      <c r="A1864" s="137"/>
      <c r="B1864" s="137"/>
      <c r="C1864" s="137"/>
      <c r="D1864" s="194"/>
      <c r="E1864" s="194"/>
      <c r="F1864" s="137"/>
      <c r="G1864" s="137"/>
      <c r="H1864" s="137"/>
      <c r="I1864" s="137"/>
      <c r="J1864" s="197"/>
      <c r="K1864" s="198"/>
      <c r="L1864" s="196"/>
      <c r="M1864" s="196"/>
      <c r="N1864" s="196"/>
      <c r="O1864" s="196"/>
      <c r="P1864" s="127"/>
    </row>
    <row r="1865" spans="1:16" ht="20.25" customHeight="1" x14ac:dyDescent="0.3">
      <c r="A1865" s="137"/>
      <c r="B1865" s="137"/>
      <c r="C1865" s="137"/>
      <c r="D1865" s="194"/>
      <c r="E1865" s="194"/>
      <c r="F1865" s="137"/>
      <c r="G1865" s="137"/>
      <c r="H1865" s="137"/>
      <c r="I1865" s="137"/>
      <c r="J1865" s="197"/>
      <c r="K1865" s="198"/>
      <c r="L1865" s="196"/>
      <c r="M1865" s="196"/>
      <c r="N1865" s="196"/>
      <c r="O1865" s="196"/>
      <c r="P1865" s="127"/>
    </row>
    <row r="1866" spans="1:16" ht="20.25" customHeight="1" x14ac:dyDescent="0.3">
      <c r="A1866" s="137"/>
      <c r="B1866" s="137"/>
      <c r="C1866" s="137"/>
      <c r="D1866" s="194"/>
      <c r="E1866" s="194"/>
      <c r="F1866" s="137"/>
      <c r="G1866" s="137"/>
      <c r="H1866" s="137"/>
      <c r="I1866" s="137"/>
      <c r="J1866" s="197"/>
      <c r="K1866" s="198"/>
      <c r="L1866" s="196"/>
      <c r="M1866" s="196"/>
      <c r="N1866" s="196"/>
      <c r="O1866" s="196"/>
      <c r="P1866" s="127"/>
    </row>
    <row r="1867" spans="1:16" ht="20.25" customHeight="1" x14ac:dyDescent="0.3">
      <c r="A1867" s="137"/>
      <c r="B1867" s="137"/>
      <c r="C1867" s="137"/>
      <c r="D1867" s="194"/>
      <c r="E1867" s="194"/>
      <c r="F1867" s="137"/>
      <c r="G1867" s="137"/>
      <c r="H1867" s="137"/>
      <c r="I1867" s="137"/>
      <c r="J1867" s="197"/>
      <c r="K1867" s="198"/>
      <c r="L1867" s="196"/>
      <c r="M1867" s="196"/>
      <c r="N1867" s="196"/>
      <c r="O1867" s="196"/>
      <c r="P1867" s="127"/>
    </row>
    <row r="1868" spans="1:16" ht="20.25" customHeight="1" x14ac:dyDescent="0.3">
      <c r="A1868" s="137"/>
      <c r="B1868" s="137"/>
      <c r="C1868" s="137"/>
      <c r="D1868" s="194"/>
      <c r="E1868" s="194"/>
      <c r="F1868" s="137"/>
      <c r="G1868" s="137"/>
      <c r="H1868" s="137"/>
      <c r="I1868" s="137"/>
      <c r="J1868" s="197"/>
      <c r="K1868" s="198"/>
      <c r="L1868" s="196"/>
      <c r="M1868" s="196"/>
      <c r="N1868" s="196"/>
      <c r="O1868" s="196"/>
      <c r="P1868" s="127"/>
    </row>
    <row r="1869" spans="1:16" ht="20.25" customHeight="1" x14ac:dyDescent="0.3">
      <c r="A1869" s="137"/>
      <c r="B1869" s="137"/>
      <c r="C1869" s="137"/>
      <c r="D1869" s="194"/>
      <c r="E1869" s="194"/>
      <c r="F1869" s="137"/>
      <c r="G1869" s="137"/>
      <c r="H1869" s="137"/>
      <c r="I1869" s="137"/>
      <c r="J1869" s="197"/>
      <c r="K1869" s="198"/>
      <c r="L1869" s="196"/>
      <c r="M1869" s="196"/>
      <c r="N1869" s="196"/>
      <c r="O1869" s="196"/>
      <c r="P1869" s="127"/>
    </row>
    <row r="1870" spans="1:16" ht="20.25" customHeight="1" x14ac:dyDescent="0.3">
      <c r="A1870" s="137"/>
      <c r="B1870" s="137"/>
      <c r="C1870" s="137"/>
      <c r="D1870" s="194"/>
      <c r="E1870" s="194"/>
      <c r="F1870" s="137"/>
      <c r="G1870" s="137"/>
      <c r="H1870" s="137"/>
      <c r="I1870" s="137"/>
      <c r="J1870" s="197"/>
      <c r="K1870" s="198"/>
      <c r="L1870" s="196"/>
      <c r="M1870" s="196"/>
      <c r="N1870" s="196"/>
      <c r="O1870" s="196"/>
      <c r="P1870" s="127"/>
    </row>
    <row r="1871" spans="1:16" ht="20.25" customHeight="1" x14ac:dyDescent="0.3">
      <c r="A1871" s="137"/>
      <c r="B1871" s="137"/>
      <c r="C1871" s="137"/>
      <c r="D1871" s="194"/>
      <c r="E1871" s="194"/>
      <c r="F1871" s="137"/>
      <c r="G1871" s="137"/>
      <c r="H1871" s="137"/>
      <c r="I1871" s="137"/>
      <c r="J1871" s="197"/>
      <c r="K1871" s="198"/>
      <c r="L1871" s="196"/>
      <c r="M1871" s="196"/>
      <c r="N1871" s="196"/>
      <c r="O1871" s="196"/>
      <c r="P1871" s="127"/>
    </row>
    <row r="1872" spans="1:16" ht="20.25" customHeight="1" x14ac:dyDescent="0.3">
      <c r="A1872" s="137"/>
      <c r="B1872" s="137"/>
      <c r="C1872" s="137"/>
      <c r="D1872" s="194"/>
      <c r="E1872" s="194"/>
      <c r="F1872" s="137"/>
      <c r="G1872" s="137"/>
      <c r="H1872" s="137"/>
      <c r="I1872" s="137"/>
      <c r="J1872" s="197"/>
      <c r="K1872" s="198"/>
      <c r="L1872" s="196"/>
      <c r="M1872" s="196"/>
      <c r="N1872" s="196"/>
      <c r="O1872" s="196"/>
      <c r="P1872" s="127"/>
    </row>
    <row r="1873" spans="1:16" ht="20.25" customHeight="1" x14ac:dyDescent="0.3">
      <c r="A1873" s="137"/>
      <c r="B1873" s="137"/>
      <c r="C1873" s="137"/>
      <c r="D1873" s="194"/>
      <c r="E1873" s="194"/>
      <c r="F1873" s="137"/>
      <c r="G1873" s="137"/>
      <c r="H1873" s="137"/>
      <c r="I1873" s="137"/>
      <c r="J1873" s="197"/>
      <c r="K1873" s="198"/>
      <c r="L1873" s="196"/>
      <c r="M1873" s="196"/>
      <c r="N1873" s="196"/>
      <c r="O1873" s="196"/>
      <c r="P1873" s="127"/>
    </row>
    <row r="1874" spans="1:16" ht="20.25" customHeight="1" x14ac:dyDescent="0.3">
      <c r="A1874" s="137"/>
      <c r="B1874" s="137"/>
      <c r="C1874" s="137"/>
      <c r="D1874" s="194"/>
      <c r="E1874" s="194"/>
      <c r="F1874" s="137"/>
      <c r="G1874" s="137"/>
      <c r="H1874" s="137"/>
      <c r="I1874" s="137"/>
      <c r="J1874" s="197"/>
      <c r="K1874" s="198"/>
      <c r="L1874" s="196"/>
      <c r="M1874" s="196"/>
      <c r="N1874" s="196"/>
      <c r="O1874" s="196"/>
      <c r="P1874" s="127"/>
    </row>
    <row r="1875" spans="1:16" ht="20.25" customHeight="1" x14ac:dyDescent="0.3">
      <c r="A1875" s="137"/>
      <c r="B1875" s="137"/>
      <c r="C1875" s="137"/>
      <c r="D1875" s="194"/>
      <c r="E1875" s="194"/>
      <c r="F1875" s="137"/>
      <c r="G1875" s="137"/>
      <c r="H1875" s="137"/>
      <c r="I1875" s="137"/>
      <c r="J1875" s="197"/>
      <c r="K1875" s="198"/>
      <c r="L1875" s="196"/>
      <c r="M1875" s="196"/>
      <c r="N1875" s="196"/>
      <c r="O1875" s="196"/>
      <c r="P1875" s="127"/>
    </row>
    <row r="1876" spans="1:16" ht="20.25" customHeight="1" x14ac:dyDescent="0.3">
      <c r="A1876" s="137"/>
      <c r="B1876" s="137"/>
      <c r="C1876" s="137"/>
      <c r="D1876" s="194"/>
      <c r="E1876" s="194"/>
      <c r="F1876" s="137"/>
      <c r="G1876" s="137"/>
      <c r="H1876" s="137"/>
      <c r="I1876" s="137"/>
      <c r="J1876" s="197"/>
      <c r="K1876" s="198"/>
      <c r="L1876" s="196"/>
      <c r="M1876" s="196"/>
      <c r="N1876" s="196"/>
      <c r="O1876" s="196"/>
      <c r="P1876" s="127"/>
    </row>
    <row r="1877" spans="1:16" ht="20.25" customHeight="1" x14ac:dyDescent="0.3">
      <c r="A1877" s="137"/>
      <c r="B1877" s="137"/>
      <c r="C1877" s="137"/>
      <c r="D1877" s="194"/>
      <c r="E1877" s="194"/>
      <c r="F1877" s="137"/>
      <c r="G1877" s="137"/>
      <c r="H1877" s="137"/>
      <c r="I1877" s="137"/>
      <c r="J1877" s="197"/>
      <c r="K1877" s="198"/>
      <c r="L1877" s="196"/>
      <c r="M1877" s="196"/>
      <c r="N1877" s="196"/>
      <c r="O1877" s="196"/>
      <c r="P1877" s="127"/>
    </row>
    <row r="1878" spans="1:16" ht="20.25" customHeight="1" x14ac:dyDescent="0.3">
      <c r="A1878" s="137"/>
      <c r="B1878" s="137"/>
      <c r="C1878" s="137"/>
      <c r="D1878" s="194"/>
      <c r="E1878" s="194"/>
      <c r="F1878" s="137"/>
      <c r="G1878" s="137"/>
      <c r="H1878" s="137"/>
      <c r="I1878" s="137"/>
      <c r="J1878" s="197"/>
      <c r="K1878" s="198"/>
      <c r="L1878" s="196"/>
      <c r="M1878" s="196"/>
      <c r="N1878" s="196"/>
      <c r="O1878" s="196"/>
      <c r="P1878" s="127"/>
    </row>
    <row r="1879" spans="1:16" ht="20.25" customHeight="1" x14ac:dyDescent="0.3">
      <c r="A1879" s="137"/>
      <c r="B1879" s="137"/>
      <c r="C1879" s="137"/>
      <c r="D1879" s="194"/>
      <c r="E1879" s="194"/>
      <c r="F1879" s="137"/>
      <c r="G1879" s="137"/>
      <c r="H1879" s="137"/>
      <c r="I1879" s="137"/>
      <c r="J1879" s="197"/>
      <c r="K1879" s="198"/>
      <c r="L1879" s="196"/>
      <c r="M1879" s="196"/>
      <c r="N1879" s="196"/>
      <c r="O1879" s="196"/>
      <c r="P1879" s="127"/>
    </row>
    <row r="1880" spans="1:16" ht="20.25" customHeight="1" x14ac:dyDescent="0.3">
      <c r="A1880" s="137"/>
      <c r="B1880" s="137"/>
      <c r="C1880" s="137"/>
      <c r="D1880" s="194"/>
      <c r="E1880" s="194"/>
      <c r="F1880" s="137"/>
      <c r="G1880" s="137"/>
      <c r="H1880" s="137"/>
      <c r="I1880" s="137"/>
      <c r="J1880" s="197"/>
      <c r="K1880" s="198"/>
      <c r="L1880" s="196"/>
      <c r="M1880" s="196"/>
      <c r="N1880" s="196"/>
      <c r="O1880" s="196"/>
      <c r="P1880" s="127"/>
    </row>
    <row r="1881" spans="1:16" ht="20.25" customHeight="1" x14ac:dyDescent="0.3">
      <c r="A1881" s="137"/>
      <c r="B1881" s="137"/>
      <c r="C1881" s="137"/>
      <c r="D1881" s="194"/>
      <c r="E1881" s="194"/>
      <c r="F1881" s="137"/>
      <c r="G1881" s="137"/>
      <c r="H1881" s="137"/>
      <c r="I1881" s="137"/>
      <c r="J1881" s="197"/>
      <c r="K1881" s="198"/>
      <c r="L1881" s="196"/>
      <c r="M1881" s="196"/>
      <c r="N1881" s="196"/>
      <c r="O1881" s="196"/>
      <c r="P1881" s="127"/>
    </row>
    <row r="1882" spans="1:16" ht="20.25" customHeight="1" x14ac:dyDescent="0.3">
      <c r="A1882" s="137"/>
      <c r="B1882" s="137"/>
      <c r="C1882" s="137"/>
      <c r="D1882" s="194"/>
      <c r="E1882" s="194"/>
      <c r="F1882" s="137"/>
      <c r="G1882" s="137"/>
      <c r="H1882" s="137"/>
      <c r="I1882" s="137"/>
      <c r="J1882" s="197"/>
      <c r="K1882" s="198"/>
      <c r="L1882" s="196"/>
      <c r="M1882" s="196"/>
      <c r="N1882" s="196"/>
      <c r="O1882" s="196"/>
      <c r="P1882" s="127"/>
    </row>
    <row r="1883" spans="1:16" ht="20.25" customHeight="1" x14ac:dyDescent="0.3">
      <c r="A1883" s="137"/>
      <c r="B1883" s="137"/>
      <c r="C1883" s="137"/>
      <c r="D1883" s="194"/>
      <c r="E1883" s="194"/>
      <c r="F1883" s="137"/>
      <c r="G1883" s="137"/>
      <c r="H1883" s="137"/>
      <c r="I1883" s="137"/>
      <c r="J1883" s="197"/>
      <c r="K1883" s="198"/>
      <c r="L1883" s="196"/>
      <c r="M1883" s="196"/>
      <c r="N1883" s="196"/>
      <c r="O1883" s="196"/>
      <c r="P1883" s="127"/>
    </row>
    <row r="1884" spans="1:16" ht="20.25" customHeight="1" x14ac:dyDescent="0.3">
      <c r="A1884" s="137"/>
      <c r="B1884" s="137"/>
      <c r="C1884" s="137"/>
      <c r="D1884" s="194"/>
      <c r="E1884" s="194"/>
      <c r="F1884" s="137"/>
      <c r="G1884" s="137"/>
      <c r="H1884" s="137"/>
      <c r="I1884" s="137"/>
      <c r="J1884" s="197"/>
      <c r="K1884" s="198"/>
      <c r="L1884" s="196"/>
      <c r="M1884" s="196"/>
      <c r="N1884" s="196"/>
      <c r="O1884" s="196"/>
      <c r="P1884" s="127"/>
    </row>
    <row r="1885" spans="1:16" ht="20.25" customHeight="1" x14ac:dyDescent="0.3">
      <c r="A1885" s="137"/>
      <c r="B1885" s="137"/>
      <c r="C1885" s="137"/>
      <c r="D1885" s="194"/>
      <c r="E1885" s="194"/>
      <c r="F1885" s="137"/>
      <c r="G1885" s="137"/>
      <c r="H1885" s="137"/>
      <c r="I1885" s="137"/>
      <c r="J1885" s="197"/>
      <c r="K1885" s="198"/>
      <c r="L1885" s="196"/>
      <c r="M1885" s="196"/>
      <c r="N1885" s="196"/>
      <c r="O1885" s="196"/>
      <c r="P1885" s="127"/>
    </row>
    <row r="1886" spans="1:16" ht="20.25" customHeight="1" x14ac:dyDescent="0.3">
      <c r="A1886" s="137"/>
      <c r="B1886" s="137"/>
      <c r="C1886" s="137"/>
      <c r="D1886" s="194"/>
      <c r="E1886" s="194"/>
      <c r="F1886" s="137"/>
      <c r="G1886" s="137"/>
      <c r="H1886" s="137"/>
      <c r="I1886" s="137"/>
      <c r="J1886" s="197"/>
      <c r="K1886" s="198"/>
      <c r="L1886" s="196"/>
      <c r="M1886" s="196"/>
      <c r="N1886" s="196"/>
      <c r="O1886" s="196"/>
      <c r="P1886" s="127"/>
    </row>
    <row r="1887" spans="1:16" ht="20.25" customHeight="1" x14ac:dyDescent="0.3">
      <c r="A1887" s="137"/>
      <c r="B1887" s="137"/>
      <c r="C1887" s="137"/>
      <c r="D1887" s="194"/>
      <c r="E1887" s="194"/>
      <c r="F1887" s="137"/>
      <c r="G1887" s="137"/>
      <c r="H1887" s="137"/>
      <c r="I1887" s="137"/>
      <c r="J1887" s="197"/>
      <c r="K1887" s="198"/>
      <c r="L1887" s="196"/>
      <c r="M1887" s="196"/>
      <c r="N1887" s="196"/>
      <c r="O1887" s="196"/>
      <c r="P1887" s="127"/>
    </row>
    <row r="1888" spans="1:16" ht="20.25" customHeight="1" x14ac:dyDescent="0.3">
      <c r="A1888" s="137"/>
      <c r="B1888" s="137"/>
      <c r="C1888" s="137"/>
      <c r="D1888" s="194"/>
      <c r="E1888" s="194"/>
      <c r="F1888" s="137"/>
      <c r="G1888" s="137"/>
      <c r="H1888" s="137"/>
      <c r="I1888" s="137"/>
      <c r="J1888" s="197"/>
      <c r="K1888" s="198"/>
      <c r="L1888" s="196"/>
      <c r="M1888" s="196"/>
      <c r="N1888" s="196"/>
      <c r="O1888" s="196"/>
      <c r="P1888" s="127"/>
    </row>
    <row r="1889" spans="1:16" ht="20.25" customHeight="1" x14ac:dyDescent="0.3">
      <c r="A1889" s="137"/>
      <c r="B1889" s="137"/>
      <c r="C1889" s="137"/>
      <c r="D1889" s="194"/>
      <c r="E1889" s="194"/>
      <c r="F1889" s="137"/>
      <c r="G1889" s="137"/>
      <c r="H1889" s="137"/>
      <c r="I1889" s="137"/>
      <c r="J1889" s="197"/>
      <c r="K1889" s="198"/>
      <c r="L1889" s="196"/>
      <c r="M1889" s="196"/>
      <c r="N1889" s="196"/>
      <c r="O1889" s="196"/>
      <c r="P1889" s="127"/>
    </row>
    <row r="1890" spans="1:16" ht="20.25" customHeight="1" x14ac:dyDescent="0.3">
      <c r="A1890" s="137"/>
      <c r="B1890" s="137"/>
      <c r="C1890" s="137"/>
      <c r="D1890" s="194"/>
      <c r="E1890" s="194"/>
      <c r="F1890" s="137"/>
      <c r="G1890" s="137"/>
      <c r="H1890" s="137"/>
      <c r="I1890" s="137"/>
      <c r="J1890" s="197"/>
      <c r="K1890" s="198"/>
      <c r="L1890" s="196"/>
      <c r="M1890" s="196"/>
      <c r="N1890" s="196"/>
      <c r="O1890" s="196"/>
      <c r="P1890" s="127"/>
    </row>
    <row r="1891" spans="1:16" ht="20.25" customHeight="1" x14ac:dyDescent="0.3">
      <c r="A1891" s="137"/>
      <c r="B1891" s="137"/>
      <c r="C1891" s="137"/>
      <c r="D1891" s="194"/>
      <c r="E1891" s="194"/>
      <c r="F1891" s="137"/>
      <c r="G1891" s="137"/>
      <c r="H1891" s="137"/>
      <c r="I1891" s="137"/>
      <c r="J1891" s="197"/>
      <c r="K1891" s="198"/>
      <c r="L1891" s="196"/>
      <c r="M1891" s="196"/>
      <c r="N1891" s="196"/>
      <c r="O1891" s="196"/>
      <c r="P1891" s="127"/>
    </row>
    <row r="1892" spans="1:16" ht="20.25" customHeight="1" x14ac:dyDescent="0.3">
      <c r="A1892" s="137"/>
      <c r="B1892" s="137"/>
      <c r="C1892" s="137"/>
      <c r="D1892" s="194"/>
      <c r="E1892" s="194"/>
      <c r="F1892" s="137"/>
      <c r="G1892" s="137"/>
      <c r="H1892" s="137"/>
      <c r="I1892" s="137"/>
      <c r="J1892" s="197"/>
      <c r="K1892" s="198"/>
      <c r="L1892" s="196"/>
      <c r="M1892" s="196"/>
      <c r="N1892" s="196"/>
      <c r="O1892" s="196"/>
      <c r="P1892" s="127"/>
    </row>
    <row r="1893" spans="1:16" ht="20.25" customHeight="1" x14ac:dyDescent="0.3">
      <c r="A1893" s="137"/>
      <c r="B1893" s="137"/>
      <c r="C1893" s="137"/>
      <c r="D1893" s="194"/>
      <c r="E1893" s="194"/>
      <c r="F1893" s="137"/>
      <c r="G1893" s="137"/>
      <c r="H1893" s="137"/>
      <c r="I1893" s="137"/>
      <c r="J1893" s="197"/>
      <c r="K1893" s="198"/>
      <c r="L1893" s="196"/>
      <c r="M1893" s="196"/>
      <c r="N1893" s="196"/>
      <c r="O1893" s="196"/>
      <c r="P1893" s="127"/>
    </row>
    <row r="1894" spans="1:16" ht="20.25" customHeight="1" x14ac:dyDescent="0.3">
      <c r="A1894" s="137"/>
      <c r="B1894" s="137"/>
      <c r="C1894" s="137"/>
      <c r="D1894" s="194"/>
      <c r="E1894" s="194"/>
      <c r="F1894" s="137"/>
      <c r="G1894" s="137"/>
      <c r="H1894" s="137"/>
      <c r="I1894" s="137"/>
      <c r="J1894" s="197"/>
      <c r="K1894" s="198"/>
      <c r="L1894" s="196"/>
      <c r="M1894" s="196"/>
      <c r="N1894" s="196"/>
      <c r="O1894" s="196"/>
      <c r="P1894" s="127"/>
    </row>
    <row r="1895" spans="1:16" ht="20.25" customHeight="1" x14ac:dyDescent="0.3">
      <c r="A1895" s="137"/>
      <c r="B1895" s="137"/>
      <c r="C1895" s="137"/>
      <c r="D1895" s="194"/>
      <c r="E1895" s="194"/>
      <c r="F1895" s="137"/>
      <c r="G1895" s="137"/>
      <c r="H1895" s="137"/>
      <c r="I1895" s="137"/>
      <c r="J1895" s="197"/>
      <c r="K1895" s="198"/>
      <c r="L1895" s="196"/>
      <c r="M1895" s="196"/>
      <c r="N1895" s="196"/>
      <c r="O1895" s="196"/>
      <c r="P1895" s="127"/>
    </row>
    <row r="1896" spans="1:16" ht="20.25" customHeight="1" x14ac:dyDescent="0.3">
      <c r="A1896" s="137"/>
      <c r="B1896" s="137"/>
      <c r="C1896" s="137"/>
      <c r="D1896" s="194"/>
      <c r="E1896" s="194"/>
      <c r="F1896" s="137"/>
      <c r="G1896" s="137"/>
      <c r="H1896" s="137"/>
      <c r="I1896" s="137"/>
      <c r="J1896" s="197"/>
      <c r="K1896" s="198"/>
      <c r="L1896" s="196"/>
      <c r="M1896" s="196"/>
      <c r="N1896" s="196"/>
      <c r="O1896" s="196"/>
      <c r="P1896" s="127"/>
    </row>
    <row r="1897" spans="1:16" ht="20.25" customHeight="1" x14ac:dyDescent="0.3">
      <c r="A1897" s="137"/>
      <c r="B1897" s="137"/>
      <c r="C1897" s="137"/>
      <c r="D1897" s="194"/>
      <c r="E1897" s="194"/>
      <c r="F1897" s="137"/>
      <c r="G1897" s="137"/>
      <c r="H1897" s="137"/>
      <c r="I1897" s="137"/>
      <c r="J1897" s="197"/>
      <c r="K1897" s="198"/>
      <c r="L1897" s="196"/>
      <c r="M1897" s="196"/>
      <c r="N1897" s="196"/>
      <c r="O1897" s="196"/>
      <c r="P1897" s="127"/>
    </row>
    <row r="1898" spans="1:16" ht="20.25" customHeight="1" x14ac:dyDescent="0.3">
      <c r="A1898" s="137"/>
      <c r="B1898" s="137"/>
      <c r="C1898" s="137"/>
      <c r="D1898" s="194"/>
      <c r="E1898" s="194"/>
      <c r="F1898" s="137"/>
      <c r="G1898" s="137"/>
      <c r="H1898" s="137"/>
      <c r="I1898" s="137"/>
      <c r="J1898" s="197"/>
      <c r="K1898" s="198"/>
      <c r="L1898" s="196"/>
      <c r="M1898" s="196"/>
      <c r="N1898" s="196"/>
      <c r="O1898" s="196"/>
      <c r="P1898" s="127"/>
    </row>
    <row r="1899" spans="1:16" ht="20.25" customHeight="1" x14ac:dyDescent="0.3">
      <c r="A1899" s="137"/>
      <c r="B1899" s="137"/>
      <c r="C1899" s="137"/>
      <c r="D1899" s="194"/>
      <c r="E1899" s="194"/>
      <c r="F1899" s="137"/>
      <c r="G1899" s="137"/>
      <c r="H1899" s="137"/>
      <c r="I1899" s="137"/>
      <c r="J1899" s="197"/>
      <c r="K1899" s="198"/>
      <c r="L1899" s="196"/>
      <c r="M1899" s="196"/>
      <c r="N1899" s="196"/>
      <c r="O1899" s="196"/>
      <c r="P1899" s="127"/>
    </row>
    <row r="1900" spans="1:16" ht="20.25" customHeight="1" x14ac:dyDescent="0.3">
      <c r="A1900" s="137"/>
      <c r="B1900" s="137"/>
      <c r="C1900" s="137"/>
      <c r="D1900" s="194"/>
      <c r="E1900" s="194"/>
      <c r="F1900" s="137"/>
      <c r="G1900" s="137"/>
      <c r="H1900" s="137"/>
      <c r="I1900" s="137"/>
      <c r="J1900" s="197"/>
      <c r="K1900" s="198"/>
      <c r="L1900" s="196"/>
      <c r="M1900" s="196"/>
      <c r="N1900" s="196"/>
      <c r="O1900" s="196"/>
      <c r="P1900" s="127"/>
    </row>
    <row r="1901" spans="1:16" ht="20.25" customHeight="1" x14ac:dyDescent="0.3">
      <c r="A1901" s="137"/>
      <c r="B1901" s="137"/>
      <c r="C1901" s="137"/>
      <c r="D1901" s="194"/>
      <c r="E1901" s="194"/>
      <c r="F1901" s="137"/>
      <c r="G1901" s="137"/>
      <c r="H1901" s="137"/>
      <c r="I1901" s="137"/>
      <c r="J1901" s="197"/>
      <c r="K1901" s="198"/>
      <c r="L1901" s="196"/>
      <c r="M1901" s="196"/>
      <c r="N1901" s="196"/>
      <c r="O1901" s="196"/>
      <c r="P1901" s="127"/>
    </row>
    <row r="1902" spans="1:16" ht="20.25" customHeight="1" x14ac:dyDescent="0.3">
      <c r="A1902" s="137"/>
      <c r="B1902" s="137"/>
      <c r="C1902" s="137"/>
      <c r="D1902" s="194"/>
      <c r="E1902" s="194"/>
      <c r="F1902" s="137"/>
      <c r="G1902" s="137"/>
      <c r="H1902" s="137"/>
      <c r="I1902" s="137"/>
      <c r="J1902" s="197"/>
      <c r="K1902" s="198"/>
      <c r="L1902" s="196"/>
      <c r="M1902" s="196"/>
      <c r="N1902" s="196"/>
      <c r="O1902" s="196"/>
      <c r="P1902" s="127"/>
    </row>
    <row r="1903" spans="1:16" ht="20.25" customHeight="1" x14ac:dyDescent="0.3">
      <c r="A1903" s="137"/>
      <c r="B1903" s="137"/>
      <c r="C1903" s="137"/>
      <c r="D1903" s="194"/>
      <c r="E1903" s="194"/>
      <c r="F1903" s="137"/>
      <c r="G1903" s="137"/>
      <c r="H1903" s="137"/>
      <c r="I1903" s="137"/>
      <c r="J1903" s="197"/>
      <c r="K1903" s="198"/>
      <c r="L1903" s="196"/>
      <c r="M1903" s="196"/>
      <c r="N1903" s="196"/>
      <c r="O1903" s="196"/>
      <c r="P1903" s="127"/>
    </row>
    <row r="1904" spans="1:16" ht="20.25" customHeight="1" x14ac:dyDescent="0.3">
      <c r="A1904" s="137"/>
      <c r="B1904" s="137"/>
      <c r="C1904" s="137"/>
      <c r="D1904" s="194"/>
      <c r="E1904" s="194"/>
      <c r="F1904" s="137"/>
      <c r="G1904" s="137"/>
      <c r="H1904" s="137"/>
      <c r="I1904" s="137"/>
      <c r="J1904" s="197"/>
      <c r="K1904" s="198"/>
      <c r="L1904" s="196"/>
      <c r="M1904" s="196"/>
      <c r="N1904" s="196"/>
      <c r="O1904" s="196"/>
      <c r="P1904" s="127"/>
    </row>
    <row r="1905" spans="1:16" ht="20.25" customHeight="1" x14ac:dyDescent="0.3">
      <c r="A1905" s="137"/>
      <c r="B1905" s="137"/>
      <c r="C1905" s="137"/>
      <c r="D1905" s="194"/>
      <c r="E1905" s="194"/>
      <c r="F1905" s="137"/>
      <c r="G1905" s="137"/>
      <c r="H1905" s="137"/>
      <c r="I1905" s="137"/>
      <c r="J1905" s="197"/>
      <c r="K1905" s="198"/>
      <c r="L1905" s="196"/>
      <c r="M1905" s="196"/>
      <c r="N1905" s="196"/>
      <c r="O1905" s="196"/>
      <c r="P1905" s="127"/>
    </row>
    <row r="1906" spans="1:16" ht="20.25" customHeight="1" x14ac:dyDescent="0.3">
      <c r="A1906" s="137"/>
      <c r="B1906" s="137"/>
      <c r="C1906" s="137"/>
      <c r="D1906" s="194"/>
      <c r="E1906" s="194"/>
      <c r="F1906" s="137"/>
      <c r="G1906" s="137"/>
      <c r="H1906" s="137"/>
      <c r="I1906" s="137"/>
      <c r="J1906" s="197"/>
      <c r="K1906" s="198"/>
      <c r="L1906" s="196"/>
      <c r="M1906" s="196"/>
      <c r="N1906" s="196"/>
      <c r="O1906" s="196"/>
      <c r="P1906" s="127"/>
    </row>
    <row r="1907" spans="1:16" ht="20.25" customHeight="1" x14ac:dyDescent="0.3">
      <c r="A1907" s="137"/>
      <c r="B1907" s="137"/>
      <c r="C1907" s="137"/>
      <c r="D1907" s="194"/>
      <c r="E1907" s="194"/>
      <c r="F1907" s="137"/>
      <c r="G1907" s="137"/>
      <c r="H1907" s="137"/>
      <c r="I1907" s="137"/>
      <c r="J1907" s="197"/>
      <c r="K1907" s="198"/>
      <c r="L1907" s="196"/>
      <c r="M1907" s="196"/>
      <c r="N1907" s="196"/>
      <c r="O1907" s="196"/>
      <c r="P1907" s="127"/>
    </row>
    <row r="1908" spans="1:16" ht="20.25" customHeight="1" x14ac:dyDescent="0.3">
      <c r="A1908" s="137"/>
      <c r="B1908" s="137"/>
      <c r="C1908" s="137"/>
      <c r="D1908" s="194"/>
      <c r="E1908" s="194"/>
      <c r="F1908" s="137"/>
      <c r="G1908" s="137"/>
      <c r="H1908" s="137"/>
      <c r="I1908" s="137"/>
      <c r="J1908" s="197"/>
      <c r="K1908" s="198"/>
      <c r="L1908" s="196"/>
      <c r="M1908" s="196"/>
      <c r="N1908" s="196"/>
      <c r="O1908" s="196"/>
      <c r="P1908" s="127"/>
    </row>
    <row r="1909" spans="1:16" ht="20.25" customHeight="1" x14ac:dyDescent="0.3">
      <c r="A1909" s="137"/>
      <c r="B1909" s="137"/>
      <c r="C1909" s="137"/>
      <c r="D1909" s="194"/>
      <c r="E1909" s="194"/>
      <c r="F1909" s="137"/>
      <c r="G1909" s="137"/>
      <c r="H1909" s="137"/>
      <c r="I1909" s="137"/>
      <c r="J1909" s="197"/>
      <c r="K1909" s="198"/>
      <c r="L1909" s="196"/>
      <c r="M1909" s="196"/>
      <c r="N1909" s="196"/>
      <c r="O1909" s="196"/>
      <c r="P1909" s="127"/>
    </row>
    <row r="1910" spans="1:16" ht="20.25" customHeight="1" x14ac:dyDescent="0.3">
      <c r="A1910" s="137"/>
      <c r="B1910" s="137"/>
      <c r="C1910" s="137"/>
      <c r="D1910" s="194"/>
      <c r="E1910" s="194"/>
      <c r="F1910" s="137"/>
      <c r="G1910" s="137"/>
      <c r="H1910" s="137"/>
      <c r="I1910" s="137"/>
      <c r="J1910" s="197"/>
      <c r="K1910" s="198"/>
      <c r="L1910" s="196"/>
      <c r="M1910" s="196"/>
      <c r="N1910" s="196"/>
      <c r="O1910" s="196"/>
      <c r="P1910" s="127"/>
    </row>
    <row r="1911" spans="1:16" ht="20.25" customHeight="1" x14ac:dyDescent="0.3">
      <c r="A1911" s="137"/>
      <c r="B1911" s="137"/>
      <c r="C1911" s="137"/>
      <c r="D1911" s="194"/>
      <c r="E1911" s="194"/>
      <c r="F1911" s="137"/>
      <c r="G1911" s="137"/>
      <c r="H1911" s="137"/>
      <c r="I1911" s="137"/>
      <c r="J1911" s="197"/>
      <c r="K1911" s="198"/>
      <c r="L1911" s="196"/>
      <c r="M1911" s="196"/>
      <c r="N1911" s="196"/>
      <c r="O1911" s="196"/>
      <c r="P1911" s="127"/>
    </row>
    <row r="1912" spans="1:16" ht="20.25" customHeight="1" x14ac:dyDescent="0.3">
      <c r="A1912" s="137"/>
      <c r="B1912" s="137"/>
      <c r="C1912" s="137"/>
      <c r="D1912" s="194"/>
      <c r="E1912" s="194"/>
      <c r="F1912" s="137"/>
      <c r="G1912" s="137"/>
      <c r="H1912" s="137"/>
      <c r="I1912" s="137"/>
      <c r="J1912" s="197"/>
      <c r="K1912" s="198"/>
      <c r="L1912" s="196"/>
      <c r="M1912" s="196"/>
      <c r="N1912" s="196"/>
      <c r="O1912" s="196"/>
      <c r="P1912" s="127"/>
    </row>
    <row r="1913" spans="1:16" ht="20.25" customHeight="1" x14ac:dyDescent="0.3">
      <c r="A1913" s="137"/>
      <c r="B1913" s="137"/>
      <c r="C1913" s="137"/>
      <c r="D1913" s="194"/>
      <c r="E1913" s="194"/>
      <c r="F1913" s="137"/>
      <c r="G1913" s="137"/>
      <c r="H1913" s="137"/>
      <c r="I1913" s="137"/>
      <c r="J1913" s="197"/>
      <c r="K1913" s="198"/>
      <c r="L1913" s="196"/>
      <c r="M1913" s="196"/>
      <c r="N1913" s="196"/>
      <c r="O1913" s="196"/>
      <c r="P1913" s="127"/>
    </row>
    <row r="1914" spans="1:16" ht="20.25" customHeight="1" x14ac:dyDescent="0.3">
      <c r="A1914" s="137"/>
      <c r="B1914" s="137"/>
      <c r="C1914" s="137"/>
      <c r="D1914" s="194"/>
      <c r="E1914" s="194"/>
      <c r="F1914" s="137"/>
      <c r="G1914" s="137"/>
      <c r="H1914" s="137"/>
      <c r="I1914" s="137"/>
      <c r="J1914" s="197"/>
      <c r="K1914" s="198"/>
      <c r="L1914" s="196"/>
      <c r="M1914" s="196"/>
      <c r="N1914" s="196"/>
      <c r="O1914" s="196"/>
      <c r="P1914" s="127"/>
    </row>
    <row r="1915" spans="1:16" ht="20.25" customHeight="1" x14ac:dyDescent="0.3">
      <c r="A1915" s="137"/>
      <c r="B1915" s="137"/>
      <c r="C1915" s="137"/>
      <c r="D1915" s="194"/>
      <c r="E1915" s="194"/>
      <c r="F1915" s="137"/>
      <c r="G1915" s="137"/>
      <c r="H1915" s="137"/>
      <c r="I1915" s="137"/>
      <c r="J1915" s="197"/>
      <c r="K1915" s="198"/>
      <c r="L1915" s="196"/>
      <c r="M1915" s="196"/>
      <c r="N1915" s="196"/>
      <c r="O1915" s="196"/>
      <c r="P1915" s="127"/>
    </row>
    <row r="1916" spans="1:16" ht="20.25" customHeight="1" x14ac:dyDescent="0.3">
      <c r="A1916" s="137"/>
      <c r="B1916" s="137"/>
      <c r="C1916" s="137"/>
      <c r="D1916" s="194"/>
      <c r="E1916" s="194"/>
      <c r="F1916" s="137"/>
      <c r="G1916" s="137"/>
      <c r="H1916" s="137"/>
      <c r="I1916" s="137"/>
      <c r="J1916" s="197"/>
      <c r="K1916" s="198"/>
      <c r="L1916" s="196"/>
      <c r="M1916" s="196"/>
      <c r="N1916" s="196"/>
      <c r="O1916" s="196"/>
      <c r="P1916" s="127"/>
    </row>
    <row r="1917" spans="1:16" ht="20.25" customHeight="1" x14ac:dyDescent="0.3">
      <c r="A1917" s="137"/>
      <c r="B1917" s="137"/>
      <c r="C1917" s="137"/>
      <c r="D1917" s="194"/>
      <c r="E1917" s="194"/>
      <c r="F1917" s="137"/>
      <c r="G1917" s="137"/>
      <c r="H1917" s="137"/>
      <c r="I1917" s="137"/>
      <c r="J1917" s="197"/>
      <c r="K1917" s="198"/>
      <c r="L1917" s="196"/>
      <c r="M1917" s="196"/>
      <c r="N1917" s="196"/>
      <c r="O1917" s="196"/>
      <c r="P1917" s="127"/>
    </row>
    <row r="1918" spans="1:16" ht="20.25" customHeight="1" x14ac:dyDescent="0.3">
      <c r="A1918" s="137"/>
      <c r="B1918" s="137"/>
      <c r="C1918" s="137"/>
      <c r="D1918" s="194"/>
      <c r="E1918" s="194"/>
      <c r="F1918" s="137"/>
      <c r="G1918" s="137"/>
      <c r="H1918" s="137"/>
      <c r="I1918" s="137"/>
      <c r="J1918" s="197"/>
      <c r="K1918" s="198"/>
      <c r="L1918" s="196"/>
      <c r="M1918" s="196"/>
      <c r="N1918" s="196"/>
      <c r="O1918" s="196"/>
      <c r="P1918" s="127"/>
    </row>
    <row r="1919" spans="1:16" ht="20.25" customHeight="1" x14ac:dyDescent="0.3">
      <c r="A1919" s="137"/>
      <c r="B1919" s="137"/>
      <c r="C1919" s="137"/>
      <c r="D1919" s="194"/>
      <c r="E1919" s="194"/>
      <c r="F1919" s="137"/>
      <c r="G1919" s="137"/>
      <c r="H1919" s="137"/>
      <c r="I1919" s="137"/>
      <c r="J1919" s="197"/>
      <c r="K1919" s="198"/>
      <c r="L1919" s="196"/>
      <c r="M1919" s="196"/>
      <c r="N1919" s="196"/>
      <c r="O1919" s="196"/>
      <c r="P1919" s="127"/>
    </row>
    <row r="1920" spans="1:16" ht="20.25" customHeight="1" x14ac:dyDescent="0.3">
      <c r="A1920" s="137"/>
      <c r="B1920" s="137"/>
      <c r="C1920" s="137"/>
      <c r="D1920" s="194"/>
      <c r="E1920" s="194"/>
      <c r="F1920" s="137"/>
      <c r="G1920" s="137"/>
      <c r="H1920" s="137"/>
      <c r="I1920" s="137"/>
      <c r="J1920" s="197"/>
      <c r="K1920" s="198"/>
      <c r="L1920" s="196"/>
      <c r="M1920" s="196"/>
      <c r="N1920" s="196"/>
      <c r="O1920" s="196"/>
      <c r="P1920" s="127"/>
    </row>
    <row r="1921" spans="1:16" ht="20.25" customHeight="1" x14ac:dyDescent="0.3">
      <c r="A1921" s="137"/>
      <c r="B1921" s="137"/>
      <c r="C1921" s="137"/>
      <c r="D1921" s="194"/>
      <c r="E1921" s="194"/>
      <c r="F1921" s="137"/>
      <c r="G1921" s="137"/>
      <c r="H1921" s="137"/>
      <c r="I1921" s="137"/>
      <c r="J1921" s="197"/>
      <c r="K1921" s="198"/>
      <c r="L1921" s="196"/>
      <c r="M1921" s="196"/>
      <c r="N1921" s="196"/>
      <c r="O1921" s="196"/>
      <c r="P1921" s="127"/>
    </row>
    <row r="1922" spans="1:16" ht="20.25" customHeight="1" x14ac:dyDescent="0.3">
      <c r="A1922" s="137"/>
      <c r="B1922" s="137"/>
      <c r="C1922" s="137"/>
      <c r="D1922" s="194"/>
      <c r="E1922" s="194"/>
      <c r="F1922" s="137"/>
      <c r="G1922" s="137"/>
      <c r="H1922" s="137"/>
      <c r="I1922" s="137"/>
      <c r="J1922" s="197"/>
      <c r="K1922" s="198"/>
      <c r="L1922" s="196"/>
      <c r="M1922" s="196"/>
      <c r="N1922" s="196"/>
      <c r="O1922" s="196"/>
      <c r="P1922" s="127"/>
    </row>
    <row r="1923" spans="1:16" ht="20.25" customHeight="1" x14ac:dyDescent="0.3">
      <c r="A1923" s="137"/>
      <c r="B1923" s="137"/>
      <c r="C1923" s="137"/>
      <c r="D1923" s="194"/>
      <c r="E1923" s="194"/>
      <c r="F1923" s="137"/>
      <c r="G1923" s="137"/>
      <c r="H1923" s="137"/>
      <c r="I1923" s="137"/>
      <c r="J1923" s="197"/>
      <c r="K1923" s="198"/>
      <c r="L1923" s="196"/>
      <c r="M1923" s="196"/>
      <c r="N1923" s="196"/>
      <c r="O1923" s="196"/>
      <c r="P1923" s="127"/>
    </row>
    <row r="1924" spans="1:16" ht="20.25" customHeight="1" x14ac:dyDescent="0.3">
      <c r="A1924" s="137"/>
      <c r="B1924" s="137"/>
      <c r="C1924" s="137"/>
      <c r="D1924" s="194"/>
      <c r="E1924" s="194"/>
      <c r="F1924" s="137"/>
      <c r="G1924" s="137"/>
      <c r="H1924" s="137"/>
      <c r="I1924" s="137"/>
      <c r="J1924" s="197"/>
      <c r="K1924" s="198"/>
      <c r="L1924" s="196"/>
      <c r="M1924" s="196"/>
      <c r="N1924" s="196"/>
      <c r="O1924" s="196"/>
      <c r="P1924" s="127"/>
    </row>
    <row r="1925" spans="1:16" ht="20.25" customHeight="1" x14ac:dyDescent="0.3">
      <c r="A1925" s="137"/>
      <c r="B1925" s="137"/>
      <c r="C1925" s="137"/>
      <c r="D1925" s="194"/>
      <c r="E1925" s="194"/>
      <c r="F1925" s="137"/>
      <c r="G1925" s="137"/>
      <c r="H1925" s="137"/>
      <c r="I1925" s="137"/>
      <c r="J1925" s="197"/>
      <c r="K1925" s="198"/>
      <c r="L1925" s="196"/>
      <c r="M1925" s="196"/>
      <c r="N1925" s="196"/>
      <c r="O1925" s="196"/>
      <c r="P1925" s="127"/>
    </row>
    <row r="1926" spans="1:16" ht="20.25" customHeight="1" x14ac:dyDescent="0.3">
      <c r="A1926" s="137"/>
      <c r="B1926" s="137"/>
      <c r="C1926" s="137"/>
      <c r="D1926" s="194"/>
      <c r="E1926" s="194"/>
      <c r="F1926" s="137"/>
      <c r="G1926" s="137"/>
      <c r="H1926" s="137"/>
      <c r="I1926" s="137"/>
      <c r="J1926" s="197"/>
      <c r="K1926" s="198"/>
      <c r="L1926" s="196"/>
      <c r="M1926" s="196"/>
      <c r="N1926" s="196"/>
      <c r="O1926" s="196"/>
      <c r="P1926" s="127"/>
    </row>
    <row r="1927" spans="1:16" ht="20.25" customHeight="1" x14ac:dyDescent="0.3">
      <c r="A1927" s="137"/>
      <c r="B1927" s="137"/>
      <c r="C1927" s="137"/>
      <c r="D1927" s="194"/>
      <c r="E1927" s="194"/>
      <c r="F1927" s="137"/>
      <c r="G1927" s="137"/>
      <c r="H1927" s="137"/>
      <c r="I1927" s="137"/>
      <c r="J1927" s="197"/>
      <c r="K1927" s="198"/>
      <c r="L1927" s="196"/>
      <c r="M1927" s="196"/>
      <c r="N1927" s="196"/>
      <c r="O1927" s="196"/>
      <c r="P1927" s="127"/>
    </row>
    <row r="1928" spans="1:16" ht="20.25" customHeight="1" x14ac:dyDescent="0.3">
      <c r="A1928" s="137"/>
      <c r="B1928" s="137"/>
      <c r="C1928" s="137"/>
      <c r="D1928" s="194"/>
      <c r="E1928" s="194"/>
      <c r="F1928" s="137"/>
      <c r="G1928" s="137"/>
      <c r="H1928" s="137"/>
      <c r="I1928" s="137"/>
      <c r="J1928" s="197"/>
      <c r="K1928" s="198"/>
      <c r="L1928" s="196"/>
      <c r="M1928" s="196"/>
      <c r="N1928" s="196"/>
      <c r="O1928" s="196"/>
      <c r="P1928" s="127"/>
    </row>
    <row r="1929" spans="1:16" ht="20.25" customHeight="1" x14ac:dyDescent="0.3">
      <c r="A1929" s="137"/>
      <c r="B1929" s="137"/>
      <c r="C1929" s="137"/>
      <c r="D1929" s="194"/>
      <c r="E1929" s="194"/>
      <c r="F1929" s="137"/>
      <c r="G1929" s="137"/>
      <c r="H1929" s="137"/>
      <c r="I1929" s="137"/>
      <c r="J1929" s="197"/>
      <c r="K1929" s="198"/>
      <c r="L1929" s="196"/>
      <c r="M1929" s="196"/>
      <c r="N1929" s="196"/>
      <c r="O1929" s="196"/>
      <c r="P1929" s="127"/>
    </row>
    <row r="1930" spans="1:16" ht="20.25" customHeight="1" x14ac:dyDescent="0.3">
      <c r="A1930" s="137"/>
      <c r="B1930" s="137"/>
      <c r="C1930" s="137"/>
      <c r="D1930" s="194"/>
      <c r="E1930" s="194"/>
      <c r="F1930" s="137"/>
      <c r="G1930" s="137"/>
      <c r="H1930" s="137"/>
      <c r="I1930" s="137"/>
      <c r="J1930" s="197"/>
      <c r="K1930" s="198"/>
      <c r="L1930" s="196"/>
      <c r="M1930" s="196"/>
      <c r="N1930" s="196"/>
      <c r="O1930" s="196"/>
      <c r="P1930" s="127"/>
    </row>
    <row r="1931" spans="1:16" ht="20.25" customHeight="1" x14ac:dyDescent="0.3">
      <c r="A1931" s="137"/>
      <c r="B1931" s="137"/>
      <c r="C1931" s="137"/>
      <c r="D1931" s="194"/>
      <c r="E1931" s="194"/>
      <c r="F1931" s="137"/>
      <c r="G1931" s="137"/>
      <c r="H1931" s="137"/>
      <c r="I1931" s="137"/>
      <c r="J1931" s="197"/>
      <c r="K1931" s="198"/>
      <c r="L1931" s="196"/>
      <c r="M1931" s="196"/>
      <c r="N1931" s="196"/>
      <c r="O1931" s="196"/>
      <c r="P1931" s="127"/>
    </row>
    <row r="1932" spans="1:16" ht="20.25" customHeight="1" x14ac:dyDescent="0.3">
      <c r="A1932" s="137"/>
      <c r="B1932" s="137"/>
      <c r="C1932" s="137"/>
      <c r="D1932" s="194"/>
      <c r="E1932" s="194"/>
      <c r="F1932" s="137"/>
      <c r="G1932" s="137"/>
      <c r="H1932" s="137"/>
      <c r="I1932" s="137"/>
      <c r="J1932" s="197"/>
      <c r="K1932" s="198"/>
      <c r="L1932" s="196"/>
      <c r="M1932" s="196"/>
      <c r="N1932" s="196"/>
      <c r="O1932" s="196"/>
      <c r="P1932" s="127"/>
    </row>
    <row r="1933" spans="1:16" ht="20.25" customHeight="1" x14ac:dyDescent="0.3">
      <c r="A1933" s="137"/>
      <c r="B1933" s="137"/>
      <c r="C1933" s="137"/>
      <c r="D1933" s="194"/>
      <c r="E1933" s="194"/>
      <c r="F1933" s="137"/>
      <c r="G1933" s="137"/>
      <c r="H1933" s="137"/>
      <c r="I1933" s="137"/>
      <c r="J1933" s="197"/>
      <c r="K1933" s="198"/>
      <c r="L1933" s="196"/>
      <c r="M1933" s="196"/>
      <c r="N1933" s="196"/>
      <c r="O1933" s="196"/>
      <c r="P1933" s="127"/>
    </row>
    <row r="1934" spans="1:16" ht="20.25" customHeight="1" x14ac:dyDescent="0.3">
      <c r="A1934" s="137"/>
      <c r="B1934" s="137"/>
      <c r="C1934" s="137"/>
      <c r="D1934" s="194"/>
      <c r="E1934" s="194"/>
      <c r="F1934" s="137"/>
      <c r="G1934" s="137"/>
      <c r="H1934" s="137"/>
      <c r="I1934" s="137"/>
      <c r="J1934" s="197"/>
      <c r="K1934" s="198"/>
      <c r="L1934" s="196"/>
      <c r="M1934" s="196"/>
      <c r="N1934" s="196"/>
      <c r="O1934" s="196"/>
      <c r="P1934" s="127"/>
    </row>
    <row r="1935" spans="1:16" ht="20.25" customHeight="1" x14ac:dyDescent="0.3">
      <c r="A1935" s="137"/>
      <c r="B1935" s="137"/>
      <c r="C1935" s="137"/>
      <c r="D1935" s="194"/>
      <c r="E1935" s="194"/>
      <c r="F1935" s="137"/>
      <c r="G1935" s="137"/>
      <c r="H1935" s="137"/>
      <c r="I1935" s="137"/>
      <c r="J1935" s="197"/>
      <c r="K1935" s="198"/>
      <c r="L1935" s="196"/>
      <c r="M1935" s="196"/>
      <c r="N1935" s="196"/>
      <c r="O1935" s="196"/>
      <c r="P1935" s="127"/>
    </row>
    <row r="1936" spans="1:16" ht="20.25" customHeight="1" x14ac:dyDescent="0.3">
      <c r="A1936" s="137"/>
      <c r="B1936" s="137"/>
      <c r="C1936" s="137"/>
      <c r="D1936" s="194"/>
      <c r="E1936" s="194"/>
      <c r="F1936" s="137"/>
      <c r="G1936" s="137"/>
      <c r="H1936" s="137"/>
      <c r="I1936" s="137"/>
      <c r="J1936" s="197"/>
      <c r="K1936" s="198"/>
      <c r="L1936" s="196"/>
      <c r="M1936" s="196"/>
      <c r="N1936" s="196"/>
      <c r="O1936" s="196"/>
      <c r="P1936" s="127"/>
    </row>
    <row r="1937" spans="1:16" ht="20.25" customHeight="1" x14ac:dyDescent="0.3">
      <c r="A1937" s="137"/>
      <c r="B1937" s="137"/>
      <c r="C1937" s="137"/>
      <c r="D1937" s="194"/>
      <c r="E1937" s="194"/>
      <c r="F1937" s="137"/>
      <c r="G1937" s="137"/>
      <c r="H1937" s="137"/>
      <c r="I1937" s="137"/>
      <c r="J1937" s="197"/>
      <c r="K1937" s="198"/>
      <c r="L1937" s="196"/>
      <c r="M1937" s="196"/>
      <c r="N1937" s="196"/>
      <c r="O1937" s="196"/>
      <c r="P1937" s="127"/>
    </row>
    <row r="1938" spans="1:16" ht="20.25" customHeight="1" x14ac:dyDescent="0.3">
      <c r="A1938" s="137"/>
      <c r="B1938" s="137"/>
      <c r="C1938" s="137"/>
      <c r="D1938" s="194"/>
      <c r="E1938" s="194"/>
      <c r="F1938" s="137"/>
      <c r="G1938" s="137"/>
      <c r="H1938" s="137"/>
      <c r="I1938" s="137"/>
      <c r="J1938" s="197"/>
      <c r="K1938" s="198"/>
      <c r="L1938" s="196"/>
      <c r="M1938" s="196"/>
      <c r="N1938" s="196"/>
      <c r="O1938" s="196"/>
      <c r="P1938" s="127"/>
    </row>
    <row r="1939" spans="1:16" ht="20.25" customHeight="1" x14ac:dyDescent="0.3">
      <c r="A1939" s="137"/>
      <c r="B1939" s="137"/>
      <c r="C1939" s="137"/>
      <c r="D1939" s="194"/>
      <c r="E1939" s="194"/>
      <c r="F1939" s="137"/>
      <c r="G1939" s="137"/>
      <c r="H1939" s="137"/>
      <c r="I1939" s="137"/>
      <c r="J1939" s="197"/>
      <c r="K1939" s="198"/>
      <c r="L1939" s="196"/>
      <c r="M1939" s="196"/>
      <c r="N1939" s="196"/>
      <c r="O1939" s="196"/>
      <c r="P1939" s="127"/>
    </row>
    <row r="1940" spans="1:16" ht="20.25" customHeight="1" x14ac:dyDescent="0.3">
      <c r="A1940" s="137"/>
      <c r="B1940" s="137"/>
      <c r="C1940" s="137"/>
      <c r="D1940" s="194"/>
      <c r="E1940" s="194"/>
      <c r="F1940" s="137"/>
      <c r="G1940" s="137"/>
      <c r="H1940" s="137"/>
      <c r="I1940" s="137"/>
      <c r="J1940" s="197"/>
      <c r="K1940" s="198"/>
      <c r="L1940" s="196"/>
      <c r="M1940" s="196"/>
      <c r="N1940" s="196"/>
      <c r="O1940" s="196"/>
      <c r="P1940" s="127"/>
    </row>
    <row r="1941" spans="1:16" ht="20.25" customHeight="1" x14ac:dyDescent="0.3">
      <c r="A1941" s="137"/>
      <c r="B1941" s="137"/>
      <c r="C1941" s="137"/>
      <c r="D1941" s="194"/>
      <c r="E1941" s="194"/>
      <c r="F1941" s="137"/>
      <c r="G1941" s="137"/>
      <c r="H1941" s="137"/>
      <c r="I1941" s="137"/>
      <c r="J1941" s="197"/>
      <c r="K1941" s="198"/>
      <c r="L1941" s="196"/>
      <c r="M1941" s="196"/>
      <c r="N1941" s="196"/>
      <c r="O1941" s="196"/>
      <c r="P1941" s="127"/>
    </row>
    <row r="1942" spans="1:16" ht="20.25" customHeight="1" x14ac:dyDescent="0.3">
      <c r="A1942" s="137"/>
      <c r="B1942" s="137"/>
      <c r="C1942" s="137"/>
      <c r="D1942" s="194"/>
      <c r="E1942" s="194"/>
      <c r="F1942" s="137"/>
      <c r="G1942" s="137"/>
      <c r="H1942" s="137"/>
      <c r="I1942" s="137"/>
      <c r="J1942" s="197"/>
      <c r="K1942" s="198"/>
      <c r="L1942" s="196"/>
      <c r="M1942" s="196"/>
      <c r="N1942" s="196"/>
      <c r="O1942" s="196"/>
      <c r="P1942" s="127"/>
    </row>
    <row r="1943" spans="1:16" ht="20.25" customHeight="1" x14ac:dyDescent="0.3">
      <c r="A1943" s="137"/>
      <c r="B1943" s="137"/>
      <c r="C1943" s="137"/>
      <c r="D1943" s="194"/>
      <c r="E1943" s="194"/>
      <c r="F1943" s="137"/>
      <c r="G1943" s="137"/>
      <c r="H1943" s="137"/>
      <c r="I1943" s="137"/>
      <c r="J1943" s="197"/>
      <c r="K1943" s="198"/>
      <c r="L1943" s="196"/>
      <c r="M1943" s="196"/>
      <c r="N1943" s="196"/>
      <c r="O1943" s="196"/>
      <c r="P1943" s="127"/>
    </row>
    <row r="1944" spans="1:16" ht="20.25" customHeight="1" x14ac:dyDescent="0.3">
      <c r="A1944" s="137"/>
      <c r="B1944" s="137"/>
      <c r="C1944" s="137"/>
      <c r="D1944" s="194"/>
      <c r="E1944" s="194"/>
      <c r="F1944" s="137"/>
      <c r="G1944" s="137"/>
      <c r="H1944" s="137"/>
      <c r="I1944" s="137"/>
      <c r="J1944" s="197"/>
      <c r="K1944" s="198"/>
      <c r="L1944" s="196"/>
      <c r="M1944" s="196"/>
      <c r="N1944" s="196"/>
      <c r="O1944" s="196"/>
      <c r="P1944" s="127"/>
    </row>
    <row r="1945" spans="1:16" ht="20.25" customHeight="1" x14ac:dyDescent="0.3">
      <c r="A1945" s="137"/>
      <c r="B1945" s="137"/>
      <c r="C1945" s="137"/>
      <c r="D1945" s="194"/>
      <c r="E1945" s="194"/>
      <c r="F1945" s="137"/>
      <c r="G1945" s="137"/>
      <c r="H1945" s="137"/>
      <c r="I1945" s="137"/>
      <c r="J1945" s="197"/>
      <c r="K1945" s="198"/>
      <c r="L1945" s="196"/>
      <c r="M1945" s="196"/>
      <c r="N1945" s="196"/>
      <c r="O1945" s="196"/>
      <c r="P1945" s="127"/>
    </row>
    <row r="1946" spans="1:16" ht="20.25" customHeight="1" x14ac:dyDescent="0.3">
      <c r="A1946" s="137"/>
      <c r="B1946" s="137"/>
      <c r="C1946" s="137"/>
      <c r="D1946" s="194"/>
      <c r="E1946" s="194"/>
      <c r="F1946" s="137"/>
      <c r="G1946" s="137"/>
      <c r="H1946" s="137"/>
      <c r="I1946" s="137"/>
      <c r="J1946" s="197"/>
      <c r="K1946" s="198"/>
      <c r="L1946" s="196"/>
      <c r="M1946" s="196"/>
      <c r="N1946" s="196"/>
      <c r="O1946" s="196"/>
      <c r="P1946" s="127"/>
    </row>
    <row r="1947" spans="1:16" ht="20.25" customHeight="1" x14ac:dyDescent="0.3">
      <c r="A1947" s="137"/>
      <c r="B1947" s="137"/>
      <c r="C1947" s="137"/>
      <c r="D1947" s="194"/>
      <c r="E1947" s="194"/>
      <c r="F1947" s="137"/>
      <c r="G1947" s="137"/>
      <c r="H1947" s="137"/>
      <c r="I1947" s="137"/>
      <c r="J1947" s="197"/>
      <c r="K1947" s="198"/>
      <c r="L1947" s="196"/>
      <c r="M1947" s="196"/>
      <c r="N1947" s="196"/>
      <c r="O1947" s="196"/>
      <c r="P1947" s="127"/>
    </row>
    <row r="1948" spans="1:16" ht="20.25" customHeight="1" x14ac:dyDescent="0.3">
      <c r="A1948" s="137"/>
      <c r="B1948" s="137"/>
      <c r="C1948" s="137"/>
      <c r="D1948" s="194"/>
      <c r="E1948" s="194"/>
      <c r="F1948" s="137"/>
      <c r="G1948" s="137"/>
      <c r="H1948" s="137"/>
      <c r="I1948" s="137"/>
      <c r="J1948" s="197"/>
      <c r="K1948" s="198"/>
      <c r="L1948" s="196"/>
      <c r="M1948" s="196"/>
      <c r="N1948" s="196"/>
      <c r="O1948" s="196"/>
      <c r="P1948" s="127"/>
    </row>
    <row r="1949" spans="1:16" ht="20.25" customHeight="1" x14ac:dyDescent="0.3">
      <c r="A1949" s="137"/>
      <c r="B1949" s="137"/>
      <c r="C1949" s="137"/>
      <c r="D1949" s="194"/>
      <c r="E1949" s="194"/>
      <c r="F1949" s="137"/>
      <c r="G1949" s="137"/>
      <c r="H1949" s="137"/>
      <c r="I1949" s="137"/>
      <c r="J1949" s="197"/>
      <c r="K1949" s="198"/>
      <c r="L1949" s="196"/>
      <c r="M1949" s="196"/>
      <c r="N1949" s="196"/>
      <c r="O1949" s="196"/>
      <c r="P1949" s="127"/>
    </row>
    <row r="1950" spans="1:16" ht="20.25" customHeight="1" x14ac:dyDescent="0.3">
      <c r="A1950" s="137"/>
      <c r="B1950" s="137"/>
      <c r="C1950" s="137"/>
      <c r="D1950" s="194"/>
      <c r="E1950" s="194"/>
      <c r="F1950" s="137"/>
      <c r="G1950" s="137"/>
      <c r="H1950" s="137"/>
      <c r="I1950" s="137"/>
      <c r="J1950" s="197"/>
      <c r="K1950" s="198"/>
      <c r="L1950" s="196"/>
      <c r="M1950" s="196"/>
      <c r="N1950" s="196"/>
      <c r="O1950" s="196"/>
      <c r="P1950" s="127"/>
    </row>
    <row r="1951" spans="1:16" ht="20.25" customHeight="1" x14ac:dyDescent="0.3">
      <c r="A1951" s="137"/>
      <c r="B1951" s="137"/>
      <c r="C1951" s="137"/>
      <c r="D1951" s="194"/>
      <c r="E1951" s="194"/>
      <c r="F1951" s="137"/>
      <c r="G1951" s="137"/>
      <c r="H1951" s="137"/>
      <c r="I1951" s="137"/>
      <c r="J1951" s="197"/>
      <c r="K1951" s="198"/>
      <c r="L1951" s="196"/>
      <c r="M1951" s="196"/>
      <c r="N1951" s="196"/>
      <c r="O1951" s="196"/>
      <c r="P1951" s="127"/>
    </row>
    <row r="1952" spans="1:16" ht="20.25" customHeight="1" x14ac:dyDescent="0.3">
      <c r="A1952" s="137"/>
      <c r="B1952" s="137"/>
      <c r="C1952" s="137"/>
      <c r="D1952" s="194"/>
      <c r="E1952" s="194"/>
      <c r="F1952" s="137"/>
      <c r="G1952" s="137"/>
      <c r="H1952" s="137"/>
      <c r="I1952" s="137"/>
      <c r="J1952" s="197"/>
      <c r="K1952" s="198"/>
      <c r="L1952" s="196"/>
      <c r="M1952" s="196"/>
      <c r="N1952" s="196"/>
      <c r="O1952" s="196"/>
      <c r="P1952" s="127"/>
    </row>
    <row r="1953" spans="1:16" ht="20.25" customHeight="1" x14ac:dyDescent="0.3">
      <c r="A1953" s="137"/>
      <c r="B1953" s="137"/>
      <c r="C1953" s="137"/>
      <c r="D1953" s="194"/>
      <c r="E1953" s="194"/>
      <c r="F1953" s="137"/>
      <c r="G1953" s="137"/>
      <c r="H1953" s="137"/>
      <c r="I1953" s="137"/>
      <c r="J1953" s="197"/>
      <c r="K1953" s="198"/>
      <c r="L1953" s="196"/>
      <c r="M1953" s="196"/>
      <c r="N1953" s="196"/>
      <c r="O1953" s="196"/>
      <c r="P1953" s="127"/>
    </row>
    <row r="1954" spans="1:16" ht="20.25" customHeight="1" x14ac:dyDescent="0.3">
      <c r="A1954" s="137"/>
      <c r="B1954" s="137"/>
      <c r="C1954" s="137"/>
      <c r="D1954" s="194"/>
      <c r="E1954" s="194"/>
      <c r="F1954" s="137"/>
      <c r="G1954" s="137"/>
      <c r="H1954" s="137"/>
      <c r="I1954" s="137"/>
      <c r="J1954" s="197"/>
      <c r="K1954" s="198"/>
      <c r="L1954" s="196"/>
      <c r="M1954" s="196"/>
      <c r="N1954" s="196"/>
      <c r="O1954" s="196"/>
      <c r="P1954" s="127"/>
    </row>
    <row r="1955" spans="1:16" ht="20.25" customHeight="1" x14ac:dyDescent="0.3">
      <c r="A1955" s="137"/>
      <c r="B1955" s="137"/>
      <c r="C1955" s="137"/>
      <c r="D1955" s="194"/>
      <c r="E1955" s="194"/>
      <c r="F1955" s="137"/>
      <c r="G1955" s="137"/>
      <c r="H1955" s="137"/>
      <c r="I1955" s="137"/>
      <c r="J1955" s="197"/>
      <c r="K1955" s="198"/>
      <c r="L1955" s="196"/>
      <c r="M1955" s="196"/>
      <c r="N1955" s="196"/>
      <c r="O1955" s="196"/>
      <c r="P1955" s="127"/>
    </row>
    <row r="1956" spans="1:16" ht="20.25" customHeight="1" x14ac:dyDescent="0.3">
      <c r="A1956" s="137"/>
      <c r="B1956" s="137"/>
      <c r="C1956" s="137"/>
      <c r="D1956" s="194"/>
      <c r="E1956" s="194"/>
      <c r="F1956" s="137"/>
      <c r="G1956" s="137"/>
      <c r="H1956" s="137"/>
      <c r="I1956" s="137"/>
      <c r="J1956" s="197"/>
      <c r="K1956" s="198"/>
      <c r="L1956" s="196"/>
      <c r="M1956" s="196"/>
      <c r="N1956" s="196"/>
      <c r="O1956" s="196"/>
      <c r="P1956" s="127"/>
    </row>
    <row r="1957" spans="1:16" ht="20.25" customHeight="1" x14ac:dyDescent="0.3">
      <c r="A1957" s="137"/>
      <c r="B1957" s="137"/>
      <c r="C1957" s="137"/>
      <c r="D1957" s="194"/>
      <c r="E1957" s="194"/>
      <c r="F1957" s="137"/>
      <c r="G1957" s="137"/>
      <c r="H1957" s="137"/>
      <c r="I1957" s="137"/>
      <c r="J1957" s="197"/>
      <c r="K1957" s="198"/>
      <c r="L1957" s="196"/>
      <c r="M1957" s="196"/>
      <c r="N1957" s="196"/>
      <c r="O1957" s="196"/>
      <c r="P1957" s="127"/>
    </row>
    <row r="1958" spans="1:16" ht="20.25" customHeight="1" x14ac:dyDescent="0.3">
      <c r="A1958" s="137"/>
      <c r="B1958" s="137"/>
      <c r="C1958" s="137"/>
      <c r="D1958" s="194"/>
      <c r="E1958" s="194"/>
      <c r="F1958" s="137"/>
      <c r="G1958" s="137"/>
      <c r="H1958" s="137"/>
      <c r="I1958" s="137"/>
      <c r="J1958" s="197"/>
      <c r="K1958" s="198"/>
      <c r="L1958" s="196"/>
      <c r="M1958" s="196"/>
      <c r="N1958" s="196"/>
      <c r="O1958" s="196"/>
      <c r="P1958" s="127"/>
    </row>
    <row r="1959" spans="1:16" ht="20.25" customHeight="1" x14ac:dyDescent="0.3">
      <c r="A1959" s="137"/>
      <c r="B1959" s="137"/>
      <c r="C1959" s="137"/>
      <c r="D1959" s="194"/>
      <c r="E1959" s="194"/>
      <c r="F1959" s="137"/>
      <c r="G1959" s="137"/>
      <c r="H1959" s="137"/>
      <c r="I1959" s="137"/>
      <c r="J1959" s="197"/>
      <c r="K1959" s="198"/>
      <c r="L1959" s="196"/>
      <c r="M1959" s="196"/>
      <c r="N1959" s="196"/>
      <c r="O1959" s="196"/>
      <c r="P1959" s="127"/>
    </row>
    <row r="1960" spans="1:16" ht="20.25" customHeight="1" x14ac:dyDescent="0.3">
      <c r="A1960" s="137"/>
      <c r="B1960" s="137"/>
      <c r="C1960" s="137"/>
      <c r="D1960" s="194"/>
      <c r="E1960" s="194"/>
      <c r="F1960" s="137"/>
      <c r="G1960" s="137"/>
      <c r="H1960" s="137"/>
      <c r="I1960" s="137"/>
      <c r="J1960" s="197"/>
      <c r="K1960" s="198"/>
      <c r="L1960" s="196"/>
      <c r="M1960" s="196"/>
      <c r="N1960" s="196"/>
      <c r="O1960" s="196"/>
      <c r="P1960" s="127"/>
    </row>
    <row r="1961" spans="1:16" ht="20.25" customHeight="1" x14ac:dyDescent="0.3">
      <c r="A1961" s="137"/>
      <c r="B1961" s="137"/>
      <c r="C1961" s="137"/>
      <c r="D1961" s="194"/>
      <c r="E1961" s="194"/>
      <c r="F1961" s="137"/>
      <c r="G1961" s="137"/>
      <c r="H1961" s="137"/>
      <c r="I1961" s="137"/>
      <c r="J1961" s="197"/>
      <c r="K1961" s="198"/>
      <c r="L1961" s="196"/>
      <c r="M1961" s="196"/>
      <c r="N1961" s="196"/>
      <c r="O1961" s="196"/>
      <c r="P1961" s="127"/>
    </row>
    <row r="1962" spans="1:16" ht="20.25" customHeight="1" x14ac:dyDescent="0.3">
      <c r="A1962" s="137"/>
      <c r="B1962" s="137"/>
      <c r="C1962" s="137"/>
      <c r="D1962" s="194"/>
      <c r="E1962" s="194"/>
      <c r="F1962" s="137"/>
      <c r="G1962" s="137"/>
      <c r="H1962" s="137"/>
      <c r="I1962" s="137"/>
      <c r="J1962" s="197"/>
      <c r="K1962" s="198"/>
      <c r="L1962" s="196"/>
      <c r="M1962" s="196"/>
      <c r="N1962" s="196"/>
      <c r="O1962" s="196"/>
      <c r="P1962" s="127"/>
    </row>
    <row r="1963" spans="1:16" ht="20.25" customHeight="1" x14ac:dyDescent="0.3">
      <c r="A1963" s="137"/>
      <c r="B1963" s="137"/>
      <c r="C1963" s="137"/>
      <c r="D1963" s="194"/>
      <c r="E1963" s="194"/>
      <c r="F1963" s="137"/>
      <c r="G1963" s="137"/>
      <c r="H1963" s="137"/>
      <c r="I1963" s="137"/>
      <c r="J1963" s="197"/>
      <c r="K1963" s="198"/>
      <c r="L1963" s="196"/>
      <c r="M1963" s="196"/>
      <c r="N1963" s="196"/>
      <c r="O1963" s="196"/>
      <c r="P1963" s="127"/>
    </row>
    <row r="1964" spans="1:16" ht="20.25" customHeight="1" x14ac:dyDescent="0.3">
      <c r="A1964" s="137"/>
      <c r="B1964" s="137"/>
      <c r="C1964" s="137"/>
      <c r="D1964" s="194"/>
      <c r="E1964" s="194"/>
      <c r="F1964" s="137"/>
      <c r="G1964" s="137"/>
      <c r="H1964" s="137"/>
      <c r="I1964" s="137"/>
      <c r="J1964" s="197"/>
      <c r="K1964" s="198"/>
      <c r="L1964" s="196"/>
      <c r="M1964" s="196"/>
      <c r="N1964" s="196"/>
      <c r="O1964" s="196"/>
      <c r="P1964" s="127"/>
    </row>
    <row r="1965" spans="1:16" ht="20.25" customHeight="1" x14ac:dyDescent="0.3">
      <c r="A1965" s="137"/>
      <c r="B1965" s="137"/>
      <c r="C1965" s="137"/>
      <c r="D1965" s="194"/>
      <c r="E1965" s="194"/>
      <c r="F1965" s="137"/>
      <c r="G1965" s="137"/>
      <c r="H1965" s="137"/>
      <c r="I1965" s="137"/>
      <c r="J1965" s="197"/>
      <c r="K1965" s="198"/>
      <c r="L1965" s="196"/>
      <c r="M1965" s="196"/>
      <c r="N1965" s="196"/>
      <c r="O1965" s="196"/>
      <c r="P1965" s="127"/>
    </row>
    <row r="1966" spans="1:16" ht="20.25" customHeight="1" x14ac:dyDescent="0.3">
      <c r="A1966" s="137"/>
      <c r="B1966" s="137"/>
      <c r="C1966" s="137"/>
      <c r="D1966" s="194"/>
      <c r="E1966" s="194"/>
      <c r="F1966" s="137"/>
      <c r="G1966" s="137"/>
      <c r="H1966" s="137"/>
      <c r="I1966" s="137"/>
      <c r="J1966" s="197"/>
      <c r="K1966" s="198"/>
      <c r="L1966" s="196"/>
      <c r="M1966" s="196"/>
      <c r="N1966" s="196"/>
      <c r="O1966" s="196"/>
      <c r="P1966" s="127"/>
    </row>
    <row r="1967" spans="1:16" ht="20.25" customHeight="1" x14ac:dyDescent="0.3">
      <c r="A1967" s="137"/>
      <c r="B1967" s="137"/>
      <c r="C1967" s="137"/>
      <c r="D1967" s="194"/>
      <c r="E1967" s="194"/>
      <c r="F1967" s="137"/>
      <c r="G1967" s="137"/>
      <c r="H1967" s="137"/>
      <c r="I1967" s="137"/>
      <c r="J1967" s="197"/>
      <c r="K1967" s="198"/>
      <c r="L1967" s="196"/>
      <c r="M1967" s="196"/>
      <c r="N1967" s="196"/>
      <c r="O1967" s="196"/>
      <c r="P1967" s="127"/>
    </row>
    <row r="1968" spans="1:16" ht="20.25" customHeight="1" x14ac:dyDescent="0.3">
      <c r="A1968" s="137"/>
      <c r="B1968" s="137"/>
      <c r="C1968" s="137"/>
      <c r="D1968" s="194"/>
      <c r="E1968" s="194"/>
      <c r="F1968" s="137"/>
      <c r="G1968" s="137"/>
      <c r="H1968" s="137"/>
      <c r="I1968" s="137"/>
      <c r="J1968" s="197"/>
      <c r="K1968" s="198"/>
      <c r="L1968" s="196"/>
      <c r="M1968" s="196"/>
      <c r="N1968" s="196"/>
      <c r="O1968" s="196"/>
      <c r="P1968" s="127"/>
    </row>
    <row r="1969" spans="1:16" ht="20.25" customHeight="1" x14ac:dyDescent="0.3">
      <c r="A1969" s="137"/>
      <c r="B1969" s="137"/>
      <c r="C1969" s="137"/>
      <c r="D1969" s="194"/>
      <c r="E1969" s="194"/>
      <c r="F1969" s="137"/>
      <c r="G1969" s="137"/>
      <c r="H1969" s="137"/>
      <c r="I1969" s="137"/>
      <c r="J1969" s="197"/>
      <c r="K1969" s="198"/>
      <c r="L1969" s="196"/>
      <c r="M1969" s="196"/>
      <c r="N1969" s="196"/>
      <c r="O1969" s="196"/>
      <c r="P1969" s="127"/>
    </row>
    <row r="1970" spans="1:16" ht="20.25" customHeight="1" x14ac:dyDescent="0.3">
      <c r="A1970" s="137"/>
      <c r="B1970" s="137"/>
      <c r="C1970" s="137"/>
      <c r="D1970" s="194"/>
      <c r="E1970" s="194"/>
      <c r="F1970" s="137"/>
      <c r="G1970" s="137"/>
      <c r="H1970" s="137"/>
      <c r="I1970" s="137"/>
      <c r="J1970" s="197"/>
      <c r="K1970" s="198"/>
      <c r="L1970" s="196"/>
      <c r="M1970" s="196"/>
      <c r="N1970" s="196"/>
      <c r="O1970" s="196"/>
      <c r="P1970" s="127"/>
    </row>
    <row r="1971" spans="1:16" ht="20.25" customHeight="1" x14ac:dyDescent="0.3">
      <c r="A1971" s="137"/>
      <c r="B1971" s="137"/>
      <c r="C1971" s="137"/>
      <c r="D1971" s="194"/>
      <c r="E1971" s="194"/>
      <c r="F1971" s="137"/>
      <c r="G1971" s="137"/>
      <c r="H1971" s="137"/>
      <c r="I1971" s="137"/>
      <c r="J1971" s="197"/>
      <c r="K1971" s="198"/>
      <c r="L1971" s="196"/>
      <c r="M1971" s="196"/>
      <c r="N1971" s="196"/>
      <c r="O1971" s="196"/>
      <c r="P1971" s="127"/>
    </row>
    <row r="1972" spans="1:16" ht="20.25" customHeight="1" x14ac:dyDescent="0.3">
      <c r="A1972" s="137"/>
      <c r="B1972" s="137"/>
      <c r="C1972" s="137"/>
      <c r="D1972" s="194"/>
      <c r="E1972" s="194"/>
      <c r="F1972" s="137"/>
      <c r="G1972" s="137"/>
      <c r="H1972" s="137"/>
      <c r="I1972" s="137"/>
      <c r="J1972" s="197"/>
      <c r="K1972" s="198"/>
      <c r="L1972" s="196"/>
      <c r="M1972" s="196"/>
      <c r="N1972" s="196"/>
      <c r="O1972" s="196"/>
      <c r="P1972" s="127"/>
    </row>
    <row r="1973" spans="1:16" ht="20.25" customHeight="1" x14ac:dyDescent="0.3">
      <c r="A1973" s="137"/>
      <c r="B1973" s="137"/>
      <c r="C1973" s="137"/>
      <c r="D1973" s="194"/>
      <c r="E1973" s="194"/>
      <c r="F1973" s="137"/>
      <c r="G1973" s="137"/>
      <c r="H1973" s="137"/>
      <c r="I1973" s="137"/>
      <c r="J1973" s="197"/>
      <c r="K1973" s="198"/>
      <c r="L1973" s="196"/>
      <c r="M1973" s="196"/>
      <c r="N1973" s="196"/>
      <c r="O1973" s="196"/>
      <c r="P1973" s="127"/>
    </row>
    <row r="1974" spans="1:16" ht="20.25" customHeight="1" x14ac:dyDescent="0.3">
      <c r="A1974" s="137"/>
      <c r="B1974" s="137"/>
      <c r="C1974" s="137"/>
      <c r="D1974" s="194"/>
      <c r="E1974" s="194"/>
      <c r="F1974" s="137"/>
      <c r="G1974" s="137"/>
      <c r="H1974" s="137"/>
      <c r="I1974" s="137"/>
      <c r="J1974" s="197"/>
      <c r="K1974" s="198"/>
      <c r="L1974" s="196"/>
      <c r="M1974" s="196"/>
      <c r="N1974" s="196"/>
      <c r="O1974" s="196"/>
      <c r="P1974" s="127"/>
    </row>
    <row r="1975" spans="1:16" ht="20.25" customHeight="1" x14ac:dyDescent="0.3">
      <c r="A1975" s="137"/>
      <c r="B1975" s="137"/>
      <c r="C1975" s="137"/>
      <c r="D1975" s="194"/>
      <c r="E1975" s="194"/>
      <c r="F1975" s="137"/>
      <c r="G1975" s="137"/>
      <c r="H1975" s="137"/>
      <c r="I1975" s="137"/>
      <c r="J1975" s="197"/>
      <c r="K1975" s="198"/>
      <c r="L1975" s="196"/>
      <c r="M1975" s="196"/>
      <c r="N1975" s="196"/>
      <c r="O1975" s="196"/>
      <c r="P1975" s="127"/>
    </row>
    <row r="1976" spans="1:16" ht="20.25" customHeight="1" x14ac:dyDescent="0.3">
      <c r="A1976" s="137"/>
      <c r="B1976" s="137"/>
      <c r="C1976" s="137"/>
      <c r="D1976" s="194"/>
      <c r="E1976" s="194"/>
      <c r="F1976" s="137"/>
      <c r="G1976" s="137"/>
      <c r="H1976" s="137"/>
      <c r="I1976" s="137"/>
      <c r="J1976" s="197"/>
      <c r="K1976" s="198"/>
      <c r="L1976" s="196"/>
      <c r="M1976" s="196"/>
      <c r="N1976" s="196"/>
      <c r="O1976" s="196"/>
      <c r="P1976" s="127"/>
    </row>
    <row r="1977" spans="1:16" ht="20.25" customHeight="1" x14ac:dyDescent="0.3">
      <c r="A1977" s="137"/>
      <c r="B1977" s="137"/>
      <c r="C1977" s="137"/>
      <c r="D1977" s="194"/>
      <c r="E1977" s="194"/>
      <c r="F1977" s="137"/>
      <c r="G1977" s="137"/>
      <c r="H1977" s="137"/>
      <c r="I1977" s="137"/>
      <c r="J1977" s="197"/>
      <c r="K1977" s="198"/>
      <c r="L1977" s="196"/>
      <c r="M1977" s="196"/>
      <c r="N1977" s="196"/>
      <c r="O1977" s="196"/>
      <c r="P1977" s="127"/>
    </row>
    <row r="1978" spans="1:16" ht="20.25" customHeight="1" x14ac:dyDescent="0.3">
      <c r="A1978" s="137"/>
      <c r="B1978" s="137"/>
      <c r="C1978" s="137"/>
      <c r="D1978" s="194"/>
      <c r="E1978" s="194"/>
      <c r="F1978" s="137"/>
      <c r="G1978" s="137"/>
      <c r="H1978" s="137"/>
      <c r="I1978" s="137"/>
      <c r="J1978" s="197"/>
      <c r="K1978" s="198"/>
      <c r="L1978" s="196"/>
      <c r="M1978" s="196"/>
      <c r="N1978" s="196"/>
      <c r="O1978" s="196"/>
      <c r="P1978" s="127"/>
    </row>
    <row r="1979" spans="1:16" ht="20.25" customHeight="1" x14ac:dyDescent="0.3">
      <c r="A1979" s="137"/>
      <c r="B1979" s="137"/>
      <c r="C1979" s="137"/>
      <c r="D1979" s="194"/>
      <c r="E1979" s="194"/>
      <c r="F1979" s="137"/>
      <c r="G1979" s="137"/>
      <c r="H1979" s="137"/>
      <c r="I1979" s="137"/>
      <c r="J1979" s="197"/>
      <c r="K1979" s="198"/>
      <c r="L1979" s="196"/>
      <c r="M1979" s="196"/>
      <c r="N1979" s="196"/>
      <c r="O1979" s="196"/>
      <c r="P1979" s="127"/>
    </row>
    <row r="1980" spans="1:16" ht="20.25" customHeight="1" x14ac:dyDescent="0.3">
      <c r="A1980" s="137"/>
      <c r="B1980" s="137"/>
      <c r="C1980" s="137"/>
      <c r="D1980" s="194"/>
      <c r="E1980" s="194"/>
      <c r="F1980" s="137"/>
      <c r="G1980" s="137"/>
      <c r="H1980" s="137"/>
      <c r="I1980" s="137"/>
      <c r="J1980" s="197"/>
      <c r="K1980" s="198"/>
      <c r="L1980" s="196"/>
      <c r="M1980" s="196"/>
      <c r="N1980" s="196"/>
      <c r="O1980" s="196"/>
      <c r="P1980" s="127"/>
    </row>
    <row r="1981" spans="1:16" ht="20.25" customHeight="1" x14ac:dyDescent="0.3">
      <c r="A1981" s="137"/>
      <c r="B1981" s="137"/>
      <c r="C1981" s="137"/>
      <c r="D1981" s="194"/>
      <c r="E1981" s="194"/>
      <c r="F1981" s="137"/>
      <c r="G1981" s="137"/>
      <c r="H1981" s="137"/>
      <c r="I1981" s="137"/>
      <c r="J1981" s="197"/>
      <c r="K1981" s="198"/>
      <c r="L1981" s="196"/>
      <c r="M1981" s="196"/>
      <c r="N1981" s="196"/>
      <c r="O1981" s="196"/>
      <c r="P1981" s="127"/>
    </row>
    <row r="1982" spans="1:16" ht="20.25" customHeight="1" x14ac:dyDescent="0.3">
      <c r="A1982" s="137"/>
      <c r="B1982" s="137"/>
      <c r="C1982" s="137"/>
      <c r="D1982" s="194"/>
      <c r="E1982" s="194"/>
      <c r="F1982" s="137"/>
      <c r="G1982" s="137"/>
      <c r="H1982" s="137"/>
      <c r="I1982" s="137"/>
      <c r="J1982" s="197"/>
      <c r="K1982" s="198"/>
      <c r="L1982" s="196"/>
      <c r="M1982" s="196"/>
      <c r="N1982" s="196"/>
      <c r="O1982" s="196"/>
      <c r="P1982" s="127"/>
    </row>
    <row r="1983" spans="1:16" ht="20.25" customHeight="1" x14ac:dyDescent="0.3">
      <c r="A1983" s="137"/>
      <c r="B1983" s="137"/>
      <c r="C1983" s="137"/>
      <c r="D1983" s="194"/>
      <c r="E1983" s="194"/>
      <c r="F1983" s="137"/>
      <c r="G1983" s="137"/>
      <c r="H1983" s="137"/>
      <c r="I1983" s="137"/>
      <c r="J1983" s="197"/>
      <c r="K1983" s="198"/>
      <c r="L1983" s="196"/>
      <c r="M1983" s="196"/>
      <c r="N1983" s="196"/>
      <c r="O1983" s="196"/>
      <c r="P1983" s="127"/>
    </row>
    <row r="1984" spans="1:16" ht="20.25" customHeight="1" x14ac:dyDescent="0.3">
      <c r="A1984" s="137"/>
      <c r="B1984" s="137"/>
      <c r="C1984" s="137"/>
      <c r="D1984" s="194"/>
      <c r="E1984" s="194"/>
      <c r="F1984" s="137"/>
      <c r="G1984" s="137"/>
      <c r="H1984" s="137"/>
      <c r="I1984" s="137"/>
      <c r="J1984" s="197"/>
      <c r="K1984" s="198"/>
      <c r="L1984" s="196"/>
      <c r="M1984" s="196"/>
      <c r="N1984" s="196"/>
      <c r="O1984" s="196"/>
      <c r="P1984" s="127"/>
    </row>
    <row r="1985" spans="1:16" ht="20.25" customHeight="1" x14ac:dyDescent="0.3">
      <c r="A1985" s="137"/>
      <c r="B1985" s="137"/>
      <c r="C1985" s="137"/>
      <c r="D1985" s="194"/>
      <c r="E1985" s="194"/>
      <c r="F1985" s="137"/>
      <c r="G1985" s="137"/>
      <c r="H1985" s="137"/>
      <c r="I1985" s="137"/>
      <c r="J1985" s="197"/>
      <c r="K1985" s="198"/>
      <c r="L1985" s="196"/>
      <c r="M1985" s="196"/>
      <c r="N1985" s="196"/>
      <c r="O1985" s="196"/>
      <c r="P1985" s="127"/>
    </row>
    <row r="1986" spans="1:16" ht="20.25" customHeight="1" x14ac:dyDescent="0.3">
      <c r="A1986" s="137"/>
      <c r="B1986" s="137"/>
      <c r="C1986" s="137"/>
      <c r="D1986" s="194"/>
      <c r="E1986" s="194"/>
      <c r="F1986" s="137"/>
      <c r="G1986" s="137"/>
      <c r="H1986" s="137"/>
      <c r="I1986" s="137"/>
      <c r="J1986" s="197"/>
      <c r="K1986" s="198"/>
      <c r="L1986" s="196"/>
      <c r="M1986" s="196"/>
      <c r="N1986" s="196"/>
      <c r="O1986" s="196"/>
      <c r="P1986" s="127"/>
    </row>
    <row r="1987" spans="1:16" ht="20.25" customHeight="1" x14ac:dyDescent="0.3">
      <c r="A1987" s="137"/>
      <c r="B1987" s="137"/>
      <c r="C1987" s="137"/>
      <c r="D1987" s="194"/>
      <c r="E1987" s="194"/>
      <c r="F1987" s="137"/>
      <c r="G1987" s="137"/>
      <c r="H1987" s="137"/>
      <c r="I1987" s="137"/>
      <c r="J1987" s="197"/>
      <c r="K1987" s="198"/>
      <c r="L1987" s="196"/>
      <c r="M1987" s="196"/>
      <c r="N1987" s="196"/>
      <c r="O1987" s="196"/>
      <c r="P1987" s="127"/>
    </row>
    <row r="1988" spans="1:16" ht="20.25" customHeight="1" x14ac:dyDescent="0.3">
      <c r="A1988" s="137"/>
      <c r="B1988" s="137"/>
      <c r="C1988" s="137"/>
      <c r="D1988" s="194"/>
      <c r="E1988" s="194"/>
      <c r="F1988" s="137"/>
      <c r="G1988" s="137"/>
      <c r="H1988" s="137"/>
      <c r="I1988" s="137"/>
      <c r="J1988" s="197"/>
      <c r="K1988" s="198"/>
      <c r="L1988" s="196"/>
      <c r="M1988" s="196"/>
      <c r="N1988" s="196"/>
      <c r="O1988" s="196"/>
      <c r="P1988" s="127"/>
    </row>
    <row r="1989" spans="1:16" ht="20.25" customHeight="1" x14ac:dyDescent="0.3">
      <c r="A1989" s="137"/>
      <c r="B1989" s="137"/>
      <c r="C1989" s="137"/>
      <c r="D1989" s="194"/>
      <c r="E1989" s="194"/>
      <c r="F1989" s="137"/>
      <c r="G1989" s="137"/>
      <c r="H1989" s="137"/>
      <c r="I1989" s="137"/>
      <c r="J1989" s="197"/>
      <c r="K1989" s="198"/>
      <c r="L1989" s="196"/>
      <c r="M1989" s="196"/>
      <c r="N1989" s="196"/>
      <c r="O1989" s="196"/>
      <c r="P1989" s="127"/>
    </row>
    <row r="1990" spans="1:16" ht="20.25" customHeight="1" x14ac:dyDescent="0.3">
      <c r="A1990" s="137"/>
      <c r="B1990" s="137"/>
      <c r="C1990" s="137"/>
      <c r="D1990" s="194"/>
      <c r="E1990" s="194"/>
      <c r="F1990" s="137"/>
      <c r="G1990" s="137"/>
      <c r="H1990" s="137"/>
      <c r="I1990" s="137"/>
      <c r="J1990" s="197"/>
      <c r="K1990" s="198"/>
      <c r="L1990" s="196"/>
      <c r="M1990" s="196"/>
      <c r="N1990" s="196"/>
      <c r="O1990" s="196"/>
      <c r="P1990" s="127"/>
    </row>
    <row r="1991" spans="1:16" ht="20.25" customHeight="1" x14ac:dyDescent="0.3">
      <c r="A1991" s="137"/>
      <c r="B1991" s="137"/>
      <c r="C1991" s="137"/>
      <c r="D1991" s="194"/>
      <c r="E1991" s="194"/>
      <c r="F1991" s="137"/>
      <c r="G1991" s="137"/>
      <c r="H1991" s="137"/>
      <c r="I1991" s="137"/>
      <c r="J1991" s="197"/>
      <c r="K1991" s="198"/>
      <c r="L1991" s="196"/>
      <c r="M1991" s="196"/>
      <c r="N1991" s="196"/>
      <c r="O1991" s="196"/>
      <c r="P1991" s="127"/>
    </row>
    <row r="1992" spans="1:16" ht="20.25" customHeight="1" x14ac:dyDescent="0.3">
      <c r="A1992" s="137"/>
      <c r="B1992" s="137"/>
      <c r="C1992" s="137"/>
      <c r="D1992" s="194"/>
      <c r="E1992" s="194"/>
      <c r="F1992" s="137"/>
      <c r="G1992" s="137"/>
      <c r="H1992" s="137"/>
      <c r="I1992" s="137"/>
      <c r="J1992" s="197"/>
      <c r="K1992" s="198"/>
      <c r="L1992" s="196"/>
      <c r="M1992" s="196"/>
      <c r="N1992" s="196"/>
      <c r="O1992" s="196"/>
      <c r="P1992" s="127"/>
    </row>
    <row r="1993" spans="1:16" ht="20.25" customHeight="1" x14ac:dyDescent="0.3">
      <c r="A1993" s="137"/>
      <c r="B1993" s="137"/>
      <c r="C1993" s="137"/>
      <c r="D1993" s="194"/>
      <c r="E1993" s="194"/>
      <c r="F1993" s="137"/>
      <c r="G1993" s="137"/>
      <c r="H1993" s="137"/>
      <c r="I1993" s="137"/>
      <c r="J1993" s="197"/>
      <c r="K1993" s="198"/>
      <c r="L1993" s="196"/>
      <c r="M1993" s="196"/>
      <c r="N1993" s="196"/>
      <c r="O1993" s="196"/>
      <c r="P1993" s="127"/>
    </row>
    <row r="1994" spans="1:16" ht="20.25" customHeight="1" x14ac:dyDescent="0.3">
      <c r="A1994" s="137"/>
      <c r="B1994" s="137"/>
      <c r="C1994" s="137"/>
      <c r="D1994" s="194"/>
      <c r="E1994" s="194"/>
      <c r="F1994" s="137"/>
      <c r="G1994" s="137"/>
      <c r="H1994" s="137"/>
      <c r="I1994" s="137"/>
      <c r="J1994" s="197"/>
      <c r="K1994" s="198"/>
      <c r="L1994" s="196"/>
      <c r="M1994" s="196"/>
      <c r="N1994" s="196"/>
      <c r="O1994" s="196"/>
      <c r="P1994" s="127"/>
    </row>
    <row r="1995" spans="1:16" ht="20.25" customHeight="1" x14ac:dyDescent="0.3">
      <c r="A1995" s="137"/>
      <c r="B1995" s="137"/>
      <c r="C1995" s="137"/>
      <c r="D1995" s="194"/>
      <c r="E1995" s="194"/>
      <c r="F1995" s="137"/>
      <c r="G1995" s="137"/>
      <c r="H1995" s="137"/>
      <c r="I1995" s="137"/>
      <c r="J1995" s="197"/>
      <c r="K1995" s="198"/>
      <c r="L1995" s="196"/>
      <c r="M1995" s="196"/>
      <c r="N1995" s="196"/>
      <c r="O1995" s="196"/>
      <c r="P1995" s="127"/>
    </row>
    <row r="1996" spans="1:16" ht="20.25" customHeight="1" x14ac:dyDescent="0.3">
      <c r="A1996" s="137"/>
      <c r="B1996" s="137"/>
      <c r="C1996" s="137"/>
      <c r="D1996" s="194"/>
      <c r="E1996" s="194"/>
      <c r="F1996" s="137"/>
      <c r="G1996" s="137"/>
      <c r="H1996" s="137"/>
      <c r="I1996" s="137"/>
      <c r="J1996" s="197"/>
      <c r="K1996" s="198"/>
      <c r="L1996" s="196"/>
      <c r="M1996" s="196"/>
      <c r="N1996" s="196"/>
      <c r="O1996" s="196"/>
      <c r="P1996" s="127"/>
    </row>
    <row r="1997" spans="1:16" ht="20.25" customHeight="1" x14ac:dyDescent="0.3">
      <c r="A1997" s="137"/>
      <c r="B1997" s="137"/>
      <c r="C1997" s="137"/>
      <c r="D1997" s="194"/>
      <c r="E1997" s="194"/>
      <c r="F1997" s="137"/>
      <c r="G1997" s="137"/>
      <c r="H1997" s="137"/>
      <c r="I1997" s="137"/>
      <c r="J1997" s="197"/>
      <c r="K1997" s="198"/>
      <c r="L1997" s="196"/>
      <c r="M1997" s="196"/>
      <c r="N1997" s="196"/>
      <c r="O1997" s="196"/>
      <c r="P1997" s="127"/>
    </row>
    <row r="1998" spans="1:16" ht="20.25" customHeight="1" x14ac:dyDescent="0.3">
      <c r="A1998" s="137"/>
      <c r="B1998" s="137"/>
      <c r="C1998" s="137"/>
      <c r="D1998" s="194"/>
      <c r="E1998" s="194"/>
      <c r="F1998" s="137"/>
      <c r="G1998" s="137"/>
      <c r="H1998" s="137"/>
      <c r="I1998" s="137"/>
      <c r="J1998" s="197"/>
      <c r="K1998" s="198"/>
      <c r="L1998" s="196"/>
      <c r="M1998" s="196"/>
      <c r="N1998" s="196"/>
      <c r="O1998" s="196"/>
      <c r="P1998" s="127"/>
    </row>
    <row r="1999" spans="1:16" ht="20.25" customHeight="1" x14ac:dyDescent="0.3">
      <c r="A1999" s="137"/>
      <c r="B1999" s="137"/>
      <c r="C1999" s="137"/>
      <c r="D1999" s="194"/>
      <c r="E1999" s="194"/>
      <c r="F1999" s="137"/>
      <c r="G1999" s="137"/>
      <c r="H1999" s="137"/>
      <c r="I1999" s="137"/>
      <c r="J1999" s="197"/>
      <c r="K1999" s="198"/>
      <c r="L1999" s="196"/>
      <c r="M1999" s="196"/>
      <c r="N1999" s="196"/>
      <c r="O1999" s="196"/>
      <c r="P1999" s="127"/>
    </row>
    <row r="2000" spans="1:16" ht="20.25" customHeight="1" x14ac:dyDescent="0.3">
      <c r="A2000" s="137"/>
      <c r="B2000" s="137"/>
      <c r="C2000" s="137"/>
      <c r="D2000" s="194"/>
      <c r="E2000" s="194"/>
      <c r="F2000" s="137"/>
      <c r="G2000" s="137"/>
      <c r="H2000" s="137"/>
      <c r="I2000" s="137"/>
      <c r="J2000" s="197"/>
      <c r="K2000" s="198"/>
      <c r="L2000" s="196"/>
      <c r="M2000" s="196"/>
      <c r="N2000" s="196"/>
      <c r="O2000" s="196"/>
      <c r="P2000" s="127"/>
    </row>
    <row r="2001" spans="1:16" ht="20.25" customHeight="1" x14ac:dyDescent="0.3">
      <c r="A2001" s="137"/>
      <c r="B2001" s="137"/>
      <c r="C2001" s="137"/>
      <c r="D2001" s="194"/>
      <c r="E2001" s="194"/>
      <c r="F2001" s="137"/>
      <c r="G2001" s="137"/>
      <c r="H2001" s="137"/>
      <c r="I2001" s="137"/>
      <c r="J2001" s="197"/>
      <c r="K2001" s="198"/>
      <c r="L2001" s="196"/>
      <c r="M2001" s="196"/>
      <c r="N2001" s="196"/>
      <c r="O2001" s="196"/>
      <c r="P2001" s="127"/>
    </row>
    <row r="2002" spans="1:16" ht="20.25" customHeight="1" x14ac:dyDescent="0.3">
      <c r="A2002" s="137"/>
      <c r="B2002" s="137"/>
      <c r="C2002" s="137"/>
      <c r="D2002" s="194"/>
      <c r="E2002" s="194"/>
      <c r="F2002" s="137"/>
      <c r="G2002" s="137"/>
      <c r="H2002" s="137"/>
      <c r="I2002" s="137"/>
      <c r="J2002" s="197"/>
      <c r="K2002" s="198"/>
      <c r="L2002" s="196"/>
      <c r="M2002" s="196"/>
      <c r="N2002" s="196"/>
      <c r="O2002" s="196"/>
      <c r="P2002" s="127"/>
    </row>
    <row r="2003" spans="1:16" ht="20.25" customHeight="1" x14ac:dyDescent="0.3">
      <c r="A2003" s="137"/>
      <c r="B2003" s="137"/>
      <c r="C2003" s="137"/>
      <c r="D2003" s="194"/>
      <c r="E2003" s="194"/>
      <c r="F2003" s="137"/>
      <c r="G2003" s="137"/>
      <c r="H2003" s="137"/>
      <c r="I2003" s="137"/>
      <c r="J2003" s="197"/>
      <c r="K2003" s="198"/>
      <c r="L2003" s="196"/>
      <c r="M2003" s="196"/>
      <c r="N2003" s="196"/>
      <c r="O2003" s="196"/>
      <c r="P2003" s="127"/>
    </row>
    <row r="2004" spans="1:16" ht="20.25" customHeight="1" x14ac:dyDescent="0.3">
      <c r="A2004" s="137"/>
      <c r="B2004" s="137"/>
      <c r="C2004" s="137"/>
      <c r="D2004" s="194"/>
      <c r="E2004" s="194"/>
      <c r="F2004" s="137"/>
      <c r="G2004" s="137"/>
      <c r="H2004" s="137"/>
      <c r="I2004" s="137"/>
      <c r="J2004" s="197"/>
      <c r="K2004" s="198"/>
      <c r="L2004" s="196"/>
      <c r="M2004" s="196"/>
      <c r="N2004" s="196"/>
      <c r="O2004" s="196"/>
      <c r="P2004" s="127"/>
    </row>
    <row r="2005" spans="1:16" ht="20.25" customHeight="1" x14ac:dyDescent="0.3">
      <c r="A2005" s="137"/>
      <c r="B2005" s="137"/>
      <c r="C2005" s="137"/>
      <c r="D2005" s="194"/>
      <c r="E2005" s="194"/>
      <c r="F2005" s="137"/>
      <c r="G2005" s="137"/>
      <c r="H2005" s="137"/>
      <c r="I2005" s="137"/>
      <c r="J2005" s="197"/>
      <c r="K2005" s="198"/>
      <c r="L2005" s="196"/>
      <c r="M2005" s="196"/>
      <c r="N2005" s="196"/>
      <c r="O2005" s="196"/>
      <c r="P2005" s="127"/>
    </row>
    <row r="2006" spans="1:16" ht="20.25" customHeight="1" x14ac:dyDescent="0.3">
      <c r="A2006" s="137"/>
      <c r="B2006" s="137"/>
      <c r="C2006" s="137"/>
      <c r="D2006" s="194"/>
      <c r="E2006" s="194"/>
      <c r="F2006" s="137"/>
      <c r="G2006" s="137"/>
      <c r="H2006" s="137"/>
      <c r="I2006" s="137"/>
      <c r="J2006" s="197"/>
      <c r="K2006" s="198"/>
      <c r="L2006" s="196"/>
      <c r="M2006" s="196"/>
      <c r="N2006" s="196"/>
      <c r="O2006" s="196"/>
      <c r="P2006" s="127"/>
    </row>
    <row r="2007" spans="1:16" ht="20.25" customHeight="1" x14ac:dyDescent="0.3">
      <c r="A2007" s="137"/>
      <c r="B2007" s="137"/>
      <c r="C2007" s="137"/>
      <c r="D2007" s="194"/>
      <c r="E2007" s="194"/>
      <c r="F2007" s="137"/>
      <c r="G2007" s="137"/>
      <c r="H2007" s="137"/>
      <c r="I2007" s="137"/>
      <c r="J2007" s="197"/>
      <c r="K2007" s="198"/>
      <c r="L2007" s="196"/>
      <c r="M2007" s="196"/>
      <c r="N2007" s="196"/>
      <c r="O2007" s="196"/>
      <c r="P2007" s="127"/>
    </row>
    <row r="2008" spans="1:16" ht="20.25" customHeight="1" x14ac:dyDescent="0.3">
      <c r="A2008" s="137"/>
      <c r="B2008" s="137"/>
      <c r="C2008" s="137"/>
      <c r="D2008" s="194"/>
      <c r="E2008" s="194"/>
      <c r="F2008" s="137"/>
      <c r="G2008" s="137"/>
      <c r="H2008" s="137"/>
      <c r="I2008" s="137"/>
      <c r="J2008" s="197"/>
      <c r="K2008" s="198"/>
      <c r="L2008" s="196"/>
      <c r="M2008" s="196"/>
      <c r="N2008" s="196"/>
      <c r="O2008" s="196"/>
      <c r="P2008" s="127"/>
    </row>
    <row r="2009" spans="1:16" ht="20.25" customHeight="1" x14ac:dyDescent="0.3">
      <c r="A2009" s="137"/>
      <c r="B2009" s="137"/>
      <c r="C2009" s="137"/>
      <c r="D2009" s="194"/>
      <c r="E2009" s="194"/>
      <c r="F2009" s="137"/>
      <c r="G2009" s="137"/>
      <c r="H2009" s="137"/>
      <c r="I2009" s="137"/>
      <c r="J2009" s="197"/>
      <c r="K2009" s="198"/>
      <c r="L2009" s="196"/>
      <c r="M2009" s="196"/>
      <c r="N2009" s="196"/>
      <c r="O2009" s="196"/>
      <c r="P2009" s="127"/>
    </row>
    <row r="2010" spans="1:16" ht="20.25" customHeight="1" x14ac:dyDescent="0.3">
      <c r="A2010" s="137"/>
      <c r="B2010" s="137"/>
      <c r="C2010" s="137"/>
      <c r="D2010" s="194"/>
      <c r="E2010" s="194"/>
      <c r="F2010" s="137"/>
      <c r="G2010" s="137"/>
      <c r="H2010" s="137"/>
      <c r="I2010" s="137"/>
      <c r="J2010" s="197"/>
      <c r="K2010" s="198"/>
      <c r="L2010" s="196"/>
      <c r="M2010" s="196"/>
      <c r="N2010" s="196"/>
      <c r="O2010" s="196"/>
      <c r="P2010" s="127"/>
    </row>
    <row r="2011" spans="1:16" ht="20.25" customHeight="1" x14ac:dyDescent="0.3">
      <c r="A2011" s="137"/>
      <c r="B2011" s="137"/>
      <c r="C2011" s="137"/>
      <c r="D2011" s="194"/>
      <c r="E2011" s="194"/>
      <c r="F2011" s="137"/>
      <c r="G2011" s="137"/>
      <c r="H2011" s="137"/>
      <c r="I2011" s="137"/>
      <c r="J2011" s="197"/>
      <c r="K2011" s="198"/>
      <c r="L2011" s="196"/>
      <c r="M2011" s="196"/>
      <c r="N2011" s="196"/>
      <c r="O2011" s="196"/>
      <c r="P2011" s="127"/>
    </row>
    <row r="2012" spans="1:16" ht="20.25" customHeight="1" x14ac:dyDescent="0.3">
      <c r="A2012" s="137"/>
      <c r="B2012" s="137"/>
      <c r="C2012" s="137"/>
      <c r="D2012" s="194"/>
      <c r="E2012" s="194"/>
      <c r="F2012" s="137"/>
      <c r="G2012" s="137"/>
      <c r="H2012" s="137"/>
      <c r="I2012" s="137"/>
      <c r="J2012" s="197"/>
      <c r="K2012" s="198"/>
      <c r="L2012" s="196"/>
      <c r="M2012" s="196"/>
      <c r="N2012" s="196"/>
      <c r="O2012" s="196"/>
      <c r="P2012" s="127"/>
    </row>
    <row r="2013" spans="1:16" ht="20.25" customHeight="1" x14ac:dyDescent="0.3">
      <c r="A2013" s="137"/>
      <c r="B2013" s="137"/>
      <c r="C2013" s="137"/>
      <c r="D2013" s="194"/>
      <c r="E2013" s="194"/>
      <c r="F2013" s="137"/>
      <c r="G2013" s="137"/>
      <c r="H2013" s="137"/>
      <c r="I2013" s="137"/>
      <c r="J2013" s="197"/>
      <c r="K2013" s="198"/>
      <c r="L2013" s="196"/>
      <c r="M2013" s="196"/>
      <c r="N2013" s="196"/>
      <c r="O2013" s="196"/>
      <c r="P2013" s="127"/>
    </row>
    <row r="2014" spans="1:16" ht="20.25" customHeight="1" x14ac:dyDescent="0.3">
      <c r="A2014" s="137"/>
      <c r="B2014" s="137"/>
      <c r="C2014" s="137"/>
      <c r="D2014" s="194"/>
      <c r="E2014" s="194"/>
      <c r="F2014" s="137"/>
      <c r="G2014" s="137"/>
      <c r="H2014" s="137"/>
      <c r="I2014" s="137"/>
      <c r="J2014" s="197"/>
      <c r="K2014" s="198"/>
      <c r="L2014" s="196"/>
      <c r="M2014" s="196"/>
      <c r="N2014" s="196"/>
      <c r="O2014" s="196"/>
      <c r="P2014" s="127"/>
    </row>
    <row r="2015" spans="1:16" ht="20.25" customHeight="1" x14ac:dyDescent="0.3">
      <c r="A2015" s="137"/>
      <c r="B2015" s="137"/>
      <c r="C2015" s="137"/>
      <c r="D2015" s="194"/>
      <c r="E2015" s="194"/>
      <c r="F2015" s="137"/>
      <c r="G2015" s="137"/>
      <c r="H2015" s="137"/>
      <c r="I2015" s="137"/>
      <c r="J2015" s="197"/>
      <c r="K2015" s="198"/>
      <c r="L2015" s="196"/>
      <c r="M2015" s="196"/>
      <c r="N2015" s="196"/>
      <c r="O2015" s="196"/>
      <c r="P2015" s="127"/>
    </row>
    <row r="2016" spans="1:16" ht="20.25" customHeight="1" x14ac:dyDescent="0.3">
      <c r="A2016" s="137"/>
      <c r="B2016" s="137"/>
      <c r="C2016" s="137"/>
      <c r="D2016" s="194"/>
      <c r="E2016" s="194"/>
      <c r="F2016" s="137"/>
      <c r="G2016" s="137"/>
      <c r="H2016" s="137"/>
      <c r="I2016" s="137"/>
      <c r="J2016" s="197"/>
      <c r="K2016" s="198"/>
      <c r="L2016" s="196"/>
      <c r="M2016" s="196"/>
      <c r="N2016" s="196"/>
      <c r="O2016" s="196"/>
      <c r="P2016" s="127"/>
    </row>
    <row r="2017" spans="1:16" ht="20.25" customHeight="1" x14ac:dyDescent="0.3">
      <c r="A2017" s="137"/>
      <c r="B2017" s="137"/>
      <c r="C2017" s="137"/>
      <c r="D2017" s="194"/>
      <c r="E2017" s="194"/>
      <c r="F2017" s="137"/>
      <c r="G2017" s="137"/>
      <c r="H2017" s="137"/>
      <c r="I2017" s="137"/>
      <c r="J2017" s="197"/>
      <c r="K2017" s="198"/>
      <c r="L2017" s="196"/>
      <c r="M2017" s="196"/>
      <c r="N2017" s="196"/>
      <c r="O2017" s="196"/>
      <c r="P2017" s="127"/>
    </row>
    <row r="2018" spans="1:16" ht="20.25" customHeight="1" x14ac:dyDescent="0.3">
      <c r="A2018" s="137"/>
      <c r="B2018" s="137"/>
      <c r="C2018" s="137"/>
      <c r="D2018" s="194"/>
      <c r="E2018" s="194"/>
      <c r="F2018" s="137"/>
      <c r="G2018" s="137"/>
      <c r="H2018" s="137"/>
      <c r="I2018" s="137"/>
      <c r="J2018" s="197"/>
      <c r="K2018" s="198"/>
      <c r="L2018" s="196"/>
      <c r="M2018" s="196"/>
      <c r="N2018" s="196"/>
      <c r="O2018" s="196"/>
      <c r="P2018" s="127"/>
    </row>
    <row r="2019" spans="1:16" ht="20.25" customHeight="1" x14ac:dyDescent="0.3">
      <c r="A2019" s="137"/>
      <c r="B2019" s="137"/>
      <c r="C2019" s="137"/>
      <c r="D2019" s="194"/>
      <c r="E2019" s="194"/>
      <c r="F2019" s="137"/>
      <c r="G2019" s="137"/>
      <c r="H2019" s="137"/>
      <c r="I2019" s="137"/>
      <c r="J2019" s="197"/>
      <c r="K2019" s="198"/>
      <c r="L2019" s="196"/>
      <c r="M2019" s="196"/>
      <c r="N2019" s="196"/>
      <c r="O2019" s="196"/>
      <c r="P2019" s="127"/>
    </row>
    <row r="2020" spans="1:16" ht="20.25" customHeight="1" x14ac:dyDescent="0.3">
      <c r="A2020" s="137"/>
      <c r="B2020" s="137"/>
      <c r="C2020" s="137"/>
      <c r="D2020" s="194"/>
      <c r="E2020" s="194"/>
      <c r="F2020" s="137"/>
      <c r="G2020" s="137"/>
      <c r="H2020" s="137"/>
      <c r="I2020" s="137"/>
      <c r="J2020" s="197"/>
      <c r="K2020" s="198"/>
      <c r="L2020" s="196"/>
      <c r="M2020" s="196"/>
      <c r="N2020" s="196"/>
      <c r="O2020" s="196"/>
      <c r="P2020" s="127"/>
    </row>
    <row r="2021" spans="1:16" ht="20.25" customHeight="1" x14ac:dyDescent="0.3">
      <c r="A2021" s="137"/>
      <c r="B2021" s="137"/>
      <c r="C2021" s="137"/>
      <c r="D2021" s="194"/>
      <c r="E2021" s="194"/>
      <c r="F2021" s="137"/>
      <c r="G2021" s="137"/>
      <c r="H2021" s="137"/>
      <c r="I2021" s="137"/>
      <c r="J2021" s="197"/>
      <c r="K2021" s="198"/>
      <c r="L2021" s="196"/>
      <c r="M2021" s="196"/>
      <c r="N2021" s="196"/>
      <c r="O2021" s="196"/>
      <c r="P2021" s="127"/>
    </row>
    <row r="2022" spans="1:16" ht="20.25" customHeight="1" x14ac:dyDescent="0.3">
      <c r="A2022" s="137"/>
      <c r="B2022" s="137"/>
      <c r="C2022" s="137"/>
      <c r="D2022" s="194"/>
      <c r="E2022" s="194"/>
      <c r="F2022" s="137"/>
      <c r="G2022" s="137"/>
      <c r="H2022" s="137"/>
      <c r="I2022" s="137"/>
      <c r="J2022" s="197"/>
      <c r="K2022" s="198"/>
      <c r="L2022" s="196"/>
      <c r="M2022" s="196"/>
      <c r="N2022" s="196"/>
      <c r="O2022" s="196"/>
      <c r="P2022" s="127"/>
    </row>
    <row r="2023" spans="1:16" ht="20.25" customHeight="1" x14ac:dyDescent="0.3">
      <c r="A2023" s="137"/>
      <c r="B2023" s="137"/>
      <c r="C2023" s="137"/>
      <c r="D2023" s="194"/>
      <c r="E2023" s="194"/>
      <c r="F2023" s="137"/>
      <c r="G2023" s="137"/>
      <c r="H2023" s="137"/>
      <c r="I2023" s="137"/>
      <c r="J2023" s="197"/>
      <c r="K2023" s="198"/>
      <c r="L2023" s="196"/>
      <c r="M2023" s="196"/>
      <c r="N2023" s="196"/>
      <c r="O2023" s="196"/>
      <c r="P2023" s="127"/>
    </row>
    <row r="2024" spans="1:16" ht="20.25" customHeight="1" x14ac:dyDescent="0.3">
      <c r="A2024" s="137"/>
      <c r="B2024" s="137"/>
      <c r="C2024" s="137"/>
      <c r="D2024" s="194"/>
      <c r="E2024" s="194"/>
      <c r="F2024" s="137"/>
      <c r="G2024" s="137"/>
      <c r="H2024" s="137"/>
      <c r="I2024" s="137"/>
      <c r="J2024" s="197"/>
      <c r="K2024" s="198"/>
      <c r="L2024" s="196"/>
      <c r="M2024" s="196"/>
      <c r="N2024" s="196"/>
      <c r="O2024" s="196"/>
      <c r="P2024" s="127"/>
    </row>
    <row r="2025" spans="1:16" ht="20.25" customHeight="1" x14ac:dyDescent="0.3">
      <c r="A2025" s="137"/>
      <c r="B2025" s="137"/>
      <c r="C2025" s="137"/>
      <c r="D2025" s="194"/>
      <c r="E2025" s="194"/>
      <c r="F2025" s="137"/>
      <c r="G2025" s="137"/>
      <c r="H2025" s="137"/>
      <c r="I2025" s="137"/>
      <c r="J2025" s="197"/>
      <c r="K2025" s="198"/>
      <c r="L2025" s="196"/>
      <c r="M2025" s="196"/>
      <c r="N2025" s="196"/>
      <c r="O2025" s="196"/>
      <c r="P2025" s="127"/>
    </row>
    <row r="2026" spans="1:16" ht="20.25" customHeight="1" x14ac:dyDescent="0.3">
      <c r="A2026" s="137"/>
      <c r="B2026" s="137"/>
      <c r="C2026" s="137"/>
      <c r="D2026" s="194"/>
      <c r="E2026" s="194"/>
      <c r="F2026" s="137"/>
      <c r="G2026" s="137"/>
      <c r="H2026" s="137"/>
      <c r="I2026" s="137"/>
      <c r="J2026" s="197"/>
      <c r="K2026" s="198"/>
      <c r="L2026" s="196"/>
      <c r="M2026" s="196"/>
      <c r="N2026" s="196"/>
      <c r="O2026" s="196"/>
      <c r="P2026" s="127"/>
    </row>
    <row r="2027" spans="1:16" ht="20.25" customHeight="1" x14ac:dyDescent="0.3">
      <c r="A2027" s="137"/>
      <c r="B2027" s="137"/>
      <c r="C2027" s="137"/>
      <c r="D2027" s="194"/>
      <c r="E2027" s="194"/>
      <c r="F2027" s="137"/>
      <c r="G2027" s="137"/>
      <c r="H2027" s="137"/>
      <c r="I2027" s="137"/>
      <c r="J2027" s="197"/>
      <c r="K2027" s="198"/>
      <c r="L2027" s="196"/>
      <c r="M2027" s="196"/>
      <c r="N2027" s="196"/>
      <c r="O2027" s="196"/>
      <c r="P2027" s="127"/>
    </row>
    <row r="2028" spans="1:16" ht="20.25" customHeight="1" x14ac:dyDescent="0.3">
      <c r="A2028" s="137"/>
      <c r="B2028" s="137"/>
      <c r="C2028" s="137"/>
      <c r="D2028" s="194"/>
      <c r="E2028" s="194"/>
      <c r="F2028" s="137"/>
      <c r="G2028" s="137"/>
      <c r="H2028" s="137"/>
      <c r="I2028" s="137"/>
      <c r="J2028" s="197"/>
      <c r="K2028" s="198"/>
      <c r="L2028" s="196"/>
      <c r="M2028" s="196"/>
      <c r="N2028" s="196"/>
      <c r="O2028" s="196"/>
      <c r="P2028" s="127"/>
    </row>
    <row r="2029" spans="1:16" ht="20.25" customHeight="1" x14ac:dyDescent="0.3">
      <c r="A2029" s="137"/>
      <c r="B2029" s="137"/>
      <c r="C2029" s="137"/>
      <c r="D2029" s="194"/>
      <c r="E2029" s="194"/>
      <c r="F2029" s="137"/>
      <c r="G2029" s="137"/>
      <c r="H2029" s="137"/>
      <c r="I2029" s="137"/>
      <c r="J2029" s="197"/>
      <c r="K2029" s="198"/>
      <c r="L2029" s="196"/>
      <c r="M2029" s="196"/>
      <c r="N2029" s="196"/>
      <c r="O2029" s="196"/>
      <c r="P2029" s="127"/>
    </row>
    <row r="2030" spans="1:16" ht="20.25" customHeight="1" x14ac:dyDescent="0.3">
      <c r="A2030" s="137"/>
      <c r="B2030" s="137"/>
      <c r="C2030" s="137"/>
      <c r="D2030" s="194"/>
      <c r="E2030" s="194"/>
      <c r="F2030" s="137"/>
      <c r="G2030" s="137"/>
      <c r="H2030" s="137"/>
      <c r="I2030" s="137"/>
      <c r="J2030" s="197"/>
      <c r="K2030" s="198"/>
      <c r="L2030" s="196"/>
      <c r="M2030" s="196"/>
      <c r="N2030" s="196"/>
      <c r="O2030" s="196"/>
      <c r="P2030" s="127"/>
    </row>
    <row r="2031" spans="1:16" ht="20.25" customHeight="1" x14ac:dyDescent="0.3">
      <c r="A2031" s="137"/>
      <c r="B2031" s="137"/>
      <c r="C2031" s="137"/>
      <c r="D2031" s="194"/>
      <c r="E2031" s="194"/>
      <c r="F2031" s="137"/>
      <c r="G2031" s="137"/>
      <c r="H2031" s="137"/>
      <c r="I2031" s="137"/>
      <c r="J2031" s="197"/>
      <c r="K2031" s="198"/>
      <c r="L2031" s="196"/>
      <c r="M2031" s="196"/>
      <c r="N2031" s="196"/>
      <c r="O2031" s="196"/>
      <c r="P2031" s="127"/>
    </row>
    <row r="2032" spans="1:16" ht="20.25" customHeight="1" x14ac:dyDescent="0.3">
      <c r="A2032" s="137"/>
      <c r="B2032" s="137"/>
      <c r="C2032" s="137"/>
      <c r="D2032" s="194"/>
      <c r="E2032" s="194"/>
      <c r="F2032" s="137"/>
      <c r="G2032" s="137"/>
      <c r="H2032" s="137"/>
      <c r="I2032" s="137"/>
      <c r="J2032" s="197"/>
      <c r="K2032" s="198"/>
      <c r="L2032" s="196"/>
      <c r="M2032" s="196"/>
      <c r="N2032" s="196"/>
      <c r="O2032" s="196"/>
      <c r="P2032" s="127"/>
    </row>
    <row r="2033" spans="1:16" ht="20.25" customHeight="1" x14ac:dyDescent="0.3">
      <c r="A2033" s="137"/>
      <c r="B2033" s="137"/>
      <c r="C2033" s="137"/>
      <c r="D2033" s="194"/>
      <c r="E2033" s="194"/>
      <c r="F2033" s="137"/>
      <c r="G2033" s="137"/>
      <c r="H2033" s="137"/>
      <c r="I2033" s="137"/>
      <c r="J2033" s="197"/>
      <c r="K2033" s="198"/>
      <c r="L2033" s="196"/>
      <c r="M2033" s="196"/>
      <c r="N2033" s="196"/>
      <c r="O2033" s="196"/>
      <c r="P2033" s="127"/>
    </row>
    <row r="2034" spans="1:16" ht="20.25" customHeight="1" x14ac:dyDescent="0.3">
      <c r="A2034" s="137"/>
      <c r="B2034" s="137"/>
      <c r="C2034" s="137"/>
      <c r="D2034" s="194"/>
      <c r="E2034" s="194"/>
      <c r="F2034" s="137"/>
      <c r="G2034" s="137"/>
      <c r="H2034" s="137"/>
      <c r="I2034" s="137"/>
      <c r="J2034" s="197"/>
      <c r="K2034" s="198"/>
      <c r="L2034" s="196"/>
      <c r="M2034" s="196"/>
      <c r="N2034" s="196"/>
      <c r="O2034" s="196"/>
      <c r="P2034" s="127"/>
    </row>
    <row r="2035" spans="1:16" ht="20.25" customHeight="1" x14ac:dyDescent="0.3">
      <c r="A2035" s="137"/>
      <c r="B2035" s="137"/>
      <c r="C2035" s="137"/>
      <c r="D2035" s="194"/>
      <c r="E2035" s="194"/>
      <c r="F2035" s="137"/>
      <c r="G2035" s="137"/>
      <c r="H2035" s="137"/>
      <c r="I2035" s="137"/>
      <c r="J2035" s="197"/>
      <c r="K2035" s="198"/>
      <c r="L2035" s="196"/>
      <c r="M2035" s="196"/>
      <c r="N2035" s="196"/>
      <c r="O2035" s="196"/>
      <c r="P2035" s="127"/>
    </row>
    <row r="2036" spans="1:16" ht="20.25" customHeight="1" x14ac:dyDescent="0.3">
      <c r="A2036" s="137"/>
      <c r="B2036" s="137"/>
      <c r="C2036" s="137"/>
      <c r="D2036" s="194"/>
      <c r="E2036" s="194"/>
      <c r="F2036" s="137"/>
      <c r="G2036" s="137"/>
      <c r="H2036" s="137"/>
      <c r="I2036" s="137"/>
      <c r="J2036" s="197"/>
      <c r="K2036" s="198"/>
      <c r="L2036" s="196"/>
      <c r="M2036" s="196"/>
      <c r="N2036" s="196"/>
      <c r="O2036" s="196"/>
      <c r="P2036" s="127"/>
    </row>
    <row r="2037" spans="1:16" ht="20.25" customHeight="1" x14ac:dyDescent="0.3">
      <c r="A2037" s="137"/>
      <c r="B2037" s="137"/>
      <c r="C2037" s="137"/>
      <c r="D2037" s="194"/>
      <c r="E2037" s="194"/>
      <c r="F2037" s="137"/>
      <c r="G2037" s="137"/>
      <c r="H2037" s="137"/>
      <c r="I2037" s="137"/>
      <c r="J2037" s="197"/>
      <c r="K2037" s="198"/>
      <c r="L2037" s="196"/>
      <c r="M2037" s="196"/>
      <c r="N2037" s="196"/>
      <c r="O2037" s="196"/>
      <c r="P2037" s="127"/>
    </row>
    <row r="2038" spans="1:16" ht="20.25" customHeight="1" x14ac:dyDescent="0.3">
      <c r="A2038" s="137"/>
      <c r="B2038" s="137"/>
      <c r="C2038" s="137"/>
      <c r="D2038" s="194"/>
      <c r="E2038" s="194"/>
      <c r="F2038" s="137"/>
      <c r="G2038" s="137"/>
      <c r="H2038" s="137"/>
      <c r="I2038" s="137"/>
      <c r="J2038" s="197"/>
      <c r="K2038" s="198"/>
      <c r="L2038" s="196"/>
      <c r="M2038" s="196"/>
      <c r="N2038" s="196"/>
      <c r="O2038" s="196"/>
      <c r="P2038" s="127"/>
    </row>
    <row r="2039" spans="1:16" ht="20.25" customHeight="1" x14ac:dyDescent="0.3">
      <c r="A2039" s="137"/>
      <c r="B2039" s="137"/>
      <c r="C2039" s="137"/>
      <c r="D2039" s="194"/>
      <c r="E2039" s="194"/>
      <c r="F2039" s="137"/>
      <c r="G2039" s="137"/>
      <c r="H2039" s="137"/>
      <c r="I2039" s="137"/>
      <c r="J2039" s="197"/>
      <c r="K2039" s="198"/>
      <c r="L2039" s="196"/>
      <c r="M2039" s="196"/>
      <c r="N2039" s="196"/>
      <c r="O2039" s="196"/>
      <c r="P2039" s="127"/>
    </row>
    <row r="2040" spans="1:16" ht="20.25" customHeight="1" x14ac:dyDescent="0.3">
      <c r="A2040" s="137"/>
      <c r="B2040" s="137"/>
      <c r="C2040" s="137"/>
      <c r="D2040" s="194"/>
      <c r="E2040" s="194"/>
      <c r="F2040" s="137"/>
      <c r="G2040" s="137"/>
      <c r="H2040" s="137"/>
      <c r="I2040" s="137"/>
      <c r="J2040" s="197"/>
      <c r="K2040" s="198"/>
      <c r="L2040" s="196"/>
      <c r="M2040" s="196"/>
      <c r="N2040" s="196"/>
      <c r="O2040" s="196"/>
      <c r="P2040" s="127"/>
    </row>
    <row r="2041" spans="1:16" ht="20.25" customHeight="1" x14ac:dyDescent="0.3">
      <c r="A2041" s="137"/>
      <c r="B2041" s="137"/>
      <c r="C2041" s="137"/>
      <c r="D2041" s="194"/>
      <c r="E2041" s="194"/>
      <c r="F2041" s="137"/>
      <c r="G2041" s="137"/>
      <c r="H2041" s="137"/>
      <c r="I2041" s="137"/>
      <c r="J2041" s="197"/>
      <c r="K2041" s="198"/>
      <c r="L2041" s="196"/>
      <c r="M2041" s="196"/>
      <c r="N2041" s="196"/>
      <c r="O2041" s="196"/>
      <c r="P2041" s="127"/>
    </row>
    <row r="2042" spans="1:16" ht="20.25" customHeight="1" x14ac:dyDescent="0.3">
      <c r="A2042" s="137"/>
      <c r="B2042" s="137"/>
      <c r="C2042" s="137"/>
      <c r="D2042" s="194"/>
      <c r="E2042" s="194"/>
      <c r="F2042" s="137"/>
      <c r="G2042" s="137"/>
      <c r="H2042" s="137"/>
      <c r="I2042" s="137"/>
      <c r="J2042" s="197"/>
      <c r="K2042" s="198"/>
      <c r="L2042" s="196"/>
      <c r="M2042" s="196"/>
      <c r="N2042" s="196"/>
      <c r="O2042" s="196"/>
      <c r="P2042" s="127"/>
    </row>
    <row r="2043" spans="1:16" ht="20.25" customHeight="1" x14ac:dyDescent="0.3">
      <c r="A2043" s="137"/>
      <c r="B2043" s="137"/>
      <c r="C2043" s="137"/>
      <c r="D2043" s="194"/>
      <c r="E2043" s="194"/>
      <c r="F2043" s="137"/>
      <c r="G2043" s="137"/>
      <c r="H2043" s="137"/>
      <c r="I2043" s="137"/>
      <c r="J2043" s="197"/>
      <c r="K2043" s="198"/>
      <c r="L2043" s="196"/>
      <c r="M2043" s="196"/>
      <c r="N2043" s="196"/>
      <c r="O2043" s="196"/>
      <c r="P2043" s="127"/>
    </row>
    <row r="2044" spans="1:16" ht="20.25" customHeight="1" x14ac:dyDescent="0.3">
      <c r="A2044" s="137"/>
      <c r="B2044" s="137"/>
      <c r="C2044" s="137"/>
      <c r="D2044" s="194"/>
      <c r="E2044" s="194"/>
      <c r="F2044" s="137"/>
      <c r="G2044" s="137"/>
      <c r="H2044" s="137"/>
      <c r="I2044" s="137"/>
      <c r="J2044" s="197"/>
      <c r="K2044" s="198"/>
      <c r="L2044" s="196"/>
      <c r="M2044" s="196"/>
      <c r="N2044" s="196"/>
      <c r="O2044" s="196"/>
      <c r="P2044" s="127"/>
    </row>
    <row r="2045" spans="1:16" ht="20.25" customHeight="1" x14ac:dyDescent="0.3">
      <c r="A2045" s="137"/>
      <c r="B2045" s="137"/>
      <c r="C2045" s="137"/>
      <c r="D2045" s="194"/>
      <c r="E2045" s="194"/>
      <c r="F2045" s="137"/>
      <c r="G2045" s="137"/>
      <c r="H2045" s="137"/>
      <c r="I2045" s="137"/>
      <c r="J2045" s="197"/>
      <c r="K2045" s="198"/>
      <c r="L2045" s="196"/>
      <c r="M2045" s="196"/>
      <c r="N2045" s="196"/>
      <c r="O2045" s="196"/>
      <c r="P2045" s="127"/>
    </row>
    <row r="2046" spans="1:16" ht="20.25" customHeight="1" x14ac:dyDescent="0.3">
      <c r="A2046" s="137"/>
      <c r="B2046" s="137"/>
      <c r="C2046" s="137"/>
      <c r="D2046" s="194"/>
      <c r="E2046" s="194"/>
      <c r="F2046" s="137"/>
      <c r="G2046" s="137"/>
      <c r="H2046" s="137"/>
      <c r="I2046" s="137"/>
      <c r="J2046" s="197"/>
      <c r="K2046" s="198"/>
      <c r="L2046" s="196"/>
      <c r="M2046" s="196"/>
      <c r="N2046" s="196"/>
      <c r="O2046" s="196"/>
      <c r="P2046" s="127"/>
    </row>
    <row r="2047" spans="1:16" ht="20.25" customHeight="1" x14ac:dyDescent="0.3">
      <c r="A2047" s="137"/>
      <c r="B2047" s="137"/>
      <c r="C2047" s="137"/>
      <c r="D2047" s="194"/>
      <c r="E2047" s="194"/>
      <c r="F2047" s="137"/>
      <c r="G2047" s="137"/>
      <c r="H2047" s="137"/>
      <c r="I2047" s="137"/>
      <c r="J2047" s="197"/>
      <c r="K2047" s="198"/>
      <c r="L2047" s="196"/>
      <c r="M2047" s="196"/>
      <c r="N2047" s="196"/>
      <c r="O2047" s="196"/>
      <c r="P2047" s="127"/>
    </row>
    <row r="2048" spans="1:16" ht="20.25" customHeight="1" x14ac:dyDescent="0.3">
      <c r="A2048" s="137"/>
      <c r="B2048" s="137"/>
      <c r="C2048" s="137"/>
      <c r="D2048" s="194"/>
      <c r="E2048" s="194"/>
      <c r="F2048" s="137"/>
      <c r="G2048" s="137"/>
      <c r="H2048" s="137"/>
      <c r="I2048" s="137"/>
      <c r="J2048" s="197"/>
      <c r="K2048" s="198"/>
      <c r="L2048" s="196"/>
      <c r="M2048" s="196"/>
      <c r="N2048" s="196"/>
      <c r="O2048" s="196"/>
      <c r="P2048" s="127"/>
    </row>
    <row r="2049" spans="1:16" ht="20.25" customHeight="1" x14ac:dyDescent="0.3">
      <c r="A2049" s="137"/>
      <c r="B2049" s="137"/>
      <c r="C2049" s="137"/>
      <c r="D2049" s="194"/>
      <c r="E2049" s="194"/>
      <c r="F2049" s="137"/>
      <c r="G2049" s="137"/>
      <c r="H2049" s="137"/>
      <c r="I2049" s="137"/>
      <c r="J2049" s="197"/>
      <c r="K2049" s="198"/>
      <c r="L2049" s="196"/>
      <c r="M2049" s="196"/>
      <c r="N2049" s="196"/>
      <c r="O2049" s="196"/>
      <c r="P2049" s="127"/>
    </row>
    <row r="2050" spans="1:16" ht="20.25" customHeight="1" x14ac:dyDescent="0.3">
      <c r="A2050" s="137"/>
      <c r="B2050" s="137"/>
      <c r="C2050" s="137"/>
      <c r="D2050" s="194"/>
      <c r="E2050" s="194"/>
      <c r="F2050" s="137"/>
      <c r="G2050" s="137"/>
      <c r="H2050" s="137"/>
      <c r="I2050" s="137"/>
      <c r="J2050" s="197"/>
      <c r="K2050" s="198"/>
      <c r="L2050" s="196"/>
      <c r="M2050" s="196"/>
      <c r="N2050" s="196"/>
      <c r="O2050" s="196"/>
      <c r="P2050" s="127"/>
    </row>
    <row r="2051" spans="1:16" ht="20.25" customHeight="1" x14ac:dyDescent="0.3">
      <c r="A2051" s="137"/>
      <c r="B2051" s="137"/>
      <c r="C2051" s="137"/>
      <c r="D2051" s="194"/>
      <c r="E2051" s="194"/>
      <c r="F2051" s="137"/>
      <c r="G2051" s="137"/>
      <c r="H2051" s="137"/>
      <c r="I2051" s="137"/>
      <c r="J2051" s="197"/>
      <c r="K2051" s="198"/>
      <c r="L2051" s="196"/>
      <c r="M2051" s="196"/>
      <c r="N2051" s="196"/>
      <c r="O2051" s="196"/>
      <c r="P2051" s="127"/>
    </row>
    <row r="2052" spans="1:16" ht="20.25" customHeight="1" x14ac:dyDescent="0.3">
      <c r="A2052" s="137"/>
      <c r="B2052" s="137"/>
      <c r="C2052" s="137"/>
      <c r="D2052" s="194"/>
      <c r="E2052" s="194"/>
      <c r="F2052" s="137"/>
      <c r="G2052" s="137"/>
      <c r="H2052" s="137"/>
      <c r="I2052" s="137"/>
      <c r="J2052" s="197"/>
      <c r="K2052" s="198"/>
      <c r="L2052" s="196"/>
      <c r="M2052" s="196"/>
      <c r="N2052" s="196"/>
      <c r="O2052" s="196"/>
      <c r="P2052" s="127"/>
    </row>
    <row r="2053" spans="1:16" ht="20.25" customHeight="1" x14ac:dyDescent="0.3">
      <c r="A2053" s="137"/>
      <c r="B2053" s="137"/>
      <c r="C2053" s="137"/>
      <c r="D2053" s="194"/>
      <c r="E2053" s="194"/>
      <c r="F2053" s="137"/>
      <c r="G2053" s="137"/>
      <c r="H2053" s="137"/>
      <c r="I2053" s="137"/>
      <c r="J2053" s="197"/>
      <c r="K2053" s="198"/>
      <c r="L2053" s="196"/>
      <c r="M2053" s="196"/>
      <c r="N2053" s="196"/>
      <c r="O2053" s="196"/>
      <c r="P2053" s="127"/>
    </row>
    <row r="2054" spans="1:16" ht="20.25" customHeight="1" x14ac:dyDescent="0.3">
      <c r="A2054" s="137"/>
      <c r="B2054" s="137"/>
      <c r="C2054" s="137"/>
      <c r="D2054" s="194"/>
      <c r="E2054" s="194"/>
      <c r="F2054" s="137"/>
      <c r="G2054" s="137"/>
      <c r="H2054" s="137"/>
      <c r="I2054" s="137"/>
      <c r="J2054" s="197"/>
      <c r="K2054" s="198"/>
      <c r="L2054" s="196"/>
      <c r="M2054" s="196"/>
      <c r="N2054" s="196"/>
      <c r="O2054" s="196"/>
      <c r="P2054" s="127"/>
    </row>
    <row r="2055" spans="1:16" ht="20.25" customHeight="1" x14ac:dyDescent="0.3">
      <c r="A2055" s="137"/>
      <c r="B2055" s="137"/>
      <c r="C2055" s="137"/>
      <c r="D2055" s="194"/>
      <c r="E2055" s="194"/>
      <c r="F2055" s="137"/>
      <c r="G2055" s="137"/>
      <c r="H2055" s="137"/>
      <c r="I2055" s="137"/>
      <c r="J2055" s="197"/>
      <c r="K2055" s="198"/>
      <c r="L2055" s="196"/>
      <c r="M2055" s="196"/>
      <c r="N2055" s="196"/>
      <c r="O2055" s="196"/>
      <c r="P2055" s="127"/>
    </row>
    <row r="2056" spans="1:16" ht="20.25" customHeight="1" x14ac:dyDescent="0.3">
      <c r="A2056" s="137"/>
      <c r="B2056" s="137"/>
      <c r="C2056" s="137"/>
      <c r="D2056" s="194"/>
      <c r="E2056" s="194"/>
      <c r="F2056" s="137"/>
      <c r="G2056" s="137"/>
      <c r="H2056" s="137"/>
      <c r="I2056" s="137"/>
      <c r="J2056" s="197"/>
      <c r="K2056" s="198"/>
      <c r="L2056" s="196"/>
      <c r="M2056" s="196"/>
      <c r="N2056" s="196"/>
      <c r="O2056" s="196"/>
      <c r="P2056" s="127"/>
    </row>
    <row r="2057" spans="1:16" ht="20.25" customHeight="1" x14ac:dyDescent="0.3">
      <c r="A2057" s="137"/>
      <c r="B2057" s="137"/>
      <c r="C2057" s="137"/>
      <c r="D2057" s="194"/>
      <c r="E2057" s="194"/>
      <c r="F2057" s="137"/>
      <c r="G2057" s="137"/>
      <c r="H2057" s="137"/>
      <c r="I2057" s="137"/>
      <c r="J2057" s="197"/>
      <c r="K2057" s="198"/>
      <c r="L2057" s="196"/>
      <c r="M2057" s="196"/>
      <c r="N2057" s="196"/>
      <c r="O2057" s="196"/>
      <c r="P2057" s="127"/>
    </row>
    <row r="2058" spans="1:16" ht="20.25" customHeight="1" x14ac:dyDescent="0.3">
      <c r="A2058" s="137"/>
      <c r="B2058" s="137"/>
      <c r="C2058" s="137"/>
      <c r="D2058" s="194"/>
      <c r="E2058" s="194"/>
      <c r="F2058" s="137"/>
      <c r="G2058" s="137"/>
      <c r="H2058" s="137"/>
      <c r="I2058" s="137"/>
      <c r="J2058" s="197"/>
      <c r="K2058" s="198"/>
      <c r="L2058" s="196"/>
      <c r="M2058" s="196"/>
      <c r="N2058" s="196"/>
      <c r="O2058" s="196"/>
      <c r="P2058" s="127"/>
    </row>
    <row r="2059" spans="1:16" ht="20.25" customHeight="1" x14ac:dyDescent="0.3">
      <c r="A2059" s="137"/>
      <c r="B2059" s="137"/>
      <c r="C2059" s="137"/>
      <c r="D2059" s="194"/>
      <c r="E2059" s="194"/>
      <c r="F2059" s="137"/>
      <c r="G2059" s="137"/>
      <c r="H2059" s="137"/>
      <c r="I2059" s="137"/>
      <c r="J2059" s="197"/>
      <c r="K2059" s="198"/>
      <c r="L2059" s="196"/>
      <c r="M2059" s="196"/>
      <c r="N2059" s="196"/>
      <c r="O2059" s="196"/>
      <c r="P2059" s="127"/>
    </row>
    <row r="2060" spans="1:16" ht="20.25" customHeight="1" x14ac:dyDescent="0.3">
      <c r="A2060" s="137"/>
      <c r="B2060" s="137"/>
      <c r="C2060" s="137"/>
      <c r="D2060" s="194"/>
      <c r="E2060" s="194"/>
      <c r="F2060" s="137"/>
      <c r="G2060" s="137"/>
      <c r="H2060" s="137"/>
      <c r="I2060" s="137"/>
      <c r="J2060" s="197"/>
      <c r="K2060" s="198"/>
      <c r="L2060" s="196"/>
      <c r="M2060" s="196"/>
      <c r="N2060" s="196"/>
      <c r="O2060" s="196"/>
      <c r="P2060" s="127"/>
    </row>
    <row r="2061" spans="1:16" ht="20.25" customHeight="1" x14ac:dyDescent="0.3">
      <c r="A2061" s="137"/>
      <c r="B2061" s="137"/>
      <c r="C2061" s="137"/>
      <c r="D2061" s="194"/>
      <c r="E2061" s="194"/>
      <c r="F2061" s="137"/>
      <c r="G2061" s="137"/>
      <c r="H2061" s="137"/>
      <c r="I2061" s="137"/>
      <c r="J2061" s="197"/>
      <c r="K2061" s="198"/>
      <c r="L2061" s="196"/>
      <c r="M2061" s="196"/>
      <c r="N2061" s="196"/>
      <c r="O2061" s="196"/>
      <c r="P2061" s="127"/>
    </row>
    <row r="2062" spans="1:16" ht="20.25" customHeight="1" x14ac:dyDescent="0.3">
      <c r="A2062" s="137"/>
      <c r="B2062" s="137"/>
      <c r="C2062" s="137"/>
      <c r="D2062" s="194"/>
      <c r="E2062" s="194"/>
      <c r="F2062" s="137"/>
      <c r="G2062" s="137"/>
      <c r="H2062" s="137"/>
      <c r="I2062" s="137"/>
      <c r="J2062" s="197"/>
      <c r="K2062" s="198"/>
      <c r="L2062" s="196"/>
      <c r="M2062" s="196"/>
      <c r="N2062" s="196"/>
      <c r="O2062" s="196"/>
      <c r="P2062" s="127"/>
    </row>
    <row r="2063" spans="1:16" ht="20.25" customHeight="1" x14ac:dyDescent="0.3">
      <c r="A2063" s="137"/>
      <c r="B2063" s="137"/>
      <c r="C2063" s="137"/>
      <c r="D2063" s="194"/>
      <c r="E2063" s="194"/>
      <c r="F2063" s="137"/>
      <c r="G2063" s="137"/>
      <c r="H2063" s="137"/>
      <c r="I2063" s="137"/>
      <c r="J2063" s="197"/>
      <c r="K2063" s="198"/>
      <c r="L2063" s="196"/>
      <c r="M2063" s="196"/>
      <c r="N2063" s="196"/>
      <c r="O2063" s="196"/>
      <c r="P2063" s="127"/>
    </row>
    <row r="2064" spans="1:16" ht="20.25" customHeight="1" x14ac:dyDescent="0.3">
      <c r="A2064" s="137"/>
      <c r="B2064" s="137"/>
      <c r="C2064" s="137"/>
      <c r="D2064" s="194"/>
      <c r="E2064" s="194"/>
      <c r="F2064" s="137"/>
      <c r="G2064" s="137"/>
      <c r="H2064" s="137"/>
      <c r="I2064" s="137"/>
      <c r="J2064" s="197"/>
      <c r="K2064" s="198"/>
      <c r="L2064" s="196"/>
      <c r="M2064" s="196"/>
      <c r="N2064" s="196"/>
      <c r="O2064" s="196"/>
      <c r="P2064" s="127"/>
    </row>
    <row r="2065" spans="1:16" ht="20.25" customHeight="1" x14ac:dyDescent="0.3">
      <c r="A2065" s="137"/>
      <c r="B2065" s="137"/>
      <c r="C2065" s="137"/>
      <c r="D2065" s="194"/>
      <c r="E2065" s="194"/>
      <c r="F2065" s="137"/>
      <c r="G2065" s="137"/>
      <c r="H2065" s="137"/>
      <c r="I2065" s="137"/>
      <c r="J2065" s="197"/>
      <c r="K2065" s="198"/>
      <c r="L2065" s="196"/>
      <c r="M2065" s="196"/>
      <c r="N2065" s="196"/>
      <c r="O2065" s="196"/>
      <c r="P2065" s="127"/>
    </row>
    <row r="2066" spans="1:16" ht="20.25" customHeight="1" x14ac:dyDescent="0.3">
      <c r="A2066" s="137"/>
      <c r="B2066" s="137"/>
      <c r="C2066" s="137"/>
      <c r="D2066" s="194"/>
      <c r="E2066" s="194"/>
      <c r="F2066" s="137"/>
      <c r="G2066" s="137"/>
      <c r="H2066" s="137"/>
      <c r="I2066" s="137"/>
      <c r="J2066" s="197"/>
      <c r="K2066" s="198"/>
      <c r="L2066" s="196"/>
      <c r="M2066" s="196"/>
      <c r="N2066" s="196"/>
      <c r="O2066" s="196"/>
      <c r="P2066" s="127"/>
    </row>
    <row r="2067" spans="1:16" ht="20.25" customHeight="1" x14ac:dyDescent="0.3">
      <c r="A2067" s="137"/>
      <c r="B2067" s="137"/>
      <c r="C2067" s="137"/>
      <c r="D2067" s="194"/>
      <c r="E2067" s="194"/>
      <c r="F2067" s="137"/>
      <c r="G2067" s="137"/>
      <c r="H2067" s="137"/>
      <c r="I2067" s="137"/>
      <c r="J2067" s="197"/>
      <c r="K2067" s="198"/>
      <c r="L2067" s="196"/>
      <c r="M2067" s="196"/>
      <c r="N2067" s="196"/>
      <c r="O2067" s="196"/>
      <c r="P2067" s="127"/>
    </row>
    <row r="2068" spans="1:16" ht="20.25" customHeight="1" x14ac:dyDescent="0.3">
      <c r="A2068" s="137"/>
      <c r="B2068" s="137"/>
      <c r="C2068" s="137"/>
      <c r="D2068" s="194"/>
      <c r="E2068" s="194"/>
      <c r="F2068" s="137"/>
      <c r="G2068" s="137"/>
      <c r="H2068" s="137"/>
      <c r="I2068" s="137"/>
      <c r="J2068" s="197"/>
      <c r="K2068" s="198"/>
      <c r="L2068" s="196"/>
      <c r="M2068" s="196"/>
      <c r="N2068" s="196"/>
      <c r="O2068" s="196"/>
      <c r="P2068" s="127"/>
    </row>
    <row r="2069" spans="1:16" ht="20.25" customHeight="1" x14ac:dyDescent="0.3">
      <c r="A2069" s="137"/>
      <c r="B2069" s="137"/>
      <c r="C2069" s="137"/>
      <c r="D2069" s="194"/>
      <c r="E2069" s="194"/>
      <c r="F2069" s="137"/>
      <c r="G2069" s="137"/>
      <c r="H2069" s="137"/>
      <c r="I2069" s="137"/>
      <c r="J2069" s="197"/>
      <c r="K2069" s="198"/>
      <c r="L2069" s="196"/>
      <c r="M2069" s="196"/>
      <c r="N2069" s="196"/>
      <c r="O2069" s="196"/>
      <c r="P2069" s="127"/>
    </row>
    <row r="2070" spans="1:16" ht="20.25" customHeight="1" x14ac:dyDescent="0.3">
      <c r="A2070" s="137"/>
      <c r="B2070" s="137"/>
      <c r="C2070" s="137"/>
      <c r="D2070" s="194"/>
      <c r="E2070" s="194"/>
      <c r="F2070" s="137"/>
      <c r="G2070" s="137"/>
      <c r="H2070" s="137"/>
      <c r="I2070" s="137"/>
      <c r="J2070" s="197"/>
      <c r="K2070" s="198"/>
      <c r="L2070" s="196"/>
      <c r="M2070" s="196"/>
      <c r="N2070" s="196"/>
      <c r="O2070" s="196"/>
      <c r="P2070" s="127"/>
    </row>
    <row r="2071" spans="1:16" ht="20.25" customHeight="1" x14ac:dyDescent="0.3">
      <c r="A2071" s="137"/>
      <c r="B2071" s="137"/>
      <c r="C2071" s="137"/>
      <c r="D2071" s="194"/>
      <c r="E2071" s="194"/>
      <c r="F2071" s="137"/>
      <c r="G2071" s="137"/>
      <c r="H2071" s="137"/>
      <c r="I2071" s="137"/>
      <c r="J2071" s="197"/>
      <c r="K2071" s="198"/>
      <c r="L2071" s="196"/>
      <c r="M2071" s="196"/>
      <c r="N2071" s="196"/>
      <c r="O2071" s="196"/>
      <c r="P2071" s="127"/>
    </row>
    <row r="2072" spans="1:16" ht="20.25" customHeight="1" x14ac:dyDescent="0.3">
      <c r="A2072" s="137"/>
      <c r="B2072" s="137"/>
      <c r="C2072" s="137"/>
      <c r="D2072" s="194"/>
      <c r="E2072" s="194"/>
      <c r="F2072" s="137"/>
      <c r="G2072" s="137"/>
      <c r="H2072" s="137"/>
      <c r="I2072" s="137"/>
      <c r="J2072" s="197"/>
      <c r="K2072" s="198"/>
      <c r="L2072" s="196"/>
      <c r="M2072" s="196"/>
      <c r="N2072" s="196"/>
      <c r="O2072" s="196"/>
      <c r="P2072" s="127"/>
    </row>
    <row r="2073" spans="1:16" ht="20.25" customHeight="1" x14ac:dyDescent="0.3">
      <c r="A2073" s="137"/>
      <c r="B2073" s="137"/>
      <c r="C2073" s="137"/>
      <c r="D2073" s="194"/>
      <c r="E2073" s="194"/>
      <c r="F2073" s="137"/>
      <c r="G2073" s="137"/>
      <c r="H2073" s="137"/>
      <c r="I2073" s="137"/>
      <c r="J2073" s="197"/>
      <c r="K2073" s="198"/>
      <c r="L2073" s="196"/>
      <c r="M2073" s="196"/>
      <c r="N2073" s="196"/>
      <c r="O2073" s="196"/>
      <c r="P2073" s="127"/>
    </row>
    <row r="2074" spans="1:16" ht="20.25" customHeight="1" x14ac:dyDescent="0.3">
      <c r="A2074" s="137"/>
      <c r="B2074" s="137"/>
      <c r="C2074" s="137"/>
      <c r="D2074" s="194"/>
      <c r="E2074" s="194"/>
      <c r="F2074" s="137"/>
      <c r="G2074" s="137"/>
      <c r="H2074" s="137"/>
      <c r="I2074" s="137"/>
      <c r="J2074" s="197"/>
      <c r="K2074" s="198"/>
      <c r="L2074" s="196"/>
      <c r="M2074" s="196"/>
      <c r="N2074" s="196"/>
      <c r="O2074" s="196"/>
      <c r="P2074" s="127"/>
    </row>
    <row r="2075" spans="1:16" ht="20.25" customHeight="1" x14ac:dyDescent="0.3">
      <c r="A2075" s="137"/>
      <c r="B2075" s="137"/>
      <c r="C2075" s="137"/>
      <c r="D2075" s="194"/>
      <c r="E2075" s="194"/>
      <c r="F2075" s="137"/>
      <c r="G2075" s="137"/>
      <c r="H2075" s="137"/>
      <c r="I2075" s="137"/>
      <c r="J2075" s="197"/>
      <c r="K2075" s="198"/>
      <c r="L2075" s="196"/>
      <c r="M2075" s="196"/>
      <c r="N2075" s="196"/>
      <c r="O2075" s="196"/>
      <c r="P2075" s="127"/>
    </row>
    <row r="2076" spans="1:16" ht="20.25" customHeight="1" x14ac:dyDescent="0.3">
      <c r="A2076" s="137"/>
      <c r="B2076" s="137"/>
      <c r="C2076" s="137"/>
      <c r="D2076" s="194"/>
      <c r="E2076" s="194"/>
      <c r="F2076" s="137"/>
      <c r="G2076" s="137"/>
      <c r="H2076" s="137"/>
      <c r="I2076" s="137"/>
      <c r="J2076" s="197"/>
      <c r="K2076" s="198"/>
      <c r="L2076" s="196"/>
      <c r="M2076" s="196"/>
      <c r="N2076" s="196"/>
      <c r="O2076" s="196"/>
      <c r="P2076" s="127"/>
    </row>
    <row r="2077" spans="1:16" ht="20.25" customHeight="1" x14ac:dyDescent="0.3">
      <c r="A2077" s="137"/>
      <c r="B2077" s="137"/>
      <c r="C2077" s="137"/>
      <c r="D2077" s="194"/>
      <c r="E2077" s="194"/>
      <c r="F2077" s="137"/>
      <c r="G2077" s="137"/>
      <c r="H2077" s="137"/>
      <c r="I2077" s="137"/>
      <c r="J2077" s="197"/>
      <c r="K2077" s="198"/>
      <c r="L2077" s="196"/>
      <c r="M2077" s="196"/>
      <c r="N2077" s="196"/>
      <c r="O2077" s="196"/>
      <c r="P2077" s="127"/>
    </row>
    <row r="2078" spans="1:16" ht="20.25" customHeight="1" x14ac:dyDescent="0.3">
      <c r="A2078" s="137"/>
      <c r="B2078" s="137"/>
      <c r="C2078" s="137"/>
      <c r="D2078" s="194"/>
      <c r="E2078" s="194"/>
      <c r="F2078" s="137"/>
      <c r="G2078" s="137"/>
      <c r="H2078" s="137"/>
      <c r="I2078" s="137"/>
      <c r="J2078" s="197"/>
      <c r="K2078" s="198"/>
      <c r="L2078" s="196"/>
      <c r="M2078" s="196"/>
      <c r="N2078" s="196"/>
      <c r="O2078" s="196"/>
      <c r="P2078" s="127"/>
    </row>
    <row r="2079" spans="1:16" ht="20.25" customHeight="1" x14ac:dyDescent="0.3">
      <c r="A2079" s="137"/>
      <c r="B2079" s="137"/>
      <c r="C2079" s="137"/>
      <c r="D2079" s="194"/>
      <c r="E2079" s="194"/>
      <c r="F2079" s="137"/>
      <c r="G2079" s="137"/>
      <c r="H2079" s="137"/>
      <c r="I2079" s="137"/>
      <c r="J2079" s="197"/>
      <c r="K2079" s="198"/>
      <c r="L2079" s="196"/>
      <c r="M2079" s="196"/>
      <c r="N2079" s="196"/>
      <c r="O2079" s="196"/>
      <c r="P2079" s="127"/>
    </row>
    <row r="2080" spans="1:16" ht="20.25" customHeight="1" x14ac:dyDescent="0.3">
      <c r="A2080" s="137"/>
      <c r="B2080" s="137"/>
      <c r="C2080" s="137"/>
      <c r="D2080" s="194"/>
      <c r="E2080" s="194"/>
      <c r="F2080" s="137"/>
      <c r="G2080" s="137"/>
      <c r="H2080" s="137"/>
      <c r="I2080" s="137"/>
      <c r="J2080" s="197"/>
      <c r="K2080" s="198"/>
      <c r="L2080" s="196"/>
      <c r="M2080" s="196"/>
      <c r="N2080" s="196"/>
      <c r="O2080" s="196"/>
      <c r="P2080" s="127"/>
    </row>
    <row r="2081" spans="1:16" ht="20.25" customHeight="1" x14ac:dyDescent="0.3">
      <c r="A2081" s="137"/>
      <c r="B2081" s="137"/>
      <c r="C2081" s="137"/>
      <c r="D2081" s="194"/>
      <c r="E2081" s="194"/>
      <c r="F2081" s="137"/>
      <c r="G2081" s="137"/>
      <c r="H2081" s="137"/>
      <c r="I2081" s="137"/>
      <c r="J2081" s="197"/>
      <c r="K2081" s="198"/>
      <c r="L2081" s="196"/>
      <c r="M2081" s="196"/>
      <c r="N2081" s="196"/>
      <c r="O2081" s="196"/>
      <c r="P2081" s="127"/>
    </row>
    <row r="2082" spans="1:16" ht="20.25" customHeight="1" x14ac:dyDescent="0.3">
      <c r="A2082" s="137"/>
      <c r="B2082" s="137"/>
      <c r="C2082" s="137"/>
      <c r="D2082" s="194"/>
      <c r="E2082" s="194"/>
      <c r="F2082" s="137"/>
      <c r="G2082" s="137"/>
      <c r="H2082" s="137"/>
      <c r="I2082" s="137"/>
      <c r="J2082" s="197"/>
      <c r="K2082" s="198"/>
      <c r="L2082" s="196"/>
      <c r="M2082" s="196"/>
      <c r="N2082" s="196"/>
      <c r="O2082" s="196"/>
      <c r="P2082" s="127"/>
    </row>
    <row r="2083" spans="1:16" ht="20.25" customHeight="1" x14ac:dyDescent="0.3">
      <c r="A2083" s="137"/>
      <c r="B2083" s="137"/>
      <c r="C2083" s="137"/>
      <c r="D2083" s="194"/>
      <c r="E2083" s="194"/>
      <c r="F2083" s="137"/>
      <c r="G2083" s="137"/>
      <c r="H2083" s="137"/>
      <c r="I2083" s="137"/>
      <c r="J2083" s="197"/>
      <c r="K2083" s="198"/>
      <c r="L2083" s="196"/>
      <c r="M2083" s="196"/>
      <c r="N2083" s="196"/>
      <c r="O2083" s="196"/>
      <c r="P2083" s="127"/>
    </row>
    <row r="2084" spans="1:16" ht="20.25" customHeight="1" x14ac:dyDescent="0.3">
      <c r="A2084" s="137"/>
      <c r="B2084" s="137"/>
      <c r="C2084" s="137"/>
      <c r="D2084" s="194"/>
      <c r="E2084" s="194"/>
      <c r="F2084" s="137"/>
      <c r="G2084" s="137"/>
      <c r="H2084" s="137"/>
      <c r="I2084" s="137"/>
      <c r="J2084" s="197"/>
      <c r="K2084" s="198"/>
      <c r="L2084" s="196"/>
      <c r="M2084" s="196"/>
      <c r="N2084" s="196"/>
      <c r="O2084" s="196"/>
      <c r="P2084" s="127"/>
    </row>
    <row r="2085" spans="1:16" ht="20.25" customHeight="1" x14ac:dyDescent="0.3">
      <c r="A2085" s="137"/>
      <c r="B2085" s="137"/>
      <c r="C2085" s="137"/>
      <c r="D2085" s="194"/>
      <c r="E2085" s="194"/>
      <c r="F2085" s="137"/>
      <c r="G2085" s="137"/>
      <c r="H2085" s="137"/>
      <c r="I2085" s="137"/>
      <c r="J2085" s="197"/>
      <c r="K2085" s="198"/>
      <c r="L2085" s="196"/>
      <c r="M2085" s="196"/>
      <c r="N2085" s="196"/>
      <c r="O2085" s="196"/>
      <c r="P2085" s="127"/>
    </row>
    <row r="2086" spans="1:16" ht="20.25" customHeight="1" x14ac:dyDescent="0.3">
      <c r="A2086" s="137"/>
      <c r="B2086" s="137"/>
      <c r="C2086" s="137"/>
      <c r="D2086" s="194"/>
      <c r="E2086" s="194"/>
      <c r="F2086" s="137"/>
      <c r="G2086" s="137"/>
      <c r="H2086" s="137"/>
      <c r="I2086" s="137"/>
      <c r="J2086" s="197"/>
      <c r="K2086" s="198"/>
      <c r="L2086" s="196"/>
      <c r="M2086" s="196"/>
      <c r="N2086" s="196"/>
      <c r="O2086" s="196"/>
      <c r="P2086" s="127"/>
    </row>
    <row r="2087" spans="1:16" ht="20.25" customHeight="1" x14ac:dyDescent="0.3">
      <c r="A2087" s="137"/>
      <c r="B2087" s="137"/>
      <c r="C2087" s="137"/>
      <c r="D2087" s="194"/>
      <c r="E2087" s="194"/>
      <c r="F2087" s="137"/>
      <c r="G2087" s="137"/>
      <c r="H2087" s="137"/>
      <c r="I2087" s="137"/>
      <c r="J2087" s="197"/>
      <c r="K2087" s="198"/>
      <c r="L2087" s="196"/>
      <c r="M2087" s="196"/>
      <c r="N2087" s="196"/>
      <c r="O2087" s="196"/>
      <c r="P2087" s="127"/>
    </row>
    <row r="2088" spans="1:16" ht="20.25" customHeight="1" x14ac:dyDescent="0.3">
      <c r="A2088" s="137"/>
      <c r="B2088" s="137"/>
      <c r="C2088" s="137"/>
      <c r="D2088" s="194"/>
      <c r="E2088" s="194"/>
      <c r="F2088" s="137"/>
      <c r="G2088" s="137"/>
      <c r="H2088" s="137"/>
      <c r="I2088" s="137"/>
      <c r="J2088" s="197"/>
      <c r="K2088" s="198"/>
      <c r="L2088" s="196"/>
      <c r="M2088" s="196"/>
      <c r="N2088" s="196"/>
      <c r="O2088" s="196"/>
      <c r="P2088" s="127"/>
    </row>
    <row r="2089" spans="1:16" ht="20.25" customHeight="1" x14ac:dyDescent="0.3">
      <c r="A2089" s="137"/>
      <c r="B2089" s="137"/>
      <c r="C2089" s="137"/>
      <c r="D2089" s="194"/>
      <c r="E2089" s="194"/>
      <c r="F2089" s="137"/>
      <c r="G2089" s="137"/>
      <c r="H2089" s="137"/>
      <c r="I2089" s="137"/>
      <c r="J2089" s="197"/>
      <c r="K2089" s="198"/>
      <c r="L2089" s="196"/>
      <c r="M2089" s="196"/>
      <c r="N2089" s="196"/>
      <c r="O2089" s="196"/>
      <c r="P2089" s="127"/>
    </row>
    <row r="2090" spans="1:16" ht="20.25" customHeight="1" x14ac:dyDescent="0.3">
      <c r="A2090" s="137"/>
      <c r="B2090" s="137"/>
      <c r="C2090" s="137"/>
      <c r="D2090" s="194"/>
      <c r="E2090" s="194"/>
      <c r="F2090" s="137"/>
      <c r="G2090" s="137"/>
      <c r="H2090" s="137"/>
      <c r="I2090" s="137"/>
      <c r="J2090" s="197"/>
      <c r="K2090" s="198"/>
      <c r="L2090" s="196"/>
      <c r="M2090" s="196"/>
      <c r="N2090" s="196"/>
      <c r="O2090" s="196"/>
      <c r="P2090" s="127"/>
    </row>
    <row r="2091" spans="1:16" ht="20.25" customHeight="1" x14ac:dyDescent="0.3">
      <c r="A2091" s="137"/>
      <c r="B2091" s="137"/>
      <c r="C2091" s="137"/>
      <c r="D2091" s="194"/>
      <c r="E2091" s="194"/>
      <c r="F2091" s="137"/>
      <c r="G2091" s="137"/>
      <c r="H2091" s="137"/>
      <c r="I2091" s="137"/>
      <c r="J2091" s="197"/>
      <c r="K2091" s="198"/>
      <c r="L2091" s="196"/>
      <c r="M2091" s="196"/>
      <c r="N2091" s="196"/>
      <c r="O2091" s="196"/>
      <c r="P2091" s="127"/>
    </row>
    <row r="2092" spans="1:16" ht="20.25" customHeight="1" x14ac:dyDescent="0.3">
      <c r="A2092" s="137"/>
      <c r="B2092" s="137"/>
      <c r="C2092" s="137"/>
      <c r="D2092" s="194"/>
      <c r="E2092" s="194"/>
      <c r="F2092" s="137"/>
      <c r="G2092" s="137"/>
      <c r="H2092" s="137"/>
      <c r="I2092" s="137"/>
      <c r="J2092" s="197"/>
      <c r="K2092" s="198"/>
      <c r="L2092" s="196"/>
      <c r="M2092" s="196"/>
      <c r="N2092" s="196"/>
      <c r="O2092" s="196"/>
      <c r="P2092" s="127"/>
    </row>
    <row r="2093" spans="1:16" ht="20.25" customHeight="1" x14ac:dyDescent="0.3">
      <c r="A2093" s="137"/>
      <c r="B2093" s="137"/>
      <c r="C2093" s="137"/>
      <c r="D2093" s="194"/>
      <c r="E2093" s="194"/>
      <c r="F2093" s="137"/>
      <c r="G2093" s="137"/>
      <c r="H2093" s="137"/>
      <c r="I2093" s="137"/>
      <c r="J2093" s="197"/>
      <c r="K2093" s="198"/>
      <c r="L2093" s="196"/>
      <c r="M2093" s="196"/>
      <c r="N2093" s="196"/>
      <c r="O2093" s="196"/>
      <c r="P2093" s="127"/>
    </row>
    <row r="2094" spans="1:16" ht="20.25" customHeight="1" x14ac:dyDescent="0.3">
      <c r="A2094" s="137"/>
      <c r="B2094" s="137"/>
      <c r="C2094" s="137"/>
      <c r="D2094" s="194"/>
      <c r="E2094" s="194"/>
      <c r="F2094" s="137"/>
      <c r="G2094" s="137"/>
      <c r="H2094" s="137"/>
      <c r="I2094" s="137"/>
      <c r="J2094" s="197"/>
      <c r="K2094" s="198"/>
      <c r="L2094" s="196"/>
      <c r="M2094" s="196"/>
      <c r="N2094" s="196"/>
      <c r="O2094" s="196"/>
      <c r="P2094" s="127"/>
    </row>
    <row r="2095" spans="1:16" ht="20.25" customHeight="1" x14ac:dyDescent="0.3">
      <c r="A2095" s="137"/>
      <c r="B2095" s="137"/>
      <c r="C2095" s="137"/>
      <c r="D2095" s="194"/>
      <c r="E2095" s="194"/>
      <c r="F2095" s="137"/>
      <c r="G2095" s="137"/>
      <c r="H2095" s="137"/>
      <c r="I2095" s="137"/>
      <c r="J2095" s="197"/>
      <c r="K2095" s="198"/>
      <c r="L2095" s="196"/>
      <c r="M2095" s="196"/>
      <c r="N2095" s="196"/>
      <c r="O2095" s="196"/>
      <c r="P2095" s="127"/>
    </row>
    <row r="2096" spans="1:16" ht="20.25" customHeight="1" x14ac:dyDescent="0.3">
      <c r="A2096" s="137"/>
      <c r="B2096" s="137"/>
      <c r="C2096" s="137"/>
      <c r="D2096" s="194"/>
      <c r="E2096" s="194"/>
      <c r="F2096" s="137"/>
      <c r="G2096" s="137"/>
      <c r="H2096" s="137"/>
      <c r="I2096" s="137"/>
      <c r="J2096" s="197"/>
      <c r="K2096" s="198"/>
      <c r="L2096" s="196"/>
      <c r="M2096" s="196"/>
      <c r="N2096" s="196"/>
      <c r="O2096" s="196"/>
      <c r="P2096" s="127"/>
    </row>
    <row r="2097" spans="1:16" ht="20.25" customHeight="1" x14ac:dyDescent="0.3">
      <c r="A2097" s="137"/>
      <c r="B2097" s="137"/>
      <c r="C2097" s="137"/>
      <c r="D2097" s="194"/>
      <c r="E2097" s="194"/>
      <c r="F2097" s="137"/>
      <c r="G2097" s="137"/>
      <c r="H2097" s="137"/>
      <c r="I2097" s="137"/>
      <c r="J2097" s="197"/>
      <c r="K2097" s="198"/>
      <c r="L2097" s="196"/>
      <c r="M2097" s="196"/>
      <c r="N2097" s="196"/>
      <c r="O2097" s="196"/>
      <c r="P2097" s="127"/>
    </row>
    <row r="2098" spans="1:16" ht="20.25" customHeight="1" x14ac:dyDescent="0.3">
      <c r="A2098" s="137"/>
      <c r="B2098" s="137"/>
      <c r="C2098" s="137"/>
      <c r="D2098" s="194"/>
      <c r="E2098" s="194"/>
      <c r="F2098" s="137"/>
      <c r="G2098" s="137"/>
      <c r="H2098" s="137"/>
      <c r="I2098" s="137"/>
      <c r="J2098" s="197"/>
      <c r="K2098" s="198"/>
      <c r="L2098" s="196"/>
      <c r="M2098" s="196"/>
      <c r="N2098" s="196"/>
      <c r="O2098" s="196"/>
      <c r="P2098" s="127"/>
    </row>
    <row r="2099" spans="1:16" ht="20.25" customHeight="1" x14ac:dyDescent="0.3">
      <c r="A2099" s="137"/>
      <c r="B2099" s="137"/>
      <c r="C2099" s="137"/>
      <c r="D2099" s="194"/>
      <c r="E2099" s="194"/>
      <c r="F2099" s="137"/>
      <c r="G2099" s="137"/>
      <c r="H2099" s="137"/>
      <c r="I2099" s="137"/>
      <c r="J2099" s="197"/>
      <c r="K2099" s="198"/>
      <c r="L2099" s="196"/>
      <c r="M2099" s="196"/>
      <c r="N2099" s="196"/>
      <c r="O2099" s="196"/>
      <c r="P2099" s="127"/>
    </row>
    <row r="2100" spans="1:16" ht="20.25" customHeight="1" x14ac:dyDescent="0.3">
      <c r="A2100" s="137"/>
      <c r="B2100" s="137"/>
      <c r="C2100" s="137"/>
      <c r="D2100" s="194"/>
      <c r="E2100" s="194"/>
      <c r="F2100" s="137"/>
      <c r="G2100" s="137"/>
      <c r="H2100" s="137"/>
      <c r="I2100" s="137"/>
      <c r="J2100" s="197"/>
      <c r="K2100" s="198"/>
      <c r="L2100" s="196"/>
      <c r="M2100" s="196"/>
      <c r="N2100" s="196"/>
      <c r="O2100" s="196"/>
      <c r="P2100" s="127"/>
    </row>
    <row r="2101" spans="1:16" ht="20.25" customHeight="1" x14ac:dyDescent="0.3">
      <c r="A2101" s="137"/>
      <c r="B2101" s="137"/>
      <c r="C2101" s="137"/>
      <c r="D2101" s="194"/>
      <c r="E2101" s="194"/>
      <c r="F2101" s="137"/>
      <c r="G2101" s="137"/>
      <c r="H2101" s="137"/>
      <c r="I2101" s="137"/>
      <c r="J2101" s="197"/>
      <c r="K2101" s="198"/>
      <c r="L2101" s="196"/>
      <c r="M2101" s="196"/>
      <c r="N2101" s="196"/>
      <c r="O2101" s="196"/>
      <c r="P2101" s="127"/>
    </row>
    <row r="2102" spans="1:16" ht="20.25" customHeight="1" x14ac:dyDescent="0.3">
      <c r="A2102" s="137"/>
      <c r="B2102" s="137"/>
      <c r="C2102" s="137"/>
      <c r="D2102" s="194"/>
      <c r="E2102" s="194"/>
      <c r="F2102" s="137"/>
      <c r="G2102" s="137"/>
      <c r="H2102" s="137"/>
      <c r="I2102" s="137"/>
      <c r="J2102" s="197"/>
      <c r="K2102" s="198"/>
      <c r="L2102" s="196"/>
      <c r="M2102" s="196"/>
      <c r="N2102" s="196"/>
      <c r="O2102" s="196"/>
      <c r="P2102" s="127"/>
    </row>
    <row r="2103" spans="1:16" ht="20.25" customHeight="1" x14ac:dyDescent="0.3">
      <c r="A2103" s="137"/>
      <c r="B2103" s="137"/>
      <c r="C2103" s="137"/>
      <c r="D2103" s="194"/>
      <c r="E2103" s="194"/>
      <c r="F2103" s="137"/>
      <c r="G2103" s="137"/>
      <c r="H2103" s="137"/>
      <c r="I2103" s="137"/>
      <c r="J2103" s="197"/>
      <c r="K2103" s="198"/>
      <c r="L2103" s="196"/>
      <c r="M2103" s="196"/>
      <c r="N2103" s="196"/>
      <c r="O2103" s="196"/>
      <c r="P2103" s="127"/>
    </row>
    <row r="2104" spans="1:16" ht="20.25" customHeight="1" x14ac:dyDescent="0.3">
      <c r="A2104" s="137"/>
      <c r="B2104" s="137"/>
      <c r="C2104" s="137"/>
      <c r="D2104" s="194"/>
      <c r="E2104" s="194"/>
      <c r="F2104" s="137"/>
      <c r="G2104" s="137"/>
      <c r="H2104" s="137"/>
      <c r="I2104" s="137"/>
      <c r="J2104" s="197"/>
      <c r="K2104" s="198"/>
      <c r="L2104" s="196"/>
      <c r="M2104" s="196"/>
      <c r="N2104" s="196"/>
      <c r="O2104" s="196"/>
      <c r="P2104" s="127"/>
    </row>
    <row r="2105" spans="1:16" ht="20.25" customHeight="1" x14ac:dyDescent="0.3">
      <c r="A2105" s="137"/>
      <c r="B2105" s="137"/>
      <c r="C2105" s="137"/>
      <c r="D2105" s="194"/>
      <c r="E2105" s="194"/>
      <c r="F2105" s="137"/>
      <c r="G2105" s="137"/>
      <c r="H2105" s="137"/>
      <c r="I2105" s="137"/>
      <c r="J2105" s="197"/>
      <c r="K2105" s="198"/>
      <c r="L2105" s="196"/>
      <c r="M2105" s="196"/>
      <c r="N2105" s="196"/>
      <c r="O2105" s="196"/>
      <c r="P2105" s="127"/>
    </row>
    <row r="2106" spans="1:16" ht="20.25" customHeight="1" x14ac:dyDescent="0.3">
      <c r="A2106" s="137"/>
      <c r="B2106" s="137"/>
      <c r="C2106" s="137"/>
      <c r="D2106" s="194"/>
      <c r="E2106" s="194"/>
      <c r="F2106" s="137"/>
      <c r="G2106" s="137"/>
      <c r="H2106" s="137"/>
      <c r="I2106" s="137"/>
      <c r="J2106" s="197"/>
      <c r="K2106" s="198"/>
      <c r="L2106" s="196"/>
      <c r="M2106" s="196"/>
      <c r="N2106" s="196"/>
      <c r="O2106" s="196"/>
      <c r="P2106" s="127"/>
    </row>
    <row r="2107" spans="1:16" ht="20.25" customHeight="1" x14ac:dyDescent="0.3">
      <c r="A2107" s="137"/>
      <c r="B2107" s="137"/>
      <c r="C2107" s="137"/>
      <c r="D2107" s="194"/>
      <c r="E2107" s="194"/>
      <c r="F2107" s="137"/>
      <c r="G2107" s="137"/>
      <c r="H2107" s="137"/>
      <c r="I2107" s="137"/>
      <c r="J2107" s="197"/>
      <c r="K2107" s="198"/>
      <c r="L2107" s="196"/>
      <c r="M2107" s="196"/>
      <c r="N2107" s="196"/>
      <c r="O2107" s="196"/>
      <c r="P2107" s="127"/>
    </row>
    <row r="2108" spans="1:16" ht="20.25" customHeight="1" x14ac:dyDescent="0.3">
      <c r="A2108" s="137"/>
      <c r="B2108" s="137"/>
      <c r="C2108" s="137"/>
      <c r="D2108" s="194"/>
      <c r="E2108" s="194"/>
      <c r="F2108" s="137"/>
      <c r="G2108" s="137"/>
      <c r="H2108" s="137"/>
      <c r="I2108" s="137"/>
      <c r="J2108" s="197"/>
      <c r="K2108" s="198"/>
      <c r="L2108" s="196"/>
      <c r="M2108" s="196"/>
      <c r="N2108" s="196"/>
      <c r="O2108" s="196"/>
      <c r="P2108" s="127"/>
    </row>
    <row r="2109" spans="1:16" ht="20.25" customHeight="1" x14ac:dyDescent="0.3">
      <c r="A2109" s="137"/>
      <c r="B2109" s="137"/>
      <c r="C2109" s="137"/>
      <c r="D2109" s="194"/>
      <c r="E2109" s="194"/>
      <c r="F2109" s="137"/>
      <c r="G2109" s="137"/>
      <c r="H2109" s="137"/>
      <c r="I2109" s="137"/>
      <c r="J2109" s="197"/>
      <c r="K2109" s="198"/>
      <c r="L2109" s="196"/>
      <c r="M2109" s="196"/>
      <c r="N2109" s="196"/>
      <c r="O2109" s="196"/>
      <c r="P2109" s="127"/>
    </row>
    <row r="2110" spans="1:16" ht="20.25" customHeight="1" x14ac:dyDescent="0.3">
      <c r="A2110" s="137"/>
      <c r="B2110" s="137"/>
      <c r="C2110" s="137"/>
      <c r="D2110" s="194"/>
      <c r="E2110" s="194"/>
      <c r="F2110" s="137"/>
      <c r="G2110" s="137"/>
      <c r="H2110" s="137"/>
      <c r="I2110" s="137"/>
      <c r="J2110" s="197"/>
      <c r="K2110" s="198"/>
      <c r="L2110" s="196"/>
      <c r="M2110" s="196"/>
      <c r="N2110" s="196"/>
      <c r="O2110" s="196"/>
      <c r="P2110" s="127"/>
    </row>
    <row r="2111" spans="1:16" ht="20.25" customHeight="1" x14ac:dyDescent="0.3">
      <c r="A2111" s="137"/>
      <c r="B2111" s="137"/>
      <c r="C2111" s="137"/>
      <c r="D2111" s="194"/>
      <c r="E2111" s="194"/>
      <c r="F2111" s="137"/>
      <c r="G2111" s="137"/>
      <c r="H2111" s="137"/>
      <c r="I2111" s="137"/>
      <c r="J2111" s="197"/>
      <c r="K2111" s="198"/>
      <c r="L2111" s="196"/>
      <c r="M2111" s="196"/>
      <c r="N2111" s="196"/>
      <c r="O2111" s="196"/>
      <c r="P2111" s="127"/>
    </row>
    <row r="2112" spans="1:16" ht="20.25" customHeight="1" x14ac:dyDescent="0.3">
      <c r="A2112" s="137"/>
      <c r="B2112" s="137"/>
      <c r="C2112" s="137"/>
      <c r="D2112" s="194"/>
      <c r="E2112" s="194"/>
      <c r="F2112" s="137"/>
      <c r="G2112" s="137"/>
      <c r="H2112" s="137"/>
      <c r="I2112" s="137"/>
      <c r="J2112" s="197"/>
      <c r="K2112" s="198"/>
      <c r="L2112" s="196"/>
      <c r="M2112" s="196"/>
      <c r="N2112" s="196"/>
      <c r="O2112" s="196"/>
      <c r="P2112" s="127"/>
    </row>
    <row r="2113" spans="1:16" ht="20.25" customHeight="1" x14ac:dyDescent="0.3">
      <c r="A2113" s="137"/>
      <c r="B2113" s="137"/>
      <c r="C2113" s="137"/>
      <c r="D2113" s="194"/>
      <c r="E2113" s="194"/>
      <c r="F2113" s="137"/>
      <c r="G2113" s="137"/>
      <c r="H2113" s="137"/>
      <c r="I2113" s="137"/>
      <c r="J2113" s="197"/>
      <c r="K2113" s="198"/>
      <c r="L2113" s="196"/>
      <c r="M2113" s="196"/>
      <c r="N2113" s="196"/>
      <c r="O2113" s="196"/>
      <c r="P2113" s="127"/>
    </row>
    <row r="2114" spans="1:16" ht="20.25" customHeight="1" x14ac:dyDescent="0.3">
      <c r="A2114" s="137"/>
      <c r="B2114" s="137"/>
      <c r="C2114" s="137"/>
      <c r="D2114" s="194"/>
      <c r="E2114" s="194"/>
      <c r="F2114" s="137"/>
      <c r="G2114" s="137"/>
      <c r="H2114" s="137"/>
      <c r="I2114" s="137"/>
      <c r="J2114" s="197"/>
      <c r="K2114" s="198"/>
      <c r="L2114" s="196"/>
      <c r="M2114" s="196"/>
      <c r="N2114" s="196"/>
      <c r="O2114" s="196"/>
      <c r="P2114" s="127"/>
    </row>
    <row r="2115" spans="1:16" ht="20.25" customHeight="1" x14ac:dyDescent="0.3">
      <c r="A2115" s="137"/>
      <c r="B2115" s="137"/>
      <c r="C2115" s="137"/>
      <c r="D2115" s="194"/>
      <c r="E2115" s="194"/>
      <c r="F2115" s="137"/>
      <c r="G2115" s="137"/>
      <c r="H2115" s="137"/>
      <c r="I2115" s="137"/>
      <c r="J2115" s="197"/>
      <c r="K2115" s="198"/>
      <c r="L2115" s="196"/>
      <c r="M2115" s="196"/>
      <c r="N2115" s="196"/>
      <c r="O2115" s="196"/>
      <c r="P2115" s="127"/>
    </row>
    <row r="2116" spans="1:16" ht="20.25" customHeight="1" x14ac:dyDescent="0.3">
      <c r="A2116" s="137"/>
      <c r="B2116" s="137"/>
      <c r="C2116" s="137"/>
      <c r="D2116" s="194"/>
      <c r="E2116" s="194"/>
      <c r="F2116" s="137"/>
      <c r="G2116" s="137"/>
      <c r="H2116" s="137"/>
      <c r="I2116" s="137"/>
      <c r="J2116" s="197"/>
      <c r="K2116" s="198"/>
      <c r="L2116" s="196"/>
      <c r="M2116" s="196"/>
      <c r="N2116" s="196"/>
      <c r="O2116" s="196"/>
      <c r="P2116" s="127"/>
    </row>
    <row r="2117" spans="1:16" ht="20.25" customHeight="1" x14ac:dyDescent="0.3">
      <c r="A2117" s="137"/>
      <c r="B2117" s="137"/>
      <c r="C2117" s="137"/>
      <c r="D2117" s="194"/>
      <c r="E2117" s="194"/>
      <c r="F2117" s="137"/>
      <c r="G2117" s="137"/>
      <c r="H2117" s="137"/>
      <c r="I2117" s="137"/>
      <c r="J2117" s="197"/>
      <c r="K2117" s="198"/>
      <c r="L2117" s="196"/>
      <c r="M2117" s="196"/>
      <c r="N2117" s="196"/>
      <c r="O2117" s="196"/>
      <c r="P2117" s="127"/>
    </row>
    <row r="2118" spans="1:16" ht="20.25" customHeight="1" x14ac:dyDescent="0.3">
      <c r="A2118" s="137"/>
      <c r="B2118" s="137"/>
      <c r="C2118" s="137"/>
      <c r="D2118" s="194"/>
      <c r="E2118" s="194"/>
      <c r="F2118" s="137"/>
      <c r="G2118" s="137"/>
      <c r="H2118" s="137"/>
      <c r="I2118" s="137"/>
      <c r="J2118" s="197"/>
      <c r="K2118" s="198"/>
      <c r="L2118" s="196"/>
      <c r="M2118" s="196"/>
      <c r="N2118" s="196"/>
      <c r="O2118" s="196"/>
      <c r="P2118" s="127"/>
    </row>
    <row r="2119" spans="1:16" ht="20.25" customHeight="1" x14ac:dyDescent="0.3">
      <c r="A2119" s="137"/>
      <c r="B2119" s="137"/>
      <c r="C2119" s="137"/>
      <c r="D2119" s="194"/>
      <c r="E2119" s="194"/>
      <c r="F2119" s="137"/>
      <c r="G2119" s="137"/>
      <c r="H2119" s="137"/>
      <c r="I2119" s="137"/>
      <c r="J2119" s="197"/>
      <c r="K2119" s="198"/>
      <c r="L2119" s="196"/>
      <c r="M2119" s="196"/>
      <c r="N2119" s="196"/>
      <c r="O2119" s="196"/>
      <c r="P2119" s="127"/>
    </row>
    <row r="2120" spans="1:16" ht="20.25" customHeight="1" x14ac:dyDescent="0.3">
      <c r="A2120" s="137"/>
      <c r="B2120" s="137"/>
      <c r="C2120" s="137"/>
      <c r="D2120" s="194"/>
      <c r="E2120" s="194"/>
      <c r="F2120" s="137"/>
      <c r="G2120" s="137"/>
      <c r="H2120" s="137"/>
      <c r="I2120" s="137"/>
      <c r="J2120" s="197"/>
      <c r="K2120" s="198"/>
      <c r="L2120" s="196"/>
      <c r="M2120" s="196"/>
      <c r="N2120" s="196"/>
      <c r="O2120" s="196"/>
      <c r="P2120" s="127"/>
    </row>
    <row r="2121" spans="1:16" ht="20.25" customHeight="1" x14ac:dyDescent="0.3">
      <c r="A2121" s="137"/>
      <c r="B2121" s="137"/>
      <c r="C2121" s="137"/>
      <c r="D2121" s="194"/>
      <c r="E2121" s="194"/>
      <c r="F2121" s="137"/>
      <c r="G2121" s="137"/>
      <c r="H2121" s="137"/>
      <c r="I2121" s="137"/>
      <c r="J2121" s="197"/>
      <c r="K2121" s="198"/>
      <c r="L2121" s="196"/>
      <c r="M2121" s="196"/>
      <c r="N2121" s="196"/>
      <c r="O2121" s="196"/>
      <c r="P2121" s="127"/>
    </row>
    <row r="2122" spans="1:16" ht="20.25" customHeight="1" x14ac:dyDescent="0.3">
      <c r="A2122" s="137"/>
      <c r="B2122" s="137"/>
      <c r="C2122" s="137"/>
      <c r="D2122" s="194"/>
      <c r="E2122" s="194"/>
      <c r="F2122" s="137"/>
      <c r="G2122" s="137"/>
      <c r="H2122" s="137"/>
      <c r="I2122" s="137"/>
      <c r="J2122" s="197"/>
      <c r="K2122" s="198"/>
      <c r="L2122" s="196"/>
      <c r="M2122" s="196"/>
      <c r="N2122" s="196"/>
      <c r="O2122" s="196"/>
      <c r="P2122" s="127"/>
    </row>
    <row r="2123" spans="1:16" ht="20.25" customHeight="1" x14ac:dyDescent="0.3">
      <c r="A2123" s="137"/>
      <c r="B2123" s="137"/>
      <c r="C2123" s="137"/>
      <c r="D2123" s="194"/>
      <c r="E2123" s="194"/>
      <c r="F2123" s="137"/>
      <c r="G2123" s="137"/>
      <c r="H2123" s="137"/>
      <c r="I2123" s="137"/>
      <c r="J2123" s="197"/>
      <c r="K2123" s="198"/>
      <c r="L2123" s="196"/>
      <c r="M2123" s="196"/>
      <c r="N2123" s="196"/>
      <c r="O2123" s="196"/>
      <c r="P2123" s="127"/>
    </row>
    <row r="2124" spans="1:16" ht="20.25" customHeight="1" x14ac:dyDescent="0.3">
      <c r="A2124" s="137"/>
      <c r="B2124" s="137"/>
      <c r="C2124" s="137"/>
      <c r="D2124" s="194"/>
      <c r="E2124" s="194"/>
      <c r="F2124" s="137"/>
      <c r="G2124" s="137"/>
      <c r="H2124" s="137"/>
      <c r="I2124" s="137"/>
      <c r="J2124" s="197"/>
      <c r="K2124" s="198"/>
      <c r="L2124" s="196"/>
      <c r="M2124" s="196"/>
      <c r="N2124" s="196"/>
      <c r="O2124" s="196"/>
      <c r="P2124" s="127"/>
    </row>
    <row r="2125" spans="1:16" ht="20.25" customHeight="1" x14ac:dyDescent="0.3">
      <c r="A2125" s="137"/>
      <c r="B2125" s="137"/>
      <c r="C2125" s="137"/>
      <c r="D2125" s="194"/>
      <c r="E2125" s="194"/>
      <c r="F2125" s="137"/>
      <c r="G2125" s="137"/>
      <c r="H2125" s="137"/>
      <c r="I2125" s="137"/>
      <c r="J2125" s="197"/>
      <c r="K2125" s="198"/>
      <c r="L2125" s="196"/>
      <c r="M2125" s="196"/>
      <c r="N2125" s="196"/>
      <c r="O2125" s="196"/>
      <c r="P2125" s="127"/>
    </row>
    <row r="2126" spans="1:16" ht="20.25" customHeight="1" x14ac:dyDescent="0.3">
      <c r="A2126" s="137"/>
      <c r="B2126" s="137"/>
      <c r="C2126" s="137"/>
      <c r="D2126" s="194"/>
      <c r="E2126" s="194"/>
      <c r="F2126" s="137"/>
      <c r="G2126" s="137"/>
      <c r="H2126" s="137"/>
      <c r="I2126" s="137"/>
      <c r="J2126" s="197"/>
      <c r="K2126" s="198"/>
      <c r="L2126" s="196"/>
      <c r="M2126" s="196"/>
      <c r="N2126" s="196"/>
      <c r="O2126" s="196"/>
      <c r="P2126" s="127"/>
    </row>
    <row r="2127" spans="1:16" ht="20.25" customHeight="1" x14ac:dyDescent="0.3">
      <c r="A2127" s="137"/>
      <c r="B2127" s="137"/>
      <c r="C2127" s="137"/>
      <c r="D2127" s="194"/>
      <c r="E2127" s="194"/>
      <c r="F2127" s="137"/>
      <c r="G2127" s="137"/>
      <c r="H2127" s="137"/>
      <c r="I2127" s="137"/>
      <c r="J2127" s="197"/>
      <c r="K2127" s="198"/>
      <c r="L2127" s="196"/>
      <c r="M2127" s="196"/>
      <c r="N2127" s="196"/>
      <c r="O2127" s="196"/>
      <c r="P2127" s="127"/>
    </row>
    <row r="2128" spans="1:16" ht="20.25" customHeight="1" x14ac:dyDescent="0.3">
      <c r="A2128" s="137"/>
      <c r="B2128" s="137"/>
      <c r="C2128" s="137"/>
      <c r="D2128" s="194"/>
      <c r="E2128" s="194"/>
      <c r="F2128" s="137"/>
      <c r="G2128" s="137"/>
      <c r="H2128" s="137"/>
      <c r="I2128" s="137"/>
      <c r="J2128" s="197"/>
      <c r="K2128" s="198"/>
      <c r="L2128" s="196"/>
      <c r="M2128" s="196"/>
      <c r="N2128" s="196"/>
      <c r="O2128" s="196"/>
      <c r="P2128" s="127"/>
    </row>
    <row r="2129" spans="1:16" ht="20.25" customHeight="1" x14ac:dyDescent="0.3">
      <c r="A2129" s="137"/>
      <c r="B2129" s="137"/>
      <c r="C2129" s="137"/>
      <c r="D2129" s="194"/>
      <c r="E2129" s="194"/>
      <c r="F2129" s="137"/>
      <c r="G2129" s="137"/>
      <c r="H2129" s="137"/>
      <c r="I2129" s="137"/>
      <c r="J2129" s="197"/>
      <c r="K2129" s="198"/>
      <c r="L2129" s="196"/>
      <c r="M2129" s="196"/>
      <c r="N2129" s="196"/>
      <c r="O2129" s="196"/>
      <c r="P2129" s="127"/>
    </row>
    <row r="2130" spans="1:16" ht="20.25" customHeight="1" x14ac:dyDescent="0.3">
      <c r="A2130" s="137"/>
      <c r="B2130" s="137"/>
      <c r="C2130" s="137"/>
      <c r="D2130" s="194"/>
      <c r="E2130" s="194"/>
      <c r="F2130" s="137"/>
      <c r="G2130" s="137"/>
      <c r="H2130" s="137"/>
      <c r="I2130" s="137"/>
      <c r="J2130" s="197"/>
      <c r="K2130" s="198"/>
      <c r="L2130" s="196"/>
      <c r="M2130" s="196"/>
      <c r="N2130" s="196"/>
      <c r="O2130" s="196"/>
      <c r="P2130" s="127"/>
    </row>
    <row r="2131" spans="1:16" ht="20.25" customHeight="1" x14ac:dyDescent="0.3">
      <c r="A2131" s="137"/>
      <c r="B2131" s="137"/>
      <c r="C2131" s="137"/>
      <c r="D2131" s="194"/>
      <c r="E2131" s="194"/>
      <c r="F2131" s="137"/>
      <c r="G2131" s="137"/>
      <c r="H2131" s="137"/>
      <c r="I2131" s="137"/>
      <c r="J2131" s="197"/>
      <c r="K2131" s="198"/>
      <c r="L2131" s="196"/>
      <c r="M2131" s="196"/>
      <c r="N2131" s="196"/>
      <c r="O2131" s="196"/>
      <c r="P2131" s="127"/>
    </row>
    <row r="2132" spans="1:16" ht="20.25" customHeight="1" x14ac:dyDescent="0.3">
      <c r="A2132" s="137"/>
      <c r="B2132" s="137"/>
      <c r="C2132" s="137"/>
      <c r="D2132" s="194"/>
      <c r="E2132" s="194"/>
      <c r="F2132" s="137"/>
      <c r="G2132" s="137"/>
      <c r="H2132" s="137"/>
      <c r="I2132" s="137"/>
      <c r="J2132" s="197"/>
      <c r="K2132" s="198"/>
      <c r="L2132" s="196"/>
      <c r="M2132" s="196"/>
      <c r="N2132" s="196"/>
      <c r="O2132" s="196"/>
      <c r="P2132" s="127"/>
    </row>
    <row r="2133" spans="1:16" ht="20.25" customHeight="1" x14ac:dyDescent="0.3">
      <c r="A2133" s="137"/>
      <c r="B2133" s="137"/>
      <c r="C2133" s="137"/>
      <c r="D2133" s="194"/>
      <c r="E2133" s="194"/>
      <c r="F2133" s="137"/>
      <c r="G2133" s="137"/>
      <c r="H2133" s="137"/>
      <c r="I2133" s="137"/>
      <c r="J2133" s="197"/>
      <c r="K2133" s="198"/>
      <c r="L2133" s="196"/>
      <c r="M2133" s="196"/>
      <c r="N2133" s="196"/>
      <c r="O2133" s="196"/>
      <c r="P2133" s="127"/>
    </row>
    <row r="2134" spans="1:16" ht="20.25" customHeight="1" x14ac:dyDescent="0.3">
      <c r="A2134" s="137"/>
      <c r="B2134" s="137"/>
      <c r="C2134" s="137"/>
      <c r="D2134" s="194"/>
      <c r="E2134" s="194"/>
      <c r="F2134" s="137"/>
      <c r="G2134" s="137"/>
      <c r="H2134" s="137"/>
      <c r="I2134" s="137"/>
      <c r="J2134" s="197"/>
      <c r="K2134" s="198"/>
      <c r="L2134" s="196"/>
      <c r="M2134" s="196"/>
      <c r="N2134" s="196"/>
      <c r="O2134" s="196"/>
      <c r="P2134" s="127"/>
    </row>
    <row r="2135" spans="1:16" ht="20.25" customHeight="1" x14ac:dyDescent="0.3">
      <c r="A2135" s="137"/>
      <c r="B2135" s="137"/>
      <c r="C2135" s="137"/>
      <c r="D2135" s="194"/>
      <c r="E2135" s="194"/>
      <c r="F2135" s="137"/>
      <c r="G2135" s="137"/>
      <c r="H2135" s="137"/>
      <c r="I2135" s="137"/>
      <c r="J2135" s="197"/>
      <c r="K2135" s="198"/>
      <c r="L2135" s="196"/>
      <c r="M2135" s="196"/>
      <c r="N2135" s="196"/>
      <c r="O2135" s="196"/>
      <c r="P2135" s="127"/>
    </row>
    <row r="2136" spans="1:16" ht="20.25" customHeight="1" x14ac:dyDescent="0.3">
      <c r="A2136" s="137"/>
      <c r="B2136" s="137"/>
      <c r="C2136" s="137"/>
      <c r="D2136" s="194"/>
      <c r="E2136" s="194"/>
      <c r="F2136" s="137"/>
      <c r="G2136" s="137"/>
      <c r="H2136" s="137"/>
      <c r="I2136" s="137"/>
      <c r="J2136" s="197"/>
      <c r="K2136" s="198"/>
      <c r="L2136" s="196"/>
      <c r="M2136" s="196"/>
      <c r="N2136" s="196"/>
      <c r="O2136" s="196"/>
      <c r="P2136" s="127"/>
    </row>
    <row r="2137" spans="1:16" ht="20.25" customHeight="1" x14ac:dyDescent="0.3">
      <c r="A2137" s="137"/>
      <c r="B2137" s="137"/>
      <c r="C2137" s="137"/>
      <c r="D2137" s="194"/>
      <c r="E2137" s="194"/>
      <c r="F2137" s="137"/>
      <c r="G2137" s="137"/>
      <c r="H2137" s="137"/>
      <c r="I2137" s="137"/>
      <c r="J2137" s="197"/>
      <c r="K2137" s="198"/>
      <c r="L2137" s="196"/>
      <c r="M2137" s="196"/>
      <c r="N2137" s="196"/>
      <c r="O2137" s="196"/>
      <c r="P2137" s="127"/>
    </row>
    <row r="2138" spans="1:16" ht="20.25" customHeight="1" x14ac:dyDescent="0.3">
      <c r="A2138" s="137"/>
      <c r="B2138" s="137"/>
      <c r="C2138" s="137"/>
      <c r="D2138" s="194"/>
      <c r="E2138" s="194"/>
      <c r="F2138" s="137"/>
      <c r="G2138" s="137"/>
      <c r="H2138" s="137"/>
      <c r="I2138" s="137"/>
      <c r="J2138" s="197"/>
      <c r="K2138" s="198"/>
      <c r="L2138" s="196"/>
      <c r="M2138" s="196"/>
      <c r="N2138" s="196"/>
      <c r="O2138" s="196"/>
      <c r="P2138" s="127"/>
    </row>
    <row r="2139" spans="1:16" ht="20.25" customHeight="1" x14ac:dyDescent="0.3">
      <c r="A2139" s="137"/>
      <c r="B2139" s="137"/>
      <c r="C2139" s="137"/>
      <c r="D2139" s="194"/>
      <c r="E2139" s="194"/>
      <c r="F2139" s="137"/>
      <c r="G2139" s="137"/>
      <c r="H2139" s="137"/>
      <c r="I2139" s="137"/>
      <c r="J2139" s="197"/>
      <c r="K2139" s="198"/>
      <c r="L2139" s="196"/>
      <c r="M2139" s="196"/>
      <c r="N2139" s="196"/>
      <c r="O2139" s="196"/>
      <c r="P2139" s="127"/>
    </row>
    <row r="2140" spans="1:16" ht="20.25" customHeight="1" x14ac:dyDescent="0.3">
      <c r="A2140" s="137"/>
      <c r="B2140" s="137"/>
      <c r="C2140" s="137"/>
      <c r="D2140" s="194"/>
      <c r="E2140" s="194"/>
      <c r="F2140" s="137"/>
      <c r="G2140" s="137"/>
      <c r="H2140" s="137"/>
      <c r="I2140" s="137"/>
      <c r="J2140" s="197"/>
      <c r="K2140" s="198"/>
      <c r="L2140" s="196"/>
      <c r="M2140" s="196"/>
      <c r="N2140" s="196"/>
      <c r="O2140" s="196"/>
      <c r="P2140" s="127"/>
    </row>
    <row r="2141" spans="1:16" ht="20.25" customHeight="1" x14ac:dyDescent="0.3">
      <c r="A2141" s="137"/>
      <c r="B2141" s="137"/>
      <c r="C2141" s="137"/>
      <c r="D2141" s="194"/>
      <c r="E2141" s="194"/>
      <c r="F2141" s="137"/>
      <c r="G2141" s="137"/>
      <c r="H2141" s="137"/>
      <c r="I2141" s="137"/>
      <c r="J2141" s="197"/>
      <c r="K2141" s="198"/>
      <c r="L2141" s="196"/>
      <c r="M2141" s="196"/>
      <c r="N2141" s="196"/>
      <c r="O2141" s="196"/>
      <c r="P2141" s="127"/>
    </row>
    <row r="2142" spans="1:16" ht="20.25" customHeight="1" x14ac:dyDescent="0.3">
      <c r="A2142" s="137"/>
      <c r="B2142" s="137"/>
      <c r="C2142" s="137"/>
      <c r="D2142" s="194"/>
      <c r="E2142" s="194"/>
      <c r="F2142" s="137"/>
      <c r="G2142" s="137"/>
      <c r="H2142" s="137"/>
      <c r="I2142" s="137"/>
      <c r="J2142" s="197"/>
      <c r="K2142" s="198"/>
      <c r="L2142" s="196"/>
      <c r="M2142" s="196"/>
      <c r="N2142" s="196"/>
      <c r="O2142" s="196"/>
      <c r="P2142" s="127"/>
    </row>
    <row r="2143" spans="1:16" ht="20.25" customHeight="1" x14ac:dyDescent="0.3">
      <c r="A2143" s="137"/>
      <c r="B2143" s="137"/>
      <c r="C2143" s="137"/>
      <c r="D2143" s="194"/>
      <c r="E2143" s="194"/>
      <c r="F2143" s="137"/>
      <c r="G2143" s="137"/>
      <c r="H2143" s="137"/>
      <c r="I2143" s="137"/>
      <c r="J2143" s="197"/>
      <c r="K2143" s="198"/>
      <c r="L2143" s="196"/>
      <c r="M2143" s="196"/>
      <c r="N2143" s="196"/>
      <c r="O2143" s="196"/>
      <c r="P2143" s="127"/>
    </row>
    <row r="2144" spans="1:16" ht="20.25" customHeight="1" x14ac:dyDescent="0.3">
      <c r="A2144" s="137"/>
      <c r="B2144" s="137"/>
      <c r="C2144" s="137"/>
      <c r="D2144" s="194"/>
      <c r="E2144" s="194"/>
      <c r="F2144" s="137"/>
      <c r="G2144" s="137"/>
      <c r="H2144" s="137"/>
      <c r="I2144" s="137"/>
      <c r="J2144" s="197"/>
      <c r="K2144" s="198"/>
      <c r="L2144" s="196"/>
      <c r="M2144" s="196"/>
      <c r="N2144" s="196"/>
      <c r="O2144" s="196"/>
      <c r="P2144" s="127"/>
    </row>
    <row r="2145" spans="1:16" ht="20.25" customHeight="1" x14ac:dyDescent="0.3">
      <c r="A2145" s="137"/>
      <c r="B2145" s="137"/>
      <c r="C2145" s="137"/>
      <c r="D2145" s="194"/>
      <c r="E2145" s="194"/>
      <c r="F2145" s="137"/>
      <c r="G2145" s="137"/>
      <c r="H2145" s="137"/>
      <c r="I2145" s="137"/>
      <c r="J2145" s="197"/>
      <c r="K2145" s="198"/>
      <c r="L2145" s="196"/>
      <c r="M2145" s="196"/>
      <c r="N2145" s="196"/>
      <c r="O2145" s="196"/>
      <c r="P2145" s="127"/>
    </row>
    <row r="2146" spans="1:16" ht="20.25" customHeight="1" x14ac:dyDescent="0.3">
      <c r="A2146" s="137"/>
      <c r="B2146" s="137"/>
      <c r="C2146" s="137"/>
      <c r="D2146" s="194"/>
      <c r="E2146" s="194"/>
      <c r="F2146" s="137"/>
      <c r="G2146" s="137"/>
      <c r="H2146" s="137"/>
      <c r="I2146" s="137"/>
      <c r="J2146" s="197"/>
      <c r="K2146" s="198"/>
      <c r="L2146" s="196"/>
      <c r="M2146" s="196"/>
      <c r="N2146" s="196"/>
      <c r="O2146" s="196"/>
      <c r="P2146" s="127"/>
    </row>
    <row r="2147" spans="1:16" ht="20.25" customHeight="1" x14ac:dyDescent="0.3">
      <c r="A2147" s="137"/>
      <c r="B2147" s="137"/>
      <c r="C2147" s="137"/>
      <c r="D2147" s="194"/>
      <c r="E2147" s="194"/>
      <c r="F2147" s="137"/>
      <c r="G2147" s="137"/>
      <c r="H2147" s="137"/>
      <c r="I2147" s="137"/>
      <c r="J2147" s="197"/>
      <c r="K2147" s="198"/>
      <c r="L2147" s="196"/>
      <c r="M2147" s="196"/>
      <c r="N2147" s="196"/>
      <c r="O2147" s="196"/>
      <c r="P2147" s="127"/>
    </row>
    <row r="2148" spans="1:16" ht="20.25" customHeight="1" x14ac:dyDescent="0.3">
      <c r="A2148" s="137"/>
      <c r="B2148" s="137"/>
      <c r="C2148" s="137"/>
      <c r="D2148" s="194"/>
      <c r="E2148" s="194"/>
      <c r="F2148" s="137"/>
      <c r="G2148" s="137"/>
      <c r="H2148" s="137"/>
      <c r="I2148" s="137"/>
      <c r="J2148" s="197"/>
      <c r="K2148" s="198"/>
      <c r="L2148" s="196"/>
      <c r="M2148" s="196"/>
      <c r="N2148" s="196"/>
      <c r="O2148" s="196"/>
      <c r="P2148" s="127"/>
    </row>
    <row r="2149" spans="1:16" ht="20.25" customHeight="1" x14ac:dyDescent="0.3">
      <c r="A2149" s="137"/>
      <c r="B2149" s="137"/>
      <c r="C2149" s="137"/>
      <c r="D2149" s="194"/>
      <c r="E2149" s="194"/>
      <c r="F2149" s="137"/>
      <c r="G2149" s="137"/>
      <c r="H2149" s="137"/>
      <c r="I2149" s="137"/>
      <c r="J2149" s="197"/>
      <c r="K2149" s="198"/>
      <c r="L2149" s="196"/>
      <c r="M2149" s="196"/>
      <c r="N2149" s="196"/>
      <c r="O2149" s="196"/>
      <c r="P2149" s="127"/>
    </row>
    <row r="2150" spans="1:16" ht="20.25" customHeight="1" x14ac:dyDescent="0.3">
      <c r="A2150" s="137"/>
      <c r="B2150" s="137"/>
      <c r="C2150" s="137"/>
      <c r="D2150" s="194"/>
      <c r="E2150" s="194"/>
      <c r="F2150" s="137"/>
      <c r="G2150" s="137"/>
      <c r="H2150" s="137"/>
      <c r="I2150" s="137"/>
      <c r="J2150" s="197"/>
      <c r="K2150" s="198"/>
      <c r="L2150" s="196"/>
      <c r="M2150" s="196"/>
      <c r="N2150" s="196"/>
      <c r="O2150" s="196"/>
      <c r="P2150" s="127"/>
    </row>
    <row r="2151" spans="1:16" ht="20.25" customHeight="1" x14ac:dyDescent="0.3">
      <c r="A2151" s="137"/>
      <c r="B2151" s="137"/>
      <c r="C2151" s="137"/>
      <c r="D2151" s="194"/>
      <c r="E2151" s="194"/>
      <c r="F2151" s="137"/>
      <c r="G2151" s="137"/>
      <c r="H2151" s="137"/>
      <c r="I2151" s="137"/>
      <c r="J2151" s="197"/>
      <c r="K2151" s="198"/>
      <c r="L2151" s="196"/>
      <c r="M2151" s="196"/>
      <c r="N2151" s="196"/>
      <c r="O2151" s="196"/>
      <c r="P2151" s="127"/>
    </row>
    <row r="2152" spans="1:16" ht="20.25" customHeight="1" x14ac:dyDescent="0.3">
      <c r="A2152" s="137"/>
      <c r="B2152" s="137"/>
      <c r="C2152" s="137"/>
      <c r="D2152" s="194"/>
      <c r="E2152" s="194"/>
      <c r="F2152" s="137"/>
      <c r="G2152" s="137"/>
      <c r="H2152" s="137"/>
      <c r="I2152" s="137"/>
      <c r="J2152" s="197"/>
      <c r="K2152" s="198"/>
      <c r="L2152" s="196"/>
      <c r="M2152" s="196"/>
      <c r="N2152" s="196"/>
      <c r="O2152" s="196"/>
      <c r="P2152" s="127"/>
    </row>
    <row r="2153" spans="1:16" ht="20.25" customHeight="1" x14ac:dyDescent="0.3">
      <c r="A2153" s="137"/>
      <c r="B2153" s="137"/>
      <c r="C2153" s="137"/>
      <c r="D2153" s="194"/>
      <c r="E2153" s="194"/>
      <c r="F2153" s="137"/>
      <c r="G2153" s="137"/>
      <c r="H2153" s="137"/>
      <c r="I2153" s="137"/>
      <c r="J2153" s="197"/>
      <c r="K2153" s="198"/>
      <c r="L2153" s="196"/>
      <c r="M2153" s="196"/>
      <c r="N2153" s="196"/>
      <c r="O2153" s="196"/>
      <c r="P2153" s="127"/>
    </row>
    <row r="2154" spans="1:16" ht="20.25" customHeight="1" x14ac:dyDescent="0.3">
      <c r="A2154" s="137"/>
      <c r="B2154" s="137"/>
      <c r="C2154" s="137"/>
      <c r="D2154" s="194"/>
      <c r="E2154" s="194"/>
      <c r="F2154" s="137"/>
      <c r="G2154" s="137"/>
      <c r="H2154" s="137"/>
      <c r="I2154" s="137"/>
      <c r="J2154" s="197"/>
      <c r="K2154" s="198"/>
      <c r="L2154" s="196"/>
      <c r="M2154" s="196"/>
      <c r="N2154" s="196"/>
      <c r="O2154" s="196"/>
      <c r="P2154" s="127"/>
    </row>
    <row r="2155" spans="1:16" ht="20.25" customHeight="1" x14ac:dyDescent="0.3">
      <c r="A2155" s="137"/>
      <c r="B2155" s="137"/>
      <c r="C2155" s="137"/>
      <c r="D2155" s="194"/>
      <c r="E2155" s="194"/>
      <c r="F2155" s="137"/>
      <c r="G2155" s="137"/>
      <c r="H2155" s="137"/>
      <c r="I2155" s="137"/>
      <c r="J2155" s="197"/>
      <c r="K2155" s="198"/>
      <c r="L2155" s="196"/>
      <c r="M2155" s="196"/>
      <c r="N2155" s="196"/>
      <c r="O2155" s="196"/>
      <c r="P2155" s="127"/>
    </row>
    <row r="2156" spans="1:16" ht="20.25" customHeight="1" x14ac:dyDescent="0.3">
      <c r="A2156" s="137"/>
      <c r="B2156" s="137"/>
      <c r="C2156" s="137"/>
      <c r="D2156" s="194"/>
      <c r="E2156" s="194"/>
      <c r="F2156" s="137"/>
      <c r="G2156" s="137"/>
      <c r="H2156" s="137"/>
      <c r="I2156" s="137"/>
      <c r="J2156" s="197"/>
      <c r="K2156" s="198"/>
      <c r="L2156" s="196"/>
      <c r="M2156" s="196"/>
      <c r="N2156" s="196"/>
      <c r="O2156" s="196"/>
      <c r="P2156" s="127"/>
    </row>
    <row r="2157" spans="1:16" ht="20.25" customHeight="1" x14ac:dyDescent="0.3">
      <c r="A2157" s="137"/>
      <c r="B2157" s="137"/>
      <c r="C2157" s="137"/>
      <c r="D2157" s="194"/>
      <c r="E2157" s="194"/>
      <c r="F2157" s="137"/>
      <c r="G2157" s="137"/>
      <c r="H2157" s="137"/>
      <c r="I2157" s="137"/>
      <c r="J2157" s="197"/>
      <c r="K2157" s="198"/>
      <c r="L2157" s="196"/>
      <c r="M2157" s="196"/>
      <c r="N2157" s="196"/>
      <c r="O2157" s="196"/>
      <c r="P2157" s="127"/>
    </row>
    <row r="2158" spans="1:16" ht="20.25" customHeight="1" x14ac:dyDescent="0.3">
      <c r="A2158" s="137"/>
      <c r="B2158" s="137"/>
      <c r="C2158" s="137"/>
      <c r="D2158" s="194"/>
      <c r="E2158" s="194"/>
      <c r="F2158" s="137"/>
      <c r="G2158" s="137"/>
      <c r="H2158" s="137"/>
      <c r="I2158" s="137"/>
      <c r="J2158" s="197"/>
      <c r="K2158" s="198"/>
      <c r="L2158" s="196"/>
      <c r="M2158" s="196"/>
      <c r="N2158" s="196"/>
      <c r="O2158" s="196"/>
      <c r="P2158" s="127"/>
    </row>
    <row r="2159" spans="1:16" ht="20.25" customHeight="1" x14ac:dyDescent="0.3">
      <c r="A2159" s="137"/>
      <c r="B2159" s="137"/>
      <c r="C2159" s="137"/>
      <c r="D2159" s="194"/>
      <c r="E2159" s="194"/>
      <c r="F2159" s="137"/>
      <c r="G2159" s="137"/>
      <c r="H2159" s="137"/>
      <c r="I2159" s="137"/>
      <c r="J2159" s="197"/>
      <c r="K2159" s="198"/>
      <c r="L2159" s="196"/>
      <c r="M2159" s="196"/>
      <c r="N2159" s="196"/>
      <c r="O2159" s="196"/>
      <c r="P2159" s="127"/>
    </row>
    <row r="2160" spans="1:16" ht="20.25" customHeight="1" x14ac:dyDescent="0.3">
      <c r="A2160" s="137"/>
      <c r="B2160" s="137"/>
      <c r="C2160" s="137"/>
      <c r="D2160" s="194"/>
      <c r="E2160" s="194"/>
      <c r="F2160" s="137"/>
      <c r="G2160" s="137"/>
      <c r="H2160" s="137"/>
      <c r="I2160" s="137"/>
      <c r="J2160" s="197"/>
      <c r="K2160" s="198"/>
      <c r="L2160" s="196"/>
      <c r="M2160" s="196"/>
      <c r="N2160" s="196"/>
      <c r="O2160" s="196"/>
      <c r="P2160" s="127"/>
    </row>
    <row r="2161" spans="1:16" ht="20.25" customHeight="1" x14ac:dyDescent="0.3">
      <c r="A2161" s="137"/>
      <c r="B2161" s="137"/>
      <c r="C2161" s="137"/>
      <c r="D2161" s="194"/>
      <c r="E2161" s="194"/>
      <c r="F2161" s="137"/>
      <c r="G2161" s="137"/>
      <c r="H2161" s="137"/>
      <c r="I2161" s="137"/>
      <c r="J2161" s="197"/>
      <c r="K2161" s="198"/>
      <c r="L2161" s="196"/>
      <c r="M2161" s="196"/>
      <c r="N2161" s="196"/>
      <c r="O2161" s="196"/>
      <c r="P2161" s="127"/>
    </row>
    <row r="2162" spans="1:16" ht="20.25" customHeight="1" x14ac:dyDescent="0.3">
      <c r="A2162" s="137"/>
      <c r="B2162" s="137"/>
      <c r="C2162" s="137"/>
      <c r="D2162" s="194"/>
      <c r="E2162" s="194"/>
      <c r="F2162" s="137"/>
      <c r="G2162" s="137"/>
      <c r="H2162" s="137"/>
      <c r="I2162" s="137"/>
      <c r="J2162" s="197"/>
      <c r="K2162" s="198"/>
      <c r="L2162" s="196"/>
      <c r="M2162" s="196"/>
      <c r="N2162" s="196"/>
      <c r="O2162" s="196"/>
      <c r="P2162" s="127"/>
    </row>
    <row r="2163" spans="1:16" ht="20.25" customHeight="1" x14ac:dyDescent="0.3">
      <c r="A2163" s="137"/>
      <c r="B2163" s="137"/>
      <c r="C2163" s="137"/>
      <c r="D2163" s="194"/>
      <c r="E2163" s="194"/>
      <c r="F2163" s="137"/>
      <c r="G2163" s="137"/>
      <c r="H2163" s="137"/>
      <c r="I2163" s="137"/>
      <c r="J2163" s="197"/>
      <c r="K2163" s="198"/>
      <c r="L2163" s="196"/>
      <c r="M2163" s="196"/>
      <c r="N2163" s="196"/>
      <c r="O2163" s="196"/>
      <c r="P2163" s="127"/>
    </row>
    <row r="2164" spans="1:16" ht="20.25" customHeight="1" x14ac:dyDescent="0.3">
      <c r="A2164" s="137"/>
      <c r="B2164" s="137"/>
      <c r="C2164" s="137"/>
      <c r="D2164" s="194"/>
      <c r="E2164" s="194"/>
      <c r="F2164" s="137"/>
      <c r="G2164" s="137"/>
      <c r="H2164" s="137"/>
      <c r="I2164" s="137"/>
      <c r="J2164" s="197"/>
      <c r="K2164" s="198"/>
      <c r="L2164" s="196"/>
      <c r="M2164" s="196"/>
      <c r="N2164" s="196"/>
      <c r="O2164" s="196"/>
      <c r="P2164" s="127"/>
    </row>
    <row r="2165" spans="1:16" ht="20.25" customHeight="1" x14ac:dyDescent="0.3">
      <c r="A2165" s="137"/>
      <c r="B2165" s="137"/>
      <c r="C2165" s="137"/>
      <c r="D2165" s="194"/>
      <c r="E2165" s="194"/>
      <c r="F2165" s="137"/>
      <c r="G2165" s="137"/>
      <c r="H2165" s="137"/>
      <c r="I2165" s="137"/>
      <c r="J2165" s="197"/>
      <c r="K2165" s="198"/>
      <c r="L2165" s="196"/>
      <c r="M2165" s="196"/>
      <c r="N2165" s="196"/>
      <c r="O2165" s="196"/>
      <c r="P2165" s="127"/>
    </row>
    <row r="2166" spans="1:16" ht="20.25" customHeight="1" x14ac:dyDescent="0.3">
      <c r="A2166" s="137"/>
      <c r="B2166" s="137"/>
      <c r="C2166" s="137"/>
      <c r="D2166" s="194"/>
      <c r="E2166" s="194"/>
      <c r="F2166" s="137"/>
      <c r="G2166" s="137"/>
      <c r="H2166" s="137"/>
      <c r="I2166" s="137"/>
      <c r="J2166" s="197"/>
      <c r="K2166" s="198"/>
      <c r="L2166" s="196"/>
      <c r="M2166" s="196"/>
      <c r="N2166" s="196"/>
      <c r="O2166" s="196"/>
      <c r="P2166" s="127"/>
    </row>
    <row r="2167" spans="1:16" ht="20.25" customHeight="1" x14ac:dyDescent="0.3">
      <c r="A2167" s="137"/>
      <c r="B2167" s="137"/>
      <c r="C2167" s="137"/>
      <c r="D2167" s="194"/>
      <c r="E2167" s="194"/>
      <c r="F2167" s="137"/>
      <c r="G2167" s="137"/>
      <c r="H2167" s="137"/>
      <c r="I2167" s="137"/>
      <c r="J2167" s="197"/>
      <c r="K2167" s="198"/>
      <c r="L2167" s="196"/>
      <c r="M2167" s="196"/>
      <c r="N2167" s="196"/>
      <c r="O2167" s="196"/>
      <c r="P2167" s="127"/>
    </row>
    <row r="2168" spans="1:16" ht="20.25" customHeight="1" x14ac:dyDescent="0.3">
      <c r="A2168" s="137"/>
      <c r="B2168" s="137"/>
      <c r="C2168" s="137"/>
      <c r="D2168" s="194"/>
      <c r="E2168" s="194"/>
      <c r="F2168" s="137"/>
      <c r="G2168" s="137"/>
      <c r="H2168" s="137"/>
      <c r="I2168" s="137"/>
      <c r="J2168" s="197"/>
      <c r="K2168" s="198"/>
      <c r="L2168" s="196"/>
      <c r="M2168" s="196"/>
      <c r="N2168" s="196"/>
      <c r="O2168" s="196"/>
      <c r="P2168" s="127"/>
    </row>
    <row r="2169" spans="1:16" ht="20.25" customHeight="1" x14ac:dyDescent="0.3">
      <c r="A2169" s="137"/>
      <c r="B2169" s="137"/>
      <c r="C2169" s="137"/>
      <c r="D2169" s="194"/>
      <c r="E2169" s="194"/>
      <c r="F2169" s="137"/>
      <c r="G2169" s="137"/>
      <c r="H2169" s="137"/>
      <c r="I2169" s="137"/>
      <c r="J2169" s="197"/>
      <c r="K2169" s="198"/>
      <c r="L2169" s="196"/>
      <c r="M2169" s="196"/>
      <c r="N2169" s="196"/>
      <c r="O2169" s="196"/>
      <c r="P2169" s="127"/>
    </row>
    <row r="2170" spans="1:16" ht="20.25" customHeight="1" x14ac:dyDescent="0.3">
      <c r="A2170" s="137"/>
      <c r="B2170" s="137"/>
      <c r="C2170" s="137"/>
      <c r="D2170" s="194"/>
      <c r="E2170" s="194"/>
      <c r="F2170" s="137"/>
      <c r="G2170" s="137"/>
      <c r="H2170" s="137"/>
      <c r="I2170" s="137"/>
      <c r="J2170" s="197"/>
      <c r="K2170" s="198"/>
      <c r="L2170" s="196"/>
      <c r="M2170" s="196"/>
      <c r="N2170" s="196"/>
      <c r="O2170" s="196"/>
      <c r="P2170" s="127"/>
    </row>
    <row r="2171" spans="1:16" ht="20.25" customHeight="1" x14ac:dyDescent="0.3">
      <c r="A2171" s="137"/>
      <c r="B2171" s="137"/>
      <c r="C2171" s="137"/>
      <c r="D2171" s="194"/>
      <c r="E2171" s="194"/>
      <c r="F2171" s="137"/>
      <c r="G2171" s="137"/>
      <c r="H2171" s="137"/>
      <c r="I2171" s="137"/>
      <c r="J2171" s="197"/>
      <c r="K2171" s="198"/>
      <c r="L2171" s="196"/>
      <c r="M2171" s="196"/>
      <c r="N2171" s="196"/>
      <c r="O2171" s="196"/>
      <c r="P2171" s="127"/>
    </row>
    <row r="2172" spans="1:16" ht="20.25" customHeight="1" x14ac:dyDescent="0.3">
      <c r="A2172" s="137"/>
      <c r="B2172" s="137"/>
      <c r="C2172" s="137"/>
      <c r="D2172" s="194"/>
      <c r="E2172" s="194"/>
      <c r="F2172" s="137"/>
      <c r="G2172" s="137"/>
      <c r="H2172" s="137"/>
      <c r="I2172" s="137"/>
      <c r="J2172" s="197"/>
      <c r="K2172" s="198"/>
      <c r="L2172" s="196"/>
      <c r="M2172" s="196"/>
      <c r="N2172" s="196"/>
      <c r="O2172" s="196"/>
      <c r="P2172" s="127"/>
    </row>
    <row r="2173" spans="1:16" ht="20.25" customHeight="1" x14ac:dyDescent="0.3">
      <c r="A2173" s="137"/>
      <c r="B2173" s="137"/>
      <c r="C2173" s="137"/>
      <c r="D2173" s="194"/>
      <c r="E2173" s="194"/>
      <c r="F2173" s="137"/>
      <c r="G2173" s="137"/>
      <c r="H2173" s="137"/>
      <c r="I2173" s="137"/>
      <c r="J2173" s="197"/>
      <c r="K2173" s="198"/>
      <c r="L2173" s="196"/>
      <c r="M2173" s="196"/>
      <c r="N2173" s="196"/>
      <c r="O2173" s="196"/>
      <c r="P2173" s="127"/>
    </row>
    <row r="2174" spans="1:16" ht="20.25" customHeight="1" x14ac:dyDescent="0.3">
      <c r="A2174" s="137"/>
      <c r="B2174" s="137"/>
      <c r="C2174" s="137"/>
      <c r="D2174" s="194"/>
      <c r="E2174" s="194"/>
      <c r="F2174" s="137"/>
      <c r="G2174" s="137"/>
      <c r="H2174" s="137"/>
      <c r="I2174" s="137"/>
      <c r="J2174" s="197"/>
      <c r="K2174" s="198"/>
      <c r="L2174" s="196"/>
      <c r="M2174" s="196"/>
      <c r="N2174" s="196"/>
      <c r="O2174" s="196"/>
      <c r="P2174" s="127"/>
    </row>
    <row r="2175" spans="1:16" ht="20.25" customHeight="1" x14ac:dyDescent="0.3">
      <c r="A2175" s="137"/>
      <c r="B2175" s="137"/>
      <c r="C2175" s="137"/>
      <c r="D2175" s="194"/>
      <c r="E2175" s="194"/>
      <c r="F2175" s="137"/>
      <c r="G2175" s="137"/>
      <c r="H2175" s="137"/>
      <c r="I2175" s="137"/>
      <c r="J2175" s="197"/>
      <c r="K2175" s="198"/>
      <c r="L2175" s="196"/>
      <c r="M2175" s="196"/>
      <c r="N2175" s="196"/>
      <c r="O2175" s="196"/>
      <c r="P2175" s="127"/>
    </row>
    <row r="2176" spans="1:16" ht="20.25" customHeight="1" x14ac:dyDescent="0.3">
      <c r="A2176" s="137"/>
      <c r="B2176" s="137"/>
      <c r="C2176" s="137"/>
      <c r="D2176" s="194"/>
      <c r="E2176" s="194"/>
      <c r="F2176" s="137"/>
      <c r="G2176" s="137"/>
      <c r="H2176" s="137"/>
      <c r="I2176" s="137"/>
      <c r="J2176" s="197"/>
      <c r="K2176" s="198"/>
      <c r="L2176" s="196"/>
      <c r="M2176" s="196"/>
      <c r="N2176" s="196"/>
      <c r="O2176" s="196"/>
      <c r="P2176" s="127"/>
    </row>
    <row r="2177" spans="1:16" ht="20.25" customHeight="1" x14ac:dyDescent="0.3">
      <c r="A2177" s="137"/>
      <c r="B2177" s="137"/>
      <c r="C2177" s="137"/>
      <c r="D2177" s="194"/>
      <c r="E2177" s="194"/>
      <c r="F2177" s="137"/>
      <c r="G2177" s="137"/>
      <c r="H2177" s="137"/>
      <c r="I2177" s="137"/>
      <c r="J2177" s="197"/>
      <c r="K2177" s="198"/>
      <c r="L2177" s="196"/>
      <c r="M2177" s="196"/>
      <c r="N2177" s="196"/>
      <c r="O2177" s="196"/>
      <c r="P2177" s="127"/>
    </row>
    <row r="2178" spans="1:16" ht="20.25" customHeight="1" x14ac:dyDescent="0.3">
      <c r="A2178" s="137"/>
      <c r="B2178" s="137"/>
      <c r="C2178" s="137"/>
      <c r="D2178" s="194"/>
      <c r="E2178" s="194"/>
      <c r="F2178" s="137"/>
      <c r="G2178" s="137"/>
      <c r="H2178" s="137"/>
      <c r="I2178" s="137"/>
      <c r="J2178" s="197"/>
      <c r="K2178" s="198"/>
      <c r="L2178" s="196"/>
      <c r="M2178" s="196"/>
      <c r="N2178" s="196"/>
      <c r="O2178" s="196"/>
      <c r="P2178" s="127"/>
    </row>
    <row r="2179" spans="1:16" ht="20.25" customHeight="1" x14ac:dyDescent="0.3">
      <c r="A2179" s="137"/>
      <c r="B2179" s="137"/>
      <c r="C2179" s="137"/>
      <c r="D2179" s="194"/>
      <c r="E2179" s="194"/>
      <c r="F2179" s="137"/>
      <c r="G2179" s="137"/>
      <c r="H2179" s="137"/>
      <c r="I2179" s="137"/>
      <c r="J2179" s="197"/>
      <c r="K2179" s="198"/>
      <c r="L2179" s="196"/>
      <c r="M2179" s="196"/>
      <c r="N2179" s="196"/>
      <c r="O2179" s="196"/>
      <c r="P2179" s="127"/>
    </row>
    <row r="2180" spans="1:16" ht="20.25" customHeight="1" x14ac:dyDescent="0.3">
      <c r="A2180" s="137"/>
      <c r="B2180" s="137"/>
      <c r="C2180" s="137"/>
      <c r="D2180" s="194"/>
      <c r="E2180" s="194"/>
      <c r="F2180" s="137"/>
      <c r="G2180" s="137"/>
      <c r="H2180" s="137"/>
      <c r="I2180" s="137"/>
      <c r="J2180" s="197"/>
      <c r="K2180" s="198"/>
      <c r="L2180" s="196"/>
      <c r="M2180" s="196"/>
      <c r="N2180" s="196"/>
      <c r="O2180" s="196"/>
      <c r="P2180" s="127"/>
    </row>
    <row r="2181" spans="1:16" ht="20.25" customHeight="1" x14ac:dyDescent="0.3">
      <c r="A2181" s="137"/>
      <c r="B2181" s="137"/>
      <c r="C2181" s="137"/>
      <c r="D2181" s="194"/>
      <c r="E2181" s="194"/>
      <c r="F2181" s="137"/>
      <c r="G2181" s="137"/>
      <c r="H2181" s="137"/>
      <c r="I2181" s="137"/>
      <c r="J2181" s="197"/>
      <c r="K2181" s="198"/>
      <c r="L2181" s="196"/>
      <c r="M2181" s="196"/>
      <c r="N2181" s="196"/>
      <c r="O2181" s="196"/>
      <c r="P2181" s="127"/>
    </row>
    <row r="2182" spans="1:16" ht="20.25" customHeight="1" x14ac:dyDescent="0.3">
      <c r="A2182" s="137"/>
      <c r="B2182" s="137"/>
      <c r="C2182" s="137"/>
      <c r="D2182" s="194"/>
      <c r="E2182" s="194"/>
      <c r="F2182" s="137"/>
      <c r="G2182" s="137"/>
      <c r="H2182" s="137"/>
      <c r="I2182" s="137"/>
      <c r="J2182" s="197"/>
      <c r="K2182" s="198"/>
      <c r="L2182" s="196"/>
      <c r="M2182" s="196"/>
      <c r="N2182" s="196"/>
      <c r="O2182" s="196"/>
      <c r="P2182" s="127"/>
    </row>
    <row r="2183" spans="1:16" ht="20.25" customHeight="1" x14ac:dyDescent="0.3">
      <c r="A2183" s="137"/>
      <c r="B2183" s="137"/>
      <c r="C2183" s="137"/>
      <c r="D2183" s="194"/>
      <c r="E2183" s="194"/>
      <c r="F2183" s="137"/>
      <c r="G2183" s="137"/>
      <c r="H2183" s="137"/>
      <c r="I2183" s="137"/>
      <c r="J2183" s="197"/>
      <c r="K2183" s="198"/>
      <c r="L2183" s="196"/>
      <c r="M2183" s="196"/>
      <c r="N2183" s="196"/>
      <c r="O2183" s="196"/>
      <c r="P2183" s="127"/>
    </row>
    <row r="2184" spans="1:16" ht="20.25" customHeight="1" x14ac:dyDescent="0.3">
      <c r="A2184" s="137"/>
      <c r="B2184" s="137"/>
      <c r="C2184" s="137"/>
      <c r="D2184" s="194"/>
      <c r="E2184" s="194"/>
      <c r="F2184" s="137"/>
      <c r="G2184" s="137"/>
      <c r="H2184" s="137"/>
      <c r="I2184" s="137"/>
      <c r="J2184" s="197"/>
      <c r="K2184" s="198"/>
      <c r="L2184" s="196"/>
      <c r="M2184" s="196"/>
      <c r="N2184" s="196"/>
      <c r="O2184" s="196"/>
      <c r="P2184" s="127"/>
    </row>
    <row r="2185" spans="1:16" ht="20.25" customHeight="1" x14ac:dyDescent="0.3">
      <c r="A2185" s="137"/>
      <c r="B2185" s="137"/>
      <c r="C2185" s="137"/>
      <c r="D2185" s="194"/>
      <c r="E2185" s="194"/>
      <c r="F2185" s="137"/>
      <c r="G2185" s="137"/>
      <c r="H2185" s="137"/>
      <c r="I2185" s="137"/>
      <c r="J2185" s="197"/>
      <c r="K2185" s="198"/>
      <c r="L2185" s="196"/>
      <c r="M2185" s="196"/>
      <c r="N2185" s="196"/>
      <c r="O2185" s="196"/>
      <c r="P2185" s="127"/>
    </row>
    <row r="2186" spans="1:16" ht="20.25" customHeight="1" x14ac:dyDescent="0.3">
      <c r="A2186" s="137"/>
      <c r="B2186" s="137"/>
      <c r="C2186" s="137"/>
      <c r="D2186" s="194"/>
      <c r="E2186" s="194"/>
      <c r="F2186" s="137"/>
      <c r="G2186" s="137"/>
      <c r="H2186" s="137"/>
      <c r="I2186" s="137"/>
      <c r="J2186" s="197"/>
      <c r="K2186" s="198"/>
      <c r="L2186" s="196"/>
      <c r="M2186" s="196"/>
      <c r="N2186" s="196"/>
      <c r="O2186" s="196"/>
      <c r="P2186" s="127"/>
    </row>
    <row r="2187" spans="1:16" ht="20.25" customHeight="1" x14ac:dyDescent="0.3">
      <c r="A2187" s="137"/>
      <c r="B2187" s="137"/>
      <c r="C2187" s="137"/>
      <c r="D2187" s="194"/>
      <c r="E2187" s="194"/>
      <c r="F2187" s="137"/>
      <c r="G2187" s="137"/>
      <c r="H2187" s="137"/>
      <c r="I2187" s="137"/>
      <c r="J2187" s="197"/>
      <c r="K2187" s="198"/>
      <c r="L2187" s="196"/>
      <c r="M2187" s="196"/>
      <c r="N2187" s="196"/>
      <c r="O2187" s="196"/>
      <c r="P2187" s="127"/>
    </row>
    <row r="2188" spans="1:16" ht="20.25" customHeight="1" x14ac:dyDescent="0.3">
      <c r="A2188" s="137"/>
      <c r="B2188" s="137"/>
      <c r="C2188" s="137"/>
      <c r="D2188" s="194"/>
      <c r="E2188" s="194"/>
      <c r="F2188" s="137"/>
      <c r="G2188" s="137"/>
      <c r="H2188" s="137"/>
      <c r="I2188" s="137"/>
      <c r="J2188" s="197"/>
      <c r="K2188" s="198"/>
      <c r="L2188" s="196"/>
      <c r="M2188" s="196"/>
      <c r="N2188" s="196"/>
      <c r="O2188" s="196"/>
      <c r="P2188" s="127"/>
    </row>
    <row r="2189" spans="1:16" ht="20.25" customHeight="1" x14ac:dyDescent="0.3">
      <c r="A2189" s="137"/>
      <c r="B2189" s="137"/>
      <c r="C2189" s="137"/>
      <c r="D2189" s="194"/>
      <c r="E2189" s="194"/>
      <c r="F2189" s="137"/>
      <c r="G2189" s="137"/>
      <c r="H2189" s="137"/>
      <c r="I2189" s="137"/>
      <c r="J2189" s="197"/>
      <c r="K2189" s="198"/>
      <c r="L2189" s="196"/>
      <c r="M2189" s="196"/>
      <c r="N2189" s="196"/>
      <c r="O2189" s="196"/>
      <c r="P2189" s="127"/>
    </row>
    <row r="2190" spans="1:16" ht="20.25" customHeight="1" x14ac:dyDescent="0.3">
      <c r="A2190" s="137"/>
      <c r="B2190" s="137"/>
      <c r="C2190" s="137"/>
      <c r="D2190" s="194"/>
      <c r="E2190" s="194"/>
      <c r="F2190" s="137"/>
      <c r="G2190" s="137"/>
      <c r="H2190" s="137"/>
      <c r="I2190" s="137"/>
      <c r="J2190" s="197"/>
      <c r="K2190" s="198"/>
      <c r="L2190" s="196"/>
      <c r="M2190" s="196"/>
      <c r="N2190" s="196"/>
      <c r="O2190" s="196"/>
      <c r="P2190" s="127"/>
    </row>
    <row r="2191" spans="1:16" ht="20.25" customHeight="1" x14ac:dyDescent="0.3">
      <c r="A2191" s="137"/>
      <c r="B2191" s="137"/>
      <c r="C2191" s="137"/>
      <c r="D2191" s="194"/>
      <c r="E2191" s="194"/>
      <c r="F2191" s="137"/>
      <c r="G2191" s="137"/>
      <c r="H2191" s="137"/>
      <c r="I2191" s="137"/>
      <c r="J2191" s="197"/>
      <c r="K2191" s="198"/>
      <c r="L2191" s="196"/>
      <c r="M2191" s="196"/>
      <c r="N2191" s="196"/>
      <c r="O2191" s="196"/>
      <c r="P2191" s="127"/>
    </row>
    <row r="2192" spans="1:16" ht="20.25" customHeight="1" x14ac:dyDescent="0.3">
      <c r="A2192" s="137"/>
      <c r="B2192" s="137"/>
      <c r="C2192" s="137"/>
      <c r="D2192" s="194"/>
      <c r="E2192" s="194"/>
      <c r="F2192" s="137"/>
      <c r="G2192" s="137"/>
      <c r="H2192" s="137"/>
      <c r="I2192" s="137"/>
      <c r="J2192" s="197"/>
      <c r="K2192" s="198"/>
      <c r="L2192" s="196"/>
      <c r="M2192" s="196"/>
      <c r="N2192" s="196"/>
      <c r="O2192" s="196"/>
      <c r="P2192" s="127"/>
    </row>
    <row r="2193" spans="1:16" ht="20.25" customHeight="1" x14ac:dyDescent="0.3">
      <c r="A2193" s="137"/>
      <c r="B2193" s="137"/>
      <c r="C2193" s="137"/>
      <c r="D2193" s="194"/>
      <c r="E2193" s="194"/>
      <c r="F2193" s="137"/>
      <c r="G2193" s="137"/>
      <c r="H2193" s="137"/>
      <c r="I2193" s="137"/>
      <c r="J2193" s="197"/>
      <c r="K2193" s="198"/>
      <c r="L2193" s="196"/>
      <c r="M2193" s="196"/>
      <c r="N2193" s="196"/>
      <c r="O2193" s="196"/>
      <c r="P2193" s="127"/>
    </row>
    <row r="2194" spans="1:16" ht="20.25" customHeight="1" x14ac:dyDescent="0.3">
      <c r="A2194" s="137"/>
      <c r="B2194" s="137"/>
      <c r="C2194" s="137"/>
      <c r="D2194" s="194"/>
      <c r="E2194" s="194"/>
      <c r="F2194" s="137"/>
      <c r="G2194" s="137"/>
      <c r="H2194" s="137"/>
      <c r="I2194" s="137"/>
      <c r="J2194" s="197"/>
      <c r="K2194" s="198"/>
      <c r="L2194" s="196"/>
      <c r="M2194" s="196"/>
      <c r="N2194" s="196"/>
      <c r="O2194" s="196"/>
      <c r="P2194" s="127"/>
    </row>
    <row r="2195" spans="1:16" ht="20.25" customHeight="1" x14ac:dyDescent="0.3">
      <c r="A2195" s="137"/>
      <c r="B2195" s="137"/>
      <c r="C2195" s="137"/>
      <c r="D2195" s="194"/>
      <c r="E2195" s="194"/>
      <c r="F2195" s="137"/>
      <c r="G2195" s="137"/>
      <c r="H2195" s="137"/>
      <c r="I2195" s="137"/>
      <c r="J2195" s="197"/>
      <c r="K2195" s="198"/>
      <c r="L2195" s="196"/>
      <c r="M2195" s="196"/>
      <c r="N2195" s="196"/>
      <c r="O2195" s="196"/>
      <c r="P2195" s="127"/>
    </row>
    <row r="2196" spans="1:16" ht="20.25" customHeight="1" x14ac:dyDescent="0.3">
      <c r="A2196" s="137"/>
      <c r="B2196" s="137"/>
      <c r="C2196" s="137"/>
      <c r="D2196" s="194"/>
      <c r="E2196" s="194"/>
      <c r="F2196" s="137"/>
      <c r="G2196" s="137"/>
      <c r="H2196" s="137"/>
      <c r="I2196" s="137"/>
      <c r="J2196" s="197"/>
      <c r="K2196" s="198"/>
      <c r="L2196" s="196"/>
      <c r="M2196" s="196"/>
      <c r="N2196" s="196"/>
      <c r="O2196" s="196"/>
      <c r="P2196" s="127"/>
    </row>
    <row r="2197" spans="1:16" ht="20.25" customHeight="1" x14ac:dyDescent="0.3">
      <c r="A2197" s="137"/>
      <c r="B2197" s="137"/>
      <c r="C2197" s="137"/>
      <c r="D2197" s="194"/>
      <c r="E2197" s="194"/>
      <c r="F2197" s="137"/>
      <c r="G2197" s="137"/>
      <c r="H2197" s="137"/>
      <c r="I2197" s="137"/>
      <c r="J2197" s="197"/>
      <c r="K2197" s="198"/>
      <c r="L2197" s="196"/>
      <c r="M2197" s="196"/>
      <c r="N2197" s="196"/>
      <c r="O2197" s="196"/>
      <c r="P2197" s="127"/>
    </row>
    <row r="2198" spans="1:16" ht="20.25" customHeight="1" x14ac:dyDescent="0.3">
      <c r="A2198" s="137"/>
      <c r="B2198" s="137"/>
      <c r="C2198" s="137"/>
      <c r="D2198" s="194"/>
      <c r="E2198" s="194"/>
      <c r="F2198" s="137"/>
      <c r="G2198" s="137"/>
      <c r="H2198" s="137"/>
      <c r="I2198" s="137"/>
      <c r="J2198" s="197"/>
      <c r="K2198" s="198"/>
      <c r="L2198" s="196"/>
      <c r="M2198" s="196"/>
      <c r="N2198" s="196"/>
      <c r="O2198" s="196"/>
      <c r="P2198" s="127"/>
    </row>
    <row r="2199" spans="1:16" ht="20.25" customHeight="1" x14ac:dyDescent="0.3">
      <c r="A2199" s="137"/>
      <c r="B2199" s="137"/>
      <c r="C2199" s="137"/>
      <c r="D2199" s="194"/>
      <c r="E2199" s="194"/>
      <c r="F2199" s="137"/>
      <c r="G2199" s="137"/>
      <c r="H2199" s="137"/>
      <c r="I2199" s="137"/>
      <c r="J2199" s="197"/>
      <c r="K2199" s="198"/>
      <c r="L2199" s="196"/>
      <c r="M2199" s="196"/>
      <c r="N2199" s="196"/>
      <c r="O2199" s="196"/>
      <c r="P2199" s="127"/>
    </row>
    <row r="2200" spans="1:16" ht="20.25" customHeight="1" x14ac:dyDescent="0.3">
      <c r="A2200" s="137"/>
      <c r="B2200" s="137"/>
      <c r="C2200" s="137"/>
      <c r="D2200" s="194"/>
      <c r="E2200" s="194"/>
      <c r="F2200" s="137"/>
      <c r="G2200" s="137"/>
      <c r="H2200" s="137"/>
      <c r="I2200" s="137"/>
      <c r="J2200" s="197"/>
      <c r="K2200" s="198"/>
      <c r="L2200" s="196"/>
      <c r="M2200" s="196"/>
      <c r="N2200" s="196"/>
      <c r="O2200" s="196"/>
      <c r="P2200" s="127"/>
    </row>
    <row r="2201" spans="1:16" ht="20.25" customHeight="1" x14ac:dyDescent="0.3">
      <c r="A2201" s="137"/>
      <c r="B2201" s="137"/>
      <c r="C2201" s="137"/>
      <c r="D2201" s="194"/>
      <c r="E2201" s="194"/>
      <c r="F2201" s="137"/>
      <c r="G2201" s="137"/>
      <c r="H2201" s="137"/>
      <c r="I2201" s="137"/>
      <c r="J2201" s="197"/>
      <c r="K2201" s="198"/>
      <c r="L2201" s="196"/>
      <c r="M2201" s="196"/>
      <c r="N2201" s="196"/>
      <c r="O2201" s="196"/>
      <c r="P2201" s="127"/>
    </row>
    <row r="2202" spans="1:16" ht="20.25" customHeight="1" x14ac:dyDescent="0.3">
      <c r="A2202" s="137"/>
      <c r="B2202" s="137"/>
      <c r="C2202" s="137"/>
      <c r="D2202" s="194"/>
      <c r="E2202" s="194"/>
      <c r="F2202" s="137"/>
      <c r="G2202" s="137"/>
      <c r="H2202" s="137"/>
      <c r="I2202" s="137"/>
      <c r="J2202" s="197"/>
      <c r="K2202" s="198"/>
      <c r="L2202" s="196"/>
      <c r="M2202" s="196"/>
      <c r="N2202" s="196"/>
      <c r="O2202" s="196"/>
      <c r="P2202" s="127"/>
    </row>
    <row r="2203" spans="1:16" ht="20.25" customHeight="1" x14ac:dyDescent="0.3">
      <c r="A2203" s="137"/>
      <c r="B2203" s="137"/>
      <c r="C2203" s="137"/>
      <c r="D2203" s="194"/>
      <c r="E2203" s="194"/>
      <c r="F2203" s="137"/>
      <c r="G2203" s="137"/>
      <c r="H2203" s="137"/>
      <c r="I2203" s="137"/>
      <c r="J2203" s="197"/>
      <c r="K2203" s="198"/>
      <c r="L2203" s="196"/>
      <c r="M2203" s="196"/>
      <c r="N2203" s="196"/>
      <c r="O2203" s="196"/>
      <c r="P2203" s="127"/>
    </row>
    <row r="2204" spans="1:16" ht="20.25" customHeight="1" x14ac:dyDescent="0.3">
      <c r="A2204" s="137"/>
      <c r="B2204" s="137"/>
      <c r="C2204" s="137"/>
      <c r="D2204" s="194"/>
      <c r="E2204" s="194"/>
      <c r="F2204" s="137"/>
      <c r="G2204" s="137"/>
      <c r="H2204" s="137"/>
      <c r="I2204" s="137"/>
      <c r="J2204" s="197"/>
      <c r="K2204" s="198"/>
      <c r="L2204" s="196"/>
      <c r="M2204" s="196"/>
      <c r="N2204" s="196"/>
      <c r="O2204" s="196"/>
      <c r="P2204" s="127"/>
    </row>
    <row r="2205" spans="1:16" ht="20.25" customHeight="1" x14ac:dyDescent="0.3">
      <c r="A2205" s="137"/>
      <c r="B2205" s="137"/>
      <c r="C2205" s="137"/>
      <c r="D2205" s="194"/>
      <c r="E2205" s="194"/>
      <c r="F2205" s="137"/>
      <c r="G2205" s="137"/>
      <c r="H2205" s="137"/>
      <c r="I2205" s="137"/>
      <c r="J2205" s="197"/>
      <c r="K2205" s="198"/>
      <c r="L2205" s="196"/>
      <c r="M2205" s="196"/>
      <c r="N2205" s="196"/>
      <c r="O2205" s="196"/>
      <c r="P2205" s="127"/>
    </row>
    <row r="2206" spans="1:16" ht="20.25" customHeight="1" x14ac:dyDescent="0.3">
      <c r="A2206" s="137"/>
      <c r="B2206" s="137"/>
      <c r="C2206" s="137"/>
      <c r="D2206" s="194"/>
      <c r="E2206" s="194"/>
      <c r="F2206" s="137"/>
      <c r="G2206" s="137"/>
      <c r="H2206" s="137"/>
      <c r="I2206" s="137"/>
      <c r="J2206" s="197"/>
      <c r="K2206" s="198"/>
      <c r="L2206" s="196"/>
      <c r="M2206" s="196"/>
      <c r="N2206" s="196"/>
      <c r="O2206" s="196"/>
      <c r="P2206" s="127"/>
    </row>
    <row r="2207" spans="1:16" ht="20.25" customHeight="1" x14ac:dyDescent="0.3">
      <c r="A2207" s="137"/>
      <c r="B2207" s="137"/>
      <c r="C2207" s="137"/>
      <c r="D2207" s="194"/>
      <c r="E2207" s="194"/>
      <c r="F2207" s="137"/>
      <c r="G2207" s="137"/>
      <c r="H2207" s="137"/>
      <c r="I2207" s="137"/>
      <c r="J2207" s="197"/>
      <c r="K2207" s="198"/>
      <c r="L2207" s="196"/>
      <c r="M2207" s="196"/>
      <c r="N2207" s="196"/>
      <c r="O2207" s="196"/>
      <c r="P2207" s="127"/>
    </row>
    <row r="2208" spans="1:16" ht="20.25" customHeight="1" x14ac:dyDescent="0.3">
      <c r="A2208" s="137"/>
      <c r="B2208" s="137"/>
      <c r="C2208" s="137"/>
      <c r="D2208" s="194"/>
      <c r="E2208" s="194"/>
      <c r="F2208" s="137"/>
      <c r="G2208" s="137"/>
      <c r="H2208" s="137"/>
      <c r="I2208" s="137"/>
      <c r="J2208" s="197"/>
      <c r="K2208" s="198"/>
      <c r="L2208" s="196"/>
      <c r="M2208" s="196"/>
      <c r="N2208" s="196"/>
      <c r="O2208" s="196"/>
      <c r="P2208" s="127"/>
    </row>
    <row r="2209" spans="1:16" ht="20.25" customHeight="1" x14ac:dyDescent="0.3">
      <c r="A2209" s="137"/>
      <c r="B2209" s="137"/>
      <c r="C2209" s="137"/>
      <c r="D2209" s="194"/>
      <c r="E2209" s="194"/>
      <c r="F2209" s="137"/>
      <c r="G2209" s="137"/>
      <c r="H2209" s="137"/>
      <c r="I2209" s="137"/>
      <c r="J2209" s="197"/>
      <c r="K2209" s="198"/>
      <c r="L2209" s="196"/>
      <c r="M2209" s="196"/>
      <c r="N2209" s="196"/>
      <c r="O2209" s="196"/>
      <c r="P2209" s="127"/>
    </row>
    <row r="2210" spans="1:16" ht="20.25" customHeight="1" x14ac:dyDescent="0.3">
      <c r="A2210" s="137"/>
      <c r="B2210" s="137"/>
      <c r="C2210" s="137"/>
      <c r="D2210" s="194"/>
      <c r="E2210" s="194"/>
      <c r="F2210" s="137"/>
      <c r="G2210" s="137"/>
      <c r="H2210" s="137"/>
      <c r="I2210" s="137"/>
      <c r="J2210" s="197"/>
      <c r="K2210" s="198"/>
      <c r="L2210" s="196"/>
      <c r="M2210" s="196"/>
      <c r="N2210" s="196"/>
      <c r="O2210" s="196"/>
      <c r="P2210" s="127"/>
    </row>
    <row r="2211" spans="1:16" ht="20.25" customHeight="1" x14ac:dyDescent="0.3">
      <c r="A2211" s="137"/>
      <c r="B2211" s="137"/>
      <c r="C2211" s="137"/>
      <c r="D2211" s="194"/>
      <c r="E2211" s="194"/>
      <c r="F2211" s="137"/>
      <c r="G2211" s="137"/>
      <c r="H2211" s="137"/>
      <c r="I2211" s="137"/>
      <c r="J2211" s="197"/>
      <c r="K2211" s="198"/>
      <c r="L2211" s="196"/>
      <c r="M2211" s="196"/>
      <c r="N2211" s="196"/>
      <c r="O2211" s="196"/>
      <c r="P2211" s="127"/>
    </row>
    <row r="2212" spans="1:16" ht="20.25" customHeight="1" x14ac:dyDescent="0.3">
      <c r="A2212" s="137"/>
      <c r="B2212" s="137"/>
      <c r="C2212" s="137"/>
      <c r="D2212" s="194"/>
      <c r="E2212" s="194"/>
      <c r="F2212" s="137"/>
      <c r="G2212" s="137"/>
      <c r="H2212" s="137"/>
      <c r="I2212" s="137"/>
      <c r="J2212" s="197"/>
      <c r="K2212" s="198"/>
      <c r="L2212" s="196"/>
      <c r="M2212" s="196"/>
      <c r="N2212" s="196"/>
      <c r="O2212" s="196"/>
      <c r="P2212" s="127"/>
    </row>
    <row r="2213" spans="1:16" ht="20.25" customHeight="1" x14ac:dyDescent="0.3">
      <c r="A2213" s="137"/>
      <c r="B2213" s="137"/>
      <c r="C2213" s="137"/>
      <c r="D2213" s="194"/>
      <c r="E2213" s="194"/>
      <c r="F2213" s="137"/>
      <c r="G2213" s="137"/>
      <c r="H2213" s="137"/>
      <c r="I2213" s="137"/>
      <c r="J2213" s="197"/>
      <c r="K2213" s="198"/>
      <c r="L2213" s="196"/>
      <c r="M2213" s="196"/>
      <c r="N2213" s="196"/>
      <c r="O2213" s="196"/>
      <c r="P2213" s="127"/>
    </row>
    <row r="2214" spans="1:16" ht="20.25" customHeight="1" x14ac:dyDescent="0.3">
      <c r="A2214" s="137"/>
      <c r="B2214" s="137"/>
      <c r="C2214" s="137"/>
      <c r="D2214" s="194"/>
      <c r="E2214" s="194"/>
      <c r="F2214" s="137"/>
      <c r="G2214" s="137"/>
      <c r="H2214" s="137"/>
      <c r="I2214" s="137"/>
      <c r="J2214" s="197"/>
      <c r="K2214" s="198"/>
      <c r="L2214" s="196"/>
      <c r="M2214" s="196"/>
      <c r="N2214" s="196"/>
      <c r="O2214" s="196"/>
      <c r="P2214" s="127"/>
    </row>
    <row r="2215" spans="1:16" ht="20.25" customHeight="1" x14ac:dyDescent="0.3">
      <c r="A2215" s="137"/>
      <c r="B2215" s="137"/>
      <c r="C2215" s="137"/>
      <c r="D2215" s="194"/>
      <c r="E2215" s="194"/>
      <c r="F2215" s="137"/>
      <c r="G2215" s="137"/>
      <c r="H2215" s="137"/>
      <c r="I2215" s="137"/>
      <c r="J2215" s="197"/>
      <c r="K2215" s="198"/>
      <c r="L2215" s="196"/>
      <c r="M2215" s="196"/>
      <c r="N2215" s="196"/>
      <c r="O2215" s="196"/>
      <c r="P2215" s="127"/>
    </row>
    <row r="2216" spans="1:16" ht="20.25" customHeight="1" x14ac:dyDescent="0.3">
      <c r="A2216" s="137"/>
      <c r="B2216" s="137"/>
      <c r="C2216" s="137"/>
      <c r="D2216" s="194"/>
      <c r="E2216" s="194"/>
      <c r="F2216" s="137"/>
      <c r="G2216" s="137"/>
      <c r="H2216" s="137"/>
      <c r="I2216" s="137"/>
      <c r="J2216" s="197"/>
      <c r="K2216" s="198"/>
      <c r="L2216" s="196"/>
      <c r="M2216" s="196"/>
      <c r="N2216" s="196"/>
      <c r="O2216" s="196"/>
      <c r="P2216" s="127"/>
    </row>
    <row r="2217" spans="1:16" ht="20.25" customHeight="1" x14ac:dyDescent="0.3">
      <c r="A2217" s="137"/>
      <c r="B2217" s="137"/>
      <c r="C2217" s="137"/>
      <c r="D2217" s="194"/>
      <c r="E2217" s="194"/>
      <c r="F2217" s="137"/>
      <c r="G2217" s="137"/>
      <c r="H2217" s="137"/>
      <c r="I2217" s="137"/>
      <c r="J2217" s="197"/>
      <c r="K2217" s="198"/>
      <c r="L2217" s="196"/>
      <c r="M2217" s="196"/>
      <c r="N2217" s="196"/>
      <c r="O2217" s="196"/>
      <c r="P2217" s="127"/>
    </row>
    <row r="2218" spans="1:16" ht="20.25" customHeight="1" x14ac:dyDescent="0.3">
      <c r="A2218" s="137"/>
      <c r="B2218" s="137"/>
      <c r="C2218" s="137"/>
      <c r="D2218" s="194"/>
      <c r="E2218" s="194"/>
      <c r="F2218" s="137"/>
      <c r="G2218" s="137"/>
      <c r="H2218" s="137"/>
      <c r="I2218" s="137"/>
      <c r="J2218" s="197"/>
      <c r="K2218" s="198"/>
      <c r="L2218" s="196"/>
      <c r="M2218" s="196"/>
      <c r="N2218" s="196"/>
      <c r="O2218" s="196"/>
      <c r="P2218" s="127"/>
    </row>
    <row r="2219" spans="1:16" ht="20.25" customHeight="1" x14ac:dyDescent="0.3">
      <c r="A2219" s="137"/>
      <c r="B2219" s="137"/>
      <c r="C2219" s="137"/>
      <c r="D2219" s="194"/>
      <c r="E2219" s="194"/>
      <c r="F2219" s="137"/>
      <c r="G2219" s="137"/>
      <c r="H2219" s="137"/>
      <c r="I2219" s="137"/>
      <c r="J2219" s="197"/>
      <c r="K2219" s="198"/>
      <c r="L2219" s="196"/>
      <c r="M2219" s="196"/>
      <c r="N2219" s="196"/>
      <c r="O2219" s="196"/>
      <c r="P2219" s="127"/>
    </row>
    <row r="2220" spans="1:16" ht="20.25" customHeight="1" x14ac:dyDescent="0.3">
      <c r="A2220" s="137"/>
      <c r="B2220" s="137"/>
      <c r="C2220" s="137"/>
      <c r="D2220" s="194"/>
      <c r="E2220" s="194"/>
      <c r="F2220" s="137"/>
      <c r="G2220" s="137"/>
      <c r="H2220" s="137"/>
      <c r="I2220" s="137"/>
      <c r="J2220" s="197"/>
      <c r="K2220" s="198"/>
      <c r="L2220" s="196"/>
      <c r="M2220" s="196"/>
      <c r="N2220" s="196"/>
      <c r="O2220" s="196"/>
      <c r="P2220" s="127"/>
    </row>
    <row r="2221" spans="1:16" ht="20.25" customHeight="1" x14ac:dyDescent="0.3">
      <c r="A2221" s="137"/>
      <c r="B2221" s="137"/>
      <c r="C2221" s="137"/>
      <c r="D2221" s="194"/>
      <c r="E2221" s="194"/>
      <c r="F2221" s="137"/>
      <c r="G2221" s="137"/>
      <c r="H2221" s="137"/>
      <c r="I2221" s="137"/>
      <c r="J2221" s="197"/>
      <c r="K2221" s="198"/>
      <c r="L2221" s="196"/>
      <c r="M2221" s="196"/>
      <c r="N2221" s="196"/>
      <c r="O2221" s="196"/>
      <c r="P2221" s="127"/>
    </row>
    <row r="2222" spans="1:16" ht="20.25" customHeight="1" x14ac:dyDescent="0.3">
      <c r="A2222" s="137"/>
      <c r="B2222" s="137"/>
      <c r="C2222" s="137"/>
      <c r="D2222" s="194"/>
      <c r="E2222" s="194"/>
      <c r="F2222" s="137"/>
      <c r="G2222" s="137"/>
      <c r="H2222" s="137"/>
      <c r="I2222" s="137"/>
      <c r="J2222" s="197"/>
      <c r="K2222" s="198"/>
      <c r="L2222" s="196"/>
      <c r="M2222" s="196"/>
      <c r="N2222" s="196"/>
      <c r="O2222" s="196"/>
      <c r="P2222" s="127"/>
    </row>
    <row r="2223" spans="1:16" ht="20.25" customHeight="1" x14ac:dyDescent="0.3">
      <c r="A2223" s="137"/>
      <c r="B2223" s="137"/>
      <c r="C2223" s="137"/>
      <c r="D2223" s="194"/>
      <c r="E2223" s="194"/>
      <c r="F2223" s="137"/>
      <c r="G2223" s="137"/>
      <c r="H2223" s="137"/>
      <c r="I2223" s="137"/>
      <c r="J2223" s="197"/>
      <c r="K2223" s="198"/>
      <c r="L2223" s="196"/>
      <c r="M2223" s="196"/>
      <c r="N2223" s="196"/>
      <c r="O2223" s="196"/>
      <c r="P2223" s="127"/>
    </row>
    <row r="2224" spans="1:16" ht="20.25" customHeight="1" x14ac:dyDescent="0.3">
      <c r="A2224" s="137"/>
      <c r="B2224" s="137"/>
      <c r="C2224" s="137"/>
      <c r="D2224" s="194"/>
      <c r="E2224" s="194"/>
      <c r="F2224" s="137"/>
      <c r="G2224" s="137"/>
      <c r="H2224" s="137"/>
      <c r="I2224" s="137"/>
      <c r="J2224" s="197"/>
      <c r="K2224" s="198"/>
      <c r="L2224" s="196"/>
      <c r="M2224" s="196"/>
      <c r="N2224" s="196"/>
      <c r="O2224" s="196"/>
      <c r="P2224" s="127"/>
    </row>
    <row r="2225" spans="1:16" ht="20.25" customHeight="1" x14ac:dyDescent="0.3">
      <c r="A2225" s="137"/>
      <c r="B2225" s="137"/>
      <c r="C2225" s="137"/>
      <c r="D2225" s="194"/>
      <c r="E2225" s="194"/>
      <c r="F2225" s="137"/>
      <c r="G2225" s="137"/>
      <c r="H2225" s="137"/>
      <c r="I2225" s="137"/>
      <c r="J2225" s="197"/>
      <c r="K2225" s="198"/>
      <c r="L2225" s="196"/>
      <c r="M2225" s="196"/>
      <c r="N2225" s="196"/>
      <c r="O2225" s="196"/>
      <c r="P2225" s="127"/>
    </row>
    <row r="2226" spans="1:16" ht="20.25" customHeight="1" x14ac:dyDescent="0.3">
      <c r="A2226" s="137"/>
      <c r="B2226" s="137"/>
      <c r="C2226" s="137"/>
      <c r="D2226" s="194"/>
      <c r="E2226" s="194"/>
      <c r="F2226" s="137"/>
      <c r="G2226" s="137"/>
      <c r="H2226" s="137"/>
      <c r="I2226" s="137"/>
      <c r="J2226" s="197"/>
      <c r="K2226" s="198"/>
      <c r="L2226" s="196"/>
      <c r="M2226" s="196"/>
      <c r="N2226" s="196"/>
      <c r="O2226" s="196"/>
      <c r="P2226" s="127"/>
    </row>
    <row r="2227" spans="1:16" ht="20.25" customHeight="1" x14ac:dyDescent="0.3">
      <c r="A2227" s="137"/>
      <c r="B2227" s="137"/>
      <c r="C2227" s="137"/>
      <c r="D2227" s="194"/>
      <c r="E2227" s="194"/>
      <c r="F2227" s="137"/>
      <c r="G2227" s="137"/>
      <c r="H2227" s="137"/>
      <c r="I2227" s="137"/>
      <c r="J2227" s="197"/>
      <c r="K2227" s="198"/>
      <c r="L2227" s="196"/>
      <c r="M2227" s="196"/>
      <c r="N2227" s="196"/>
      <c r="O2227" s="196"/>
      <c r="P2227" s="127"/>
    </row>
    <row r="2228" spans="1:16" ht="20.25" customHeight="1" x14ac:dyDescent="0.3">
      <c r="A2228" s="137"/>
      <c r="B2228" s="137"/>
      <c r="C2228" s="137"/>
      <c r="D2228" s="194"/>
      <c r="E2228" s="194"/>
      <c r="F2228" s="137"/>
      <c r="G2228" s="137"/>
      <c r="H2228" s="137"/>
      <c r="I2228" s="137"/>
      <c r="J2228" s="197"/>
      <c r="K2228" s="198"/>
      <c r="L2228" s="196"/>
      <c r="M2228" s="196"/>
      <c r="N2228" s="196"/>
      <c r="O2228" s="196"/>
      <c r="P2228" s="127"/>
    </row>
    <row r="2229" spans="1:16" ht="20.25" customHeight="1" x14ac:dyDescent="0.3">
      <c r="A2229" s="137"/>
      <c r="B2229" s="137"/>
      <c r="C2229" s="137"/>
      <c r="D2229" s="194"/>
      <c r="E2229" s="194"/>
      <c r="F2229" s="137"/>
      <c r="G2229" s="137"/>
      <c r="H2229" s="137"/>
      <c r="I2229" s="137"/>
      <c r="J2229" s="197"/>
      <c r="K2229" s="198"/>
      <c r="L2229" s="196"/>
      <c r="M2229" s="196"/>
      <c r="N2229" s="196"/>
      <c r="O2229" s="196"/>
      <c r="P2229" s="127"/>
    </row>
    <row r="2230" spans="1:16" ht="20.25" customHeight="1" x14ac:dyDescent="0.3">
      <c r="A2230" s="137"/>
      <c r="B2230" s="137"/>
      <c r="C2230" s="137"/>
      <c r="D2230" s="194"/>
      <c r="E2230" s="194"/>
      <c r="F2230" s="137"/>
      <c r="G2230" s="137"/>
      <c r="H2230" s="137"/>
      <c r="I2230" s="137"/>
      <c r="J2230" s="197"/>
      <c r="K2230" s="198"/>
      <c r="L2230" s="196"/>
      <c r="M2230" s="196"/>
      <c r="N2230" s="196"/>
      <c r="O2230" s="196"/>
      <c r="P2230" s="127"/>
    </row>
    <row r="2231" spans="1:16" ht="20.25" customHeight="1" x14ac:dyDescent="0.3">
      <c r="A2231" s="137"/>
      <c r="B2231" s="137"/>
      <c r="C2231" s="137"/>
      <c r="D2231" s="194"/>
      <c r="E2231" s="194"/>
      <c r="F2231" s="137"/>
      <c r="G2231" s="137"/>
      <c r="H2231" s="137"/>
      <c r="I2231" s="137"/>
      <c r="J2231" s="197"/>
      <c r="K2231" s="198"/>
      <c r="L2231" s="196"/>
      <c r="M2231" s="196"/>
      <c r="N2231" s="196"/>
      <c r="O2231" s="196"/>
      <c r="P2231" s="127"/>
    </row>
    <row r="2232" spans="1:16" ht="20.25" customHeight="1" x14ac:dyDescent="0.3">
      <c r="A2232" s="137"/>
      <c r="B2232" s="137"/>
      <c r="C2232" s="137"/>
      <c r="D2232" s="194"/>
      <c r="E2232" s="194"/>
      <c r="F2232" s="137"/>
      <c r="G2232" s="137"/>
      <c r="H2232" s="137"/>
      <c r="I2232" s="137"/>
      <c r="J2232" s="197"/>
      <c r="K2232" s="198"/>
      <c r="L2232" s="196"/>
      <c r="M2232" s="196"/>
      <c r="N2232" s="196"/>
      <c r="O2232" s="196"/>
      <c r="P2232" s="127"/>
    </row>
    <row r="2233" spans="1:16" ht="20.25" customHeight="1" x14ac:dyDescent="0.3">
      <c r="A2233" s="137"/>
      <c r="B2233" s="137"/>
      <c r="C2233" s="137"/>
      <c r="D2233" s="194"/>
      <c r="E2233" s="194"/>
      <c r="F2233" s="137"/>
      <c r="G2233" s="137"/>
      <c r="H2233" s="137"/>
      <c r="I2233" s="137"/>
      <c r="J2233" s="197"/>
      <c r="K2233" s="198"/>
      <c r="L2233" s="196"/>
      <c r="M2233" s="196"/>
      <c r="N2233" s="196"/>
      <c r="O2233" s="196"/>
      <c r="P2233" s="127"/>
    </row>
    <row r="2234" spans="1:16" ht="20.25" customHeight="1" x14ac:dyDescent="0.3">
      <c r="A2234" s="137"/>
      <c r="B2234" s="137"/>
      <c r="C2234" s="137"/>
      <c r="D2234" s="194"/>
      <c r="E2234" s="194"/>
      <c r="F2234" s="137"/>
      <c r="G2234" s="137"/>
      <c r="H2234" s="137"/>
      <c r="I2234" s="137"/>
      <c r="J2234" s="197"/>
      <c r="K2234" s="198"/>
      <c r="L2234" s="196"/>
      <c r="M2234" s="196"/>
      <c r="N2234" s="196"/>
      <c r="O2234" s="196"/>
      <c r="P2234" s="127"/>
    </row>
    <row r="2235" spans="1:16" ht="20.25" customHeight="1" x14ac:dyDescent="0.3">
      <c r="A2235" s="137"/>
      <c r="B2235" s="137"/>
      <c r="C2235" s="137"/>
      <c r="D2235" s="194"/>
      <c r="E2235" s="194"/>
      <c r="F2235" s="137"/>
      <c r="G2235" s="137"/>
      <c r="H2235" s="137"/>
      <c r="I2235" s="137"/>
      <c r="J2235" s="197"/>
      <c r="K2235" s="198"/>
      <c r="L2235" s="196"/>
      <c r="M2235" s="196"/>
      <c r="N2235" s="196"/>
      <c r="O2235" s="196"/>
      <c r="P2235" s="127"/>
    </row>
    <row r="2236" spans="1:16" ht="20.25" customHeight="1" x14ac:dyDescent="0.3">
      <c r="A2236" s="137"/>
      <c r="B2236" s="137"/>
      <c r="C2236" s="137"/>
      <c r="D2236" s="194"/>
      <c r="E2236" s="194"/>
      <c r="F2236" s="137"/>
      <c r="G2236" s="137"/>
      <c r="H2236" s="137"/>
      <c r="I2236" s="137"/>
      <c r="J2236" s="197"/>
      <c r="K2236" s="198"/>
      <c r="L2236" s="196"/>
      <c r="M2236" s="196"/>
      <c r="N2236" s="196"/>
      <c r="O2236" s="196"/>
      <c r="P2236" s="127"/>
    </row>
    <row r="2237" spans="1:16" ht="20.25" customHeight="1" x14ac:dyDescent="0.3">
      <c r="A2237" s="137"/>
      <c r="B2237" s="137"/>
      <c r="C2237" s="137"/>
      <c r="D2237" s="194"/>
      <c r="E2237" s="194"/>
      <c r="F2237" s="137"/>
      <c r="G2237" s="137"/>
      <c r="H2237" s="137"/>
      <c r="I2237" s="137"/>
      <c r="J2237" s="197"/>
      <c r="K2237" s="198"/>
      <c r="L2237" s="196"/>
      <c r="M2237" s="196"/>
      <c r="N2237" s="196"/>
      <c r="O2237" s="196"/>
      <c r="P2237" s="127"/>
    </row>
    <row r="2238" spans="1:16" ht="20.25" customHeight="1" x14ac:dyDescent="0.3">
      <c r="A2238" s="137"/>
      <c r="B2238" s="137"/>
      <c r="C2238" s="137"/>
      <c r="D2238" s="194"/>
      <c r="E2238" s="194"/>
      <c r="F2238" s="137"/>
      <c r="G2238" s="137"/>
      <c r="H2238" s="137"/>
      <c r="I2238" s="137"/>
      <c r="J2238" s="197"/>
      <c r="K2238" s="198"/>
      <c r="L2238" s="196"/>
      <c r="M2238" s="196"/>
      <c r="N2238" s="196"/>
      <c r="O2238" s="196"/>
      <c r="P2238" s="127"/>
    </row>
    <row r="2239" spans="1:16" ht="20.25" customHeight="1" x14ac:dyDescent="0.3">
      <c r="A2239" s="137"/>
      <c r="B2239" s="137"/>
      <c r="C2239" s="137"/>
      <c r="D2239" s="194"/>
      <c r="E2239" s="194"/>
      <c r="F2239" s="137"/>
      <c r="G2239" s="137"/>
      <c r="H2239" s="137"/>
      <c r="I2239" s="137"/>
      <c r="J2239" s="197"/>
      <c r="K2239" s="198"/>
      <c r="L2239" s="196"/>
      <c r="M2239" s="196"/>
      <c r="N2239" s="196"/>
      <c r="O2239" s="196"/>
      <c r="P2239" s="127"/>
    </row>
    <row r="2240" spans="1:16" ht="20.25" customHeight="1" x14ac:dyDescent="0.3">
      <c r="A2240" s="137"/>
      <c r="B2240" s="137"/>
      <c r="C2240" s="137"/>
      <c r="D2240" s="194"/>
      <c r="E2240" s="194"/>
      <c r="F2240" s="137"/>
      <c r="G2240" s="137"/>
      <c r="H2240" s="137"/>
      <c r="I2240" s="137"/>
      <c r="J2240" s="197"/>
      <c r="K2240" s="198"/>
      <c r="L2240" s="196"/>
      <c r="M2240" s="196"/>
      <c r="N2240" s="196"/>
      <c r="O2240" s="196"/>
      <c r="P2240" s="127"/>
    </row>
    <row r="2241" spans="1:16" ht="20.25" customHeight="1" x14ac:dyDescent="0.3">
      <c r="A2241" s="137"/>
      <c r="B2241" s="137"/>
      <c r="C2241" s="137"/>
      <c r="D2241" s="194"/>
      <c r="E2241" s="194"/>
      <c r="F2241" s="137"/>
      <c r="G2241" s="137"/>
      <c r="H2241" s="137"/>
      <c r="I2241" s="137"/>
      <c r="J2241" s="197"/>
      <c r="K2241" s="198"/>
      <c r="L2241" s="196"/>
      <c r="M2241" s="196"/>
      <c r="N2241" s="196"/>
      <c r="O2241" s="196"/>
      <c r="P2241" s="127"/>
    </row>
    <row r="2242" spans="1:16" ht="20.25" customHeight="1" x14ac:dyDescent="0.3">
      <c r="A2242" s="137"/>
      <c r="B2242" s="137"/>
      <c r="C2242" s="137"/>
      <c r="D2242" s="194"/>
      <c r="E2242" s="194"/>
      <c r="F2242" s="137"/>
      <c r="G2242" s="137"/>
      <c r="H2242" s="137"/>
      <c r="I2242" s="137"/>
      <c r="J2242" s="197"/>
      <c r="K2242" s="198"/>
      <c r="L2242" s="196"/>
      <c r="M2242" s="196"/>
      <c r="N2242" s="196"/>
      <c r="O2242" s="196"/>
      <c r="P2242" s="127"/>
    </row>
    <row r="2243" spans="1:16" ht="20.25" customHeight="1" x14ac:dyDescent="0.3">
      <c r="A2243" s="137"/>
      <c r="B2243" s="137"/>
      <c r="C2243" s="137"/>
      <c r="D2243" s="194"/>
      <c r="E2243" s="194"/>
      <c r="F2243" s="137"/>
      <c r="G2243" s="137"/>
      <c r="H2243" s="137"/>
      <c r="I2243" s="137"/>
      <c r="J2243" s="197"/>
      <c r="K2243" s="198"/>
      <c r="L2243" s="196"/>
      <c r="M2243" s="196"/>
      <c r="N2243" s="196"/>
      <c r="O2243" s="196"/>
      <c r="P2243" s="127"/>
    </row>
    <row r="2244" spans="1:16" ht="20.25" customHeight="1" x14ac:dyDescent="0.3">
      <c r="A2244" s="137"/>
      <c r="B2244" s="137"/>
      <c r="C2244" s="137"/>
      <c r="D2244" s="194"/>
      <c r="E2244" s="194"/>
      <c r="F2244" s="137"/>
      <c r="G2244" s="137"/>
      <c r="H2244" s="137"/>
      <c r="I2244" s="137"/>
      <c r="J2244" s="197"/>
      <c r="K2244" s="198"/>
      <c r="L2244" s="196"/>
      <c r="M2244" s="196"/>
      <c r="N2244" s="196"/>
      <c r="O2244" s="196"/>
      <c r="P2244" s="127"/>
    </row>
    <row r="2245" spans="1:16" ht="20.25" customHeight="1" x14ac:dyDescent="0.3">
      <c r="A2245" s="137"/>
      <c r="B2245" s="137"/>
      <c r="C2245" s="137"/>
      <c r="D2245" s="194"/>
      <c r="E2245" s="194"/>
      <c r="F2245" s="137"/>
      <c r="G2245" s="137"/>
      <c r="H2245" s="137"/>
      <c r="I2245" s="137"/>
      <c r="J2245" s="197"/>
      <c r="K2245" s="198"/>
      <c r="L2245" s="196"/>
      <c r="M2245" s="196"/>
      <c r="N2245" s="196"/>
      <c r="O2245" s="196"/>
      <c r="P2245" s="127"/>
    </row>
    <row r="2246" spans="1:16" ht="20.25" customHeight="1" x14ac:dyDescent="0.3">
      <c r="A2246" s="137"/>
      <c r="B2246" s="137"/>
      <c r="C2246" s="137"/>
      <c r="D2246" s="194"/>
      <c r="E2246" s="194"/>
      <c r="F2246" s="137"/>
      <c r="G2246" s="137"/>
      <c r="H2246" s="137"/>
      <c r="I2246" s="137"/>
      <c r="J2246" s="197"/>
      <c r="K2246" s="198"/>
      <c r="L2246" s="196"/>
      <c r="M2246" s="196"/>
      <c r="N2246" s="196"/>
      <c r="O2246" s="196"/>
      <c r="P2246" s="127"/>
    </row>
    <row r="2247" spans="1:16" ht="20.25" customHeight="1" x14ac:dyDescent="0.3">
      <c r="A2247" s="137"/>
      <c r="B2247" s="137"/>
      <c r="C2247" s="137"/>
      <c r="D2247" s="194"/>
      <c r="E2247" s="194"/>
      <c r="F2247" s="137"/>
      <c r="G2247" s="137"/>
      <c r="H2247" s="137"/>
      <c r="I2247" s="137"/>
      <c r="J2247" s="197"/>
      <c r="K2247" s="198"/>
      <c r="L2247" s="196"/>
      <c r="M2247" s="196"/>
      <c r="N2247" s="196"/>
      <c r="O2247" s="196"/>
      <c r="P2247" s="127"/>
    </row>
    <row r="2248" spans="1:16" ht="20.25" customHeight="1" x14ac:dyDescent="0.3">
      <c r="A2248" s="137"/>
      <c r="B2248" s="137"/>
      <c r="C2248" s="137"/>
      <c r="D2248" s="194"/>
      <c r="E2248" s="194"/>
      <c r="F2248" s="137"/>
      <c r="G2248" s="137"/>
      <c r="H2248" s="137"/>
      <c r="I2248" s="137"/>
      <c r="J2248" s="197"/>
      <c r="K2248" s="198"/>
      <c r="L2248" s="196"/>
      <c r="M2248" s="196"/>
      <c r="N2248" s="196"/>
      <c r="O2248" s="196"/>
      <c r="P2248" s="127"/>
    </row>
    <row r="2249" spans="1:16" ht="20.25" customHeight="1" x14ac:dyDescent="0.3">
      <c r="A2249" s="137"/>
      <c r="B2249" s="137"/>
      <c r="C2249" s="137"/>
      <c r="D2249" s="194"/>
      <c r="E2249" s="194"/>
      <c r="F2249" s="137"/>
      <c r="G2249" s="137"/>
      <c r="H2249" s="137"/>
      <c r="I2249" s="137"/>
      <c r="J2249" s="197"/>
      <c r="K2249" s="198"/>
      <c r="L2249" s="196"/>
      <c r="M2249" s="196"/>
      <c r="N2249" s="196"/>
      <c r="O2249" s="196"/>
      <c r="P2249" s="127"/>
    </row>
    <row r="2250" spans="1:16" ht="20.25" customHeight="1" x14ac:dyDescent="0.3">
      <c r="A2250" s="137"/>
      <c r="B2250" s="137"/>
      <c r="C2250" s="137"/>
      <c r="D2250" s="194"/>
      <c r="E2250" s="194"/>
      <c r="F2250" s="137"/>
      <c r="G2250" s="137"/>
      <c r="H2250" s="137"/>
      <c r="I2250" s="137"/>
      <c r="J2250" s="197"/>
      <c r="K2250" s="198"/>
      <c r="L2250" s="196"/>
      <c r="M2250" s="196"/>
      <c r="N2250" s="196"/>
      <c r="O2250" s="196"/>
      <c r="P2250" s="127"/>
    </row>
    <row r="2251" spans="1:16" ht="20.25" customHeight="1" x14ac:dyDescent="0.3">
      <c r="A2251" s="137"/>
      <c r="B2251" s="137"/>
      <c r="C2251" s="137"/>
      <c r="D2251" s="194"/>
      <c r="E2251" s="194"/>
      <c r="F2251" s="137"/>
      <c r="G2251" s="137"/>
      <c r="H2251" s="137"/>
      <c r="I2251" s="137"/>
      <c r="J2251" s="197"/>
      <c r="K2251" s="198"/>
      <c r="L2251" s="196"/>
      <c r="M2251" s="196"/>
      <c r="N2251" s="196"/>
      <c r="O2251" s="196"/>
      <c r="P2251" s="127"/>
    </row>
    <row r="2252" spans="1:16" ht="20.25" customHeight="1" x14ac:dyDescent="0.3">
      <c r="A2252" s="137"/>
      <c r="B2252" s="137"/>
      <c r="C2252" s="137"/>
      <c r="D2252" s="194"/>
      <c r="E2252" s="194"/>
      <c r="F2252" s="137"/>
      <c r="G2252" s="137"/>
      <c r="H2252" s="137"/>
      <c r="I2252" s="137"/>
      <c r="J2252" s="197"/>
      <c r="K2252" s="198"/>
      <c r="L2252" s="196"/>
      <c r="M2252" s="196"/>
      <c r="N2252" s="196"/>
      <c r="O2252" s="196"/>
      <c r="P2252" s="127"/>
    </row>
    <row r="2253" spans="1:16" ht="20.25" customHeight="1" x14ac:dyDescent="0.3">
      <c r="A2253" s="137"/>
      <c r="B2253" s="137"/>
      <c r="C2253" s="137"/>
      <c r="D2253" s="194"/>
      <c r="E2253" s="194"/>
      <c r="F2253" s="137"/>
      <c r="G2253" s="137"/>
      <c r="H2253" s="137"/>
      <c r="I2253" s="137"/>
      <c r="J2253" s="197"/>
      <c r="K2253" s="198"/>
      <c r="L2253" s="196"/>
      <c r="M2253" s="196"/>
      <c r="N2253" s="196"/>
      <c r="O2253" s="196"/>
      <c r="P2253" s="127"/>
    </row>
    <row r="2254" spans="1:16" ht="20.25" customHeight="1" x14ac:dyDescent="0.3">
      <c r="A2254" s="137"/>
      <c r="B2254" s="137"/>
      <c r="C2254" s="137"/>
      <c r="D2254" s="194"/>
      <c r="E2254" s="194"/>
      <c r="F2254" s="137"/>
      <c r="G2254" s="137"/>
      <c r="H2254" s="137"/>
      <c r="I2254" s="137"/>
      <c r="J2254" s="197"/>
      <c r="K2254" s="198"/>
      <c r="L2254" s="196"/>
      <c r="M2254" s="196"/>
      <c r="N2254" s="196"/>
      <c r="O2254" s="196"/>
      <c r="P2254" s="127"/>
    </row>
    <row r="2255" spans="1:16" ht="20.25" customHeight="1" x14ac:dyDescent="0.3">
      <c r="A2255" s="137"/>
      <c r="B2255" s="137"/>
      <c r="C2255" s="137"/>
      <c r="D2255" s="194"/>
      <c r="E2255" s="194"/>
      <c r="F2255" s="137"/>
      <c r="G2255" s="137"/>
      <c r="H2255" s="137"/>
      <c r="I2255" s="137"/>
      <c r="J2255" s="197"/>
      <c r="K2255" s="198"/>
      <c r="L2255" s="196"/>
      <c r="M2255" s="196"/>
      <c r="N2255" s="196"/>
      <c r="O2255" s="196"/>
      <c r="P2255" s="127"/>
    </row>
    <row r="2256" spans="1:16" ht="20.25" customHeight="1" x14ac:dyDescent="0.3">
      <c r="A2256" s="137"/>
      <c r="B2256" s="137"/>
      <c r="C2256" s="137"/>
      <c r="D2256" s="194"/>
      <c r="E2256" s="194"/>
      <c r="F2256" s="137"/>
      <c r="G2256" s="137"/>
      <c r="H2256" s="137"/>
      <c r="I2256" s="137"/>
      <c r="J2256" s="197"/>
      <c r="K2256" s="198"/>
      <c r="L2256" s="196"/>
      <c r="M2256" s="196"/>
      <c r="N2256" s="196"/>
      <c r="O2256" s="196"/>
      <c r="P2256" s="127"/>
    </row>
    <row r="2257" spans="1:16" ht="20.25" customHeight="1" x14ac:dyDescent="0.3">
      <c r="A2257" s="137"/>
      <c r="B2257" s="137"/>
      <c r="C2257" s="137"/>
      <c r="D2257" s="194"/>
      <c r="E2257" s="194"/>
      <c r="F2257" s="137"/>
      <c r="G2257" s="137"/>
      <c r="H2257" s="137"/>
      <c r="I2257" s="137"/>
      <c r="J2257" s="197"/>
      <c r="K2257" s="198"/>
      <c r="L2257" s="196"/>
      <c r="M2257" s="196"/>
      <c r="N2257" s="196"/>
      <c r="O2257" s="196"/>
      <c r="P2257" s="127"/>
    </row>
    <row r="2258" spans="1:16" ht="20.25" customHeight="1" x14ac:dyDescent="0.3">
      <c r="A2258" s="137"/>
      <c r="B2258" s="137"/>
      <c r="C2258" s="137"/>
      <c r="D2258" s="194"/>
      <c r="E2258" s="194"/>
      <c r="F2258" s="137"/>
      <c r="G2258" s="137"/>
      <c r="H2258" s="137"/>
      <c r="I2258" s="137"/>
      <c r="J2258" s="197"/>
      <c r="K2258" s="198"/>
      <c r="L2258" s="196"/>
      <c r="M2258" s="196"/>
      <c r="N2258" s="196"/>
      <c r="O2258" s="196"/>
      <c r="P2258" s="127"/>
    </row>
    <row r="2259" spans="1:16" ht="20.25" customHeight="1" x14ac:dyDescent="0.3">
      <c r="A2259" s="137"/>
      <c r="B2259" s="137"/>
      <c r="C2259" s="137"/>
      <c r="D2259" s="194"/>
      <c r="E2259" s="194"/>
      <c r="F2259" s="137"/>
      <c r="G2259" s="137"/>
      <c r="H2259" s="137"/>
      <c r="I2259" s="137"/>
      <c r="J2259" s="197"/>
      <c r="K2259" s="198"/>
      <c r="L2259" s="196"/>
      <c r="M2259" s="196"/>
      <c r="N2259" s="196"/>
      <c r="O2259" s="196"/>
      <c r="P2259" s="127"/>
    </row>
    <row r="2260" spans="1:16" ht="20.25" customHeight="1" x14ac:dyDescent="0.3">
      <c r="A2260" s="137"/>
      <c r="B2260" s="137"/>
      <c r="C2260" s="137"/>
      <c r="D2260" s="194"/>
      <c r="E2260" s="194"/>
      <c r="F2260" s="137"/>
      <c r="G2260" s="137"/>
      <c r="H2260" s="137"/>
      <c r="I2260" s="137"/>
      <c r="J2260" s="197"/>
      <c r="K2260" s="198"/>
      <c r="L2260" s="196"/>
      <c r="M2260" s="196"/>
      <c r="N2260" s="196"/>
      <c r="O2260" s="196"/>
      <c r="P2260" s="127"/>
    </row>
    <row r="2261" spans="1:16" ht="20.25" customHeight="1" x14ac:dyDescent="0.3">
      <c r="A2261" s="137"/>
      <c r="B2261" s="137"/>
      <c r="C2261" s="137"/>
      <c r="D2261" s="194"/>
      <c r="E2261" s="194"/>
      <c r="F2261" s="137"/>
      <c r="G2261" s="137"/>
      <c r="H2261" s="137"/>
      <c r="I2261" s="137"/>
      <c r="J2261" s="197"/>
      <c r="K2261" s="198"/>
      <c r="L2261" s="196"/>
      <c r="M2261" s="196"/>
      <c r="N2261" s="196"/>
      <c r="O2261" s="196"/>
      <c r="P2261" s="127"/>
    </row>
    <row r="2262" spans="1:16" ht="20.25" customHeight="1" x14ac:dyDescent="0.3">
      <c r="A2262" s="137"/>
      <c r="B2262" s="137"/>
      <c r="C2262" s="137"/>
      <c r="D2262" s="194"/>
      <c r="E2262" s="194"/>
      <c r="F2262" s="137"/>
      <c r="G2262" s="137"/>
      <c r="H2262" s="137"/>
      <c r="I2262" s="137"/>
      <c r="J2262" s="197"/>
      <c r="K2262" s="198"/>
      <c r="L2262" s="196"/>
      <c r="M2262" s="196"/>
      <c r="N2262" s="196"/>
      <c r="O2262" s="196"/>
      <c r="P2262" s="127"/>
    </row>
    <row r="2263" spans="1:16" ht="20.25" customHeight="1" x14ac:dyDescent="0.3">
      <c r="A2263" s="137"/>
      <c r="B2263" s="137"/>
      <c r="C2263" s="137"/>
      <c r="D2263" s="194"/>
      <c r="E2263" s="194"/>
      <c r="F2263" s="137"/>
      <c r="G2263" s="137"/>
      <c r="H2263" s="137"/>
      <c r="I2263" s="137"/>
      <c r="J2263" s="197"/>
      <c r="K2263" s="198"/>
      <c r="L2263" s="196"/>
      <c r="M2263" s="196"/>
      <c r="N2263" s="196"/>
      <c r="O2263" s="196"/>
      <c r="P2263" s="127"/>
    </row>
    <row r="2264" spans="1:16" ht="20.25" customHeight="1" x14ac:dyDescent="0.3">
      <c r="A2264" s="137"/>
      <c r="B2264" s="137"/>
      <c r="C2264" s="137"/>
      <c r="D2264" s="194"/>
      <c r="E2264" s="194"/>
      <c r="F2264" s="137"/>
      <c r="G2264" s="137"/>
      <c r="H2264" s="137"/>
      <c r="I2264" s="137"/>
      <c r="J2264" s="197"/>
      <c r="K2264" s="198"/>
      <c r="L2264" s="196"/>
      <c r="M2264" s="196"/>
      <c r="N2264" s="196"/>
      <c r="O2264" s="196"/>
      <c r="P2264" s="127"/>
    </row>
    <row r="2265" spans="1:16" ht="20.25" customHeight="1" x14ac:dyDescent="0.3">
      <c r="A2265" s="137"/>
      <c r="B2265" s="137"/>
      <c r="C2265" s="137"/>
      <c r="D2265" s="194"/>
      <c r="E2265" s="194"/>
      <c r="F2265" s="137"/>
      <c r="G2265" s="137"/>
      <c r="H2265" s="137"/>
      <c r="I2265" s="137"/>
      <c r="J2265" s="197"/>
      <c r="K2265" s="198"/>
      <c r="L2265" s="196"/>
      <c r="M2265" s="196"/>
      <c r="N2265" s="196"/>
      <c r="O2265" s="196"/>
      <c r="P2265" s="127"/>
    </row>
    <row r="2266" spans="1:16" ht="20.25" customHeight="1" x14ac:dyDescent="0.3">
      <c r="A2266" s="137"/>
      <c r="B2266" s="137"/>
      <c r="C2266" s="137"/>
      <c r="D2266" s="194"/>
      <c r="E2266" s="194"/>
      <c r="F2266" s="137"/>
      <c r="G2266" s="137"/>
      <c r="H2266" s="137"/>
      <c r="I2266" s="137"/>
      <c r="J2266" s="197"/>
      <c r="K2266" s="198"/>
      <c r="L2266" s="196"/>
      <c r="M2266" s="196"/>
      <c r="N2266" s="196"/>
      <c r="O2266" s="196"/>
      <c r="P2266" s="127"/>
    </row>
    <row r="2267" spans="1:16" ht="20.25" customHeight="1" x14ac:dyDescent="0.3">
      <c r="A2267" s="137"/>
      <c r="B2267" s="137"/>
      <c r="C2267" s="137"/>
      <c r="D2267" s="194"/>
      <c r="E2267" s="194"/>
      <c r="F2267" s="137"/>
      <c r="G2267" s="137"/>
      <c r="H2267" s="137"/>
      <c r="I2267" s="137"/>
      <c r="J2267" s="197"/>
      <c r="K2267" s="198"/>
      <c r="L2267" s="196"/>
      <c r="M2267" s="196"/>
      <c r="N2267" s="196"/>
      <c r="O2267" s="196"/>
      <c r="P2267" s="127"/>
    </row>
    <row r="2268" spans="1:16" ht="20.25" customHeight="1" x14ac:dyDescent="0.3">
      <c r="A2268" s="137"/>
      <c r="B2268" s="137"/>
      <c r="C2268" s="137"/>
      <c r="D2268" s="194"/>
      <c r="E2268" s="194"/>
      <c r="F2268" s="137"/>
      <c r="G2268" s="137"/>
      <c r="H2268" s="137"/>
      <c r="I2268" s="137"/>
      <c r="J2268" s="197"/>
      <c r="K2268" s="198"/>
      <c r="L2268" s="196"/>
      <c r="M2268" s="196"/>
      <c r="N2268" s="196"/>
      <c r="O2268" s="196"/>
      <c r="P2268" s="127"/>
    </row>
    <row r="2269" spans="1:16" ht="20.25" customHeight="1" x14ac:dyDescent="0.3">
      <c r="A2269" s="137"/>
      <c r="B2269" s="137"/>
      <c r="C2269" s="137"/>
      <c r="D2269" s="194"/>
      <c r="E2269" s="194"/>
      <c r="F2269" s="137"/>
      <c r="G2269" s="137"/>
      <c r="H2269" s="137"/>
      <c r="I2269" s="137"/>
      <c r="J2269" s="197"/>
      <c r="K2269" s="198"/>
      <c r="L2269" s="196"/>
      <c r="M2269" s="196"/>
      <c r="N2269" s="196"/>
      <c r="O2269" s="196"/>
      <c r="P2269" s="127"/>
    </row>
    <row r="2270" spans="1:16" ht="20.25" customHeight="1" x14ac:dyDescent="0.3">
      <c r="A2270" s="137"/>
      <c r="B2270" s="137"/>
      <c r="C2270" s="137"/>
      <c r="D2270" s="194"/>
      <c r="E2270" s="194"/>
      <c r="F2270" s="137"/>
      <c r="G2270" s="137"/>
      <c r="H2270" s="137"/>
      <c r="I2270" s="137"/>
      <c r="J2270" s="197"/>
      <c r="K2270" s="198"/>
      <c r="L2270" s="196"/>
      <c r="M2270" s="196"/>
      <c r="N2270" s="196"/>
      <c r="O2270" s="196"/>
      <c r="P2270" s="127"/>
    </row>
    <row r="2271" spans="1:16" ht="20.25" customHeight="1" x14ac:dyDescent="0.3">
      <c r="A2271" s="137"/>
      <c r="B2271" s="137"/>
      <c r="C2271" s="137"/>
      <c r="D2271" s="194"/>
      <c r="E2271" s="194"/>
      <c r="F2271" s="137"/>
      <c r="G2271" s="137"/>
      <c r="H2271" s="137"/>
      <c r="I2271" s="137"/>
      <c r="J2271" s="197"/>
      <c r="K2271" s="198"/>
      <c r="L2271" s="196"/>
      <c r="M2271" s="196"/>
      <c r="N2271" s="196"/>
      <c r="O2271" s="196"/>
      <c r="P2271" s="127"/>
    </row>
    <row r="2272" spans="1:16" ht="20.25" customHeight="1" x14ac:dyDescent="0.3">
      <c r="A2272" s="137"/>
      <c r="B2272" s="137"/>
      <c r="C2272" s="137"/>
      <c r="D2272" s="194"/>
      <c r="E2272" s="194"/>
      <c r="F2272" s="137"/>
      <c r="G2272" s="137"/>
      <c r="H2272" s="137"/>
      <c r="I2272" s="137"/>
      <c r="J2272" s="197"/>
      <c r="K2272" s="198"/>
      <c r="L2272" s="196"/>
      <c r="M2272" s="196"/>
      <c r="N2272" s="196"/>
      <c r="O2272" s="196"/>
      <c r="P2272" s="127"/>
    </row>
    <row r="2273" spans="1:16" ht="20.25" customHeight="1" x14ac:dyDescent="0.3">
      <c r="A2273" s="137"/>
      <c r="B2273" s="137"/>
      <c r="C2273" s="137"/>
      <c r="D2273" s="194"/>
      <c r="E2273" s="194"/>
      <c r="F2273" s="137"/>
      <c r="G2273" s="137"/>
      <c r="H2273" s="137"/>
      <c r="I2273" s="137"/>
      <c r="J2273" s="197"/>
      <c r="K2273" s="198"/>
      <c r="L2273" s="196"/>
      <c r="M2273" s="196"/>
      <c r="N2273" s="196"/>
      <c r="O2273" s="196"/>
      <c r="P2273" s="127"/>
    </row>
    <row r="2274" spans="1:16" ht="20.25" customHeight="1" x14ac:dyDescent="0.3">
      <c r="A2274" s="137"/>
      <c r="B2274" s="137"/>
      <c r="C2274" s="137"/>
      <c r="D2274" s="194"/>
      <c r="E2274" s="194"/>
      <c r="F2274" s="137"/>
      <c r="G2274" s="137"/>
      <c r="H2274" s="137"/>
      <c r="I2274" s="137"/>
      <c r="J2274" s="197"/>
      <c r="K2274" s="198"/>
      <c r="L2274" s="196"/>
      <c r="M2274" s="196"/>
      <c r="N2274" s="196"/>
      <c r="O2274" s="196"/>
      <c r="P2274" s="127"/>
    </row>
    <row r="2275" spans="1:16" ht="20.25" customHeight="1" x14ac:dyDescent="0.3">
      <c r="A2275" s="137"/>
      <c r="B2275" s="137"/>
      <c r="C2275" s="137"/>
      <c r="D2275" s="194"/>
      <c r="E2275" s="194"/>
      <c r="F2275" s="137"/>
      <c r="G2275" s="137"/>
      <c r="H2275" s="137"/>
      <c r="I2275" s="137"/>
      <c r="J2275" s="197"/>
      <c r="K2275" s="198"/>
      <c r="L2275" s="196"/>
      <c r="M2275" s="196"/>
      <c r="N2275" s="196"/>
      <c r="O2275" s="196"/>
      <c r="P2275" s="127"/>
    </row>
    <row r="2276" spans="1:16" ht="20.25" customHeight="1" x14ac:dyDescent="0.3">
      <c r="A2276" s="137"/>
      <c r="B2276" s="137"/>
      <c r="C2276" s="137"/>
      <c r="D2276" s="194"/>
      <c r="E2276" s="194"/>
      <c r="F2276" s="137"/>
      <c r="G2276" s="137"/>
      <c r="H2276" s="137"/>
      <c r="I2276" s="137"/>
      <c r="J2276" s="197"/>
      <c r="K2276" s="198"/>
      <c r="L2276" s="196"/>
      <c r="M2276" s="196"/>
      <c r="N2276" s="196"/>
      <c r="O2276" s="196"/>
      <c r="P2276" s="127"/>
    </row>
    <row r="2277" spans="1:16" ht="20.25" customHeight="1" x14ac:dyDescent="0.3">
      <c r="A2277" s="137"/>
      <c r="B2277" s="137"/>
      <c r="C2277" s="137"/>
      <c r="D2277" s="194"/>
      <c r="E2277" s="194"/>
      <c r="F2277" s="137"/>
      <c r="G2277" s="137"/>
      <c r="H2277" s="137"/>
      <c r="I2277" s="137"/>
      <c r="J2277" s="197"/>
      <c r="K2277" s="198"/>
      <c r="L2277" s="196"/>
      <c r="M2277" s="196"/>
      <c r="N2277" s="196"/>
      <c r="O2277" s="196"/>
      <c r="P2277" s="127"/>
    </row>
    <row r="2278" spans="1:16" ht="20.25" customHeight="1" x14ac:dyDescent="0.3">
      <c r="A2278" s="137"/>
      <c r="B2278" s="137"/>
      <c r="C2278" s="137"/>
      <c r="D2278" s="194"/>
      <c r="E2278" s="194"/>
      <c r="F2278" s="137"/>
      <c r="G2278" s="137"/>
      <c r="H2278" s="137"/>
      <c r="I2278" s="137"/>
      <c r="J2278" s="197"/>
      <c r="K2278" s="198"/>
      <c r="L2278" s="196"/>
      <c r="M2278" s="196"/>
      <c r="N2278" s="196"/>
      <c r="O2278" s="196"/>
      <c r="P2278" s="127"/>
    </row>
    <row r="2279" spans="1:16" ht="20.25" customHeight="1" x14ac:dyDescent="0.3">
      <c r="A2279" s="137"/>
      <c r="B2279" s="137"/>
      <c r="C2279" s="137"/>
      <c r="D2279" s="194"/>
      <c r="E2279" s="194"/>
      <c r="F2279" s="137"/>
      <c r="G2279" s="137"/>
      <c r="H2279" s="137"/>
      <c r="I2279" s="137"/>
      <c r="J2279" s="197"/>
      <c r="K2279" s="198"/>
      <c r="L2279" s="196"/>
      <c r="M2279" s="196"/>
      <c r="N2279" s="196"/>
      <c r="O2279" s="196"/>
      <c r="P2279" s="127"/>
    </row>
    <row r="2280" spans="1:16" ht="20.25" customHeight="1" x14ac:dyDescent="0.3">
      <c r="A2280" s="137"/>
      <c r="B2280" s="137"/>
      <c r="C2280" s="137"/>
      <c r="D2280" s="194"/>
      <c r="E2280" s="194"/>
      <c r="F2280" s="137"/>
      <c r="G2280" s="137"/>
      <c r="H2280" s="137"/>
      <c r="I2280" s="137"/>
      <c r="J2280" s="197"/>
      <c r="K2280" s="198"/>
      <c r="L2280" s="196"/>
      <c r="M2280" s="196"/>
      <c r="N2280" s="196"/>
      <c r="O2280" s="196"/>
      <c r="P2280" s="127"/>
    </row>
    <row r="2281" spans="1:16" ht="20.25" customHeight="1" x14ac:dyDescent="0.3">
      <c r="A2281" s="137"/>
      <c r="B2281" s="137"/>
      <c r="C2281" s="137"/>
      <c r="D2281" s="194"/>
      <c r="E2281" s="194"/>
      <c r="F2281" s="137"/>
      <c r="G2281" s="137"/>
      <c r="H2281" s="137"/>
      <c r="I2281" s="137"/>
      <c r="J2281" s="197"/>
      <c r="K2281" s="198"/>
      <c r="L2281" s="196"/>
      <c r="M2281" s="196"/>
      <c r="N2281" s="196"/>
      <c r="O2281" s="196"/>
      <c r="P2281" s="127"/>
    </row>
    <row r="2282" spans="1:16" ht="20.25" customHeight="1" x14ac:dyDescent="0.3">
      <c r="A2282" s="137"/>
      <c r="B2282" s="137"/>
      <c r="C2282" s="137"/>
      <c r="D2282" s="194"/>
      <c r="E2282" s="194"/>
      <c r="F2282" s="137"/>
      <c r="G2282" s="137"/>
      <c r="H2282" s="137"/>
      <c r="I2282" s="137"/>
      <c r="J2282" s="197"/>
      <c r="K2282" s="198"/>
      <c r="L2282" s="196"/>
      <c r="M2282" s="196"/>
      <c r="N2282" s="196"/>
      <c r="O2282" s="196"/>
      <c r="P2282" s="127"/>
    </row>
    <row r="2283" spans="1:16" ht="20.25" customHeight="1" x14ac:dyDescent="0.3">
      <c r="A2283" s="137"/>
      <c r="B2283" s="137"/>
      <c r="C2283" s="137"/>
      <c r="D2283" s="194"/>
      <c r="E2283" s="194"/>
      <c r="F2283" s="137"/>
      <c r="G2283" s="137"/>
      <c r="H2283" s="137"/>
      <c r="I2283" s="137"/>
      <c r="J2283" s="197"/>
      <c r="K2283" s="198"/>
      <c r="L2283" s="196"/>
      <c r="M2283" s="196"/>
      <c r="N2283" s="196"/>
      <c r="O2283" s="196"/>
      <c r="P2283" s="127"/>
    </row>
    <row r="2284" spans="1:16" ht="20.25" customHeight="1" x14ac:dyDescent="0.3">
      <c r="A2284" s="137"/>
      <c r="B2284" s="137"/>
      <c r="C2284" s="137"/>
      <c r="D2284" s="194"/>
      <c r="E2284" s="194"/>
      <c r="F2284" s="137"/>
      <c r="G2284" s="137"/>
      <c r="H2284" s="137"/>
      <c r="I2284" s="137"/>
      <c r="J2284" s="197"/>
      <c r="K2284" s="198"/>
      <c r="L2284" s="196"/>
      <c r="M2284" s="196"/>
      <c r="N2284" s="196"/>
      <c r="O2284" s="196"/>
      <c r="P2284" s="127"/>
    </row>
    <row r="2285" spans="1:16" ht="20.25" customHeight="1" x14ac:dyDescent="0.3">
      <c r="A2285" s="137"/>
      <c r="B2285" s="137"/>
      <c r="C2285" s="137"/>
      <c r="D2285" s="194"/>
      <c r="E2285" s="194"/>
      <c r="F2285" s="137"/>
      <c r="G2285" s="137"/>
      <c r="H2285" s="137"/>
      <c r="I2285" s="137"/>
      <c r="J2285" s="197"/>
      <c r="K2285" s="198"/>
      <c r="L2285" s="196"/>
      <c r="M2285" s="196"/>
      <c r="N2285" s="196"/>
      <c r="O2285" s="196"/>
      <c r="P2285" s="127"/>
    </row>
    <row r="2286" spans="1:16" ht="20.25" customHeight="1" x14ac:dyDescent="0.3">
      <c r="A2286" s="137"/>
      <c r="B2286" s="137"/>
      <c r="C2286" s="137"/>
      <c r="D2286" s="194"/>
      <c r="E2286" s="194"/>
      <c r="F2286" s="137"/>
      <c r="G2286" s="137"/>
      <c r="H2286" s="137"/>
      <c r="I2286" s="137"/>
      <c r="J2286" s="197"/>
      <c r="K2286" s="198"/>
      <c r="L2286" s="196"/>
      <c r="M2286" s="196"/>
      <c r="N2286" s="196"/>
      <c r="O2286" s="196"/>
      <c r="P2286" s="127"/>
    </row>
    <row r="2287" spans="1:16" ht="20.25" customHeight="1" x14ac:dyDescent="0.3">
      <c r="A2287" s="137"/>
      <c r="B2287" s="137"/>
      <c r="C2287" s="137"/>
      <c r="D2287" s="194"/>
      <c r="E2287" s="194"/>
      <c r="F2287" s="137"/>
      <c r="G2287" s="137"/>
      <c r="H2287" s="137"/>
      <c r="I2287" s="137"/>
      <c r="J2287" s="197"/>
      <c r="K2287" s="198"/>
      <c r="L2287" s="196"/>
      <c r="M2287" s="196"/>
      <c r="N2287" s="196"/>
      <c r="O2287" s="196"/>
      <c r="P2287" s="127"/>
    </row>
    <row r="2288" spans="1:16" ht="20.25" customHeight="1" x14ac:dyDescent="0.3">
      <c r="A2288" s="137"/>
      <c r="B2288" s="137"/>
      <c r="C2288" s="137"/>
      <c r="D2288" s="194"/>
      <c r="E2288" s="194"/>
      <c r="F2288" s="137"/>
      <c r="G2288" s="137"/>
      <c r="H2288" s="137"/>
      <c r="I2288" s="137"/>
      <c r="J2288" s="197"/>
      <c r="K2288" s="198"/>
      <c r="L2288" s="196"/>
      <c r="M2288" s="196"/>
      <c r="N2288" s="196"/>
      <c r="O2288" s="196"/>
      <c r="P2288" s="127"/>
    </row>
    <row r="2289" spans="1:16" ht="20.25" customHeight="1" x14ac:dyDescent="0.3">
      <c r="A2289" s="137"/>
      <c r="B2289" s="137"/>
      <c r="C2289" s="137"/>
      <c r="D2289" s="194"/>
      <c r="E2289" s="194"/>
      <c r="F2289" s="137"/>
      <c r="G2289" s="137"/>
      <c r="H2289" s="137"/>
      <c r="I2289" s="137"/>
      <c r="J2289" s="197"/>
      <c r="K2289" s="198"/>
      <c r="L2289" s="196"/>
      <c r="M2289" s="196"/>
      <c r="N2289" s="196"/>
      <c r="O2289" s="196"/>
      <c r="P2289" s="127"/>
    </row>
    <row r="2290" spans="1:16" ht="20.25" customHeight="1" x14ac:dyDescent="0.3">
      <c r="A2290" s="137"/>
      <c r="B2290" s="137"/>
      <c r="C2290" s="137"/>
      <c r="D2290" s="194"/>
      <c r="E2290" s="194"/>
      <c r="F2290" s="137"/>
      <c r="G2290" s="137"/>
      <c r="H2290" s="137"/>
      <c r="I2290" s="137"/>
      <c r="J2290" s="197"/>
      <c r="K2290" s="198"/>
      <c r="L2290" s="196"/>
      <c r="M2290" s="196"/>
      <c r="N2290" s="196"/>
      <c r="O2290" s="196"/>
      <c r="P2290" s="127"/>
    </row>
    <row r="2291" spans="1:16" ht="20.25" customHeight="1" x14ac:dyDescent="0.3">
      <c r="A2291" s="137"/>
      <c r="B2291" s="137"/>
      <c r="C2291" s="137"/>
      <c r="D2291" s="194"/>
      <c r="E2291" s="194"/>
      <c r="F2291" s="137"/>
      <c r="G2291" s="137"/>
      <c r="H2291" s="137"/>
      <c r="I2291" s="137"/>
      <c r="J2291" s="197"/>
      <c r="K2291" s="198"/>
      <c r="L2291" s="196"/>
      <c r="M2291" s="196"/>
      <c r="N2291" s="196"/>
      <c r="O2291" s="196"/>
      <c r="P2291" s="127"/>
    </row>
    <row r="2292" spans="1:16" ht="20.25" customHeight="1" x14ac:dyDescent="0.3">
      <c r="A2292" s="137"/>
      <c r="B2292" s="137"/>
      <c r="C2292" s="137"/>
      <c r="D2292" s="194"/>
      <c r="E2292" s="194"/>
      <c r="F2292" s="137"/>
      <c r="G2292" s="137"/>
      <c r="H2292" s="137"/>
      <c r="I2292" s="137"/>
      <c r="J2292" s="197"/>
      <c r="K2292" s="198"/>
      <c r="L2292" s="196"/>
      <c r="M2292" s="196"/>
      <c r="N2292" s="196"/>
      <c r="O2292" s="196"/>
      <c r="P2292" s="127"/>
    </row>
    <row r="2293" spans="1:16" ht="20.25" customHeight="1" x14ac:dyDescent="0.3">
      <c r="A2293" s="137"/>
      <c r="B2293" s="137"/>
      <c r="C2293" s="137"/>
      <c r="D2293" s="194"/>
      <c r="E2293" s="194"/>
      <c r="F2293" s="137"/>
      <c r="G2293" s="137"/>
      <c r="H2293" s="137"/>
      <c r="I2293" s="137"/>
      <c r="J2293" s="197"/>
      <c r="K2293" s="198"/>
      <c r="L2293" s="196"/>
      <c r="M2293" s="196"/>
      <c r="N2293" s="196"/>
      <c r="O2293" s="196"/>
      <c r="P2293" s="127"/>
    </row>
    <row r="2294" spans="1:16" ht="20.25" customHeight="1" x14ac:dyDescent="0.3">
      <c r="A2294" s="137"/>
      <c r="B2294" s="137"/>
      <c r="C2294" s="137"/>
      <c r="D2294" s="194"/>
      <c r="E2294" s="194"/>
      <c r="F2294" s="137"/>
      <c r="G2294" s="137"/>
      <c r="H2294" s="137"/>
      <c r="I2294" s="137"/>
      <c r="J2294" s="197"/>
      <c r="K2294" s="198"/>
      <c r="L2294" s="196"/>
      <c r="M2294" s="196"/>
      <c r="N2294" s="196"/>
      <c r="O2294" s="196"/>
      <c r="P2294" s="127"/>
    </row>
    <row r="2295" spans="1:16" ht="20.25" customHeight="1" x14ac:dyDescent="0.3">
      <c r="A2295" s="137"/>
      <c r="B2295" s="137"/>
      <c r="C2295" s="137"/>
      <c r="D2295" s="194"/>
      <c r="E2295" s="194"/>
      <c r="F2295" s="137"/>
      <c r="G2295" s="137"/>
      <c r="H2295" s="137"/>
      <c r="I2295" s="137"/>
      <c r="J2295" s="197"/>
      <c r="K2295" s="198"/>
      <c r="L2295" s="196"/>
      <c r="M2295" s="196"/>
      <c r="N2295" s="196"/>
      <c r="O2295" s="196"/>
      <c r="P2295" s="127"/>
    </row>
    <row r="2296" spans="1:16" ht="20.25" customHeight="1" x14ac:dyDescent="0.3">
      <c r="A2296" s="137"/>
      <c r="B2296" s="137"/>
      <c r="C2296" s="137"/>
      <c r="D2296" s="194"/>
      <c r="E2296" s="194"/>
      <c r="F2296" s="137"/>
      <c r="G2296" s="137"/>
      <c r="H2296" s="137"/>
      <c r="I2296" s="137"/>
      <c r="J2296" s="197"/>
      <c r="K2296" s="198"/>
      <c r="L2296" s="196"/>
      <c r="M2296" s="196"/>
      <c r="N2296" s="196"/>
      <c r="O2296" s="196"/>
      <c r="P2296" s="127"/>
    </row>
    <row r="2297" spans="1:16" ht="20.25" customHeight="1" x14ac:dyDescent="0.3">
      <c r="A2297" s="137"/>
      <c r="B2297" s="137"/>
      <c r="C2297" s="137"/>
      <c r="D2297" s="194"/>
      <c r="E2297" s="194"/>
      <c r="F2297" s="137"/>
      <c r="G2297" s="137"/>
      <c r="H2297" s="137"/>
      <c r="I2297" s="137"/>
      <c r="J2297" s="197"/>
      <c r="K2297" s="198"/>
      <c r="L2297" s="196"/>
      <c r="M2297" s="196"/>
      <c r="N2297" s="196"/>
      <c r="O2297" s="196"/>
      <c r="P2297" s="127"/>
    </row>
    <row r="2298" spans="1:16" ht="20.25" customHeight="1" x14ac:dyDescent="0.3">
      <c r="A2298" s="137"/>
      <c r="B2298" s="137"/>
      <c r="C2298" s="137"/>
      <c r="D2298" s="194"/>
      <c r="E2298" s="194"/>
      <c r="F2298" s="137"/>
      <c r="G2298" s="137"/>
      <c r="H2298" s="137"/>
      <c r="I2298" s="137"/>
      <c r="J2298" s="197"/>
      <c r="K2298" s="198"/>
      <c r="L2298" s="196"/>
      <c r="M2298" s="196"/>
      <c r="N2298" s="196"/>
      <c r="O2298" s="196"/>
      <c r="P2298" s="127"/>
    </row>
    <row r="2299" spans="1:16" ht="20.25" customHeight="1" x14ac:dyDescent="0.3">
      <c r="A2299" s="137"/>
      <c r="B2299" s="137"/>
      <c r="C2299" s="137"/>
      <c r="D2299" s="194"/>
      <c r="E2299" s="194"/>
      <c r="F2299" s="137"/>
      <c r="G2299" s="137"/>
      <c r="H2299" s="137"/>
      <c r="I2299" s="137"/>
      <c r="J2299" s="197"/>
      <c r="K2299" s="198"/>
      <c r="L2299" s="196"/>
      <c r="M2299" s="196"/>
      <c r="N2299" s="196"/>
      <c r="O2299" s="196"/>
      <c r="P2299" s="127"/>
    </row>
    <row r="2300" spans="1:16" ht="20.25" customHeight="1" x14ac:dyDescent="0.3">
      <c r="A2300" s="137"/>
      <c r="B2300" s="137"/>
      <c r="C2300" s="137"/>
      <c r="D2300" s="194"/>
      <c r="E2300" s="194"/>
      <c r="F2300" s="137"/>
      <c r="G2300" s="137"/>
      <c r="H2300" s="137"/>
      <c r="I2300" s="137"/>
      <c r="J2300" s="197"/>
      <c r="K2300" s="198"/>
      <c r="L2300" s="196"/>
      <c r="M2300" s="196"/>
      <c r="N2300" s="196"/>
      <c r="O2300" s="196"/>
      <c r="P2300" s="127"/>
    </row>
    <row r="2301" spans="1:16" ht="20.25" customHeight="1" x14ac:dyDescent="0.3">
      <c r="A2301" s="137"/>
      <c r="B2301" s="137"/>
      <c r="C2301" s="137"/>
      <c r="D2301" s="194"/>
      <c r="E2301" s="194"/>
      <c r="F2301" s="137"/>
      <c r="G2301" s="137"/>
      <c r="H2301" s="137"/>
      <c r="I2301" s="137"/>
      <c r="J2301" s="197"/>
      <c r="K2301" s="198"/>
      <c r="L2301" s="196"/>
      <c r="M2301" s="196"/>
      <c r="N2301" s="196"/>
      <c r="O2301" s="196"/>
      <c r="P2301" s="127"/>
    </row>
    <row r="2302" spans="1:16" ht="20.25" customHeight="1" x14ac:dyDescent="0.3">
      <c r="A2302" s="137"/>
      <c r="B2302" s="137"/>
      <c r="C2302" s="137"/>
      <c r="D2302" s="194"/>
      <c r="E2302" s="194"/>
      <c r="F2302" s="137"/>
      <c r="G2302" s="137"/>
      <c r="H2302" s="137"/>
      <c r="I2302" s="137"/>
      <c r="J2302" s="197"/>
      <c r="K2302" s="198"/>
      <c r="L2302" s="196"/>
      <c r="M2302" s="196"/>
      <c r="N2302" s="196"/>
      <c r="O2302" s="196"/>
      <c r="P2302" s="127"/>
    </row>
    <row r="2303" spans="1:16" ht="20.25" customHeight="1" x14ac:dyDescent="0.3">
      <c r="A2303" s="137"/>
      <c r="B2303" s="137"/>
      <c r="C2303" s="137"/>
      <c r="D2303" s="194"/>
      <c r="E2303" s="194"/>
      <c r="F2303" s="137"/>
      <c r="G2303" s="137"/>
      <c r="H2303" s="137"/>
      <c r="I2303" s="137"/>
      <c r="J2303" s="197"/>
      <c r="K2303" s="198"/>
      <c r="L2303" s="196"/>
      <c r="M2303" s="196"/>
      <c r="N2303" s="196"/>
      <c r="O2303" s="196"/>
      <c r="P2303" s="127"/>
    </row>
    <row r="2304" spans="1:16" ht="20.25" customHeight="1" x14ac:dyDescent="0.3">
      <c r="A2304" s="137"/>
      <c r="B2304" s="137"/>
      <c r="C2304" s="137"/>
      <c r="D2304" s="194"/>
      <c r="E2304" s="194"/>
      <c r="F2304" s="137"/>
      <c r="G2304" s="137"/>
      <c r="H2304" s="137"/>
      <c r="I2304" s="137"/>
      <c r="J2304" s="197"/>
      <c r="K2304" s="198"/>
      <c r="L2304" s="196"/>
      <c r="M2304" s="196"/>
      <c r="N2304" s="196"/>
      <c r="O2304" s="196"/>
      <c r="P2304" s="127"/>
    </row>
    <row r="2305" spans="1:16" ht="20.25" customHeight="1" x14ac:dyDescent="0.3">
      <c r="A2305" s="137"/>
      <c r="B2305" s="137"/>
      <c r="C2305" s="137"/>
      <c r="D2305" s="194"/>
      <c r="E2305" s="194"/>
      <c r="F2305" s="137"/>
      <c r="G2305" s="137"/>
      <c r="H2305" s="137"/>
      <c r="I2305" s="137"/>
      <c r="J2305" s="197"/>
      <c r="K2305" s="198"/>
      <c r="L2305" s="196"/>
      <c r="M2305" s="196"/>
      <c r="N2305" s="196"/>
      <c r="O2305" s="196"/>
      <c r="P2305" s="127"/>
    </row>
    <row r="2306" spans="1:16" ht="20.25" customHeight="1" x14ac:dyDescent="0.3">
      <c r="A2306" s="137"/>
      <c r="B2306" s="137"/>
      <c r="C2306" s="137"/>
      <c r="D2306" s="194"/>
      <c r="E2306" s="194"/>
      <c r="F2306" s="137"/>
      <c r="G2306" s="137"/>
      <c r="H2306" s="137"/>
      <c r="I2306" s="137"/>
      <c r="J2306" s="197"/>
      <c r="K2306" s="198"/>
      <c r="L2306" s="196"/>
      <c r="M2306" s="196"/>
      <c r="N2306" s="196"/>
      <c r="O2306" s="196"/>
      <c r="P2306" s="127"/>
    </row>
    <row r="2307" spans="1:16" ht="20.25" customHeight="1" x14ac:dyDescent="0.3">
      <c r="A2307" s="137"/>
      <c r="B2307" s="137"/>
      <c r="C2307" s="137"/>
      <c r="D2307" s="194"/>
      <c r="E2307" s="194"/>
      <c r="F2307" s="137"/>
      <c r="G2307" s="137"/>
      <c r="H2307" s="137"/>
      <c r="I2307" s="137"/>
      <c r="J2307" s="197"/>
      <c r="K2307" s="198"/>
      <c r="L2307" s="196"/>
      <c r="M2307" s="196"/>
      <c r="N2307" s="196"/>
      <c r="O2307" s="196"/>
      <c r="P2307" s="127"/>
    </row>
    <row r="2308" spans="1:16" ht="20.25" customHeight="1" x14ac:dyDescent="0.3">
      <c r="A2308" s="137"/>
      <c r="B2308" s="137"/>
      <c r="C2308" s="137"/>
      <c r="D2308" s="194"/>
      <c r="E2308" s="194"/>
      <c r="F2308" s="137"/>
      <c r="G2308" s="137"/>
      <c r="H2308" s="137"/>
      <c r="I2308" s="137"/>
      <c r="J2308" s="197"/>
      <c r="K2308" s="198"/>
      <c r="L2308" s="196"/>
      <c r="M2308" s="196"/>
      <c r="N2308" s="196"/>
      <c r="O2308" s="196"/>
      <c r="P2308" s="127"/>
    </row>
    <row r="2309" spans="1:16" ht="20.25" customHeight="1" x14ac:dyDescent="0.3">
      <c r="A2309" s="137"/>
      <c r="B2309" s="137"/>
      <c r="C2309" s="137"/>
      <c r="D2309" s="194"/>
      <c r="E2309" s="194"/>
      <c r="F2309" s="137"/>
      <c r="G2309" s="137"/>
      <c r="H2309" s="137"/>
      <c r="I2309" s="137"/>
      <c r="J2309" s="197"/>
      <c r="K2309" s="198"/>
      <c r="L2309" s="196"/>
      <c r="M2309" s="196"/>
      <c r="N2309" s="196"/>
      <c r="O2309" s="196"/>
      <c r="P2309" s="127"/>
    </row>
    <row r="2310" spans="1:16" ht="20.25" customHeight="1" x14ac:dyDescent="0.3">
      <c r="A2310" s="137"/>
      <c r="B2310" s="137"/>
      <c r="C2310" s="137"/>
      <c r="D2310" s="194"/>
      <c r="E2310" s="194"/>
      <c r="F2310" s="137"/>
      <c r="G2310" s="137"/>
      <c r="H2310" s="137"/>
      <c r="I2310" s="137"/>
      <c r="J2310" s="197"/>
      <c r="K2310" s="198"/>
      <c r="L2310" s="196"/>
      <c r="M2310" s="196"/>
      <c r="N2310" s="196"/>
      <c r="O2310" s="196"/>
      <c r="P2310" s="127"/>
    </row>
    <row r="2311" spans="1:16" ht="20.25" customHeight="1" x14ac:dyDescent="0.3">
      <c r="A2311" s="137"/>
      <c r="B2311" s="137"/>
      <c r="C2311" s="137"/>
      <c r="D2311" s="194"/>
      <c r="E2311" s="194"/>
      <c r="F2311" s="137"/>
      <c r="G2311" s="137"/>
      <c r="H2311" s="137"/>
      <c r="I2311" s="137"/>
      <c r="J2311" s="197"/>
      <c r="K2311" s="198"/>
      <c r="L2311" s="196"/>
      <c r="M2311" s="196"/>
      <c r="N2311" s="196"/>
      <c r="O2311" s="196"/>
      <c r="P2311" s="127"/>
    </row>
    <row r="2312" spans="1:16" ht="20.25" customHeight="1" x14ac:dyDescent="0.3">
      <c r="A2312" s="137"/>
      <c r="B2312" s="137"/>
      <c r="C2312" s="137"/>
      <c r="D2312" s="194"/>
      <c r="E2312" s="194"/>
      <c r="F2312" s="137"/>
      <c r="G2312" s="137"/>
      <c r="H2312" s="137"/>
      <c r="I2312" s="137"/>
      <c r="J2312" s="197"/>
      <c r="K2312" s="198"/>
      <c r="L2312" s="196"/>
      <c r="M2312" s="196"/>
      <c r="N2312" s="196"/>
      <c r="O2312" s="196"/>
      <c r="P2312" s="127"/>
    </row>
    <row r="2313" spans="1:16" ht="20.25" customHeight="1" x14ac:dyDescent="0.3">
      <c r="A2313" s="137"/>
      <c r="B2313" s="137"/>
      <c r="C2313" s="137"/>
      <c r="D2313" s="194"/>
      <c r="E2313" s="194"/>
      <c r="F2313" s="137"/>
      <c r="G2313" s="137"/>
      <c r="H2313" s="137"/>
      <c r="I2313" s="137"/>
      <c r="J2313" s="197"/>
      <c r="K2313" s="198"/>
      <c r="L2313" s="196"/>
      <c r="M2313" s="196"/>
      <c r="N2313" s="196"/>
      <c r="O2313" s="196"/>
      <c r="P2313" s="127"/>
    </row>
    <row r="2314" spans="1:16" ht="20.25" customHeight="1" x14ac:dyDescent="0.3">
      <c r="A2314" s="137"/>
      <c r="B2314" s="137"/>
      <c r="C2314" s="137"/>
      <c r="D2314" s="194"/>
      <c r="E2314" s="194"/>
      <c r="F2314" s="137"/>
      <c r="G2314" s="137"/>
      <c r="H2314" s="137"/>
      <c r="I2314" s="137"/>
      <c r="J2314" s="197"/>
      <c r="K2314" s="198"/>
      <c r="L2314" s="196"/>
      <c r="M2314" s="196"/>
      <c r="N2314" s="196"/>
      <c r="O2314" s="196"/>
      <c r="P2314" s="127"/>
    </row>
    <row r="2315" spans="1:16" ht="20.25" customHeight="1" x14ac:dyDescent="0.3">
      <c r="A2315" s="137"/>
      <c r="B2315" s="137"/>
      <c r="C2315" s="137"/>
      <c r="D2315" s="194"/>
      <c r="E2315" s="194"/>
      <c r="F2315" s="137"/>
      <c r="G2315" s="137"/>
      <c r="H2315" s="137"/>
      <c r="I2315" s="137"/>
      <c r="J2315" s="197"/>
      <c r="K2315" s="198"/>
      <c r="L2315" s="196"/>
      <c r="M2315" s="196"/>
      <c r="N2315" s="196"/>
      <c r="O2315" s="196"/>
      <c r="P2315" s="127"/>
    </row>
    <row r="2316" spans="1:16" ht="20.25" customHeight="1" x14ac:dyDescent="0.3">
      <c r="A2316" s="137"/>
      <c r="B2316" s="137"/>
      <c r="C2316" s="137"/>
      <c r="D2316" s="194"/>
      <c r="E2316" s="194"/>
      <c r="F2316" s="137"/>
      <c r="G2316" s="137"/>
      <c r="H2316" s="137"/>
      <c r="I2316" s="137"/>
      <c r="J2316" s="197"/>
      <c r="K2316" s="198"/>
      <c r="L2316" s="196"/>
      <c r="M2316" s="196"/>
      <c r="N2316" s="196"/>
      <c r="O2316" s="196"/>
      <c r="P2316" s="127"/>
    </row>
    <row r="2317" spans="1:16" ht="20.25" customHeight="1" x14ac:dyDescent="0.3">
      <c r="A2317" s="137"/>
      <c r="B2317" s="137"/>
      <c r="C2317" s="137"/>
      <c r="D2317" s="194"/>
      <c r="E2317" s="194"/>
      <c r="F2317" s="137"/>
      <c r="G2317" s="137"/>
      <c r="H2317" s="137"/>
      <c r="I2317" s="137"/>
      <c r="J2317" s="197"/>
      <c r="K2317" s="198"/>
      <c r="L2317" s="196"/>
      <c r="M2317" s="196"/>
      <c r="N2317" s="196"/>
      <c r="O2317" s="196"/>
      <c r="P2317" s="127"/>
    </row>
    <row r="2318" spans="1:16" ht="20.25" customHeight="1" x14ac:dyDescent="0.3">
      <c r="A2318" s="137"/>
      <c r="B2318" s="137"/>
      <c r="C2318" s="137"/>
      <c r="D2318" s="194"/>
      <c r="E2318" s="194"/>
      <c r="F2318" s="137"/>
      <c r="G2318" s="137"/>
      <c r="H2318" s="137"/>
      <c r="I2318" s="137"/>
      <c r="J2318" s="197"/>
      <c r="K2318" s="198"/>
      <c r="L2318" s="196"/>
      <c r="M2318" s="196"/>
      <c r="N2318" s="196"/>
      <c r="O2318" s="196"/>
      <c r="P2318" s="127"/>
    </row>
    <row r="2319" spans="1:16" ht="20.25" customHeight="1" x14ac:dyDescent="0.3">
      <c r="A2319" s="137"/>
      <c r="B2319" s="137"/>
      <c r="C2319" s="137"/>
      <c r="D2319" s="194"/>
      <c r="E2319" s="194"/>
      <c r="F2319" s="137"/>
      <c r="G2319" s="137"/>
      <c r="H2319" s="137"/>
      <c r="I2319" s="137"/>
      <c r="J2319" s="197"/>
      <c r="K2319" s="198"/>
      <c r="L2319" s="196"/>
      <c r="M2319" s="196"/>
      <c r="N2319" s="196"/>
      <c r="O2319" s="196"/>
      <c r="P2319" s="127"/>
    </row>
    <row r="2320" spans="1:16" ht="20.25" customHeight="1" x14ac:dyDescent="0.3">
      <c r="A2320" s="137"/>
      <c r="B2320" s="137"/>
      <c r="C2320" s="137"/>
      <c r="D2320" s="194"/>
      <c r="E2320" s="194"/>
      <c r="F2320" s="137"/>
      <c r="G2320" s="137"/>
      <c r="H2320" s="137"/>
      <c r="I2320" s="137"/>
      <c r="J2320" s="197"/>
      <c r="K2320" s="198"/>
      <c r="L2320" s="196"/>
      <c r="M2320" s="196"/>
      <c r="N2320" s="196"/>
      <c r="O2320" s="196"/>
      <c r="P2320" s="127"/>
    </row>
    <row r="2321" spans="1:16" ht="20.25" customHeight="1" x14ac:dyDescent="0.3">
      <c r="A2321" s="137"/>
      <c r="B2321" s="137"/>
      <c r="C2321" s="137"/>
      <c r="D2321" s="194"/>
      <c r="E2321" s="194"/>
      <c r="F2321" s="137"/>
      <c r="G2321" s="137"/>
      <c r="H2321" s="137"/>
      <c r="I2321" s="137"/>
      <c r="J2321" s="197"/>
      <c r="K2321" s="198"/>
      <c r="L2321" s="196"/>
      <c r="M2321" s="196"/>
      <c r="N2321" s="196"/>
      <c r="O2321" s="196"/>
      <c r="P2321" s="127"/>
    </row>
    <row r="2322" spans="1:16" ht="20.25" customHeight="1" x14ac:dyDescent="0.3">
      <c r="A2322" s="137"/>
      <c r="B2322" s="137"/>
      <c r="C2322" s="137"/>
      <c r="D2322" s="194"/>
      <c r="E2322" s="194"/>
      <c r="F2322" s="137"/>
      <c r="G2322" s="137"/>
      <c r="H2322" s="137"/>
      <c r="I2322" s="137"/>
      <c r="J2322" s="197"/>
      <c r="K2322" s="198"/>
      <c r="L2322" s="196"/>
      <c r="M2322" s="196"/>
      <c r="N2322" s="196"/>
      <c r="O2322" s="196"/>
      <c r="P2322" s="127"/>
    </row>
    <row r="2323" spans="1:16" ht="20.25" customHeight="1" x14ac:dyDescent="0.3">
      <c r="A2323" s="137"/>
      <c r="B2323" s="137"/>
      <c r="C2323" s="137"/>
      <c r="D2323" s="194"/>
      <c r="E2323" s="194"/>
      <c r="F2323" s="137"/>
      <c r="G2323" s="137"/>
      <c r="H2323" s="137"/>
      <c r="I2323" s="137"/>
      <c r="J2323" s="197"/>
      <c r="K2323" s="198"/>
      <c r="L2323" s="196"/>
      <c r="M2323" s="196"/>
      <c r="N2323" s="196"/>
      <c r="O2323" s="196"/>
      <c r="P2323" s="127"/>
    </row>
    <row r="2324" spans="1:16" ht="20.25" customHeight="1" x14ac:dyDescent="0.3">
      <c r="A2324" s="137"/>
      <c r="B2324" s="137"/>
      <c r="C2324" s="137"/>
      <c r="D2324" s="194"/>
      <c r="E2324" s="194"/>
      <c r="F2324" s="137"/>
      <c r="G2324" s="137"/>
      <c r="H2324" s="137"/>
      <c r="I2324" s="137"/>
      <c r="J2324" s="197"/>
      <c r="K2324" s="198"/>
      <c r="L2324" s="196"/>
      <c r="M2324" s="196"/>
      <c r="N2324" s="196"/>
      <c r="O2324" s="196"/>
      <c r="P2324" s="127"/>
    </row>
    <row r="2325" spans="1:16" ht="20.25" customHeight="1" x14ac:dyDescent="0.3">
      <c r="A2325" s="137"/>
      <c r="B2325" s="137"/>
      <c r="C2325" s="137"/>
      <c r="D2325" s="194"/>
      <c r="E2325" s="194"/>
      <c r="F2325" s="137"/>
      <c r="G2325" s="137"/>
      <c r="H2325" s="137"/>
      <c r="I2325" s="137"/>
      <c r="J2325" s="197"/>
      <c r="K2325" s="198"/>
      <c r="L2325" s="196"/>
      <c r="M2325" s="196"/>
      <c r="N2325" s="196"/>
      <c r="O2325" s="196"/>
      <c r="P2325" s="127"/>
    </row>
    <row r="2326" spans="1:16" ht="20.25" customHeight="1" x14ac:dyDescent="0.3">
      <c r="A2326" s="137"/>
      <c r="B2326" s="137"/>
      <c r="C2326" s="137"/>
      <c r="D2326" s="194"/>
      <c r="E2326" s="194"/>
      <c r="F2326" s="137"/>
      <c r="G2326" s="137"/>
      <c r="H2326" s="137"/>
      <c r="I2326" s="137"/>
      <c r="J2326" s="197"/>
      <c r="K2326" s="198"/>
      <c r="L2326" s="196"/>
      <c r="M2326" s="196"/>
      <c r="N2326" s="196"/>
      <c r="O2326" s="196"/>
      <c r="P2326" s="127"/>
    </row>
    <row r="2327" spans="1:16" ht="20.25" customHeight="1" x14ac:dyDescent="0.3">
      <c r="A2327" s="137"/>
      <c r="B2327" s="137"/>
      <c r="C2327" s="137"/>
      <c r="D2327" s="194"/>
      <c r="E2327" s="194"/>
      <c r="F2327" s="137"/>
      <c r="G2327" s="137"/>
      <c r="H2327" s="137"/>
      <c r="I2327" s="137"/>
      <c r="J2327" s="197"/>
      <c r="K2327" s="198"/>
      <c r="L2327" s="196"/>
      <c r="M2327" s="196"/>
      <c r="N2327" s="196"/>
      <c r="O2327" s="196"/>
      <c r="P2327" s="127"/>
    </row>
    <row r="2328" spans="1:16" ht="20.25" customHeight="1" x14ac:dyDescent="0.3">
      <c r="A2328" s="137"/>
      <c r="B2328" s="137"/>
      <c r="C2328" s="137"/>
      <c r="D2328" s="194"/>
      <c r="E2328" s="194"/>
      <c r="F2328" s="137"/>
      <c r="G2328" s="137"/>
      <c r="H2328" s="137"/>
      <c r="I2328" s="137"/>
      <c r="J2328" s="197"/>
      <c r="K2328" s="198"/>
      <c r="L2328" s="196"/>
      <c r="M2328" s="196"/>
      <c r="N2328" s="196"/>
      <c r="O2328" s="196"/>
      <c r="P2328" s="127"/>
    </row>
    <row r="2329" spans="1:16" ht="20.25" customHeight="1" x14ac:dyDescent="0.3">
      <c r="A2329" s="137"/>
      <c r="B2329" s="137"/>
      <c r="C2329" s="137"/>
      <c r="D2329" s="194"/>
      <c r="E2329" s="194"/>
      <c r="F2329" s="137"/>
      <c r="G2329" s="137"/>
      <c r="H2329" s="137"/>
      <c r="I2329" s="137"/>
      <c r="J2329" s="197"/>
      <c r="K2329" s="198"/>
      <c r="L2329" s="196"/>
      <c r="M2329" s="196"/>
      <c r="N2329" s="196"/>
      <c r="O2329" s="196"/>
      <c r="P2329" s="127"/>
    </row>
    <row r="2330" spans="1:16" ht="20.25" customHeight="1" x14ac:dyDescent="0.3">
      <c r="A2330" s="137"/>
      <c r="B2330" s="137"/>
      <c r="C2330" s="137"/>
      <c r="D2330" s="194"/>
      <c r="E2330" s="194"/>
      <c r="F2330" s="137"/>
      <c r="G2330" s="137"/>
      <c r="H2330" s="137"/>
      <c r="I2330" s="137"/>
      <c r="J2330" s="197"/>
      <c r="K2330" s="198"/>
      <c r="L2330" s="196"/>
      <c r="M2330" s="196"/>
      <c r="N2330" s="196"/>
      <c r="O2330" s="196"/>
      <c r="P2330" s="127"/>
    </row>
    <row r="2331" spans="1:16" ht="20.25" customHeight="1" x14ac:dyDescent="0.3">
      <c r="A2331" s="137"/>
      <c r="B2331" s="137"/>
      <c r="C2331" s="137"/>
      <c r="D2331" s="194"/>
      <c r="E2331" s="194"/>
      <c r="F2331" s="137"/>
      <c r="G2331" s="137"/>
      <c r="H2331" s="137"/>
      <c r="I2331" s="137"/>
      <c r="J2331" s="197"/>
      <c r="K2331" s="198"/>
      <c r="L2331" s="196"/>
      <c r="M2331" s="196"/>
      <c r="N2331" s="196"/>
      <c r="O2331" s="196"/>
      <c r="P2331" s="127"/>
    </row>
    <row r="2332" spans="1:16" ht="20.25" customHeight="1" x14ac:dyDescent="0.3">
      <c r="A2332" s="137"/>
      <c r="B2332" s="137"/>
      <c r="C2332" s="137"/>
      <c r="D2332" s="194"/>
      <c r="E2332" s="194"/>
      <c r="F2332" s="137"/>
      <c r="G2332" s="137"/>
      <c r="H2332" s="137"/>
      <c r="I2332" s="137"/>
      <c r="J2332" s="197"/>
      <c r="K2332" s="198"/>
      <c r="L2332" s="196"/>
      <c r="M2332" s="196"/>
      <c r="N2332" s="196"/>
      <c r="O2332" s="196"/>
      <c r="P2332" s="127"/>
    </row>
    <row r="2333" spans="1:16" ht="20.25" customHeight="1" x14ac:dyDescent="0.3">
      <c r="A2333" s="137"/>
      <c r="B2333" s="137"/>
      <c r="C2333" s="137"/>
      <c r="D2333" s="194"/>
      <c r="E2333" s="194"/>
      <c r="F2333" s="137"/>
      <c r="G2333" s="137"/>
      <c r="H2333" s="137"/>
      <c r="I2333" s="137"/>
      <c r="J2333" s="197"/>
      <c r="K2333" s="198"/>
      <c r="L2333" s="196"/>
      <c r="M2333" s="196"/>
      <c r="N2333" s="196"/>
      <c r="O2333" s="196"/>
      <c r="P2333" s="127"/>
    </row>
    <row r="2334" spans="1:16" ht="20.25" customHeight="1" x14ac:dyDescent="0.3">
      <c r="A2334" s="137"/>
      <c r="B2334" s="137"/>
      <c r="C2334" s="137"/>
      <c r="D2334" s="194"/>
      <c r="E2334" s="194"/>
      <c r="F2334" s="137"/>
      <c r="G2334" s="137"/>
      <c r="H2334" s="137"/>
      <c r="I2334" s="137"/>
      <c r="J2334" s="197"/>
      <c r="K2334" s="198"/>
      <c r="L2334" s="196"/>
      <c r="M2334" s="196"/>
      <c r="N2334" s="196"/>
      <c r="O2334" s="196"/>
      <c r="P2334" s="127"/>
    </row>
    <row r="2335" spans="1:16" ht="20.25" customHeight="1" x14ac:dyDescent="0.3">
      <c r="A2335" s="137"/>
      <c r="B2335" s="137"/>
      <c r="C2335" s="137"/>
      <c r="D2335" s="194"/>
      <c r="E2335" s="194"/>
      <c r="F2335" s="137"/>
      <c r="G2335" s="137"/>
      <c r="H2335" s="137"/>
      <c r="I2335" s="137"/>
      <c r="J2335" s="197"/>
      <c r="K2335" s="198"/>
      <c r="L2335" s="196"/>
      <c r="M2335" s="196"/>
      <c r="N2335" s="196"/>
      <c r="O2335" s="196"/>
      <c r="P2335" s="127"/>
    </row>
    <row r="2336" spans="1:16" ht="20.25" customHeight="1" x14ac:dyDescent="0.3">
      <c r="A2336" s="137"/>
      <c r="B2336" s="137"/>
      <c r="C2336" s="137"/>
      <c r="D2336" s="194"/>
      <c r="E2336" s="194"/>
      <c r="F2336" s="137"/>
      <c r="G2336" s="137"/>
      <c r="H2336" s="137"/>
      <c r="I2336" s="137"/>
      <c r="J2336" s="197"/>
      <c r="K2336" s="198"/>
      <c r="L2336" s="196"/>
      <c r="M2336" s="196"/>
      <c r="N2336" s="196"/>
      <c r="O2336" s="196"/>
      <c r="P2336" s="127"/>
    </row>
    <row r="2337" spans="1:16" ht="20.25" customHeight="1" x14ac:dyDescent="0.3">
      <c r="A2337" s="137"/>
      <c r="B2337" s="137"/>
      <c r="C2337" s="137"/>
      <c r="D2337" s="194"/>
      <c r="E2337" s="194"/>
      <c r="F2337" s="137"/>
      <c r="G2337" s="137"/>
      <c r="H2337" s="137"/>
      <c r="I2337" s="137"/>
      <c r="J2337" s="197"/>
      <c r="K2337" s="198"/>
      <c r="L2337" s="196"/>
      <c r="M2337" s="196"/>
      <c r="N2337" s="196"/>
      <c r="O2337" s="196"/>
      <c r="P2337" s="127"/>
    </row>
    <row r="2338" spans="1:16" ht="20.25" customHeight="1" x14ac:dyDescent="0.3">
      <c r="A2338" s="137"/>
      <c r="B2338" s="137"/>
      <c r="C2338" s="137"/>
      <c r="D2338" s="194"/>
      <c r="E2338" s="194"/>
      <c r="F2338" s="137"/>
      <c r="G2338" s="137"/>
      <c r="H2338" s="137"/>
      <c r="I2338" s="137"/>
      <c r="J2338" s="197"/>
      <c r="K2338" s="198"/>
      <c r="L2338" s="196"/>
      <c r="M2338" s="196"/>
      <c r="N2338" s="196"/>
      <c r="O2338" s="196"/>
      <c r="P2338" s="127"/>
    </row>
    <row r="2339" spans="1:16" ht="20.25" customHeight="1" x14ac:dyDescent="0.3">
      <c r="A2339" s="137"/>
      <c r="B2339" s="137"/>
      <c r="C2339" s="137"/>
      <c r="D2339" s="194"/>
      <c r="E2339" s="194"/>
      <c r="F2339" s="137"/>
      <c r="G2339" s="137"/>
      <c r="H2339" s="137"/>
      <c r="I2339" s="137"/>
      <c r="J2339" s="197"/>
      <c r="K2339" s="198"/>
      <c r="L2339" s="196"/>
      <c r="M2339" s="196"/>
      <c r="N2339" s="196"/>
      <c r="O2339" s="196"/>
      <c r="P2339" s="127"/>
    </row>
    <row r="2340" spans="1:16" ht="20.25" customHeight="1" x14ac:dyDescent="0.3">
      <c r="A2340" s="137"/>
      <c r="B2340" s="137"/>
      <c r="C2340" s="137"/>
      <c r="D2340" s="194"/>
      <c r="E2340" s="194"/>
      <c r="F2340" s="137"/>
      <c r="G2340" s="137"/>
      <c r="H2340" s="137"/>
      <c r="I2340" s="137"/>
      <c r="J2340" s="197"/>
      <c r="K2340" s="198"/>
      <c r="L2340" s="196"/>
      <c r="M2340" s="196"/>
      <c r="N2340" s="196"/>
      <c r="O2340" s="196"/>
      <c r="P2340" s="127"/>
    </row>
    <row r="2341" spans="1:16" ht="20.25" customHeight="1" x14ac:dyDescent="0.3">
      <c r="A2341" s="137"/>
      <c r="B2341" s="137"/>
      <c r="C2341" s="137"/>
      <c r="D2341" s="194"/>
      <c r="E2341" s="194"/>
      <c r="F2341" s="137"/>
      <c r="G2341" s="137"/>
      <c r="H2341" s="137"/>
      <c r="I2341" s="137"/>
      <c r="J2341" s="197"/>
      <c r="K2341" s="198"/>
      <c r="L2341" s="196"/>
      <c r="M2341" s="196"/>
      <c r="N2341" s="196"/>
      <c r="O2341" s="196"/>
      <c r="P2341" s="127"/>
    </row>
    <row r="2342" spans="1:16" ht="20.25" customHeight="1" x14ac:dyDescent="0.3">
      <c r="A2342" s="137"/>
      <c r="B2342" s="137"/>
      <c r="C2342" s="137"/>
      <c r="D2342" s="194"/>
      <c r="E2342" s="194"/>
      <c r="F2342" s="137"/>
      <c r="G2342" s="137"/>
      <c r="H2342" s="137"/>
      <c r="I2342" s="137"/>
      <c r="J2342" s="197"/>
      <c r="K2342" s="198"/>
      <c r="L2342" s="196"/>
      <c r="M2342" s="196"/>
      <c r="N2342" s="196"/>
      <c r="O2342" s="196"/>
      <c r="P2342" s="127"/>
    </row>
    <row r="2343" spans="1:16" ht="20.25" customHeight="1" x14ac:dyDescent="0.3">
      <c r="A2343" s="137"/>
      <c r="B2343" s="137"/>
      <c r="C2343" s="137"/>
      <c r="D2343" s="194"/>
      <c r="E2343" s="194"/>
      <c r="F2343" s="137"/>
      <c r="G2343" s="137"/>
      <c r="H2343" s="137"/>
      <c r="I2343" s="137"/>
      <c r="J2343" s="197"/>
      <c r="K2343" s="198"/>
      <c r="L2343" s="196"/>
      <c r="M2343" s="196"/>
      <c r="N2343" s="196"/>
      <c r="O2343" s="196"/>
      <c r="P2343" s="127"/>
    </row>
    <row r="2344" spans="1:16" ht="20.25" customHeight="1" x14ac:dyDescent="0.3">
      <c r="A2344" s="137"/>
      <c r="B2344" s="137"/>
      <c r="C2344" s="137"/>
      <c r="D2344" s="194"/>
      <c r="E2344" s="194"/>
      <c r="F2344" s="137"/>
      <c r="G2344" s="137"/>
      <c r="H2344" s="137"/>
      <c r="I2344" s="137"/>
      <c r="J2344" s="197"/>
      <c r="K2344" s="198"/>
      <c r="L2344" s="196"/>
      <c r="M2344" s="196"/>
      <c r="N2344" s="196"/>
      <c r="O2344" s="196"/>
      <c r="P2344" s="127"/>
    </row>
    <row r="2345" spans="1:16" ht="20.25" customHeight="1" x14ac:dyDescent="0.3">
      <c r="A2345" s="137"/>
      <c r="B2345" s="137"/>
      <c r="C2345" s="137"/>
      <c r="D2345" s="194"/>
      <c r="E2345" s="194"/>
      <c r="F2345" s="137"/>
      <c r="G2345" s="137"/>
      <c r="H2345" s="137"/>
      <c r="I2345" s="137"/>
      <c r="J2345" s="197"/>
      <c r="K2345" s="198"/>
      <c r="L2345" s="196"/>
      <c r="M2345" s="196"/>
      <c r="N2345" s="196"/>
      <c r="O2345" s="196"/>
      <c r="P2345" s="127"/>
    </row>
    <row r="2346" spans="1:16" ht="20.25" customHeight="1" x14ac:dyDescent="0.3">
      <c r="A2346" s="137"/>
      <c r="B2346" s="137"/>
      <c r="C2346" s="137"/>
      <c r="D2346" s="194"/>
      <c r="E2346" s="194"/>
      <c r="F2346" s="137"/>
      <c r="G2346" s="137"/>
      <c r="H2346" s="137"/>
      <c r="I2346" s="137"/>
      <c r="J2346" s="197"/>
      <c r="K2346" s="198"/>
      <c r="L2346" s="196"/>
      <c r="M2346" s="196"/>
      <c r="N2346" s="196"/>
      <c r="O2346" s="196"/>
      <c r="P2346" s="127"/>
    </row>
    <row r="2347" spans="1:16" ht="20.25" customHeight="1" x14ac:dyDescent="0.3">
      <c r="A2347" s="137"/>
      <c r="B2347" s="137"/>
      <c r="C2347" s="137"/>
      <c r="D2347" s="194"/>
      <c r="E2347" s="194"/>
      <c r="F2347" s="137"/>
      <c r="G2347" s="137"/>
      <c r="H2347" s="137"/>
      <c r="I2347" s="137"/>
      <c r="J2347" s="197"/>
      <c r="K2347" s="198"/>
      <c r="L2347" s="196"/>
      <c r="M2347" s="196"/>
      <c r="N2347" s="196"/>
      <c r="O2347" s="196"/>
      <c r="P2347" s="127"/>
    </row>
    <row r="2348" spans="1:16" ht="20.25" customHeight="1" x14ac:dyDescent="0.3">
      <c r="A2348" s="137"/>
      <c r="B2348" s="137"/>
      <c r="C2348" s="137"/>
      <c r="D2348" s="194"/>
      <c r="E2348" s="194"/>
      <c r="F2348" s="137"/>
      <c r="G2348" s="137"/>
      <c r="H2348" s="137"/>
      <c r="I2348" s="137"/>
      <c r="J2348" s="197"/>
      <c r="K2348" s="198"/>
      <c r="L2348" s="196"/>
      <c r="M2348" s="196"/>
      <c r="N2348" s="196"/>
      <c r="O2348" s="196"/>
      <c r="P2348" s="127"/>
    </row>
    <row r="2349" spans="1:16" ht="20.25" customHeight="1" x14ac:dyDescent="0.3">
      <c r="A2349" s="137"/>
      <c r="B2349" s="137"/>
      <c r="C2349" s="137"/>
      <c r="D2349" s="194"/>
      <c r="E2349" s="194"/>
      <c r="F2349" s="137"/>
      <c r="G2349" s="137"/>
      <c r="H2349" s="137"/>
      <c r="I2349" s="137"/>
      <c r="J2349" s="197"/>
      <c r="K2349" s="198"/>
      <c r="L2349" s="196"/>
      <c r="M2349" s="196"/>
      <c r="N2349" s="196"/>
      <c r="O2349" s="196"/>
      <c r="P2349" s="127"/>
    </row>
    <row r="2350" spans="1:16" ht="20.25" customHeight="1" x14ac:dyDescent="0.3">
      <c r="A2350" s="137"/>
      <c r="B2350" s="137"/>
      <c r="C2350" s="137"/>
      <c r="D2350" s="194"/>
      <c r="E2350" s="194"/>
      <c r="F2350" s="137"/>
      <c r="G2350" s="137"/>
      <c r="H2350" s="137"/>
      <c r="I2350" s="137"/>
      <c r="J2350" s="197"/>
      <c r="K2350" s="198"/>
      <c r="L2350" s="196"/>
      <c r="M2350" s="196"/>
      <c r="N2350" s="196"/>
      <c r="O2350" s="196"/>
      <c r="P2350" s="127"/>
    </row>
    <row r="2351" spans="1:16" ht="20.25" customHeight="1" x14ac:dyDescent="0.3">
      <c r="A2351" s="137"/>
      <c r="B2351" s="137"/>
      <c r="C2351" s="137"/>
      <c r="D2351" s="194"/>
      <c r="E2351" s="194"/>
      <c r="F2351" s="137"/>
      <c r="G2351" s="137"/>
      <c r="H2351" s="137"/>
      <c r="I2351" s="137"/>
      <c r="J2351" s="197"/>
      <c r="K2351" s="198"/>
      <c r="L2351" s="196"/>
      <c r="M2351" s="196"/>
      <c r="N2351" s="196"/>
      <c r="O2351" s="196"/>
      <c r="P2351" s="127"/>
    </row>
    <row r="2352" spans="1:16" ht="20.25" customHeight="1" x14ac:dyDescent="0.3">
      <c r="A2352" s="137"/>
      <c r="B2352" s="137"/>
      <c r="C2352" s="137"/>
      <c r="D2352" s="194"/>
      <c r="E2352" s="194"/>
      <c r="F2352" s="137"/>
      <c r="G2352" s="137"/>
      <c r="H2352" s="137"/>
      <c r="I2352" s="137"/>
      <c r="J2352" s="197"/>
      <c r="K2352" s="198"/>
      <c r="L2352" s="196"/>
      <c r="M2352" s="196"/>
      <c r="N2352" s="196"/>
      <c r="O2352" s="196"/>
      <c r="P2352" s="127"/>
    </row>
    <row r="2353" spans="1:16" ht="20.25" customHeight="1" x14ac:dyDescent="0.3">
      <c r="A2353" s="137"/>
      <c r="B2353" s="137"/>
      <c r="C2353" s="137"/>
      <c r="D2353" s="194"/>
      <c r="E2353" s="194"/>
      <c r="F2353" s="137"/>
      <c r="G2353" s="137"/>
      <c r="H2353" s="137"/>
      <c r="I2353" s="137"/>
      <c r="J2353" s="197"/>
      <c r="K2353" s="198"/>
      <c r="L2353" s="196"/>
      <c r="M2353" s="196"/>
      <c r="N2353" s="196"/>
      <c r="O2353" s="196"/>
      <c r="P2353" s="127"/>
    </row>
    <row r="2354" spans="1:16" ht="20.25" customHeight="1" x14ac:dyDescent="0.3">
      <c r="A2354" s="137"/>
      <c r="B2354" s="137"/>
      <c r="C2354" s="137"/>
      <c r="D2354" s="194"/>
      <c r="E2354" s="194"/>
      <c r="F2354" s="137"/>
      <c r="G2354" s="137"/>
      <c r="H2354" s="137"/>
      <c r="I2354" s="137"/>
      <c r="J2354" s="197"/>
      <c r="K2354" s="198"/>
      <c r="L2354" s="196"/>
      <c r="M2354" s="196"/>
      <c r="N2354" s="196"/>
      <c r="O2354" s="196"/>
      <c r="P2354" s="127"/>
    </row>
    <row r="2355" spans="1:16" ht="20.25" customHeight="1" x14ac:dyDescent="0.3">
      <c r="A2355" s="137"/>
      <c r="B2355" s="137"/>
      <c r="C2355" s="137"/>
      <c r="D2355" s="194"/>
      <c r="E2355" s="194"/>
      <c r="F2355" s="137"/>
      <c r="G2355" s="137"/>
      <c r="H2355" s="137"/>
      <c r="I2355" s="137"/>
      <c r="J2355" s="197"/>
      <c r="K2355" s="198"/>
      <c r="L2355" s="196"/>
      <c r="M2355" s="196"/>
      <c r="N2355" s="196"/>
      <c r="O2355" s="196"/>
      <c r="P2355" s="127"/>
    </row>
    <row r="2356" spans="1:16" ht="20.25" customHeight="1" x14ac:dyDescent="0.3">
      <c r="A2356" s="137"/>
      <c r="B2356" s="137"/>
      <c r="C2356" s="137"/>
      <c r="D2356" s="194"/>
      <c r="E2356" s="194"/>
      <c r="F2356" s="137"/>
      <c r="G2356" s="137"/>
      <c r="H2356" s="137"/>
      <c r="I2356" s="137"/>
      <c r="J2356" s="197"/>
      <c r="K2356" s="198"/>
      <c r="L2356" s="196"/>
      <c r="M2356" s="196"/>
      <c r="N2356" s="196"/>
      <c r="O2356" s="196"/>
      <c r="P2356" s="127"/>
    </row>
    <row r="2357" spans="1:16" ht="20.25" customHeight="1" x14ac:dyDescent="0.3">
      <c r="A2357" s="137"/>
      <c r="B2357" s="137"/>
      <c r="C2357" s="137"/>
      <c r="D2357" s="194"/>
      <c r="E2357" s="194"/>
      <c r="F2357" s="137"/>
      <c r="G2357" s="137"/>
      <c r="H2357" s="137"/>
      <c r="I2357" s="137"/>
      <c r="J2357" s="197"/>
      <c r="K2357" s="198"/>
      <c r="L2357" s="196"/>
      <c r="M2357" s="196"/>
      <c r="N2357" s="196"/>
      <c r="O2357" s="196"/>
      <c r="P2357" s="127"/>
    </row>
    <row r="2358" spans="1:16" ht="20.25" customHeight="1" x14ac:dyDescent="0.3">
      <c r="A2358" s="137"/>
      <c r="B2358" s="137"/>
      <c r="C2358" s="137"/>
      <c r="D2358" s="194"/>
      <c r="E2358" s="194"/>
      <c r="F2358" s="137"/>
      <c r="G2358" s="137"/>
      <c r="H2358" s="137"/>
      <c r="I2358" s="137"/>
      <c r="J2358" s="197"/>
      <c r="K2358" s="198"/>
      <c r="L2358" s="196"/>
      <c r="M2358" s="196"/>
      <c r="N2358" s="196"/>
      <c r="O2358" s="196"/>
      <c r="P2358" s="127"/>
    </row>
    <row r="2359" spans="1:16" ht="20.25" customHeight="1" x14ac:dyDescent="0.3">
      <c r="A2359" s="137"/>
      <c r="B2359" s="137"/>
      <c r="C2359" s="137"/>
      <c r="D2359" s="194"/>
      <c r="E2359" s="194"/>
      <c r="F2359" s="137"/>
      <c r="G2359" s="137"/>
      <c r="H2359" s="137"/>
      <c r="I2359" s="137"/>
      <c r="J2359" s="197"/>
      <c r="K2359" s="198"/>
      <c r="L2359" s="196"/>
      <c r="M2359" s="196"/>
      <c r="N2359" s="196"/>
      <c r="O2359" s="196"/>
      <c r="P2359" s="127"/>
    </row>
    <row r="2360" spans="1:16" ht="20.25" customHeight="1" x14ac:dyDescent="0.3">
      <c r="A2360" s="137"/>
      <c r="B2360" s="137"/>
      <c r="C2360" s="137"/>
      <c r="D2360" s="194"/>
      <c r="E2360" s="194"/>
      <c r="F2360" s="137"/>
      <c r="G2360" s="137"/>
      <c r="H2360" s="137"/>
      <c r="I2360" s="137"/>
      <c r="J2360" s="197"/>
      <c r="K2360" s="198"/>
      <c r="L2360" s="196"/>
      <c r="M2360" s="196"/>
      <c r="N2360" s="196"/>
      <c r="O2360" s="196"/>
      <c r="P2360" s="127"/>
    </row>
    <row r="2361" spans="1:16" ht="20.25" customHeight="1" x14ac:dyDescent="0.3">
      <c r="A2361" s="137"/>
      <c r="B2361" s="137"/>
      <c r="C2361" s="137"/>
      <c r="D2361" s="194"/>
      <c r="E2361" s="194"/>
      <c r="F2361" s="137"/>
      <c r="G2361" s="137"/>
      <c r="H2361" s="137"/>
      <c r="I2361" s="137"/>
      <c r="J2361" s="197"/>
      <c r="K2361" s="198"/>
      <c r="L2361" s="196"/>
      <c r="M2361" s="196"/>
      <c r="N2361" s="196"/>
      <c r="O2361" s="196"/>
      <c r="P2361" s="127"/>
    </row>
    <row r="2362" spans="1:16" ht="20.25" customHeight="1" x14ac:dyDescent="0.3">
      <c r="A2362" s="137"/>
      <c r="B2362" s="137"/>
      <c r="C2362" s="137"/>
      <c r="D2362" s="194"/>
      <c r="E2362" s="194"/>
      <c r="F2362" s="137"/>
      <c r="G2362" s="137"/>
      <c r="H2362" s="137"/>
      <c r="I2362" s="137"/>
      <c r="J2362" s="197"/>
      <c r="K2362" s="198"/>
      <c r="L2362" s="196"/>
      <c r="M2362" s="196"/>
      <c r="N2362" s="196"/>
      <c r="O2362" s="196"/>
      <c r="P2362" s="127"/>
    </row>
    <row r="2363" spans="1:16" ht="20.25" customHeight="1" x14ac:dyDescent="0.3">
      <c r="A2363" s="137"/>
      <c r="B2363" s="137"/>
      <c r="C2363" s="137"/>
      <c r="D2363" s="194"/>
      <c r="E2363" s="194"/>
      <c r="F2363" s="137"/>
      <c r="G2363" s="137"/>
      <c r="H2363" s="137"/>
      <c r="I2363" s="137"/>
      <c r="J2363" s="197"/>
      <c r="K2363" s="198"/>
      <c r="L2363" s="196"/>
      <c r="M2363" s="196"/>
      <c r="N2363" s="196"/>
      <c r="O2363" s="196"/>
      <c r="P2363" s="127"/>
    </row>
    <row r="2364" spans="1:16" ht="20.25" customHeight="1" x14ac:dyDescent="0.3">
      <c r="A2364" s="137"/>
      <c r="B2364" s="137"/>
      <c r="C2364" s="137"/>
      <c r="D2364" s="194"/>
      <c r="E2364" s="194"/>
      <c r="F2364" s="137"/>
      <c r="G2364" s="137"/>
      <c r="H2364" s="137"/>
      <c r="I2364" s="137"/>
      <c r="J2364" s="197"/>
      <c r="K2364" s="198"/>
      <c r="L2364" s="196"/>
      <c r="M2364" s="196"/>
      <c r="N2364" s="196"/>
      <c r="O2364" s="196"/>
      <c r="P2364" s="127"/>
    </row>
    <row r="2365" spans="1:16" ht="20.25" customHeight="1" x14ac:dyDescent="0.3">
      <c r="A2365" s="137"/>
      <c r="B2365" s="137"/>
      <c r="C2365" s="137"/>
      <c r="D2365" s="194"/>
      <c r="E2365" s="194"/>
      <c r="F2365" s="137"/>
      <c r="G2365" s="137"/>
      <c r="H2365" s="137"/>
      <c r="I2365" s="137"/>
      <c r="J2365" s="197"/>
      <c r="K2365" s="198"/>
      <c r="L2365" s="196"/>
      <c r="M2365" s="196"/>
      <c r="N2365" s="196"/>
      <c r="O2365" s="196"/>
      <c r="P2365" s="127"/>
    </row>
    <row r="2366" spans="1:16" ht="20.25" customHeight="1" x14ac:dyDescent="0.3">
      <c r="A2366" s="137"/>
      <c r="B2366" s="137"/>
      <c r="C2366" s="137"/>
      <c r="D2366" s="194"/>
      <c r="E2366" s="194"/>
      <c r="F2366" s="137"/>
      <c r="G2366" s="137"/>
      <c r="H2366" s="137"/>
      <c r="I2366" s="137"/>
      <c r="J2366" s="197"/>
      <c r="K2366" s="198"/>
      <c r="L2366" s="196"/>
      <c r="M2366" s="196"/>
      <c r="N2366" s="196"/>
      <c r="O2366" s="196"/>
      <c r="P2366" s="127"/>
    </row>
    <row r="2367" spans="1:16" ht="20.25" customHeight="1" x14ac:dyDescent="0.3">
      <c r="A2367" s="137"/>
      <c r="B2367" s="137"/>
      <c r="C2367" s="137"/>
      <c r="D2367" s="194"/>
      <c r="E2367" s="194"/>
      <c r="F2367" s="137"/>
      <c r="G2367" s="137"/>
      <c r="H2367" s="137"/>
      <c r="I2367" s="137"/>
      <c r="J2367" s="197"/>
      <c r="K2367" s="198"/>
      <c r="L2367" s="196"/>
      <c r="M2367" s="196"/>
      <c r="N2367" s="196"/>
      <c r="O2367" s="196"/>
      <c r="P2367" s="127"/>
    </row>
    <row r="2368" spans="1:16" ht="20.25" customHeight="1" x14ac:dyDescent="0.3">
      <c r="A2368" s="137"/>
      <c r="B2368" s="137"/>
      <c r="C2368" s="137"/>
      <c r="D2368" s="194"/>
      <c r="E2368" s="194"/>
      <c r="F2368" s="137"/>
      <c r="G2368" s="137"/>
      <c r="H2368" s="137"/>
      <c r="I2368" s="137"/>
      <c r="J2368" s="197"/>
      <c r="K2368" s="198"/>
      <c r="L2368" s="196"/>
      <c r="M2368" s="196"/>
      <c r="N2368" s="196"/>
      <c r="O2368" s="196"/>
      <c r="P2368" s="127"/>
    </row>
    <row r="2369" spans="1:16" ht="20.25" customHeight="1" x14ac:dyDescent="0.3">
      <c r="A2369" s="137"/>
      <c r="B2369" s="137"/>
      <c r="C2369" s="137"/>
      <c r="D2369" s="194"/>
      <c r="E2369" s="194"/>
      <c r="F2369" s="137"/>
      <c r="G2369" s="137"/>
      <c r="H2369" s="137"/>
      <c r="I2369" s="137"/>
      <c r="J2369" s="197"/>
      <c r="K2369" s="198"/>
      <c r="L2369" s="196"/>
      <c r="M2369" s="196"/>
      <c r="N2369" s="196"/>
      <c r="O2369" s="196"/>
      <c r="P2369" s="127"/>
    </row>
    <row r="2370" spans="1:16" ht="20.25" customHeight="1" x14ac:dyDescent="0.3">
      <c r="A2370" s="137"/>
      <c r="B2370" s="137"/>
      <c r="C2370" s="137"/>
      <c r="D2370" s="194"/>
      <c r="E2370" s="194"/>
      <c r="F2370" s="137"/>
      <c r="G2370" s="137"/>
      <c r="H2370" s="137"/>
      <c r="I2370" s="137"/>
      <c r="J2370" s="197"/>
      <c r="K2370" s="198"/>
      <c r="L2370" s="196"/>
      <c r="M2370" s="196"/>
      <c r="N2370" s="196"/>
      <c r="O2370" s="196"/>
      <c r="P2370" s="127"/>
    </row>
    <row r="2371" spans="1:16" ht="20.25" customHeight="1" x14ac:dyDescent="0.3">
      <c r="A2371" s="137"/>
      <c r="B2371" s="137"/>
      <c r="C2371" s="137"/>
      <c r="D2371" s="194"/>
      <c r="E2371" s="194"/>
      <c r="F2371" s="137"/>
      <c r="G2371" s="137"/>
      <c r="H2371" s="137"/>
      <c r="I2371" s="137"/>
      <c r="J2371" s="197"/>
      <c r="K2371" s="198"/>
      <c r="L2371" s="196"/>
      <c r="M2371" s="196"/>
      <c r="N2371" s="196"/>
      <c r="O2371" s="196"/>
      <c r="P2371" s="127"/>
    </row>
    <row r="2372" spans="1:16" ht="20.25" customHeight="1" x14ac:dyDescent="0.3">
      <c r="A2372" s="137"/>
      <c r="B2372" s="137"/>
      <c r="C2372" s="137"/>
      <c r="D2372" s="194"/>
      <c r="E2372" s="194"/>
      <c r="F2372" s="137"/>
      <c r="G2372" s="137"/>
      <c r="H2372" s="137"/>
      <c r="I2372" s="137"/>
      <c r="J2372" s="197"/>
      <c r="K2372" s="198"/>
      <c r="L2372" s="196"/>
      <c r="M2372" s="196"/>
      <c r="N2372" s="196"/>
      <c r="O2372" s="196"/>
      <c r="P2372" s="127"/>
    </row>
    <row r="2373" spans="1:16" ht="20.25" customHeight="1" x14ac:dyDescent="0.3">
      <c r="A2373" s="137"/>
      <c r="B2373" s="137"/>
      <c r="C2373" s="137"/>
      <c r="D2373" s="194"/>
      <c r="E2373" s="194"/>
      <c r="F2373" s="137"/>
      <c r="G2373" s="137"/>
      <c r="H2373" s="137"/>
      <c r="I2373" s="137"/>
      <c r="J2373" s="197"/>
      <c r="K2373" s="198"/>
      <c r="L2373" s="196"/>
      <c r="M2373" s="196"/>
      <c r="N2373" s="196"/>
      <c r="O2373" s="196"/>
      <c r="P2373" s="127"/>
    </row>
    <row r="2374" spans="1:16" ht="20.25" customHeight="1" x14ac:dyDescent="0.3">
      <c r="A2374" s="137"/>
      <c r="B2374" s="137"/>
      <c r="C2374" s="137"/>
      <c r="D2374" s="194"/>
      <c r="E2374" s="194"/>
      <c r="F2374" s="137"/>
      <c r="G2374" s="137"/>
      <c r="H2374" s="137"/>
      <c r="I2374" s="137"/>
      <c r="J2374" s="197"/>
      <c r="K2374" s="198"/>
      <c r="L2374" s="196"/>
      <c r="M2374" s="196"/>
      <c r="N2374" s="196"/>
      <c r="O2374" s="196"/>
      <c r="P2374" s="127"/>
    </row>
    <row r="2375" spans="1:16" ht="20.25" customHeight="1" x14ac:dyDescent="0.3">
      <c r="A2375" s="137"/>
      <c r="B2375" s="137"/>
      <c r="C2375" s="137"/>
      <c r="D2375" s="194"/>
      <c r="E2375" s="194"/>
      <c r="F2375" s="137"/>
      <c r="G2375" s="137"/>
      <c r="H2375" s="137"/>
      <c r="I2375" s="137"/>
      <c r="J2375" s="197"/>
      <c r="K2375" s="198"/>
      <c r="L2375" s="196"/>
      <c r="M2375" s="196"/>
      <c r="N2375" s="196"/>
      <c r="O2375" s="196"/>
      <c r="P2375" s="127"/>
    </row>
    <row r="2376" spans="1:16" ht="20.25" customHeight="1" x14ac:dyDescent="0.3">
      <c r="A2376" s="137"/>
      <c r="B2376" s="137"/>
      <c r="C2376" s="137"/>
      <c r="D2376" s="194"/>
      <c r="E2376" s="194"/>
      <c r="F2376" s="137"/>
      <c r="G2376" s="137"/>
      <c r="H2376" s="137"/>
      <c r="I2376" s="137"/>
      <c r="J2376" s="197"/>
      <c r="K2376" s="198"/>
      <c r="L2376" s="196"/>
      <c r="M2376" s="196"/>
      <c r="N2376" s="196"/>
      <c r="O2376" s="196"/>
      <c r="P2376" s="127"/>
    </row>
    <row r="2377" spans="1:16" ht="20.25" customHeight="1" x14ac:dyDescent="0.3">
      <c r="A2377" s="137"/>
      <c r="B2377" s="137"/>
      <c r="C2377" s="137"/>
      <c r="D2377" s="194"/>
      <c r="E2377" s="194"/>
      <c r="F2377" s="137"/>
      <c r="G2377" s="137"/>
      <c r="H2377" s="137"/>
      <c r="I2377" s="137"/>
      <c r="J2377" s="197"/>
      <c r="K2377" s="198"/>
      <c r="L2377" s="196"/>
      <c r="M2377" s="196"/>
      <c r="N2377" s="196"/>
      <c r="O2377" s="196"/>
      <c r="P2377" s="127"/>
    </row>
    <row r="2378" spans="1:16" ht="20.25" customHeight="1" x14ac:dyDescent="0.3">
      <c r="A2378" s="137"/>
      <c r="B2378" s="137"/>
      <c r="C2378" s="137"/>
      <c r="D2378" s="194"/>
      <c r="E2378" s="194"/>
      <c r="F2378" s="137"/>
      <c r="G2378" s="137"/>
      <c r="H2378" s="137"/>
      <c r="I2378" s="137"/>
      <c r="J2378" s="197"/>
      <c r="K2378" s="198"/>
      <c r="L2378" s="196"/>
      <c r="M2378" s="196"/>
      <c r="N2378" s="196"/>
      <c r="O2378" s="196"/>
      <c r="P2378" s="127"/>
    </row>
    <row r="2379" spans="1:16" ht="20.25" customHeight="1" x14ac:dyDescent="0.3">
      <c r="A2379" s="137"/>
      <c r="B2379" s="137"/>
      <c r="C2379" s="137"/>
      <c r="D2379" s="194"/>
      <c r="E2379" s="194"/>
      <c r="F2379" s="137"/>
      <c r="G2379" s="137"/>
      <c r="H2379" s="137"/>
      <c r="I2379" s="137"/>
      <c r="J2379" s="197"/>
      <c r="K2379" s="198"/>
      <c r="L2379" s="196"/>
      <c r="M2379" s="196"/>
      <c r="N2379" s="196"/>
      <c r="O2379" s="196"/>
      <c r="P2379" s="127"/>
    </row>
    <row r="2380" spans="1:16" ht="20.25" customHeight="1" x14ac:dyDescent="0.3">
      <c r="A2380" s="137"/>
      <c r="B2380" s="137"/>
      <c r="C2380" s="137"/>
      <c r="D2380" s="194"/>
      <c r="E2380" s="194"/>
      <c r="F2380" s="137"/>
      <c r="G2380" s="137"/>
      <c r="H2380" s="137"/>
      <c r="I2380" s="137"/>
      <c r="J2380" s="197"/>
      <c r="K2380" s="198"/>
      <c r="L2380" s="196"/>
      <c r="M2380" s="196"/>
      <c r="N2380" s="196"/>
      <c r="O2380" s="196"/>
      <c r="P2380" s="127"/>
    </row>
    <row r="2381" spans="1:16" ht="20.25" customHeight="1" x14ac:dyDescent="0.3">
      <c r="A2381" s="137"/>
      <c r="B2381" s="137"/>
      <c r="C2381" s="137"/>
      <c r="D2381" s="194"/>
      <c r="E2381" s="194"/>
      <c r="F2381" s="137"/>
      <c r="G2381" s="137"/>
      <c r="H2381" s="137"/>
      <c r="I2381" s="137"/>
      <c r="J2381" s="197"/>
      <c r="K2381" s="198"/>
      <c r="L2381" s="196"/>
      <c r="M2381" s="196"/>
      <c r="N2381" s="196"/>
      <c r="O2381" s="196"/>
      <c r="P2381" s="127"/>
    </row>
    <row r="2382" spans="1:16" ht="20.25" customHeight="1" x14ac:dyDescent="0.3">
      <c r="A2382" s="137"/>
      <c r="B2382" s="137"/>
      <c r="C2382" s="137"/>
      <c r="D2382" s="194"/>
      <c r="E2382" s="194"/>
      <c r="F2382" s="137"/>
      <c r="G2382" s="137"/>
      <c r="H2382" s="137"/>
      <c r="I2382" s="137"/>
      <c r="J2382" s="197"/>
      <c r="K2382" s="198"/>
      <c r="L2382" s="196"/>
      <c r="M2382" s="196"/>
      <c r="N2382" s="196"/>
      <c r="O2382" s="196"/>
      <c r="P2382" s="127"/>
    </row>
    <row r="2383" spans="1:16" ht="20.25" customHeight="1" x14ac:dyDescent="0.3">
      <c r="A2383" s="137"/>
      <c r="B2383" s="137"/>
      <c r="C2383" s="137"/>
      <c r="D2383" s="194"/>
      <c r="E2383" s="194"/>
      <c r="F2383" s="137"/>
      <c r="G2383" s="137"/>
      <c r="H2383" s="137"/>
      <c r="I2383" s="137"/>
      <c r="J2383" s="197"/>
      <c r="K2383" s="198"/>
      <c r="L2383" s="196"/>
      <c r="M2383" s="196"/>
      <c r="N2383" s="196"/>
      <c r="O2383" s="196"/>
      <c r="P2383" s="127"/>
    </row>
    <row r="2384" spans="1:16" ht="20.25" customHeight="1" x14ac:dyDescent="0.3">
      <c r="A2384" s="137"/>
      <c r="B2384" s="137"/>
      <c r="C2384" s="137"/>
      <c r="D2384" s="194"/>
      <c r="E2384" s="194"/>
      <c r="F2384" s="137"/>
      <c r="G2384" s="137"/>
      <c r="H2384" s="137"/>
      <c r="I2384" s="137"/>
      <c r="J2384" s="197"/>
      <c r="K2384" s="198"/>
      <c r="L2384" s="196"/>
      <c r="M2384" s="196"/>
      <c r="N2384" s="196"/>
      <c r="O2384" s="196"/>
      <c r="P2384" s="127"/>
    </row>
    <row r="2385" spans="1:16" ht="20.25" customHeight="1" x14ac:dyDescent="0.3">
      <c r="A2385" s="137"/>
      <c r="B2385" s="137"/>
      <c r="C2385" s="137"/>
      <c r="D2385" s="194"/>
      <c r="E2385" s="194"/>
      <c r="F2385" s="137"/>
      <c r="G2385" s="137"/>
      <c r="H2385" s="137"/>
      <c r="I2385" s="137"/>
      <c r="J2385" s="197"/>
      <c r="K2385" s="198"/>
      <c r="L2385" s="196"/>
      <c r="M2385" s="196"/>
      <c r="N2385" s="196"/>
      <c r="O2385" s="196"/>
      <c r="P2385" s="127"/>
    </row>
    <row r="2386" spans="1:16" ht="20.25" customHeight="1" x14ac:dyDescent="0.3">
      <c r="A2386" s="137"/>
      <c r="B2386" s="137"/>
      <c r="C2386" s="137"/>
      <c r="D2386" s="194"/>
      <c r="E2386" s="194"/>
      <c r="F2386" s="137"/>
      <c r="G2386" s="137"/>
      <c r="H2386" s="137"/>
      <c r="I2386" s="137"/>
      <c r="J2386" s="197"/>
      <c r="K2386" s="198"/>
      <c r="L2386" s="196"/>
      <c r="M2386" s="196"/>
      <c r="N2386" s="196"/>
      <c r="O2386" s="196"/>
      <c r="P2386" s="127"/>
    </row>
    <row r="2387" spans="1:16" ht="20.25" customHeight="1" x14ac:dyDescent="0.3">
      <c r="A2387" s="137"/>
      <c r="B2387" s="137"/>
      <c r="C2387" s="137"/>
      <c r="D2387" s="194"/>
      <c r="E2387" s="194"/>
      <c r="F2387" s="137"/>
      <c r="G2387" s="137"/>
      <c r="H2387" s="137"/>
      <c r="I2387" s="137"/>
      <c r="J2387" s="197"/>
      <c r="K2387" s="198"/>
      <c r="L2387" s="196"/>
      <c r="M2387" s="196"/>
      <c r="N2387" s="196"/>
      <c r="O2387" s="196"/>
      <c r="P2387" s="127"/>
    </row>
    <row r="2388" spans="1:16" ht="20.25" customHeight="1" x14ac:dyDescent="0.3">
      <c r="A2388" s="137"/>
      <c r="B2388" s="137"/>
      <c r="C2388" s="137"/>
      <c r="D2388" s="194"/>
      <c r="E2388" s="194"/>
      <c r="F2388" s="137"/>
      <c r="G2388" s="137"/>
      <c r="H2388" s="137"/>
      <c r="I2388" s="137"/>
      <c r="J2388" s="197"/>
      <c r="K2388" s="198"/>
      <c r="L2388" s="196"/>
      <c r="M2388" s="196"/>
      <c r="N2388" s="196"/>
      <c r="O2388" s="196"/>
      <c r="P2388" s="127"/>
    </row>
    <row r="2389" spans="1:16" ht="20.25" customHeight="1" x14ac:dyDescent="0.3">
      <c r="A2389" s="137"/>
      <c r="B2389" s="137"/>
      <c r="C2389" s="137"/>
      <c r="D2389" s="194"/>
      <c r="E2389" s="194"/>
      <c r="F2389" s="137"/>
      <c r="G2389" s="137"/>
      <c r="H2389" s="137"/>
      <c r="I2389" s="137"/>
      <c r="J2389" s="197"/>
      <c r="K2389" s="198"/>
      <c r="L2389" s="196"/>
      <c r="M2389" s="196"/>
      <c r="N2389" s="196"/>
      <c r="O2389" s="196"/>
      <c r="P2389" s="127"/>
    </row>
    <row r="2390" spans="1:16" ht="20.25" customHeight="1" x14ac:dyDescent="0.3">
      <c r="A2390" s="137"/>
      <c r="B2390" s="137"/>
      <c r="C2390" s="137"/>
      <c r="D2390" s="194"/>
      <c r="E2390" s="194"/>
      <c r="F2390" s="137"/>
      <c r="G2390" s="137"/>
      <c r="H2390" s="137"/>
      <c r="I2390" s="137"/>
      <c r="J2390" s="197"/>
      <c r="K2390" s="198"/>
      <c r="L2390" s="196"/>
      <c r="M2390" s="196"/>
      <c r="N2390" s="196"/>
      <c r="O2390" s="196"/>
      <c r="P2390" s="127"/>
    </row>
    <row r="2391" spans="1:16" ht="20.25" customHeight="1" x14ac:dyDescent="0.3">
      <c r="A2391" s="137"/>
      <c r="B2391" s="137"/>
      <c r="C2391" s="137"/>
      <c r="D2391" s="194"/>
      <c r="E2391" s="194"/>
      <c r="F2391" s="137"/>
      <c r="G2391" s="137"/>
      <c r="H2391" s="137"/>
      <c r="I2391" s="137"/>
      <c r="J2391" s="197"/>
      <c r="K2391" s="198"/>
      <c r="L2391" s="196"/>
      <c r="M2391" s="196"/>
      <c r="N2391" s="196"/>
      <c r="O2391" s="196"/>
      <c r="P2391" s="127"/>
    </row>
    <row r="2392" spans="1:16" ht="20.25" customHeight="1" x14ac:dyDescent="0.3">
      <c r="A2392" s="137"/>
      <c r="B2392" s="137"/>
      <c r="C2392" s="137"/>
      <c r="D2392" s="194"/>
      <c r="E2392" s="194"/>
      <c r="F2392" s="137"/>
      <c r="G2392" s="137"/>
      <c r="H2392" s="137"/>
      <c r="I2392" s="137"/>
      <c r="J2392" s="197"/>
      <c r="K2392" s="198"/>
      <c r="L2392" s="196"/>
      <c r="M2392" s="196"/>
      <c r="N2392" s="196"/>
      <c r="O2392" s="196"/>
      <c r="P2392" s="127"/>
    </row>
    <row r="2393" spans="1:16" ht="20.25" customHeight="1" x14ac:dyDescent="0.3">
      <c r="A2393" s="137"/>
      <c r="B2393" s="137"/>
      <c r="C2393" s="137"/>
      <c r="D2393" s="194"/>
      <c r="E2393" s="194"/>
      <c r="F2393" s="137"/>
      <c r="G2393" s="137"/>
      <c r="H2393" s="137"/>
      <c r="I2393" s="137"/>
      <c r="J2393" s="197"/>
      <c r="K2393" s="198"/>
      <c r="L2393" s="196"/>
      <c r="M2393" s="196"/>
      <c r="N2393" s="196"/>
      <c r="O2393" s="196"/>
      <c r="P2393" s="127"/>
    </row>
    <row r="2394" spans="1:16" ht="20.25" customHeight="1" x14ac:dyDescent="0.3">
      <c r="A2394" s="137"/>
      <c r="B2394" s="137"/>
      <c r="C2394" s="137"/>
      <c r="D2394" s="194"/>
      <c r="E2394" s="194"/>
      <c r="F2394" s="137"/>
      <c r="G2394" s="137"/>
      <c r="H2394" s="137"/>
      <c r="I2394" s="137"/>
      <c r="J2394" s="197"/>
      <c r="K2394" s="198"/>
      <c r="L2394" s="196"/>
      <c r="M2394" s="196"/>
      <c r="N2394" s="196"/>
      <c r="O2394" s="196"/>
      <c r="P2394" s="127"/>
    </row>
    <row r="2395" spans="1:16" ht="20.25" customHeight="1" x14ac:dyDescent="0.3">
      <c r="A2395" s="137"/>
      <c r="B2395" s="137"/>
      <c r="C2395" s="137"/>
      <c r="D2395" s="194"/>
      <c r="E2395" s="194"/>
      <c r="F2395" s="137"/>
      <c r="G2395" s="137"/>
      <c r="H2395" s="137"/>
      <c r="I2395" s="137"/>
      <c r="J2395" s="197"/>
      <c r="K2395" s="198"/>
      <c r="L2395" s="196"/>
      <c r="M2395" s="196"/>
      <c r="N2395" s="196"/>
      <c r="O2395" s="196"/>
      <c r="P2395" s="127"/>
    </row>
    <row r="2396" spans="1:16" ht="20.25" customHeight="1" x14ac:dyDescent="0.3">
      <c r="A2396" s="137"/>
      <c r="B2396" s="137"/>
      <c r="C2396" s="137"/>
      <c r="D2396" s="194"/>
      <c r="E2396" s="194"/>
      <c r="F2396" s="137"/>
      <c r="G2396" s="137"/>
      <c r="H2396" s="137"/>
      <c r="I2396" s="137"/>
      <c r="J2396" s="197"/>
      <c r="K2396" s="198"/>
      <c r="L2396" s="196"/>
      <c r="M2396" s="196"/>
      <c r="N2396" s="196"/>
      <c r="O2396" s="196"/>
      <c r="P2396" s="127"/>
    </row>
    <row r="2397" spans="1:16" ht="20.25" customHeight="1" x14ac:dyDescent="0.3">
      <c r="A2397" s="137"/>
      <c r="B2397" s="137"/>
      <c r="C2397" s="137"/>
      <c r="D2397" s="194"/>
      <c r="E2397" s="194"/>
      <c r="F2397" s="137"/>
      <c r="G2397" s="137"/>
      <c r="H2397" s="137"/>
      <c r="I2397" s="137"/>
      <c r="J2397" s="197"/>
      <c r="K2397" s="198"/>
      <c r="L2397" s="196"/>
      <c r="M2397" s="196"/>
      <c r="N2397" s="196"/>
      <c r="O2397" s="196"/>
      <c r="P2397" s="127"/>
    </row>
    <row r="2398" spans="1:16" ht="20.25" customHeight="1" x14ac:dyDescent="0.3">
      <c r="A2398" s="137"/>
      <c r="B2398" s="137"/>
      <c r="C2398" s="137"/>
      <c r="D2398" s="194"/>
      <c r="E2398" s="194"/>
      <c r="F2398" s="137"/>
      <c r="G2398" s="137"/>
      <c r="H2398" s="137"/>
      <c r="I2398" s="137"/>
      <c r="J2398" s="197"/>
      <c r="K2398" s="198"/>
      <c r="L2398" s="196"/>
      <c r="M2398" s="196"/>
      <c r="N2398" s="196"/>
      <c r="O2398" s="196"/>
      <c r="P2398" s="127"/>
    </row>
    <row r="2399" spans="1:16" ht="20.25" customHeight="1" x14ac:dyDescent="0.3">
      <c r="A2399" s="137"/>
      <c r="B2399" s="137"/>
      <c r="C2399" s="137"/>
      <c r="D2399" s="194"/>
      <c r="E2399" s="194"/>
      <c r="F2399" s="137"/>
      <c r="G2399" s="137"/>
      <c r="H2399" s="137"/>
      <c r="I2399" s="137"/>
      <c r="J2399" s="197"/>
      <c r="K2399" s="198"/>
      <c r="L2399" s="196"/>
      <c r="M2399" s="196"/>
      <c r="N2399" s="196"/>
      <c r="O2399" s="196"/>
      <c r="P2399" s="127"/>
    </row>
    <row r="2400" spans="1:16" ht="20.25" customHeight="1" x14ac:dyDescent="0.3">
      <c r="A2400" s="137"/>
      <c r="B2400" s="137"/>
      <c r="C2400" s="137"/>
      <c r="D2400" s="194"/>
      <c r="E2400" s="194"/>
      <c r="F2400" s="137"/>
      <c r="G2400" s="137"/>
      <c r="H2400" s="137"/>
      <c r="I2400" s="137"/>
      <c r="J2400" s="197"/>
      <c r="K2400" s="198"/>
      <c r="L2400" s="196"/>
      <c r="M2400" s="196"/>
      <c r="N2400" s="196"/>
      <c r="O2400" s="196"/>
      <c r="P2400" s="127"/>
    </row>
    <row r="2401" spans="1:16" ht="20.25" customHeight="1" x14ac:dyDescent="0.3">
      <c r="A2401" s="137"/>
      <c r="B2401" s="137"/>
      <c r="C2401" s="137"/>
      <c r="D2401" s="194"/>
      <c r="E2401" s="194"/>
      <c r="F2401" s="137"/>
      <c r="G2401" s="137"/>
      <c r="H2401" s="137"/>
      <c r="I2401" s="137"/>
      <c r="J2401" s="197"/>
      <c r="K2401" s="198"/>
      <c r="L2401" s="196"/>
      <c r="M2401" s="196"/>
      <c r="N2401" s="196"/>
      <c r="O2401" s="196"/>
      <c r="P2401" s="127"/>
    </row>
    <row r="2402" spans="1:16" ht="20.25" customHeight="1" x14ac:dyDescent="0.3">
      <c r="A2402" s="137"/>
      <c r="B2402" s="137"/>
      <c r="C2402" s="137"/>
      <c r="D2402" s="194"/>
      <c r="E2402" s="194"/>
      <c r="F2402" s="137"/>
      <c r="G2402" s="137"/>
      <c r="H2402" s="137"/>
      <c r="I2402" s="137"/>
      <c r="J2402" s="197"/>
      <c r="K2402" s="198"/>
      <c r="L2402" s="196"/>
      <c r="M2402" s="196"/>
      <c r="N2402" s="196"/>
      <c r="O2402" s="196"/>
      <c r="P2402" s="127"/>
    </row>
    <row r="2403" spans="1:16" ht="20.25" customHeight="1" x14ac:dyDescent="0.3">
      <c r="A2403" s="137"/>
      <c r="B2403" s="137"/>
      <c r="C2403" s="137"/>
      <c r="D2403" s="194"/>
      <c r="E2403" s="194"/>
      <c r="F2403" s="137"/>
      <c r="G2403" s="137"/>
      <c r="H2403" s="137"/>
      <c r="I2403" s="137"/>
      <c r="J2403" s="197"/>
      <c r="K2403" s="198"/>
      <c r="L2403" s="196"/>
      <c r="M2403" s="196"/>
      <c r="N2403" s="196"/>
      <c r="O2403" s="196"/>
      <c r="P2403" s="127"/>
    </row>
    <row r="2404" spans="1:16" ht="20.25" customHeight="1" x14ac:dyDescent="0.3">
      <c r="A2404" s="137"/>
      <c r="B2404" s="137"/>
      <c r="C2404" s="137"/>
      <c r="D2404" s="194"/>
      <c r="E2404" s="194"/>
      <c r="F2404" s="137"/>
      <c r="G2404" s="137"/>
      <c r="H2404" s="137"/>
      <c r="I2404" s="137"/>
      <c r="J2404" s="197"/>
      <c r="K2404" s="198"/>
      <c r="L2404" s="196"/>
      <c r="M2404" s="196"/>
      <c r="N2404" s="196"/>
      <c r="O2404" s="196"/>
      <c r="P2404" s="127"/>
    </row>
    <row r="2405" spans="1:16" ht="20.25" customHeight="1" x14ac:dyDescent="0.3">
      <c r="A2405" s="137"/>
      <c r="B2405" s="137"/>
      <c r="C2405" s="137"/>
      <c r="D2405" s="194"/>
      <c r="E2405" s="194"/>
      <c r="F2405" s="137"/>
      <c r="G2405" s="137"/>
      <c r="H2405" s="137"/>
      <c r="I2405" s="137"/>
      <c r="J2405" s="197"/>
      <c r="K2405" s="198"/>
      <c r="L2405" s="196"/>
      <c r="M2405" s="196"/>
      <c r="N2405" s="196"/>
      <c r="O2405" s="196"/>
      <c r="P2405" s="127"/>
    </row>
    <row r="2406" spans="1:16" ht="20.25" customHeight="1" x14ac:dyDescent="0.3">
      <c r="A2406" s="137"/>
      <c r="B2406" s="137"/>
      <c r="C2406" s="137"/>
      <c r="D2406" s="194"/>
      <c r="E2406" s="194"/>
      <c r="F2406" s="137"/>
      <c r="G2406" s="137"/>
      <c r="H2406" s="137"/>
      <c r="I2406" s="137"/>
      <c r="J2406" s="197"/>
      <c r="K2406" s="198"/>
      <c r="L2406" s="196"/>
      <c r="M2406" s="196"/>
      <c r="N2406" s="196"/>
      <c r="O2406" s="196"/>
      <c r="P2406" s="127"/>
    </row>
    <row r="2407" spans="1:16" ht="20.25" customHeight="1" x14ac:dyDescent="0.3">
      <c r="A2407" s="137"/>
      <c r="B2407" s="137"/>
      <c r="C2407" s="137"/>
      <c r="D2407" s="194"/>
      <c r="E2407" s="194"/>
      <c r="F2407" s="137"/>
      <c r="G2407" s="137"/>
      <c r="H2407" s="137"/>
      <c r="I2407" s="137"/>
      <c r="J2407" s="197"/>
      <c r="K2407" s="198"/>
      <c r="L2407" s="196"/>
      <c r="M2407" s="196"/>
      <c r="N2407" s="196"/>
      <c r="O2407" s="196"/>
      <c r="P2407" s="127"/>
    </row>
    <row r="2408" spans="1:16" ht="20.25" customHeight="1" x14ac:dyDescent="0.3">
      <c r="A2408" s="137"/>
      <c r="B2408" s="137"/>
      <c r="C2408" s="137"/>
      <c r="D2408" s="194"/>
      <c r="E2408" s="194"/>
      <c r="F2408" s="137"/>
      <c r="G2408" s="137"/>
      <c r="H2408" s="137"/>
      <c r="I2408" s="137"/>
      <c r="J2408" s="197"/>
      <c r="K2408" s="198"/>
      <c r="L2408" s="196"/>
      <c r="M2408" s="196"/>
      <c r="N2408" s="196"/>
      <c r="O2408" s="196"/>
      <c r="P2408" s="127"/>
    </row>
    <row r="2409" spans="1:16" ht="20.25" customHeight="1" x14ac:dyDescent="0.3">
      <c r="A2409" s="137"/>
      <c r="B2409" s="137"/>
      <c r="C2409" s="137"/>
      <c r="D2409" s="194"/>
      <c r="E2409" s="194"/>
      <c r="F2409" s="137"/>
      <c r="G2409" s="137"/>
      <c r="H2409" s="137"/>
      <c r="I2409" s="137"/>
      <c r="J2409" s="197"/>
      <c r="K2409" s="198"/>
      <c r="L2409" s="196"/>
      <c r="M2409" s="196"/>
      <c r="N2409" s="196"/>
      <c r="O2409" s="196"/>
      <c r="P2409" s="127"/>
    </row>
    <row r="2410" spans="1:16" ht="20.25" customHeight="1" x14ac:dyDescent="0.3">
      <c r="A2410" s="137"/>
      <c r="B2410" s="137"/>
      <c r="C2410" s="137"/>
      <c r="D2410" s="194"/>
      <c r="E2410" s="194"/>
      <c r="F2410" s="137"/>
      <c r="G2410" s="137"/>
      <c r="H2410" s="137"/>
      <c r="I2410" s="137"/>
      <c r="J2410" s="197"/>
      <c r="K2410" s="198"/>
      <c r="L2410" s="196"/>
      <c r="M2410" s="196"/>
      <c r="N2410" s="196"/>
      <c r="O2410" s="196"/>
      <c r="P2410" s="127"/>
    </row>
    <row r="2411" spans="1:16" ht="20.25" customHeight="1" x14ac:dyDescent="0.3">
      <c r="A2411" s="137"/>
      <c r="B2411" s="137"/>
      <c r="C2411" s="137"/>
      <c r="D2411" s="194"/>
      <c r="E2411" s="194"/>
      <c r="F2411" s="137"/>
      <c r="G2411" s="137"/>
      <c r="H2411" s="137"/>
      <c r="I2411" s="137"/>
      <c r="J2411" s="197"/>
      <c r="K2411" s="198"/>
      <c r="L2411" s="196"/>
      <c r="M2411" s="196"/>
      <c r="N2411" s="196"/>
      <c r="O2411" s="196"/>
      <c r="P2411" s="127"/>
    </row>
    <row r="2412" spans="1:16" ht="20.25" customHeight="1" x14ac:dyDescent="0.3">
      <c r="A2412" s="137"/>
      <c r="B2412" s="137"/>
      <c r="C2412" s="137"/>
      <c r="D2412" s="194"/>
      <c r="E2412" s="194"/>
      <c r="F2412" s="137"/>
      <c r="G2412" s="137"/>
      <c r="H2412" s="137"/>
      <c r="I2412" s="137"/>
      <c r="J2412" s="197"/>
      <c r="K2412" s="198"/>
      <c r="L2412" s="196"/>
      <c r="M2412" s="196"/>
      <c r="N2412" s="196"/>
      <c r="O2412" s="196"/>
      <c r="P2412" s="127"/>
    </row>
    <row r="2413" spans="1:16" ht="20.25" customHeight="1" x14ac:dyDescent="0.3">
      <c r="A2413" s="137"/>
      <c r="B2413" s="137"/>
      <c r="C2413" s="137"/>
      <c r="D2413" s="194"/>
      <c r="E2413" s="194"/>
      <c r="F2413" s="137"/>
      <c r="G2413" s="137"/>
      <c r="H2413" s="137"/>
      <c r="I2413" s="137"/>
      <c r="J2413" s="197"/>
      <c r="K2413" s="198"/>
      <c r="L2413" s="196"/>
      <c r="M2413" s="196"/>
      <c r="N2413" s="196"/>
      <c r="O2413" s="196"/>
      <c r="P2413" s="127"/>
    </row>
    <row r="2414" spans="1:16" ht="20.25" customHeight="1" x14ac:dyDescent="0.3">
      <c r="A2414" s="137"/>
      <c r="B2414" s="137"/>
      <c r="C2414" s="137"/>
      <c r="D2414" s="194"/>
      <c r="E2414" s="194"/>
      <c r="F2414" s="137"/>
      <c r="G2414" s="137"/>
      <c r="H2414" s="137"/>
      <c r="I2414" s="137"/>
      <c r="J2414" s="197"/>
      <c r="K2414" s="198"/>
      <c r="L2414" s="196"/>
      <c r="M2414" s="196"/>
      <c r="N2414" s="196"/>
      <c r="O2414" s="196"/>
      <c r="P2414" s="127"/>
    </row>
    <row r="2415" spans="1:16" ht="20.25" customHeight="1" x14ac:dyDescent="0.3">
      <c r="A2415" s="137"/>
      <c r="B2415" s="137"/>
      <c r="C2415" s="137"/>
      <c r="D2415" s="194"/>
      <c r="E2415" s="194"/>
      <c r="F2415" s="137"/>
      <c r="G2415" s="137"/>
      <c r="H2415" s="137"/>
      <c r="I2415" s="137"/>
      <c r="J2415" s="197"/>
      <c r="K2415" s="198"/>
      <c r="L2415" s="196"/>
      <c r="M2415" s="196"/>
      <c r="N2415" s="196"/>
      <c r="O2415" s="196"/>
      <c r="P2415" s="127"/>
    </row>
    <row r="2416" spans="1:16" ht="20.25" customHeight="1" x14ac:dyDescent="0.3">
      <c r="A2416" s="137"/>
      <c r="B2416" s="137"/>
      <c r="C2416" s="137"/>
      <c r="D2416" s="194"/>
      <c r="E2416" s="194"/>
      <c r="F2416" s="137"/>
      <c r="G2416" s="137"/>
      <c r="H2416" s="137"/>
      <c r="I2416" s="137"/>
      <c r="J2416" s="197"/>
      <c r="K2416" s="198"/>
      <c r="L2416" s="196"/>
      <c r="M2416" s="196"/>
      <c r="N2416" s="196"/>
      <c r="O2416" s="196"/>
      <c r="P2416" s="127"/>
    </row>
    <row r="2417" spans="1:16" ht="20.25" customHeight="1" x14ac:dyDescent="0.3">
      <c r="A2417" s="137"/>
      <c r="B2417" s="137"/>
      <c r="C2417" s="137"/>
      <c r="D2417" s="194"/>
      <c r="E2417" s="194"/>
      <c r="F2417" s="137"/>
      <c r="G2417" s="137"/>
      <c r="H2417" s="137"/>
      <c r="I2417" s="137"/>
      <c r="J2417" s="197"/>
      <c r="K2417" s="198"/>
      <c r="L2417" s="196"/>
      <c r="M2417" s="196"/>
      <c r="N2417" s="196"/>
      <c r="O2417" s="196"/>
      <c r="P2417" s="127"/>
    </row>
    <row r="2418" spans="1:16" ht="20.25" customHeight="1" x14ac:dyDescent="0.3">
      <c r="A2418" s="137"/>
      <c r="B2418" s="137"/>
      <c r="C2418" s="137"/>
      <c r="D2418" s="194"/>
      <c r="E2418" s="194"/>
      <c r="F2418" s="137"/>
      <c r="G2418" s="137"/>
      <c r="H2418" s="137"/>
      <c r="I2418" s="137"/>
      <c r="J2418" s="197"/>
      <c r="K2418" s="198"/>
      <c r="L2418" s="196"/>
      <c r="M2418" s="196"/>
      <c r="N2418" s="196"/>
      <c r="O2418" s="196"/>
      <c r="P2418" s="127"/>
    </row>
    <row r="2419" spans="1:16" ht="20.25" customHeight="1" x14ac:dyDescent="0.3">
      <c r="A2419" s="137"/>
      <c r="B2419" s="137"/>
      <c r="C2419" s="137"/>
      <c r="D2419" s="194"/>
      <c r="E2419" s="194"/>
      <c r="F2419" s="137"/>
      <c r="G2419" s="137"/>
      <c r="H2419" s="137"/>
      <c r="I2419" s="137"/>
      <c r="J2419" s="197"/>
      <c r="K2419" s="198"/>
      <c r="L2419" s="196"/>
      <c r="M2419" s="196"/>
      <c r="N2419" s="196"/>
      <c r="O2419" s="196"/>
      <c r="P2419" s="127"/>
    </row>
    <row r="2420" spans="1:16" ht="20.25" customHeight="1" x14ac:dyDescent="0.3">
      <c r="A2420" s="137"/>
      <c r="B2420" s="137"/>
      <c r="C2420" s="137"/>
      <c r="D2420" s="194"/>
      <c r="E2420" s="194"/>
      <c r="F2420" s="137"/>
      <c r="G2420" s="137"/>
      <c r="H2420" s="137"/>
      <c r="I2420" s="137"/>
      <c r="J2420" s="197"/>
      <c r="K2420" s="198"/>
      <c r="L2420" s="196"/>
      <c r="M2420" s="196"/>
      <c r="N2420" s="196"/>
      <c r="O2420" s="196"/>
      <c r="P2420" s="127"/>
    </row>
    <row r="2421" spans="1:16" ht="20.25" customHeight="1" x14ac:dyDescent="0.3">
      <c r="A2421" s="137"/>
      <c r="B2421" s="137"/>
      <c r="C2421" s="137"/>
      <c r="D2421" s="194"/>
      <c r="E2421" s="194"/>
      <c r="F2421" s="137"/>
      <c r="G2421" s="137"/>
      <c r="H2421" s="137"/>
      <c r="I2421" s="137"/>
      <c r="J2421" s="197"/>
      <c r="K2421" s="198"/>
      <c r="L2421" s="196"/>
      <c r="M2421" s="196"/>
      <c r="N2421" s="196"/>
      <c r="O2421" s="196"/>
      <c r="P2421" s="127"/>
    </row>
    <row r="2422" spans="1:16" ht="20.25" customHeight="1" x14ac:dyDescent="0.3">
      <c r="A2422" s="137"/>
      <c r="B2422" s="137"/>
      <c r="C2422" s="137"/>
      <c r="D2422" s="194"/>
      <c r="E2422" s="194"/>
      <c r="F2422" s="137"/>
      <c r="G2422" s="137"/>
      <c r="H2422" s="137"/>
      <c r="I2422" s="137"/>
      <c r="J2422" s="197"/>
      <c r="K2422" s="198"/>
      <c r="L2422" s="196"/>
      <c r="M2422" s="196"/>
      <c r="N2422" s="196"/>
      <c r="O2422" s="196"/>
      <c r="P2422" s="127"/>
    </row>
    <row r="2423" spans="1:16" ht="20.25" customHeight="1" x14ac:dyDescent="0.3">
      <c r="A2423" s="137"/>
      <c r="B2423" s="137"/>
      <c r="C2423" s="137"/>
      <c r="D2423" s="194"/>
      <c r="E2423" s="194"/>
      <c r="F2423" s="137"/>
      <c r="G2423" s="137"/>
      <c r="H2423" s="137"/>
      <c r="I2423" s="137"/>
      <c r="J2423" s="197"/>
      <c r="K2423" s="198"/>
      <c r="L2423" s="196"/>
      <c r="M2423" s="196"/>
      <c r="N2423" s="196"/>
      <c r="O2423" s="196"/>
      <c r="P2423" s="127"/>
    </row>
    <row r="2424" spans="1:16" ht="20.25" customHeight="1" x14ac:dyDescent="0.3">
      <c r="A2424" s="137"/>
      <c r="B2424" s="137"/>
      <c r="C2424" s="137"/>
      <c r="D2424" s="194"/>
      <c r="E2424" s="194"/>
      <c r="F2424" s="137"/>
      <c r="G2424" s="137"/>
      <c r="H2424" s="137"/>
      <c r="I2424" s="137"/>
      <c r="J2424" s="197"/>
      <c r="K2424" s="198"/>
      <c r="L2424" s="196"/>
      <c r="M2424" s="196"/>
      <c r="N2424" s="196"/>
      <c r="O2424" s="196"/>
      <c r="P2424" s="127"/>
    </row>
    <row r="2425" spans="1:16" ht="20.25" customHeight="1" x14ac:dyDescent="0.3">
      <c r="A2425" s="137"/>
      <c r="B2425" s="137"/>
      <c r="C2425" s="137"/>
      <c r="D2425" s="194"/>
      <c r="E2425" s="194"/>
      <c r="F2425" s="137"/>
      <c r="G2425" s="137"/>
      <c r="H2425" s="137"/>
      <c r="I2425" s="137"/>
      <c r="J2425" s="197"/>
      <c r="K2425" s="198"/>
      <c r="L2425" s="196"/>
      <c r="M2425" s="196"/>
      <c r="N2425" s="196"/>
      <c r="O2425" s="196"/>
      <c r="P2425" s="127"/>
    </row>
    <row r="2426" spans="1:16" ht="20.25" customHeight="1" x14ac:dyDescent="0.3">
      <c r="A2426" s="137"/>
      <c r="B2426" s="137"/>
      <c r="C2426" s="137"/>
      <c r="D2426" s="194"/>
      <c r="E2426" s="194"/>
      <c r="F2426" s="137"/>
      <c r="G2426" s="137"/>
      <c r="H2426" s="137"/>
      <c r="I2426" s="137"/>
      <c r="J2426" s="197"/>
      <c r="K2426" s="198"/>
      <c r="L2426" s="196"/>
      <c r="M2426" s="196"/>
      <c r="N2426" s="196"/>
      <c r="O2426" s="196"/>
      <c r="P2426" s="127"/>
    </row>
    <row r="2427" spans="1:16" ht="20.25" customHeight="1" x14ac:dyDescent="0.3">
      <c r="A2427" s="137"/>
      <c r="B2427" s="137"/>
      <c r="C2427" s="137"/>
      <c r="D2427" s="194"/>
      <c r="E2427" s="194"/>
      <c r="F2427" s="137"/>
      <c r="G2427" s="137"/>
      <c r="H2427" s="137"/>
      <c r="I2427" s="137"/>
      <c r="J2427" s="197"/>
      <c r="K2427" s="198"/>
      <c r="L2427" s="196"/>
      <c r="M2427" s="196"/>
      <c r="N2427" s="196"/>
      <c r="O2427" s="196"/>
      <c r="P2427" s="127"/>
    </row>
    <row r="2428" spans="1:16" ht="20.25" customHeight="1" x14ac:dyDescent="0.3">
      <c r="A2428" s="137"/>
      <c r="B2428" s="137"/>
      <c r="C2428" s="137"/>
      <c r="D2428" s="194"/>
      <c r="E2428" s="194"/>
      <c r="F2428" s="137"/>
      <c r="G2428" s="137"/>
      <c r="H2428" s="137"/>
      <c r="I2428" s="137"/>
      <c r="J2428" s="197"/>
      <c r="K2428" s="198"/>
      <c r="L2428" s="196"/>
      <c r="M2428" s="196"/>
      <c r="N2428" s="196"/>
      <c r="O2428" s="196"/>
      <c r="P2428" s="127"/>
    </row>
    <row r="2429" spans="1:16" ht="20.25" customHeight="1" x14ac:dyDescent="0.3">
      <c r="A2429" s="137"/>
      <c r="B2429" s="137"/>
      <c r="C2429" s="137"/>
      <c r="D2429" s="194"/>
      <c r="E2429" s="194"/>
      <c r="F2429" s="137"/>
      <c r="G2429" s="137"/>
      <c r="H2429" s="137"/>
      <c r="I2429" s="137"/>
      <c r="J2429" s="197"/>
      <c r="K2429" s="198"/>
      <c r="L2429" s="196"/>
      <c r="M2429" s="196"/>
      <c r="N2429" s="196"/>
      <c r="O2429" s="196"/>
      <c r="P2429" s="127"/>
    </row>
    <row r="2430" spans="1:16" ht="20.25" customHeight="1" x14ac:dyDescent="0.3">
      <c r="A2430" s="137"/>
      <c r="B2430" s="137"/>
      <c r="C2430" s="137"/>
      <c r="D2430" s="194"/>
      <c r="E2430" s="194"/>
      <c r="F2430" s="137"/>
      <c r="G2430" s="137"/>
      <c r="H2430" s="137"/>
      <c r="I2430" s="137"/>
      <c r="J2430" s="197"/>
      <c r="K2430" s="198"/>
      <c r="L2430" s="196"/>
      <c r="M2430" s="196"/>
      <c r="N2430" s="196"/>
      <c r="O2430" s="196"/>
      <c r="P2430" s="127"/>
    </row>
    <row r="2431" spans="1:16" ht="20.25" customHeight="1" x14ac:dyDescent="0.3">
      <c r="A2431" s="137"/>
      <c r="B2431" s="137"/>
      <c r="C2431" s="137"/>
      <c r="D2431" s="194"/>
      <c r="E2431" s="194"/>
      <c r="F2431" s="137"/>
      <c r="G2431" s="137"/>
      <c r="H2431" s="137"/>
      <c r="I2431" s="137"/>
      <c r="J2431" s="197"/>
      <c r="K2431" s="198"/>
      <c r="L2431" s="196"/>
      <c r="M2431" s="196"/>
      <c r="N2431" s="196"/>
      <c r="O2431" s="196"/>
      <c r="P2431" s="127"/>
    </row>
    <row r="2432" spans="1:16" ht="20.25" customHeight="1" x14ac:dyDescent="0.3">
      <c r="A2432" s="137"/>
      <c r="B2432" s="137"/>
      <c r="C2432" s="137"/>
      <c r="D2432" s="194"/>
      <c r="E2432" s="194"/>
      <c r="F2432" s="137"/>
      <c r="G2432" s="137"/>
      <c r="H2432" s="137"/>
      <c r="I2432" s="137"/>
      <c r="J2432" s="197"/>
      <c r="K2432" s="198"/>
      <c r="L2432" s="196"/>
      <c r="M2432" s="196"/>
      <c r="N2432" s="196"/>
      <c r="O2432" s="196"/>
      <c r="P2432" s="127"/>
    </row>
    <row r="2433" spans="1:16" ht="20.25" customHeight="1" x14ac:dyDescent="0.3">
      <c r="A2433" s="137"/>
      <c r="B2433" s="137"/>
      <c r="C2433" s="137"/>
      <c r="D2433" s="194"/>
      <c r="E2433" s="194"/>
      <c r="F2433" s="137"/>
      <c r="G2433" s="137"/>
      <c r="H2433" s="137"/>
      <c r="I2433" s="137"/>
      <c r="J2433" s="197"/>
      <c r="K2433" s="198"/>
      <c r="L2433" s="196"/>
      <c r="M2433" s="196"/>
      <c r="N2433" s="196"/>
      <c r="O2433" s="196"/>
      <c r="P2433" s="127"/>
    </row>
    <row r="2434" spans="1:16" ht="20.25" customHeight="1" x14ac:dyDescent="0.3">
      <c r="A2434" s="137"/>
      <c r="B2434" s="137"/>
      <c r="C2434" s="137"/>
      <c r="D2434" s="194"/>
      <c r="E2434" s="194"/>
      <c r="F2434" s="137"/>
      <c r="G2434" s="137"/>
      <c r="H2434" s="137"/>
      <c r="I2434" s="137"/>
      <c r="J2434" s="197"/>
      <c r="K2434" s="198"/>
      <c r="L2434" s="196"/>
      <c r="M2434" s="196"/>
      <c r="N2434" s="196"/>
      <c r="O2434" s="196"/>
      <c r="P2434" s="127"/>
    </row>
    <row r="2435" spans="1:16" ht="20.25" customHeight="1" x14ac:dyDescent="0.3">
      <c r="A2435" s="137"/>
      <c r="B2435" s="137"/>
      <c r="C2435" s="137"/>
      <c r="D2435" s="194"/>
      <c r="E2435" s="194"/>
      <c r="F2435" s="137"/>
      <c r="G2435" s="137"/>
      <c r="H2435" s="137"/>
      <c r="I2435" s="137"/>
      <c r="J2435" s="197"/>
      <c r="K2435" s="198"/>
      <c r="L2435" s="196"/>
      <c r="M2435" s="196"/>
      <c r="N2435" s="196"/>
      <c r="O2435" s="196"/>
      <c r="P2435" s="127"/>
    </row>
    <row r="2436" spans="1:16" ht="20.25" customHeight="1" x14ac:dyDescent="0.3">
      <c r="A2436" s="137"/>
      <c r="B2436" s="137"/>
      <c r="C2436" s="137"/>
      <c r="D2436" s="194"/>
      <c r="E2436" s="194"/>
      <c r="F2436" s="137"/>
      <c r="G2436" s="137"/>
      <c r="H2436" s="137"/>
      <c r="I2436" s="137"/>
      <c r="J2436" s="197"/>
      <c r="K2436" s="198"/>
      <c r="L2436" s="196"/>
      <c r="M2436" s="196"/>
      <c r="N2436" s="196"/>
      <c r="O2436" s="196"/>
      <c r="P2436" s="127"/>
    </row>
    <row r="2437" spans="1:16" ht="20.25" customHeight="1" x14ac:dyDescent="0.3">
      <c r="A2437" s="137"/>
      <c r="B2437" s="137"/>
      <c r="C2437" s="137"/>
      <c r="D2437" s="194"/>
      <c r="E2437" s="194"/>
      <c r="F2437" s="137"/>
      <c r="G2437" s="137"/>
      <c r="H2437" s="137"/>
      <c r="I2437" s="137"/>
      <c r="J2437" s="197"/>
      <c r="K2437" s="198"/>
      <c r="L2437" s="196"/>
      <c r="M2437" s="196"/>
      <c r="N2437" s="196"/>
      <c r="O2437" s="196"/>
      <c r="P2437" s="127"/>
    </row>
    <row r="2438" spans="1:16" ht="20.25" customHeight="1" x14ac:dyDescent="0.3">
      <c r="A2438" s="137"/>
      <c r="B2438" s="137"/>
      <c r="C2438" s="137"/>
      <c r="D2438" s="194"/>
      <c r="E2438" s="194"/>
      <c r="F2438" s="137"/>
      <c r="G2438" s="137"/>
      <c r="H2438" s="137"/>
      <c r="I2438" s="137"/>
      <c r="J2438" s="197"/>
      <c r="K2438" s="198"/>
      <c r="L2438" s="196"/>
      <c r="M2438" s="196"/>
      <c r="N2438" s="196"/>
      <c r="O2438" s="196"/>
      <c r="P2438" s="127"/>
    </row>
    <row r="2439" spans="1:16" ht="20.25" customHeight="1" x14ac:dyDescent="0.3">
      <c r="A2439" s="137"/>
      <c r="B2439" s="137"/>
      <c r="C2439" s="137"/>
      <c r="D2439" s="194"/>
      <c r="E2439" s="194"/>
      <c r="F2439" s="137"/>
      <c r="G2439" s="137"/>
      <c r="H2439" s="137"/>
      <c r="I2439" s="137"/>
      <c r="J2439" s="197"/>
      <c r="K2439" s="198"/>
      <c r="L2439" s="196"/>
      <c r="M2439" s="196"/>
      <c r="N2439" s="196"/>
      <c r="O2439" s="196"/>
      <c r="P2439" s="127"/>
    </row>
    <row r="2440" spans="1:16" ht="20.25" customHeight="1" x14ac:dyDescent="0.3">
      <c r="A2440" s="137"/>
      <c r="B2440" s="137"/>
      <c r="C2440" s="137"/>
      <c r="D2440" s="194"/>
      <c r="E2440" s="194"/>
      <c r="F2440" s="137"/>
      <c r="G2440" s="137"/>
      <c r="H2440" s="137"/>
      <c r="I2440" s="137"/>
      <c r="J2440" s="197"/>
      <c r="K2440" s="198"/>
      <c r="L2440" s="196"/>
      <c r="M2440" s="196"/>
      <c r="N2440" s="196"/>
      <c r="O2440" s="196"/>
      <c r="P2440" s="127"/>
    </row>
    <row r="2441" spans="1:16" ht="20.25" customHeight="1" x14ac:dyDescent="0.3">
      <c r="A2441" s="137"/>
      <c r="B2441" s="137"/>
      <c r="C2441" s="137"/>
      <c r="D2441" s="194"/>
      <c r="E2441" s="194"/>
      <c r="F2441" s="137"/>
      <c r="G2441" s="137"/>
      <c r="H2441" s="137"/>
      <c r="I2441" s="137"/>
      <c r="J2441" s="197"/>
      <c r="K2441" s="198"/>
      <c r="L2441" s="196"/>
      <c r="M2441" s="196"/>
      <c r="N2441" s="196"/>
      <c r="O2441" s="196"/>
      <c r="P2441" s="127"/>
    </row>
    <row r="2442" spans="1:16" ht="20.25" customHeight="1" x14ac:dyDescent="0.3">
      <c r="A2442" s="137"/>
      <c r="B2442" s="137"/>
      <c r="C2442" s="137"/>
      <c r="D2442" s="194"/>
      <c r="E2442" s="194"/>
      <c r="F2442" s="137"/>
      <c r="G2442" s="137"/>
      <c r="H2442" s="137"/>
      <c r="I2442" s="137"/>
      <c r="J2442" s="197"/>
      <c r="K2442" s="198"/>
      <c r="L2442" s="196"/>
      <c r="M2442" s="196"/>
      <c r="N2442" s="196"/>
      <c r="O2442" s="196"/>
      <c r="P2442" s="127"/>
    </row>
    <row r="2443" spans="1:16" ht="20.25" customHeight="1" x14ac:dyDescent="0.3">
      <c r="A2443" s="137"/>
      <c r="B2443" s="137"/>
      <c r="C2443" s="137"/>
      <c r="D2443" s="194"/>
      <c r="E2443" s="194"/>
      <c r="F2443" s="137"/>
      <c r="G2443" s="137"/>
      <c r="H2443" s="137"/>
      <c r="I2443" s="137"/>
      <c r="J2443" s="197"/>
      <c r="K2443" s="198"/>
      <c r="L2443" s="196"/>
      <c r="M2443" s="196"/>
      <c r="N2443" s="196"/>
      <c r="O2443" s="196"/>
      <c r="P2443" s="127"/>
    </row>
    <row r="2444" spans="1:16" ht="20.25" customHeight="1" x14ac:dyDescent="0.3">
      <c r="A2444" s="137"/>
      <c r="B2444" s="137"/>
      <c r="C2444" s="137"/>
      <c r="D2444" s="194"/>
      <c r="E2444" s="194"/>
      <c r="F2444" s="137"/>
      <c r="G2444" s="137"/>
      <c r="H2444" s="137"/>
      <c r="I2444" s="137"/>
      <c r="J2444" s="197"/>
      <c r="K2444" s="198"/>
      <c r="L2444" s="196"/>
      <c r="M2444" s="196"/>
      <c r="N2444" s="196"/>
      <c r="O2444" s="196"/>
      <c r="P2444" s="127"/>
    </row>
    <row r="2445" spans="1:16" ht="20.25" customHeight="1" x14ac:dyDescent="0.3">
      <c r="A2445" s="137"/>
      <c r="B2445" s="137"/>
      <c r="C2445" s="137"/>
      <c r="D2445" s="194"/>
      <c r="E2445" s="194"/>
      <c r="F2445" s="137"/>
      <c r="G2445" s="137"/>
      <c r="H2445" s="137"/>
      <c r="I2445" s="137"/>
      <c r="J2445" s="197"/>
      <c r="K2445" s="198"/>
      <c r="L2445" s="196"/>
      <c r="M2445" s="196"/>
      <c r="N2445" s="196"/>
      <c r="O2445" s="196"/>
      <c r="P2445" s="127"/>
    </row>
    <row r="2446" spans="1:16" ht="20.25" customHeight="1" x14ac:dyDescent="0.3">
      <c r="A2446" s="137"/>
      <c r="B2446" s="137"/>
      <c r="C2446" s="137"/>
      <c r="D2446" s="194"/>
      <c r="E2446" s="194"/>
      <c r="F2446" s="137"/>
      <c r="G2446" s="137"/>
      <c r="H2446" s="137"/>
      <c r="I2446" s="137"/>
      <c r="J2446" s="197"/>
      <c r="K2446" s="198"/>
      <c r="L2446" s="196"/>
      <c r="M2446" s="196"/>
      <c r="N2446" s="196"/>
      <c r="O2446" s="196"/>
      <c r="P2446" s="127"/>
    </row>
    <row r="2447" spans="1:16" ht="20.25" customHeight="1" x14ac:dyDescent="0.3">
      <c r="A2447" s="137"/>
      <c r="B2447" s="137"/>
      <c r="C2447" s="137"/>
      <c r="D2447" s="194"/>
      <c r="E2447" s="194"/>
      <c r="F2447" s="137"/>
      <c r="G2447" s="137"/>
      <c r="H2447" s="137"/>
      <c r="I2447" s="137"/>
      <c r="J2447" s="197"/>
      <c r="K2447" s="198"/>
      <c r="L2447" s="196"/>
      <c r="M2447" s="196"/>
      <c r="N2447" s="196"/>
      <c r="O2447" s="196"/>
      <c r="P2447" s="127"/>
    </row>
    <row r="2448" spans="1:16" ht="20.25" customHeight="1" x14ac:dyDescent="0.3">
      <c r="A2448" s="137"/>
      <c r="B2448" s="137"/>
      <c r="C2448" s="137"/>
      <c r="D2448" s="194"/>
      <c r="E2448" s="194"/>
      <c r="F2448" s="137"/>
      <c r="G2448" s="137"/>
      <c r="H2448" s="137"/>
      <c r="I2448" s="137"/>
      <c r="J2448" s="197"/>
      <c r="K2448" s="198"/>
      <c r="L2448" s="196"/>
      <c r="M2448" s="196"/>
      <c r="N2448" s="196"/>
      <c r="O2448" s="196"/>
      <c r="P2448" s="127"/>
    </row>
    <row r="2449" spans="1:16" ht="20.25" customHeight="1" x14ac:dyDescent="0.3">
      <c r="A2449" s="137"/>
      <c r="B2449" s="137"/>
      <c r="C2449" s="137"/>
      <c r="D2449" s="194"/>
      <c r="E2449" s="194"/>
      <c r="F2449" s="137"/>
      <c r="G2449" s="137"/>
      <c r="H2449" s="137"/>
      <c r="I2449" s="137"/>
      <c r="J2449" s="197"/>
      <c r="K2449" s="198"/>
      <c r="L2449" s="196"/>
      <c r="M2449" s="196"/>
      <c r="N2449" s="196"/>
      <c r="O2449" s="196"/>
      <c r="P2449" s="127"/>
    </row>
    <row r="2450" spans="1:16" ht="20.25" customHeight="1" x14ac:dyDescent="0.3">
      <c r="A2450" s="137"/>
      <c r="B2450" s="137"/>
      <c r="C2450" s="137"/>
      <c r="D2450" s="194"/>
      <c r="E2450" s="194"/>
      <c r="F2450" s="137"/>
      <c r="G2450" s="137"/>
      <c r="H2450" s="137"/>
      <c r="I2450" s="137"/>
      <c r="J2450" s="197"/>
      <c r="K2450" s="198"/>
      <c r="L2450" s="196"/>
      <c r="M2450" s="196"/>
      <c r="N2450" s="196"/>
      <c r="O2450" s="196"/>
      <c r="P2450" s="127"/>
    </row>
    <row r="2451" spans="1:16" ht="20.25" customHeight="1" x14ac:dyDescent="0.3">
      <c r="A2451" s="137"/>
      <c r="B2451" s="137"/>
      <c r="C2451" s="137"/>
      <c r="D2451" s="194"/>
      <c r="E2451" s="194"/>
      <c r="F2451" s="137"/>
      <c r="G2451" s="137"/>
      <c r="H2451" s="137"/>
      <c r="I2451" s="137"/>
      <c r="J2451" s="197"/>
      <c r="K2451" s="198"/>
      <c r="L2451" s="196"/>
      <c r="M2451" s="196"/>
      <c r="N2451" s="196"/>
      <c r="O2451" s="196"/>
      <c r="P2451" s="127"/>
    </row>
    <row r="2452" spans="1:16" ht="20.25" customHeight="1" x14ac:dyDescent="0.3">
      <c r="A2452" s="137"/>
      <c r="B2452" s="137"/>
      <c r="C2452" s="137"/>
      <c r="D2452" s="194"/>
      <c r="E2452" s="194"/>
      <c r="F2452" s="137"/>
      <c r="G2452" s="137"/>
      <c r="H2452" s="137"/>
      <c r="I2452" s="137"/>
      <c r="J2452" s="197"/>
      <c r="K2452" s="198"/>
      <c r="L2452" s="196"/>
      <c r="M2452" s="196"/>
      <c r="N2452" s="196"/>
      <c r="O2452" s="196"/>
      <c r="P2452" s="127"/>
    </row>
    <row r="2453" spans="1:16" ht="20.25" customHeight="1" x14ac:dyDescent="0.3">
      <c r="A2453" s="137"/>
      <c r="B2453" s="137"/>
      <c r="C2453" s="137"/>
      <c r="D2453" s="194"/>
      <c r="E2453" s="194"/>
      <c r="F2453" s="137"/>
      <c r="G2453" s="137"/>
      <c r="H2453" s="137"/>
      <c r="I2453" s="137"/>
      <c r="J2453" s="197"/>
      <c r="K2453" s="198"/>
      <c r="L2453" s="196"/>
      <c r="M2453" s="196"/>
      <c r="N2453" s="196"/>
      <c r="O2453" s="196"/>
      <c r="P2453" s="127"/>
    </row>
    <row r="2454" spans="1:16" ht="20.25" customHeight="1" x14ac:dyDescent="0.3">
      <c r="A2454" s="137"/>
      <c r="B2454" s="137"/>
      <c r="C2454" s="137"/>
      <c r="D2454" s="194"/>
      <c r="E2454" s="194"/>
      <c r="F2454" s="137"/>
      <c r="G2454" s="137"/>
      <c r="H2454" s="137"/>
      <c r="I2454" s="137"/>
      <c r="J2454" s="197"/>
      <c r="K2454" s="198"/>
      <c r="L2454" s="196"/>
      <c r="M2454" s="196"/>
      <c r="N2454" s="196"/>
      <c r="O2454" s="196"/>
      <c r="P2454" s="127"/>
    </row>
    <row r="2455" spans="1:16" ht="20.25" customHeight="1" x14ac:dyDescent="0.3">
      <c r="A2455" s="137"/>
      <c r="B2455" s="137"/>
      <c r="C2455" s="137"/>
      <c r="D2455" s="194"/>
      <c r="E2455" s="194"/>
      <c r="F2455" s="137"/>
      <c r="G2455" s="137"/>
      <c r="H2455" s="137"/>
      <c r="I2455" s="137"/>
      <c r="J2455" s="197"/>
      <c r="K2455" s="198"/>
      <c r="L2455" s="196"/>
      <c r="M2455" s="196"/>
      <c r="N2455" s="196"/>
      <c r="O2455" s="196"/>
      <c r="P2455" s="127"/>
    </row>
    <row r="2456" spans="1:16" ht="20.25" customHeight="1" x14ac:dyDescent="0.3">
      <c r="A2456" s="137"/>
      <c r="B2456" s="137"/>
      <c r="C2456" s="137"/>
      <c r="D2456" s="194"/>
      <c r="E2456" s="194"/>
      <c r="F2456" s="137"/>
      <c r="G2456" s="137"/>
      <c r="H2456" s="137"/>
      <c r="I2456" s="137"/>
      <c r="J2456" s="197"/>
      <c r="K2456" s="198"/>
      <c r="L2456" s="196"/>
      <c r="M2456" s="196"/>
      <c r="N2456" s="196"/>
      <c r="O2456" s="196"/>
      <c r="P2456" s="127"/>
    </row>
    <row r="2457" spans="1:16" ht="20.25" customHeight="1" x14ac:dyDescent="0.3">
      <c r="A2457" s="137"/>
      <c r="B2457" s="137"/>
      <c r="C2457" s="137"/>
      <c r="D2457" s="194"/>
      <c r="E2457" s="194"/>
      <c r="F2457" s="137"/>
      <c r="G2457" s="137"/>
      <c r="H2457" s="137"/>
      <c r="I2457" s="137"/>
      <c r="J2457" s="197"/>
      <c r="K2457" s="198"/>
      <c r="L2457" s="196"/>
      <c r="M2457" s="196"/>
      <c r="N2457" s="196"/>
      <c r="O2457" s="196"/>
      <c r="P2457" s="127"/>
    </row>
    <row r="2458" spans="1:16" ht="20.25" customHeight="1" x14ac:dyDescent="0.3">
      <c r="A2458" s="137"/>
      <c r="B2458" s="137"/>
      <c r="C2458" s="137"/>
      <c r="D2458" s="194"/>
      <c r="E2458" s="194"/>
      <c r="F2458" s="137"/>
      <c r="G2458" s="137"/>
      <c r="H2458" s="137"/>
      <c r="I2458" s="137"/>
      <c r="J2458" s="197"/>
      <c r="K2458" s="198"/>
      <c r="L2458" s="196"/>
      <c r="M2458" s="196"/>
      <c r="N2458" s="196"/>
      <c r="O2458" s="196"/>
      <c r="P2458" s="127"/>
    </row>
    <row r="2459" spans="1:16" ht="20.25" customHeight="1" x14ac:dyDescent="0.3">
      <c r="A2459" s="137"/>
      <c r="B2459" s="137"/>
      <c r="C2459" s="137"/>
      <c r="D2459" s="194"/>
      <c r="E2459" s="194"/>
      <c r="F2459" s="137"/>
      <c r="G2459" s="137"/>
      <c r="H2459" s="137"/>
      <c r="I2459" s="137"/>
      <c r="J2459" s="197"/>
      <c r="K2459" s="198"/>
      <c r="L2459" s="196"/>
      <c r="M2459" s="196"/>
      <c r="N2459" s="196"/>
      <c r="O2459" s="196"/>
      <c r="P2459" s="127"/>
    </row>
    <row r="2460" spans="1:16" ht="20.25" customHeight="1" x14ac:dyDescent="0.3">
      <c r="A2460" s="137"/>
      <c r="B2460" s="137"/>
      <c r="C2460" s="137"/>
      <c r="D2460" s="194"/>
      <c r="E2460" s="194"/>
      <c r="F2460" s="137"/>
      <c r="G2460" s="137"/>
      <c r="H2460" s="137"/>
      <c r="I2460" s="137"/>
      <c r="J2460" s="197"/>
      <c r="K2460" s="198"/>
      <c r="L2460" s="196"/>
      <c r="M2460" s="196"/>
      <c r="N2460" s="196"/>
      <c r="O2460" s="196"/>
      <c r="P2460" s="127"/>
    </row>
    <row r="2461" spans="1:16" ht="20.25" customHeight="1" x14ac:dyDescent="0.3">
      <c r="A2461" s="137"/>
      <c r="B2461" s="137"/>
      <c r="C2461" s="137"/>
      <c r="D2461" s="194"/>
      <c r="E2461" s="194"/>
      <c r="F2461" s="137"/>
      <c r="G2461" s="137"/>
      <c r="H2461" s="137"/>
      <c r="I2461" s="137"/>
      <c r="J2461" s="197"/>
      <c r="K2461" s="198"/>
      <c r="L2461" s="196"/>
      <c r="M2461" s="196"/>
      <c r="N2461" s="196"/>
      <c r="O2461" s="196"/>
      <c r="P2461" s="127"/>
    </row>
    <row r="2462" spans="1:16" ht="20.25" customHeight="1" x14ac:dyDescent="0.3">
      <c r="A2462" s="137"/>
      <c r="B2462" s="137"/>
      <c r="C2462" s="137"/>
      <c r="D2462" s="194"/>
      <c r="E2462" s="194"/>
      <c r="F2462" s="137"/>
      <c r="G2462" s="137"/>
      <c r="H2462" s="137"/>
      <c r="I2462" s="137"/>
      <c r="J2462" s="197"/>
      <c r="K2462" s="198"/>
      <c r="L2462" s="196"/>
      <c r="M2462" s="196"/>
      <c r="N2462" s="196"/>
      <c r="O2462" s="196"/>
      <c r="P2462" s="127"/>
    </row>
    <row r="2463" spans="1:16" ht="20.25" customHeight="1" x14ac:dyDescent="0.3">
      <c r="A2463" s="137"/>
      <c r="B2463" s="137"/>
      <c r="C2463" s="137"/>
      <c r="D2463" s="194"/>
      <c r="E2463" s="194"/>
      <c r="F2463" s="137"/>
      <c r="G2463" s="137"/>
      <c r="H2463" s="137"/>
      <c r="I2463" s="137"/>
      <c r="J2463" s="197"/>
      <c r="K2463" s="198"/>
      <c r="L2463" s="196"/>
      <c r="M2463" s="196"/>
      <c r="N2463" s="196"/>
      <c r="O2463" s="196"/>
      <c r="P2463" s="127"/>
    </row>
    <row r="2464" spans="1:16" ht="20.25" customHeight="1" x14ac:dyDescent="0.3">
      <c r="A2464" s="137"/>
      <c r="B2464" s="137"/>
      <c r="C2464" s="137"/>
      <c r="D2464" s="194"/>
      <c r="E2464" s="194"/>
      <c r="F2464" s="137"/>
      <c r="G2464" s="137"/>
      <c r="H2464" s="137"/>
      <c r="I2464" s="137"/>
      <c r="J2464" s="197"/>
      <c r="K2464" s="198"/>
      <c r="L2464" s="196"/>
      <c r="M2464" s="196"/>
      <c r="N2464" s="196"/>
      <c r="O2464" s="196"/>
      <c r="P2464" s="127"/>
    </row>
    <row r="2465" spans="1:16" ht="20.25" customHeight="1" x14ac:dyDescent="0.3">
      <c r="A2465" s="137"/>
      <c r="B2465" s="137"/>
      <c r="C2465" s="137"/>
      <c r="D2465" s="194"/>
      <c r="E2465" s="194"/>
      <c r="F2465" s="137"/>
      <c r="G2465" s="137"/>
      <c r="H2465" s="137"/>
      <c r="I2465" s="137"/>
      <c r="J2465" s="197"/>
      <c r="K2465" s="198"/>
      <c r="L2465" s="196"/>
      <c r="M2465" s="196"/>
      <c r="N2465" s="196"/>
      <c r="O2465" s="196"/>
      <c r="P2465" s="127"/>
    </row>
    <row r="2466" spans="1:16" ht="20.25" customHeight="1" x14ac:dyDescent="0.3">
      <c r="A2466" s="137"/>
      <c r="B2466" s="137"/>
      <c r="C2466" s="137"/>
      <c r="D2466" s="194"/>
      <c r="E2466" s="194"/>
      <c r="F2466" s="137"/>
      <c r="G2466" s="137"/>
      <c r="H2466" s="137"/>
      <c r="I2466" s="137"/>
      <c r="J2466" s="197"/>
      <c r="K2466" s="198"/>
      <c r="L2466" s="196"/>
      <c r="M2466" s="196"/>
      <c r="N2466" s="196"/>
      <c r="O2466" s="196"/>
      <c r="P2466" s="127"/>
    </row>
    <row r="2467" spans="1:16" ht="20.25" customHeight="1" x14ac:dyDescent="0.3">
      <c r="A2467" s="137"/>
      <c r="B2467" s="137"/>
      <c r="C2467" s="137"/>
      <c r="D2467" s="194"/>
      <c r="E2467" s="194"/>
      <c r="F2467" s="137"/>
      <c r="G2467" s="137"/>
      <c r="H2467" s="137"/>
      <c r="I2467" s="137"/>
      <c r="J2467" s="197"/>
      <c r="K2467" s="198"/>
      <c r="L2467" s="196"/>
      <c r="M2467" s="196"/>
      <c r="N2467" s="196"/>
      <c r="O2467" s="196"/>
      <c r="P2467" s="127"/>
    </row>
    <row r="2468" spans="1:16" ht="20.25" customHeight="1" x14ac:dyDescent="0.3">
      <c r="A2468" s="137"/>
      <c r="B2468" s="137"/>
      <c r="C2468" s="137"/>
      <c r="D2468" s="194"/>
      <c r="E2468" s="194"/>
      <c r="F2468" s="137"/>
      <c r="G2468" s="137"/>
      <c r="H2468" s="137"/>
      <c r="I2468" s="137"/>
      <c r="J2468" s="197"/>
      <c r="K2468" s="198"/>
      <c r="L2468" s="196"/>
      <c r="M2468" s="196"/>
      <c r="N2468" s="196"/>
      <c r="O2468" s="196"/>
      <c r="P2468" s="127"/>
    </row>
    <row r="2469" spans="1:16" ht="20.25" customHeight="1" x14ac:dyDescent="0.3">
      <c r="A2469" s="137"/>
      <c r="B2469" s="137"/>
      <c r="C2469" s="137"/>
      <c r="D2469" s="194"/>
      <c r="E2469" s="194"/>
      <c r="F2469" s="137"/>
      <c r="G2469" s="137"/>
      <c r="H2469" s="137"/>
      <c r="I2469" s="137"/>
      <c r="J2469" s="197"/>
      <c r="K2469" s="198"/>
      <c r="L2469" s="196"/>
      <c r="M2469" s="196"/>
      <c r="N2469" s="196"/>
      <c r="O2469" s="196"/>
      <c r="P2469" s="127"/>
    </row>
    <row r="2470" spans="1:16" ht="20.25" customHeight="1" x14ac:dyDescent="0.3">
      <c r="A2470" s="137"/>
      <c r="B2470" s="137"/>
      <c r="C2470" s="137"/>
      <c r="D2470" s="194"/>
      <c r="E2470" s="194"/>
      <c r="F2470" s="137"/>
      <c r="G2470" s="137"/>
      <c r="H2470" s="137"/>
      <c r="I2470" s="137"/>
      <c r="J2470" s="197"/>
      <c r="K2470" s="198"/>
      <c r="L2470" s="196"/>
      <c r="M2470" s="196"/>
      <c r="N2470" s="196"/>
      <c r="O2470" s="196"/>
      <c r="P2470" s="127"/>
    </row>
    <row r="2471" spans="1:16" ht="20.25" customHeight="1" x14ac:dyDescent="0.3">
      <c r="A2471" s="137"/>
      <c r="B2471" s="137"/>
      <c r="C2471" s="137"/>
      <c r="D2471" s="194"/>
      <c r="E2471" s="194"/>
      <c r="F2471" s="137"/>
      <c r="G2471" s="137"/>
      <c r="H2471" s="137"/>
      <c r="I2471" s="137"/>
      <c r="J2471" s="197"/>
      <c r="K2471" s="198"/>
      <c r="L2471" s="196"/>
      <c r="M2471" s="196"/>
      <c r="N2471" s="196"/>
      <c r="O2471" s="196"/>
      <c r="P2471" s="127"/>
    </row>
    <row r="2472" spans="1:16" ht="20.25" customHeight="1" x14ac:dyDescent="0.3">
      <c r="A2472" s="137"/>
      <c r="B2472" s="137"/>
      <c r="C2472" s="137"/>
      <c r="D2472" s="194"/>
      <c r="E2472" s="194"/>
      <c r="F2472" s="137"/>
      <c r="G2472" s="137"/>
      <c r="H2472" s="137"/>
      <c r="I2472" s="137"/>
      <c r="J2472" s="197"/>
      <c r="K2472" s="198"/>
      <c r="L2472" s="196"/>
      <c r="M2472" s="196"/>
      <c r="N2472" s="196"/>
      <c r="O2472" s="196"/>
      <c r="P2472" s="127"/>
    </row>
    <row r="2473" spans="1:16" ht="20.25" customHeight="1" x14ac:dyDescent="0.3">
      <c r="A2473" s="137"/>
      <c r="B2473" s="137"/>
      <c r="C2473" s="137"/>
      <c r="D2473" s="194"/>
      <c r="E2473" s="194"/>
      <c r="F2473" s="137"/>
      <c r="G2473" s="137"/>
      <c r="H2473" s="137"/>
      <c r="I2473" s="137"/>
      <c r="J2473" s="197"/>
      <c r="K2473" s="198"/>
      <c r="L2473" s="196"/>
      <c r="M2473" s="196"/>
      <c r="N2473" s="196"/>
      <c r="O2473" s="196"/>
      <c r="P2473" s="127"/>
    </row>
    <row r="2474" spans="1:16" ht="20.25" customHeight="1" x14ac:dyDescent="0.3">
      <c r="A2474" s="137"/>
      <c r="B2474" s="137"/>
      <c r="C2474" s="137"/>
      <c r="D2474" s="194"/>
      <c r="E2474" s="194"/>
      <c r="F2474" s="137"/>
      <c r="G2474" s="137"/>
      <c r="H2474" s="137"/>
      <c r="I2474" s="137"/>
      <c r="J2474" s="197"/>
      <c r="K2474" s="198"/>
      <c r="L2474" s="196"/>
      <c r="M2474" s="196"/>
      <c r="N2474" s="196"/>
      <c r="O2474" s="196"/>
      <c r="P2474" s="127"/>
    </row>
    <row r="2475" spans="1:16" ht="20.25" customHeight="1" x14ac:dyDescent="0.3">
      <c r="A2475" s="137"/>
      <c r="B2475" s="137"/>
      <c r="C2475" s="137"/>
      <c r="D2475" s="194"/>
      <c r="E2475" s="194"/>
      <c r="F2475" s="137"/>
      <c r="G2475" s="137"/>
      <c r="H2475" s="137"/>
      <c r="I2475" s="137"/>
      <c r="J2475" s="197"/>
      <c r="K2475" s="198"/>
      <c r="L2475" s="196"/>
      <c r="M2475" s="196"/>
      <c r="N2475" s="196"/>
      <c r="O2475" s="196"/>
      <c r="P2475" s="127"/>
    </row>
    <row r="2476" spans="1:16" ht="20.25" customHeight="1" x14ac:dyDescent="0.3">
      <c r="A2476" s="137"/>
      <c r="B2476" s="137"/>
      <c r="C2476" s="137"/>
      <c r="D2476" s="194"/>
      <c r="E2476" s="194"/>
      <c r="F2476" s="137"/>
      <c r="G2476" s="137"/>
      <c r="H2476" s="137"/>
      <c r="I2476" s="137"/>
      <c r="J2476" s="197"/>
      <c r="K2476" s="198"/>
      <c r="L2476" s="196"/>
      <c r="M2476" s="196"/>
      <c r="N2476" s="196"/>
      <c r="O2476" s="196"/>
      <c r="P2476" s="127"/>
    </row>
    <row r="2477" spans="1:16" ht="20.25" customHeight="1" x14ac:dyDescent="0.3">
      <c r="A2477" s="137"/>
      <c r="B2477" s="137"/>
      <c r="C2477" s="137"/>
      <c r="D2477" s="194"/>
      <c r="E2477" s="194"/>
      <c r="F2477" s="137"/>
      <c r="G2477" s="137"/>
      <c r="H2477" s="137"/>
      <c r="I2477" s="137"/>
      <c r="J2477" s="197"/>
      <c r="K2477" s="198"/>
      <c r="L2477" s="196"/>
      <c r="M2477" s="196"/>
      <c r="N2477" s="196"/>
      <c r="O2477" s="196"/>
      <c r="P2477" s="127"/>
    </row>
    <row r="2478" spans="1:16" ht="20.25" customHeight="1" x14ac:dyDescent="0.3">
      <c r="A2478" s="137"/>
      <c r="B2478" s="137"/>
      <c r="C2478" s="137"/>
      <c r="D2478" s="194"/>
      <c r="E2478" s="194"/>
      <c r="F2478" s="137"/>
      <c r="G2478" s="137"/>
      <c r="H2478" s="137"/>
      <c r="I2478" s="137"/>
      <c r="J2478" s="197"/>
      <c r="K2478" s="198"/>
      <c r="L2478" s="196"/>
      <c r="M2478" s="196"/>
      <c r="N2478" s="196"/>
      <c r="O2478" s="196"/>
      <c r="P2478" s="127"/>
    </row>
    <row r="2479" spans="1:16" ht="20.25" customHeight="1" x14ac:dyDescent="0.3">
      <c r="A2479" s="137"/>
      <c r="B2479" s="137"/>
      <c r="C2479" s="137"/>
      <c r="D2479" s="194"/>
      <c r="E2479" s="194"/>
      <c r="F2479" s="137"/>
      <c r="G2479" s="137"/>
      <c r="H2479" s="137"/>
      <c r="I2479" s="137"/>
      <c r="J2479" s="197"/>
      <c r="K2479" s="198"/>
      <c r="L2479" s="196"/>
      <c r="M2479" s="196"/>
      <c r="N2479" s="196"/>
      <c r="O2479" s="196"/>
      <c r="P2479" s="127"/>
    </row>
    <row r="2480" spans="1:16" ht="20.25" customHeight="1" x14ac:dyDescent="0.3">
      <c r="A2480" s="137"/>
      <c r="B2480" s="137"/>
      <c r="C2480" s="137"/>
      <c r="D2480" s="194"/>
      <c r="E2480" s="194"/>
      <c r="F2480" s="137"/>
      <c r="G2480" s="137"/>
      <c r="H2480" s="137"/>
      <c r="I2480" s="137"/>
      <c r="J2480" s="197"/>
      <c r="K2480" s="198"/>
      <c r="L2480" s="196"/>
      <c r="M2480" s="196"/>
      <c r="N2480" s="196"/>
      <c r="O2480" s="196"/>
      <c r="P2480" s="127"/>
    </row>
    <row r="2481" spans="1:16" ht="20.25" customHeight="1" x14ac:dyDescent="0.3">
      <c r="A2481" s="137"/>
      <c r="B2481" s="137"/>
      <c r="C2481" s="137"/>
      <c r="D2481" s="194"/>
      <c r="E2481" s="194"/>
      <c r="F2481" s="137"/>
      <c r="G2481" s="137"/>
      <c r="H2481" s="137"/>
      <c r="I2481" s="137"/>
      <c r="J2481" s="197"/>
      <c r="K2481" s="198"/>
      <c r="L2481" s="196"/>
      <c r="M2481" s="196"/>
      <c r="N2481" s="196"/>
      <c r="O2481" s="196"/>
      <c r="P2481" s="127"/>
    </row>
    <row r="2482" spans="1:16" ht="20.25" customHeight="1" x14ac:dyDescent="0.3">
      <c r="A2482" s="137"/>
      <c r="B2482" s="137"/>
      <c r="C2482" s="137"/>
      <c r="D2482" s="194"/>
      <c r="E2482" s="194"/>
      <c r="F2482" s="137"/>
      <c r="G2482" s="137"/>
      <c r="H2482" s="137"/>
      <c r="I2482" s="137"/>
      <c r="J2482" s="197"/>
      <c r="K2482" s="198"/>
      <c r="L2482" s="196"/>
      <c r="M2482" s="196"/>
      <c r="N2482" s="196"/>
      <c r="O2482" s="196"/>
      <c r="P2482" s="127"/>
    </row>
    <row r="2483" spans="1:16" ht="20.25" customHeight="1" x14ac:dyDescent="0.3">
      <c r="A2483" s="137"/>
      <c r="B2483" s="137"/>
      <c r="C2483" s="137"/>
      <c r="D2483" s="194"/>
      <c r="E2483" s="194"/>
      <c r="F2483" s="137"/>
      <c r="G2483" s="137"/>
      <c r="H2483" s="137"/>
      <c r="I2483" s="137"/>
      <c r="J2483" s="197"/>
      <c r="K2483" s="198"/>
      <c r="L2483" s="196"/>
      <c r="M2483" s="196"/>
      <c r="N2483" s="196"/>
      <c r="O2483" s="196"/>
      <c r="P2483" s="127"/>
    </row>
    <row r="2484" spans="1:16" ht="20.25" customHeight="1" x14ac:dyDescent="0.3">
      <c r="A2484" s="137"/>
      <c r="B2484" s="137"/>
      <c r="C2484" s="137"/>
      <c r="D2484" s="194"/>
      <c r="E2484" s="194"/>
      <c r="F2484" s="137"/>
      <c r="G2484" s="137"/>
      <c r="H2484" s="137"/>
      <c r="I2484" s="137"/>
      <c r="J2484" s="197"/>
      <c r="K2484" s="198"/>
      <c r="L2484" s="196"/>
      <c r="M2484" s="196"/>
      <c r="N2484" s="196"/>
      <c r="O2484" s="196"/>
      <c r="P2484" s="127"/>
    </row>
    <row r="2485" spans="1:16" ht="20.25" customHeight="1" x14ac:dyDescent="0.3">
      <c r="A2485" s="137"/>
      <c r="B2485" s="137"/>
      <c r="C2485" s="137"/>
      <c r="D2485" s="194"/>
      <c r="E2485" s="194"/>
      <c r="F2485" s="137"/>
      <c r="G2485" s="137"/>
      <c r="H2485" s="137"/>
      <c r="I2485" s="137"/>
      <c r="J2485" s="197"/>
      <c r="K2485" s="198"/>
      <c r="L2485" s="196"/>
      <c r="M2485" s="196"/>
      <c r="N2485" s="196"/>
      <c r="O2485" s="196"/>
      <c r="P2485" s="127"/>
    </row>
    <row r="2486" spans="1:16" ht="20.25" customHeight="1" x14ac:dyDescent="0.3">
      <c r="A2486" s="137"/>
      <c r="B2486" s="137"/>
      <c r="C2486" s="137"/>
      <c r="D2486" s="194"/>
      <c r="E2486" s="194"/>
      <c r="F2486" s="137"/>
      <c r="G2486" s="137"/>
      <c r="H2486" s="137"/>
      <c r="I2486" s="137"/>
      <c r="J2486" s="197"/>
      <c r="K2486" s="198"/>
      <c r="L2486" s="196"/>
      <c r="M2486" s="196"/>
      <c r="N2486" s="196"/>
      <c r="O2486" s="196"/>
      <c r="P2486" s="127"/>
    </row>
    <row r="2487" spans="1:16" ht="20.25" customHeight="1" x14ac:dyDescent="0.3">
      <c r="A2487" s="137"/>
      <c r="B2487" s="137"/>
      <c r="C2487" s="137"/>
      <c r="D2487" s="194"/>
      <c r="E2487" s="194"/>
      <c r="F2487" s="137"/>
      <c r="G2487" s="137"/>
      <c r="H2487" s="137"/>
      <c r="I2487" s="137"/>
      <c r="J2487" s="197"/>
      <c r="K2487" s="198"/>
      <c r="L2487" s="196"/>
      <c r="M2487" s="196"/>
      <c r="N2487" s="196"/>
      <c r="O2487" s="196"/>
      <c r="P2487" s="127"/>
    </row>
    <row r="2488" spans="1:16" ht="20.25" customHeight="1" x14ac:dyDescent="0.3">
      <c r="A2488" s="137"/>
      <c r="B2488" s="137"/>
      <c r="C2488" s="137"/>
      <c r="D2488" s="194"/>
      <c r="E2488" s="194"/>
      <c r="F2488" s="137"/>
      <c r="G2488" s="137"/>
      <c r="H2488" s="137"/>
      <c r="I2488" s="137"/>
      <c r="J2488" s="197"/>
      <c r="K2488" s="198"/>
      <c r="L2488" s="196"/>
      <c r="M2488" s="196"/>
      <c r="N2488" s="196"/>
      <c r="O2488" s="196"/>
      <c r="P2488" s="127"/>
    </row>
    <row r="2489" spans="1:16" ht="20.25" customHeight="1" x14ac:dyDescent="0.3">
      <c r="A2489" s="137"/>
      <c r="B2489" s="137"/>
      <c r="C2489" s="137"/>
      <c r="D2489" s="194"/>
      <c r="E2489" s="194"/>
      <c r="F2489" s="137"/>
      <c r="G2489" s="137"/>
      <c r="H2489" s="137"/>
      <c r="I2489" s="137"/>
      <c r="J2489" s="197"/>
      <c r="K2489" s="198"/>
      <c r="L2489" s="196"/>
      <c r="M2489" s="196"/>
      <c r="N2489" s="196"/>
      <c r="O2489" s="196"/>
      <c r="P2489" s="127"/>
    </row>
    <row r="2490" spans="1:16" ht="20.25" customHeight="1" x14ac:dyDescent="0.3">
      <c r="A2490" s="137"/>
      <c r="B2490" s="137"/>
      <c r="C2490" s="137"/>
      <c r="D2490" s="194"/>
      <c r="E2490" s="194"/>
      <c r="F2490" s="137"/>
      <c r="G2490" s="137"/>
      <c r="H2490" s="137"/>
      <c r="I2490" s="137"/>
      <c r="J2490" s="197"/>
      <c r="K2490" s="198"/>
      <c r="L2490" s="196"/>
      <c r="M2490" s="196"/>
      <c r="N2490" s="196"/>
      <c r="O2490" s="196"/>
      <c r="P2490" s="127"/>
    </row>
    <row r="2491" spans="1:16" ht="20.25" customHeight="1" x14ac:dyDescent="0.3">
      <c r="A2491" s="137"/>
      <c r="B2491" s="137"/>
      <c r="C2491" s="137"/>
      <c r="D2491" s="194"/>
      <c r="E2491" s="194"/>
      <c r="F2491" s="137"/>
      <c r="G2491" s="137"/>
      <c r="H2491" s="137"/>
      <c r="I2491" s="137"/>
      <c r="J2491" s="197"/>
      <c r="K2491" s="198"/>
      <c r="L2491" s="196"/>
      <c r="M2491" s="196"/>
      <c r="N2491" s="196"/>
      <c r="O2491" s="196"/>
      <c r="P2491" s="127"/>
    </row>
    <row r="2492" spans="1:16" ht="20.25" customHeight="1" x14ac:dyDescent="0.3">
      <c r="A2492" s="137"/>
      <c r="B2492" s="137"/>
      <c r="C2492" s="137"/>
      <c r="D2492" s="194"/>
      <c r="E2492" s="194"/>
      <c r="F2492" s="137"/>
      <c r="G2492" s="137"/>
      <c r="H2492" s="137"/>
      <c r="I2492" s="137"/>
      <c r="J2492" s="197"/>
      <c r="K2492" s="198"/>
      <c r="L2492" s="196"/>
      <c r="M2492" s="196"/>
      <c r="N2492" s="196"/>
      <c r="O2492" s="196"/>
      <c r="P2492" s="127"/>
    </row>
    <row r="2493" spans="1:16" ht="20.25" customHeight="1" x14ac:dyDescent="0.3">
      <c r="A2493" s="137"/>
      <c r="B2493" s="137"/>
      <c r="C2493" s="137"/>
      <c r="D2493" s="194"/>
      <c r="E2493" s="194"/>
      <c r="F2493" s="137"/>
      <c r="G2493" s="137"/>
      <c r="H2493" s="137"/>
      <c r="I2493" s="137"/>
      <c r="J2493" s="197"/>
      <c r="K2493" s="198"/>
      <c r="L2493" s="196"/>
      <c r="M2493" s="196"/>
      <c r="N2493" s="196"/>
      <c r="O2493" s="196"/>
      <c r="P2493" s="127"/>
    </row>
    <row r="2494" spans="1:16" ht="20.25" customHeight="1" x14ac:dyDescent="0.3">
      <c r="A2494" s="137"/>
      <c r="B2494" s="137"/>
      <c r="C2494" s="137"/>
      <c r="D2494" s="194"/>
      <c r="E2494" s="194"/>
      <c r="F2494" s="137"/>
      <c r="G2494" s="137"/>
      <c r="H2494" s="137"/>
      <c r="I2494" s="137"/>
      <c r="J2494" s="197"/>
      <c r="K2494" s="198"/>
      <c r="L2494" s="196"/>
      <c r="M2494" s="196"/>
      <c r="N2494" s="196"/>
      <c r="O2494" s="196"/>
      <c r="P2494" s="127"/>
    </row>
    <row r="2495" spans="1:16" ht="20.25" customHeight="1" x14ac:dyDescent="0.3">
      <c r="A2495" s="137"/>
      <c r="B2495" s="137"/>
      <c r="C2495" s="137"/>
      <c r="D2495" s="194"/>
      <c r="E2495" s="194"/>
      <c r="F2495" s="137"/>
      <c r="G2495" s="137"/>
      <c r="H2495" s="137"/>
      <c r="I2495" s="137"/>
      <c r="J2495" s="197"/>
      <c r="K2495" s="198"/>
      <c r="L2495" s="196"/>
      <c r="M2495" s="196"/>
      <c r="N2495" s="196"/>
      <c r="O2495" s="196"/>
      <c r="P2495" s="127"/>
    </row>
    <row r="2496" spans="1:16" ht="20.25" customHeight="1" x14ac:dyDescent="0.3">
      <c r="A2496" s="137"/>
      <c r="B2496" s="137"/>
      <c r="C2496" s="137"/>
      <c r="D2496" s="194"/>
      <c r="E2496" s="194"/>
      <c r="F2496" s="137"/>
      <c r="G2496" s="137"/>
      <c r="H2496" s="137"/>
      <c r="I2496" s="137"/>
      <c r="J2496" s="197"/>
      <c r="K2496" s="198"/>
      <c r="L2496" s="196"/>
      <c r="M2496" s="196"/>
      <c r="N2496" s="196"/>
      <c r="O2496" s="196"/>
      <c r="P2496" s="127"/>
    </row>
    <row r="2497" spans="1:16" ht="20.25" customHeight="1" x14ac:dyDescent="0.3">
      <c r="A2497" s="137"/>
      <c r="B2497" s="137"/>
      <c r="C2497" s="137"/>
      <c r="D2497" s="194"/>
      <c r="E2497" s="194"/>
      <c r="F2497" s="137"/>
      <c r="G2497" s="137"/>
      <c r="H2497" s="137"/>
      <c r="I2497" s="137"/>
      <c r="J2497" s="197"/>
      <c r="K2497" s="198"/>
      <c r="L2497" s="196"/>
      <c r="M2497" s="196"/>
      <c r="N2497" s="196"/>
      <c r="O2497" s="196"/>
      <c r="P2497" s="127"/>
    </row>
    <row r="2498" spans="1:16" ht="20.25" customHeight="1" x14ac:dyDescent="0.3">
      <c r="A2498" s="137"/>
      <c r="B2498" s="137"/>
      <c r="C2498" s="137"/>
      <c r="D2498" s="194"/>
      <c r="E2498" s="194"/>
      <c r="F2498" s="137"/>
      <c r="G2498" s="137"/>
      <c r="H2498" s="137"/>
      <c r="I2498" s="137"/>
      <c r="J2498" s="197"/>
      <c r="K2498" s="198"/>
      <c r="L2498" s="196"/>
      <c r="M2498" s="196"/>
      <c r="N2498" s="196"/>
      <c r="O2498" s="196"/>
      <c r="P2498" s="127"/>
    </row>
    <row r="2499" spans="1:16" ht="20.25" customHeight="1" x14ac:dyDescent="0.3">
      <c r="A2499" s="137"/>
      <c r="B2499" s="137"/>
      <c r="C2499" s="137"/>
      <c r="D2499" s="194"/>
      <c r="E2499" s="194"/>
      <c r="F2499" s="137"/>
      <c r="G2499" s="137"/>
      <c r="H2499" s="137"/>
      <c r="I2499" s="137"/>
      <c r="J2499" s="197"/>
      <c r="K2499" s="198"/>
      <c r="L2499" s="196"/>
      <c r="M2499" s="196"/>
      <c r="N2499" s="196"/>
      <c r="O2499" s="196"/>
      <c r="P2499" s="127"/>
    </row>
    <row r="2500" spans="1:16" ht="20.25" customHeight="1" x14ac:dyDescent="0.3">
      <c r="A2500" s="137"/>
      <c r="B2500" s="137"/>
      <c r="C2500" s="137"/>
      <c r="D2500" s="194"/>
      <c r="E2500" s="194"/>
      <c r="F2500" s="137"/>
      <c r="G2500" s="137"/>
      <c r="H2500" s="137"/>
      <c r="I2500" s="137"/>
      <c r="J2500" s="197"/>
      <c r="K2500" s="198"/>
      <c r="L2500" s="196"/>
      <c r="M2500" s="196"/>
      <c r="N2500" s="196"/>
      <c r="O2500" s="196"/>
      <c r="P2500" s="127"/>
    </row>
    <row r="2501" spans="1:16" ht="20.25" customHeight="1" x14ac:dyDescent="0.3">
      <c r="A2501" s="137"/>
      <c r="B2501" s="137"/>
      <c r="C2501" s="137"/>
      <c r="D2501" s="194"/>
      <c r="E2501" s="194"/>
      <c r="F2501" s="137"/>
      <c r="G2501" s="137"/>
      <c r="H2501" s="137"/>
      <c r="I2501" s="137"/>
      <c r="J2501" s="197"/>
      <c r="K2501" s="198"/>
      <c r="L2501" s="196"/>
      <c r="M2501" s="196"/>
      <c r="N2501" s="196"/>
      <c r="O2501" s="196"/>
      <c r="P2501" s="127"/>
    </row>
    <row r="2502" spans="1:16" ht="20.25" customHeight="1" x14ac:dyDescent="0.3">
      <c r="A2502" s="137"/>
      <c r="B2502" s="137"/>
      <c r="C2502" s="137"/>
      <c r="D2502" s="194"/>
      <c r="E2502" s="194"/>
      <c r="F2502" s="137"/>
      <c r="G2502" s="137"/>
      <c r="H2502" s="137"/>
      <c r="I2502" s="137"/>
      <c r="J2502" s="197"/>
      <c r="K2502" s="198"/>
      <c r="L2502" s="196"/>
      <c r="M2502" s="196"/>
      <c r="N2502" s="196"/>
      <c r="O2502" s="196"/>
      <c r="P2502" s="127"/>
    </row>
    <row r="2503" spans="1:16" ht="20.25" customHeight="1" x14ac:dyDescent="0.3">
      <c r="A2503" s="137"/>
      <c r="B2503" s="137"/>
      <c r="C2503" s="137"/>
      <c r="D2503" s="194"/>
      <c r="E2503" s="194"/>
      <c r="F2503" s="137"/>
      <c r="G2503" s="137"/>
      <c r="H2503" s="137"/>
      <c r="I2503" s="137"/>
      <c r="J2503" s="197"/>
      <c r="K2503" s="198"/>
      <c r="L2503" s="196"/>
      <c r="M2503" s="196"/>
      <c r="N2503" s="196"/>
      <c r="O2503" s="196"/>
      <c r="P2503" s="127"/>
    </row>
    <row r="2504" spans="1:16" ht="20.25" customHeight="1" x14ac:dyDescent="0.3">
      <c r="A2504" s="137"/>
      <c r="B2504" s="137"/>
      <c r="C2504" s="137"/>
      <c r="D2504" s="194"/>
      <c r="E2504" s="194"/>
      <c r="F2504" s="137"/>
      <c r="G2504" s="137"/>
      <c r="H2504" s="137"/>
      <c r="I2504" s="137"/>
      <c r="J2504" s="197"/>
      <c r="K2504" s="198"/>
      <c r="L2504" s="196"/>
      <c r="M2504" s="196"/>
      <c r="N2504" s="196"/>
      <c r="O2504" s="196"/>
      <c r="P2504" s="127"/>
    </row>
    <row r="2505" spans="1:16" ht="20.25" customHeight="1" x14ac:dyDescent="0.3">
      <c r="A2505" s="137"/>
      <c r="B2505" s="137"/>
      <c r="C2505" s="137"/>
      <c r="D2505" s="194"/>
      <c r="E2505" s="194"/>
      <c r="F2505" s="137"/>
      <c r="G2505" s="137"/>
      <c r="H2505" s="137"/>
      <c r="I2505" s="137"/>
      <c r="J2505" s="197"/>
      <c r="K2505" s="198"/>
      <c r="L2505" s="196"/>
      <c r="M2505" s="196"/>
      <c r="N2505" s="196"/>
      <c r="O2505" s="196"/>
      <c r="P2505" s="127"/>
    </row>
    <row r="2506" spans="1:16" ht="20.25" customHeight="1" x14ac:dyDescent="0.3">
      <c r="A2506" s="137"/>
      <c r="B2506" s="137"/>
      <c r="C2506" s="137"/>
      <c r="D2506" s="194"/>
      <c r="E2506" s="194"/>
      <c r="F2506" s="137"/>
      <c r="G2506" s="137"/>
      <c r="H2506" s="137"/>
      <c r="I2506" s="137"/>
      <c r="J2506" s="197"/>
      <c r="K2506" s="198"/>
      <c r="L2506" s="196"/>
      <c r="M2506" s="196"/>
      <c r="N2506" s="196"/>
      <c r="O2506" s="196"/>
      <c r="P2506" s="127"/>
    </row>
    <row r="2507" spans="1:16" ht="20.25" customHeight="1" x14ac:dyDescent="0.3">
      <c r="A2507" s="137"/>
      <c r="B2507" s="137"/>
      <c r="C2507" s="137"/>
      <c r="D2507" s="194"/>
      <c r="E2507" s="194"/>
      <c r="F2507" s="137"/>
      <c r="G2507" s="137"/>
      <c r="H2507" s="137"/>
      <c r="I2507" s="137"/>
      <c r="J2507" s="197"/>
      <c r="K2507" s="198"/>
      <c r="L2507" s="196"/>
      <c r="M2507" s="196"/>
      <c r="N2507" s="196"/>
      <c r="O2507" s="196"/>
      <c r="P2507" s="127"/>
    </row>
    <row r="2508" spans="1:16" ht="20.25" customHeight="1" x14ac:dyDescent="0.3">
      <c r="A2508" s="137"/>
      <c r="B2508" s="137"/>
      <c r="C2508" s="137"/>
      <c r="D2508" s="194"/>
      <c r="E2508" s="194"/>
      <c r="F2508" s="137"/>
      <c r="G2508" s="137"/>
      <c r="H2508" s="137"/>
      <c r="I2508" s="137"/>
      <c r="J2508" s="197"/>
      <c r="K2508" s="198"/>
      <c r="L2508" s="196"/>
      <c r="M2508" s="196"/>
      <c r="N2508" s="196"/>
      <c r="O2508" s="196"/>
      <c r="P2508" s="127"/>
    </row>
    <row r="2509" spans="1:16" ht="20.25" customHeight="1" x14ac:dyDescent="0.3">
      <c r="A2509" s="137"/>
      <c r="B2509" s="137"/>
      <c r="C2509" s="137"/>
      <c r="D2509" s="194"/>
      <c r="E2509" s="194"/>
      <c r="F2509" s="137"/>
      <c r="G2509" s="137"/>
      <c r="H2509" s="137"/>
      <c r="I2509" s="137"/>
      <c r="J2509" s="197"/>
      <c r="K2509" s="198"/>
      <c r="L2509" s="196"/>
      <c r="M2509" s="196"/>
      <c r="N2509" s="196"/>
      <c r="O2509" s="196"/>
      <c r="P2509" s="127"/>
    </row>
    <row r="2510" spans="1:16" ht="20.25" customHeight="1" x14ac:dyDescent="0.3">
      <c r="A2510" s="137"/>
      <c r="B2510" s="137"/>
      <c r="C2510" s="137"/>
      <c r="D2510" s="194"/>
      <c r="E2510" s="194"/>
      <c r="F2510" s="137"/>
      <c r="G2510" s="137"/>
      <c r="H2510" s="137"/>
      <c r="I2510" s="137"/>
      <c r="J2510" s="197"/>
      <c r="K2510" s="198"/>
      <c r="L2510" s="196"/>
      <c r="M2510" s="196"/>
      <c r="N2510" s="196"/>
      <c r="O2510" s="196"/>
      <c r="P2510" s="127"/>
    </row>
    <row r="2511" spans="1:16" ht="20.25" customHeight="1" x14ac:dyDescent="0.3">
      <c r="A2511" s="137"/>
      <c r="B2511" s="137"/>
      <c r="C2511" s="137"/>
      <c r="D2511" s="194"/>
      <c r="E2511" s="194"/>
      <c r="F2511" s="137"/>
      <c r="G2511" s="137"/>
      <c r="H2511" s="137"/>
      <c r="I2511" s="137"/>
      <c r="J2511" s="197"/>
      <c r="K2511" s="198"/>
      <c r="L2511" s="196"/>
      <c r="M2511" s="196"/>
      <c r="N2511" s="196"/>
      <c r="O2511" s="196"/>
      <c r="P2511" s="127"/>
    </row>
    <row r="2512" spans="1:16" ht="20.25" customHeight="1" x14ac:dyDescent="0.3">
      <c r="A2512" s="137"/>
      <c r="B2512" s="137"/>
      <c r="C2512" s="137"/>
      <c r="D2512" s="194"/>
      <c r="E2512" s="194"/>
      <c r="F2512" s="137"/>
      <c r="G2512" s="137"/>
      <c r="H2512" s="137"/>
      <c r="I2512" s="137"/>
      <c r="J2512" s="197"/>
      <c r="K2512" s="198"/>
      <c r="L2512" s="196"/>
      <c r="M2512" s="196"/>
      <c r="N2512" s="196"/>
      <c r="O2512" s="196"/>
      <c r="P2512" s="127"/>
    </row>
    <row r="2513" spans="1:16" ht="20.25" customHeight="1" x14ac:dyDescent="0.3">
      <c r="A2513" s="137"/>
      <c r="B2513" s="137"/>
      <c r="C2513" s="137"/>
      <c r="D2513" s="194"/>
      <c r="E2513" s="194"/>
      <c r="F2513" s="137"/>
      <c r="G2513" s="137"/>
      <c r="H2513" s="137"/>
      <c r="I2513" s="137"/>
      <c r="J2513" s="197"/>
      <c r="K2513" s="198"/>
      <c r="L2513" s="196"/>
      <c r="M2513" s="196"/>
      <c r="N2513" s="196"/>
      <c r="O2513" s="196"/>
      <c r="P2513" s="127"/>
    </row>
    <row r="2514" spans="1:16" ht="20.25" customHeight="1" x14ac:dyDescent="0.3">
      <c r="A2514" s="137"/>
      <c r="B2514" s="137"/>
      <c r="C2514" s="137"/>
      <c r="D2514" s="194"/>
      <c r="E2514" s="194"/>
      <c r="F2514" s="137"/>
      <c r="G2514" s="137"/>
      <c r="H2514" s="137"/>
      <c r="I2514" s="137"/>
      <c r="J2514" s="197"/>
      <c r="K2514" s="198"/>
      <c r="L2514" s="196"/>
      <c r="M2514" s="196"/>
      <c r="N2514" s="196"/>
      <c r="O2514" s="196"/>
      <c r="P2514" s="127"/>
    </row>
    <row r="2515" spans="1:16" ht="20.25" customHeight="1" x14ac:dyDescent="0.3">
      <c r="A2515" s="137"/>
      <c r="B2515" s="137"/>
      <c r="C2515" s="137"/>
      <c r="D2515" s="194"/>
      <c r="E2515" s="194"/>
      <c r="F2515" s="137"/>
      <c r="G2515" s="137"/>
      <c r="H2515" s="137"/>
      <c r="I2515" s="137"/>
      <c r="J2515" s="197"/>
      <c r="K2515" s="198"/>
      <c r="L2515" s="196"/>
      <c r="M2515" s="196"/>
      <c r="N2515" s="196"/>
      <c r="O2515" s="196"/>
      <c r="P2515" s="127"/>
    </row>
    <row r="2516" spans="1:16" ht="20.25" customHeight="1" x14ac:dyDescent="0.3">
      <c r="A2516" s="137"/>
      <c r="B2516" s="137"/>
      <c r="C2516" s="137"/>
      <c r="D2516" s="194"/>
      <c r="E2516" s="194"/>
      <c r="F2516" s="137"/>
      <c r="G2516" s="137"/>
      <c r="H2516" s="137"/>
      <c r="I2516" s="137"/>
      <c r="J2516" s="197"/>
      <c r="K2516" s="198"/>
      <c r="L2516" s="196"/>
      <c r="M2516" s="196"/>
      <c r="N2516" s="196"/>
      <c r="O2516" s="196"/>
      <c r="P2516" s="127"/>
    </row>
    <row r="2517" spans="1:16" ht="20.25" customHeight="1" x14ac:dyDescent="0.3">
      <c r="A2517" s="137"/>
      <c r="B2517" s="137"/>
      <c r="C2517" s="137"/>
      <c r="D2517" s="194"/>
      <c r="E2517" s="194"/>
      <c r="F2517" s="137"/>
      <c r="G2517" s="137"/>
      <c r="H2517" s="137"/>
      <c r="I2517" s="137"/>
      <c r="J2517" s="197"/>
      <c r="K2517" s="198"/>
      <c r="L2517" s="196"/>
      <c r="M2517" s="196"/>
      <c r="N2517" s="196"/>
      <c r="O2517" s="196"/>
      <c r="P2517" s="127"/>
    </row>
    <row r="2518" spans="1:16" ht="20.25" customHeight="1" x14ac:dyDescent="0.3">
      <c r="A2518" s="137"/>
      <c r="B2518" s="137"/>
      <c r="C2518" s="137"/>
      <c r="D2518" s="194"/>
      <c r="E2518" s="194"/>
      <c r="F2518" s="137"/>
      <c r="G2518" s="137"/>
      <c r="H2518" s="137"/>
      <c r="I2518" s="137"/>
      <c r="J2518" s="197"/>
      <c r="K2518" s="198"/>
      <c r="L2518" s="196"/>
      <c r="M2518" s="196"/>
      <c r="N2518" s="196"/>
      <c r="O2518" s="196"/>
      <c r="P2518" s="127"/>
    </row>
    <row r="2519" spans="1:16" ht="20.25" customHeight="1" x14ac:dyDescent="0.3">
      <c r="A2519" s="137"/>
      <c r="B2519" s="137"/>
      <c r="C2519" s="137"/>
      <c r="D2519" s="194"/>
      <c r="E2519" s="194"/>
      <c r="F2519" s="137"/>
      <c r="G2519" s="137"/>
      <c r="H2519" s="137"/>
      <c r="I2519" s="137"/>
      <c r="J2519" s="197"/>
      <c r="K2519" s="198"/>
      <c r="L2519" s="196"/>
      <c r="M2519" s="196"/>
      <c r="N2519" s="196"/>
      <c r="O2519" s="196"/>
      <c r="P2519" s="127"/>
    </row>
    <row r="2520" spans="1:16" ht="20.25" customHeight="1" x14ac:dyDescent="0.3">
      <c r="A2520" s="137"/>
      <c r="B2520" s="137"/>
      <c r="C2520" s="137"/>
      <c r="D2520" s="194"/>
      <c r="E2520" s="194"/>
      <c r="F2520" s="137"/>
      <c r="G2520" s="137"/>
      <c r="H2520" s="137"/>
      <c r="I2520" s="137"/>
      <c r="J2520" s="197"/>
      <c r="K2520" s="198"/>
      <c r="L2520" s="196"/>
      <c r="M2520" s="196"/>
      <c r="N2520" s="196"/>
      <c r="O2520" s="196"/>
      <c r="P2520" s="127"/>
    </row>
    <row r="2521" spans="1:16" ht="20.25" customHeight="1" x14ac:dyDescent="0.3">
      <c r="A2521" s="137"/>
      <c r="B2521" s="137"/>
      <c r="C2521" s="137"/>
      <c r="D2521" s="194"/>
      <c r="E2521" s="194"/>
      <c r="F2521" s="137"/>
      <c r="G2521" s="137"/>
      <c r="H2521" s="137"/>
      <c r="I2521" s="137"/>
      <c r="J2521" s="197"/>
      <c r="K2521" s="198"/>
      <c r="L2521" s="196"/>
      <c r="M2521" s="196"/>
      <c r="N2521" s="196"/>
      <c r="O2521" s="196"/>
      <c r="P2521" s="127"/>
    </row>
    <row r="2522" spans="1:16" ht="20.25" customHeight="1" x14ac:dyDescent="0.3">
      <c r="A2522" s="137"/>
      <c r="B2522" s="137"/>
      <c r="C2522" s="137"/>
      <c r="D2522" s="137"/>
      <c r="E2522" s="137"/>
      <c r="F2522" s="137"/>
      <c r="G2522" s="137"/>
      <c r="H2522" s="137"/>
      <c r="I2522" s="137"/>
      <c r="J2522" s="127"/>
      <c r="K2522" s="127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664062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88671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34" t="s">
        <v>157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IFERROR(SUM(Tabla15[SaldoCapital]),"0")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'!$I$6)*SUM(Tabla15[1ra Banda])</f>
        <v>0</v>
      </c>
      <c r="M5" s="256">
        <f>(1-'Índice promedio de morosidad '!$I$6)*SUM(Tabla15[[2da Banda ]])</f>
        <v>0</v>
      </c>
      <c r="N5" s="256">
        <f>(1-'Índice promedio de morosidad '!$I$6)*SUM(Tabla15[3ra Banda])</f>
        <v>0</v>
      </c>
      <c r="O5" s="256">
        <f>(1-'Índice promedio de morosidad '!$I$6)*SUM(Tabla15[4ta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'!$I$7)*SUM(Tabla15[1ra Banda])</f>
        <v>0</v>
      </c>
      <c r="M6" s="256">
        <f>(1-'Índice promedio de morosidad '!$I$7)*SUM(Tabla15[[2da Banda ]])</f>
        <v>0</v>
      </c>
      <c r="N6" s="256">
        <f>(1-'Índice promedio de morosidad '!$I$7)*SUM(Tabla15[3ra Banda])</f>
        <v>0</v>
      </c>
      <c r="O6" s="256">
        <f>(1-'Índice promedio de morosidad '!$I$7)*SUM(Tabla15[4ta Banda])</f>
        <v>0</v>
      </c>
    </row>
    <row r="7" spans="1:16" ht="20.25" customHeight="1" x14ac:dyDescent="0.3">
      <c r="A7" s="345" t="s">
        <v>147</v>
      </c>
      <c r="B7" s="345"/>
      <c r="C7" s="345"/>
      <c r="D7" s="345"/>
      <c r="E7" s="345"/>
      <c r="F7" s="345"/>
      <c r="G7" s="345"/>
      <c r="H7" s="345"/>
      <c r="I7" s="345"/>
      <c r="J7" s="257"/>
      <c r="K7" s="257"/>
      <c r="L7" s="240"/>
      <c r="M7" s="134"/>
      <c r="N7" s="134"/>
      <c r="O7" s="134"/>
    </row>
    <row r="8" spans="1:16" ht="58.2" customHeight="1" x14ac:dyDescent="0.3">
      <c r="A8" s="216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258"/>
      <c r="B9" s="179"/>
      <c r="C9" s="179"/>
      <c r="D9" s="233"/>
      <c r="E9" s="233"/>
      <c r="F9" s="179"/>
      <c r="G9" s="179"/>
      <c r="H9" s="179"/>
      <c r="I9" s="179"/>
      <c r="J9" s="179">
        <f>(1+F9/100)^(I9/360)-1</f>
        <v>0</v>
      </c>
      <c r="K9" s="234">
        <f>IFERROR(ROUND(NPER(J9,-H9,B9,,),0),0)</f>
        <v>0</v>
      </c>
      <c r="L9" s="218">
        <f>IF(I9&gt;30,0,IF(I9=30,H9/2,H9))</f>
        <v>0</v>
      </c>
      <c r="M9" s="218">
        <f>+IF(I9&gt;30,0,IF(I9=30,H9/2,H9))</f>
        <v>0</v>
      </c>
      <c r="N9" s="218" t="b">
        <f>+IF(I9&gt;60,0,IF(AND(I9&gt;=30,I9&lt;60),H9,IF(I9=15,2*H9)))</f>
        <v>0</v>
      </c>
      <c r="O9" s="219" t="b">
        <f>IF(I9&gt;90,0,IF(AND(I9&gt;=30,I9&lt;90),H9,IF(I9=15,2*H9)))</f>
        <v>0</v>
      </c>
      <c r="P9" s="174"/>
    </row>
    <row r="10" spans="1:16" ht="20.25" customHeight="1" x14ac:dyDescent="0.3">
      <c r="A10" s="137"/>
      <c r="B10" s="137"/>
      <c r="C10" s="137"/>
      <c r="D10" s="194"/>
      <c r="E10" s="194"/>
      <c r="F10" s="137"/>
      <c r="G10" s="137"/>
      <c r="H10" s="137"/>
      <c r="I10" s="137"/>
      <c r="J10" s="137"/>
      <c r="K10" s="195"/>
      <c r="L10" s="196"/>
      <c r="M10" s="196"/>
      <c r="N10" s="196"/>
      <c r="O10" s="196"/>
      <c r="P10" s="127"/>
    </row>
    <row r="11" spans="1:16" ht="20.25" customHeight="1" x14ac:dyDescent="0.3">
      <c r="A11" s="137"/>
      <c r="B11" s="137"/>
      <c r="C11" s="137"/>
      <c r="D11" s="194"/>
      <c r="E11" s="194"/>
      <c r="F11" s="137"/>
      <c r="G11" s="137"/>
      <c r="H11" s="137"/>
      <c r="I11" s="137"/>
      <c r="J11" s="137"/>
      <c r="K11" s="195"/>
      <c r="L11" s="196"/>
      <c r="M11" s="196"/>
      <c r="N11" s="196"/>
      <c r="O11" s="196"/>
      <c r="P11" s="127"/>
    </row>
    <row r="12" spans="1:16" ht="20.25" customHeight="1" x14ac:dyDescent="0.3">
      <c r="A12" s="137"/>
      <c r="B12" s="137"/>
      <c r="C12" s="137"/>
      <c r="D12" s="194"/>
      <c r="E12" s="194"/>
      <c r="F12" s="137"/>
      <c r="G12" s="137"/>
      <c r="H12" s="137"/>
      <c r="I12" s="137"/>
      <c r="J12" s="137"/>
      <c r="K12" s="195"/>
      <c r="L12" s="196"/>
      <c r="M12" s="196"/>
      <c r="N12" s="196"/>
      <c r="O12" s="196"/>
      <c r="P12" s="127"/>
    </row>
    <row r="13" spans="1:16" ht="20.25" customHeight="1" x14ac:dyDescent="0.3">
      <c r="A13" s="137"/>
      <c r="B13" s="137"/>
      <c r="C13" s="137"/>
      <c r="D13" s="194"/>
      <c r="E13" s="194"/>
      <c r="F13" s="137"/>
      <c r="G13" s="137"/>
      <c r="H13" s="137"/>
      <c r="I13" s="137"/>
      <c r="J13" s="137"/>
      <c r="K13" s="195"/>
      <c r="L13" s="196"/>
      <c r="M13" s="196"/>
      <c r="N13" s="196"/>
      <c r="O13" s="196"/>
      <c r="P13" s="127"/>
    </row>
    <row r="14" spans="1:16" ht="20.25" customHeight="1" x14ac:dyDescent="0.3">
      <c r="A14" s="137"/>
      <c r="B14" s="137"/>
      <c r="C14" s="137"/>
      <c r="D14" s="194"/>
      <c r="E14" s="194"/>
      <c r="F14" s="137"/>
      <c r="G14" s="137"/>
      <c r="H14" s="137"/>
      <c r="I14" s="137"/>
      <c r="J14" s="137"/>
      <c r="K14" s="195"/>
      <c r="L14" s="196"/>
      <c r="M14" s="196"/>
      <c r="N14" s="196"/>
      <c r="O14" s="196"/>
      <c r="P14" s="127"/>
    </row>
    <row r="15" spans="1:16" ht="20.25" customHeight="1" x14ac:dyDescent="0.3">
      <c r="A15" s="137"/>
      <c r="B15" s="137"/>
      <c r="C15" s="137"/>
      <c r="D15" s="194"/>
      <c r="E15" s="194"/>
      <c r="F15" s="137"/>
      <c r="G15" s="137"/>
      <c r="H15" s="137"/>
      <c r="I15" s="137"/>
      <c r="J15" s="137"/>
      <c r="K15" s="195"/>
      <c r="L15" s="196"/>
      <c r="M15" s="196"/>
      <c r="N15" s="196"/>
      <c r="O15" s="196"/>
      <c r="P15" s="127"/>
    </row>
    <row r="16" spans="1:16" ht="20.25" customHeight="1" x14ac:dyDescent="0.3">
      <c r="A16" s="137"/>
      <c r="B16" s="137"/>
      <c r="C16" s="137"/>
      <c r="D16" s="194"/>
      <c r="E16" s="194"/>
      <c r="F16" s="137"/>
      <c r="G16" s="137"/>
      <c r="H16" s="137"/>
      <c r="I16" s="137"/>
      <c r="J16" s="137"/>
      <c r="K16" s="195"/>
      <c r="L16" s="196"/>
      <c r="M16" s="196"/>
      <c r="N16" s="196"/>
      <c r="O16" s="196"/>
      <c r="P16" s="127"/>
    </row>
    <row r="17" spans="1:16" ht="20.25" customHeight="1" x14ac:dyDescent="0.3">
      <c r="A17" s="137"/>
      <c r="B17" s="137"/>
      <c r="C17" s="137"/>
      <c r="D17" s="194"/>
      <c r="E17" s="194"/>
      <c r="F17" s="137"/>
      <c r="G17" s="137"/>
      <c r="H17" s="137"/>
      <c r="I17" s="137"/>
      <c r="J17" s="137"/>
      <c r="K17" s="195"/>
      <c r="L17" s="196"/>
      <c r="M17" s="196"/>
      <c r="N17" s="196"/>
      <c r="O17" s="196"/>
      <c r="P17" s="127"/>
    </row>
    <row r="18" spans="1:16" ht="20.25" customHeight="1" x14ac:dyDescent="0.3">
      <c r="A18" s="137"/>
      <c r="B18" s="137"/>
      <c r="C18" s="137"/>
      <c r="D18" s="194"/>
      <c r="E18" s="194"/>
      <c r="F18" s="137"/>
      <c r="G18" s="137"/>
      <c r="H18" s="137"/>
      <c r="I18" s="137"/>
      <c r="J18" s="137"/>
      <c r="K18" s="195"/>
      <c r="L18" s="196"/>
      <c r="M18" s="196"/>
      <c r="N18" s="196"/>
      <c r="O18" s="196"/>
      <c r="P18" s="127"/>
    </row>
    <row r="19" spans="1:16" ht="20.25" customHeight="1" x14ac:dyDescent="0.3">
      <c r="A19" s="137"/>
      <c r="B19" s="137"/>
      <c r="C19" s="137"/>
      <c r="D19" s="194"/>
      <c r="E19" s="194"/>
      <c r="F19" s="137"/>
      <c r="G19" s="137"/>
      <c r="H19" s="137"/>
      <c r="I19" s="137"/>
      <c r="J19" s="137"/>
      <c r="K19" s="195"/>
      <c r="L19" s="196"/>
      <c r="M19" s="196"/>
      <c r="N19" s="196"/>
      <c r="O19" s="196"/>
      <c r="P19" s="127"/>
    </row>
    <row r="20" spans="1:16" ht="20.25" customHeight="1" x14ac:dyDescent="0.3">
      <c r="A20" s="137"/>
      <c r="B20" s="137"/>
      <c r="C20" s="137"/>
      <c r="D20" s="194"/>
      <c r="E20" s="194"/>
      <c r="F20" s="137"/>
      <c r="G20" s="137"/>
      <c r="H20" s="137"/>
      <c r="I20" s="137"/>
      <c r="J20" s="137"/>
      <c r="K20" s="195"/>
      <c r="L20" s="196"/>
      <c r="M20" s="196"/>
      <c r="N20" s="196"/>
      <c r="O20" s="196"/>
      <c r="P20" s="127"/>
    </row>
    <row r="21" spans="1:16" ht="20.25" customHeight="1" x14ac:dyDescent="0.3">
      <c r="A21" s="137"/>
      <c r="B21" s="137"/>
      <c r="C21" s="137"/>
      <c r="D21" s="194"/>
      <c r="E21" s="194"/>
      <c r="F21" s="137"/>
      <c r="G21" s="137"/>
      <c r="H21" s="137"/>
      <c r="I21" s="137"/>
      <c r="J21" s="137"/>
      <c r="K21" s="195"/>
      <c r="L21" s="196"/>
      <c r="M21" s="196"/>
      <c r="N21" s="196"/>
      <c r="O21" s="196"/>
      <c r="P21" s="127"/>
    </row>
    <row r="22" spans="1:16" ht="20.25" customHeight="1" x14ac:dyDescent="0.3">
      <c r="A22" s="137"/>
      <c r="B22" s="137"/>
      <c r="C22" s="137"/>
      <c r="D22" s="194"/>
      <c r="E22" s="194"/>
      <c r="F22" s="137"/>
      <c r="G22" s="137"/>
      <c r="H22" s="137"/>
      <c r="I22" s="137"/>
      <c r="J22" s="137"/>
      <c r="K22" s="195"/>
      <c r="L22" s="196"/>
      <c r="M22" s="196"/>
      <c r="N22" s="196"/>
      <c r="O22" s="196"/>
      <c r="P22" s="127"/>
    </row>
    <row r="23" spans="1:16" ht="20.25" customHeight="1" x14ac:dyDescent="0.3">
      <c r="A23" s="137"/>
      <c r="B23" s="137"/>
      <c r="C23" s="137"/>
      <c r="D23" s="194"/>
      <c r="E23" s="194"/>
      <c r="F23" s="137"/>
      <c r="G23" s="137"/>
      <c r="H23" s="137"/>
      <c r="I23" s="137"/>
      <c r="J23" s="137"/>
      <c r="K23" s="195"/>
      <c r="L23" s="196"/>
      <c r="M23" s="196"/>
      <c r="N23" s="196"/>
      <c r="O23" s="196"/>
      <c r="P23" s="127"/>
    </row>
    <row r="24" spans="1:16" ht="20.25" customHeight="1" x14ac:dyDescent="0.3">
      <c r="A24" s="137"/>
      <c r="B24" s="137"/>
      <c r="C24" s="137"/>
      <c r="D24" s="194"/>
      <c r="E24" s="194"/>
      <c r="F24" s="137"/>
      <c r="G24" s="137"/>
      <c r="H24" s="137"/>
      <c r="I24" s="137"/>
      <c r="J24" s="137"/>
      <c r="K24" s="195"/>
      <c r="L24" s="196"/>
      <c r="M24" s="196"/>
      <c r="N24" s="196"/>
      <c r="O24" s="196"/>
      <c r="P24" s="127"/>
    </row>
    <row r="25" spans="1:16" ht="20.25" customHeight="1" x14ac:dyDescent="0.3">
      <c r="A25" s="137"/>
      <c r="B25" s="137"/>
      <c r="C25" s="137"/>
      <c r="D25" s="194"/>
      <c r="E25" s="194"/>
      <c r="F25" s="137"/>
      <c r="G25" s="137"/>
      <c r="H25" s="137"/>
      <c r="I25" s="137"/>
      <c r="J25" s="137"/>
      <c r="K25" s="195"/>
      <c r="L25" s="196"/>
      <c r="M25" s="196"/>
      <c r="N25" s="196"/>
      <c r="O25" s="196"/>
      <c r="P25" s="127"/>
    </row>
    <row r="26" spans="1:16" ht="20.25" customHeight="1" x14ac:dyDescent="0.3">
      <c r="A26" s="137"/>
      <c r="B26" s="137"/>
      <c r="C26" s="137"/>
      <c r="D26" s="194"/>
      <c r="E26" s="194"/>
      <c r="F26" s="137"/>
      <c r="G26" s="137"/>
      <c r="H26" s="137"/>
      <c r="I26" s="137"/>
      <c r="J26" s="137"/>
      <c r="K26" s="195"/>
      <c r="L26" s="196"/>
      <c r="M26" s="196"/>
      <c r="N26" s="196"/>
      <c r="O26" s="196"/>
      <c r="P26" s="127"/>
    </row>
    <row r="27" spans="1:16" ht="20.25" customHeight="1" x14ac:dyDescent="0.3">
      <c r="A27" s="137"/>
      <c r="B27" s="137"/>
      <c r="C27" s="137"/>
      <c r="D27" s="194"/>
      <c r="E27" s="194"/>
      <c r="F27" s="137"/>
      <c r="G27" s="137"/>
      <c r="H27" s="137"/>
      <c r="I27" s="137"/>
      <c r="J27" s="137"/>
      <c r="K27" s="195"/>
      <c r="L27" s="196"/>
      <c r="M27" s="196"/>
      <c r="N27" s="196"/>
      <c r="O27" s="196"/>
      <c r="P27" s="127"/>
    </row>
    <row r="28" spans="1:16" ht="20.25" customHeight="1" x14ac:dyDescent="0.3">
      <c r="A28" s="137"/>
      <c r="B28" s="137"/>
      <c r="C28" s="137"/>
      <c r="D28" s="194"/>
      <c r="E28" s="194"/>
      <c r="F28" s="137"/>
      <c r="G28" s="137"/>
      <c r="H28" s="137"/>
      <c r="I28" s="137"/>
      <c r="J28" s="137"/>
      <c r="K28" s="195"/>
      <c r="L28" s="196"/>
      <c r="M28" s="196"/>
      <c r="N28" s="196"/>
      <c r="O28" s="196"/>
      <c r="P28" s="127"/>
    </row>
    <row r="29" spans="1:16" ht="20.25" customHeight="1" x14ac:dyDescent="0.3">
      <c r="A29" s="137"/>
      <c r="B29" s="137"/>
      <c r="C29" s="137"/>
      <c r="D29" s="194"/>
      <c r="E29" s="194"/>
      <c r="F29" s="137"/>
      <c r="G29" s="137"/>
      <c r="H29" s="137"/>
      <c r="I29" s="137"/>
      <c r="J29" s="137"/>
      <c r="K29" s="195"/>
      <c r="L29" s="196"/>
      <c r="M29" s="196"/>
      <c r="N29" s="196"/>
      <c r="O29" s="196"/>
      <c r="P29" s="127"/>
    </row>
    <row r="30" spans="1:16" ht="20.25" customHeight="1" x14ac:dyDescent="0.3">
      <c r="A30" s="137"/>
      <c r="B30" s="137"/>
      <c r="C30" s="137"/>
      <c r="D30" s="194"/>
      <c r="E30" s="194"/>
      <c r="F30" s="137"/>
      <c r="G30" s="137"/>
      <c r="H30" s="137"/>
      <c r="I30" s="137"/>
      <c r="J30" s="137"/>
      <c r="K30" s="195"/>
      <c r="L30" s="196"/>
      <c r="M30" s="196"/>
      <c r="N30" s="196"/>
      <c r="O30" s="196"/>
      <c r="P30" s="127"/>
    </row>
    <row r="31" spans="1:16" ht="20.25" customHeight="1" x14ac:dyDescent="0.3">
      <c r="A31" s="137"/>
      <c r="B31" s="137"/>
      <c r="C31" s="137"/>
      <c r="D31" s="194"/>
      <c r="E31" s="194"/>
      <c r="F31" s="137"/>
      <c r="G31" s="137"/>
      <c r="H31" s="137"/>
      <c r="I31" s="137"/>
      <c r="J31" s="137"/>
      <c r="K31" s="195"/>
      <c r="L31" s="196"/>
      <c r="M31" s="196"/>
      <c r="N31" s="196"/>
      <c r="O31" s="196"/>
      <c r="P31" s="127"/>
    </row>
    <row r="32" spans="1:16" ht="20.25" customHeight="1" x14ac:dyDescent="0.3">
      <c r="A32" s="137"/>
      <c r="B32" s="137"/>
      <c r="C32" s="137"/>
      <c r="D32" s="194"/>
      <c r="E32" s="194"/>
      <c r="F32" s="137"/>
      <c r="G32" s="137"/>
      <c r="H32" s="137"/>
      <c r="I32" s="137"/>
      <c r="J32" s="137"/>
      <c r="K32" s="195"/>
      <c r="L32" s="196"/>
      <c r="M32" s="196"/>
      <c r="N32" s="196"/>
      <c r="O32" s="196"/>
      <c r="P32" s="127"/>
    </row>
    <row r="33" spans="1:16" ht="20.25" customHeight="1" x14ac:dyDescent="0.3">
      <c r="A33" s="137"/>
      <c r="B33" s="137"/>
      <c r="C33" s="137"/>
      <c r="D33" s="194"/>
      <c r="E33" s="194"/>
      <c r="F33" s="137"/>
      <c r="G33" s="137"/>
      <c r="H33" s="137"/>
      <c r="I33" s="137"/>
      <c r="J33" s="137"/>
      <c r="K33" s="195"/>
      <c r="L33" s="196"/>
      <c r="M33" s="196"/>
      <c r="N33" s="196"/>
      <c r="O33" s="196"/>
      <c r="P33" s="127"/>
    </row>
    <row r="34" spans="1:16" ht="20.25" customHeight="1" x14ac:dyDescent="0.3">
      <c r="A34" s="137"/>
      <c r="B34" s="137"/>
      <c r="C34" s="137"/>
      <c r="D34" s="194"/>
      <c r="E34" s="194"/>
      <c r="F34" s="137"/>
      <c r="G34" s="137"/>
      <c r="H34" s="137"/>
      <c r="I34" s="137"/>
      <c r="J34" s="137"/>
      <c r="K34" s="195"/>
      <c r="L34" s="196"/>
      <c r="M34" s="196"/>
      <c r="N34" s="196"/>
      <c r="O34" s="196"/>
      <c r="P34" s="127"/>
    </row>
    <row r="35" spans="1:16" ht="20.25" customHeight="1" x14ac:dyDescent="0.3">
      <c r="A35" s="137"/>
      <c r="B35" s="137"/>
      <c r="C35" s="137"/>
      <c r="D35" s="194"/>
      <c r="E35" s="194"/>
      <c r="F35" s="137"/>
      <c r="G35" s="137"/>
      <c r="H35" s="137"/>
      <c r="I35" s="137"/>
      <c r="J35" s="137"/>
      <c r="K35" s="195"/>
      <c r="L35" s="196"/>
      <c r="M35" s="196"/>
      <c r="N35" s="196"/>
      <c r="O35" s="196"/>
      <c r="P35" s="127"/>
    </row>
    <row r="36" spans="1:16" ht="20.25" customHeight="1" x14ac:dyDescent="0.3">
      <c r="A36" s="137"/>
      <c r="B36" s="137"/>
      <c r="C36" s="137"/>
      <c r="D36" s="194"/>
      <c r="E36" s="194"/>
      <c r="F36" s="137"/>
      <c r="G36" s="137"/>
      <c r="H36" s="137"/>
      <c r="I36" s="137"/>
      <c r="J36" s="137"/>
      <c r="K36" s="195"/>
      <c r="L36" s="196"/>
      <c r="M36" s="196"/>
      <c r="N36" s="196"/>
      <c r="O36" s="196"/>
      <c r="P36" s="127"/>
    </row>
    <row r="37" spans="1:16" ht="20.25" customHeight="1" x14ac:dyDescent="0.3">
      <c r="A37" s="137"/>
      <c r="B37" s="137"/>
      <c r="C37" s="137"/>
      <c r="D37" s="194"/>
      <c r="E37" s="194"/>
      <c r="F37" s="137"/>
      <c r="G37" s="137"/>
      <c r="H37" s="137"/>
      <c r="I37" s="137"/>
      <c r="J37" s="137"/>
      <c r="K37" s="195"/>
      <c r="L37" s="196"/>
      <c r="M37" s="196"/>
      <c r="N37" s="196"/>
      <c r="O37" s="196"/>
      <c r="P37" s="127"/>
    </row>
    <row r="38" spans="1:16" ht="20.25" customHeight="1" x14ac:dyDescent="0.3">
      <c r="A38" s="137"/>
      <c r="B38" s="137"/>
      <c r="C38" s="137"/>
      <c r="D38" s="194"/>
      <c r="E38" s="194"/>
      <c r="F38" s="137"/>
      <c r="G38" s="137"/>
      <c r="H38" s="137"/>
      <c r="I38" s="137"/>
      <c r="J38" s="137"/>
      <c r="K38" s="195"/>
      <c r="L38" s="196"/>
      <c r="M38" s="196"/>
      <c r="N38" s="196"/>
      <c r="O38" s="196"/>
      <c r="P38" s="127"/>
    </row>
    <row r="39" spans="1:16" ht="20.25" customHeight="1" x14ac:dyDescent="0.3">
      <c r="A39" s="137"/>
      <c r="B39" s="137"/>
      <c r="C39" s="137"/>
      <c r="D39" s="194"/>
      <c r="E39" s="194"/>
      <c r="F39" s="137"/>
      <c r="G39" s="137"/>
      <c r="H39" s="137"/>
      <c r="I39" s="137"/>
      <c r="J39" s="137"/>
      <c r="K39" s="195"/>
      <c r="L39" s="196"/>
      <c r="M39" s="196"/>
      <c r="N39" s="196"/>
      <c r="O39" s="196"/>
      <c r="P39" s="127"/>
    </row>
    <row r="40" spans="1:16" ht="20.25" customHeight="1" x14ac:dyDescent="0.3">
      <c r="A40" s="137"/>
      <c r="B40" s="137"/>
      <c r="C40" s="137"/>
      <c r="D40" s="194"/>
      <c r="E40" s="194"/>
      <c r="F40" s="137"/>
      <c r="G40" s="137"/>
      <c r="H40" s="137"/>
      <c r="I40" s="137"/>
      <c r="J40" s="137"/>
      <c r="K40" s="195"/>
      <c r="L40" s="196"/>
      <c r="M40" s="196"/>
      <c r="N40" s="196"/>
      <c r="O40" s="196"/>
      <c r="P40" s="127"/>
    </row>
    <row r="41" spans="1:16" ht="20.25" customHeight="1" x14ac:dyDescent="0.3">
      <c r="A41" s="137"/>
      <c r="B41" s="137"/>
      <c r="C41" s="137"/>
      <c r="D41" s="194"/>
      <c r="E41" s="194"/>
      <c r="F41" s="137"/>
      <c r="G41" s="137"/>
      <c r="H41" s="137"/>
      <c r="I41" s="137"/>
      <c r="J41" s="137"/>
      <c r="K41" s="195"/>
      <c r="L41" s="196"/>
      <c r="M41" s="196"/>
      <c r="N41" s="196"/>
      <c r="O41" s="196"/>
      <c r="P41" s="127"/>
    </row>
    <row r="42" spans="1:16" ht="20.25" customHeight="1" x14ac:dyDescent="0.3">
      <c r="A42" s="137"/>
      <c r="B42" s="137"/>
      <c r="C42" s="137"/>
      <c r="D42" s="194"/>
      <c r="E42" s="194"/>
      <c r="F42" s="137"/>
      <c r="G42" s="137"/>
      <c r="H42" s="137"/>
      <c r="I42" s="137"/>
      <c r="J42" s="137"/>
      <c r="K42" s="195"/>
      <c r="L42" s="196"/>
      <c r="M42" s="196"/>
      <c r="N42" s="196"/>
      <c r="O42" s="196"/>
      <c r="P42" s="127"/>
    </row>
    <row r="43" spans="1:16" ht="20.25" customHeight="1" x14ac:dyDescent="0.3">
      <c r="A43" s="137"/>
      <c r="B43" s="137"/>
      <c r="C43" s="137"/>
      <c r="D43" s="194"/>
      <c r="E43" s="194"/>
      <c r="F43" s="137"/>
      <c r="G43" s="137"/>
      <c r="H43" s="137"/>
      <c r="I43" s="137"/>
      <c r="J43" s="137"/>
      <c r="K43" s="195"/>
      <c r="L43" s="196"/>
      <c r="M43" s="196"/>
      <c r="N43" s="196"/>
      <c r="O43" s="196"/>
      <c r="P43" s="127"/>
    </row>
    <row r="44" spans="1:16" ht="20.25" customHeight="1" x14ac:dyDescent="0.3">
      <c r="A44" s="137"/>
      <c r="B44" s="137"/>
      <c r="C44" s="137"/>
      <c r="D44" s="194"/>
      <c r="E44" s="194"/>
      <c r="F44" s="137"/>
      <c r="G44" s="137"/>
      <c r="H44" s="137"/>
      <c r="I44" s="137"/>
      <c r="J44" s="137"/>
      <c r="K44" s="195"/>
      <c r="L44" s="196"/>
      <c r="M44" s="196"/>
      <c r="N44" s="196"/>
      <c r="O44" s="196"/>
      <c r="P44" s="127"/>
    </row>
    <row r="45" spans="1:16" ht="20.25" customHeight="1" x14ac:dyDescent="0.3">
      <c r="A45" s="137"/>
      <c r="B45" s="137"/>
      <c r="C45" s="137"/>
      <c r="D45" s="194"/>
      <c r="E45" s="194"/>
      <c r="F45" s="137"/>
      <c r="G45" s="137"/>
      <c r="H45" s="137"/>
      <c r="I45" s="137"/>
      <c r="J45" s="137"/>
      <c r="K45" s="195"/>
      <c r="L45" s="196"/>
      <c r="M45" s="196"/>
      <c r="N45" s="196"/>
      <c r="O45" s="196"/>
      <c r="P45" s="127"/>
    </row>
    <row r="46" spans="1:16" ht="20.25" customHeight="1" x14ac:dyDescent="0.3">
      <c r="A46" s="137"/>
      <c r="B46" s="137"/>
      <c r="C46" s="137"/>
      <c r="D46" s="194"/>
      <c r="E46" s="194"/>
      <c r="F46" s="137"/>
      <c r="G46" s="137"/>
      <c r="H46" s="137"/>
      <c r="I46" s="137"/>
      <c r="J46" s="137"/>
      <c r="K46" s="195"/>
      <c r="L46" s="196"/>
      <c r="M46" s="196"/>
      <c r="N46" s="196"/>
      <c r="O46" s="196"/>
      <c r="P46" s="127"/>
    </row>
    <row r="47" spans="1:16" ht="20.25" customHeight="1" x14ac:dyDescent="0.3">
      <c r="A47" s="137"/>
      <c r="B47" s="137"/>
      <c r="C47" s="137"/>
      <c r="D47" s="194"/>
      <c r="E47" s="194"/>
      <c r="F47" s="137"/>
      <c r="G47" s="137"/>
      <c r="H47" s="137"/>
      <c r="I47" s="137"/>
      <c r="J47" s="137"/>
      <c r="K47" s="195"/>
      <c r="L47" s="196"/>
      <c r="M47" s="196"/>
      <c r="N47" s="196"/>
      <c r="O47" s="196"/>
      <c r="P47" s="127"/>
    </row>
    <row r="48" spans="1:16" ht="20.25" customHeight="1" x14ac:dyDescent="0.3">
      <c r="A48" s="137"/>
      <c r="B48" s="137"/>
      <c r="C48" s="137"/>
      <c r="D48" s="194"/>
      <c r="E48" s="194"/>
      <c r="F48" s="137"/>
      <c r="G48" s="137"/>
      <c r="H48" s="137"/>
      <c r="I48" s="137"/>
      <c r="J48" s="137"/>
      <c r="K48" s="195"/>
      <c r="L48" s="196"/>
      <c r="M48" s="196"/>
      <c r="N48" s="196"/>
      <c r="O48" s="196"/>
      <c r="P48" s="127"/>
    </row>
    <row r="49" spans="1:16" ht="20.25" customHeight="1" x14ac:dyDescent="0.3">
      <c r="A49" s="137"/>
      <c r="B49" s="137"/>
      <c r="C49" s="137"/>
      <c r="D49" s="194"/>
      <c r="E49" s="194"/>
      <c r="F49" s="137"/>
      <c r="G49" s="137"/>
      <c r="H49" s="137"/>
      <c r="I49" s="137"/>
      <c r="J49" s="137"/>
      <c r="K49" s="195"/>
      <c r="L49" s="196"/>
      <c r="M49" s="196"/>
      <c r="N49" s="196"/>
      <c r="O49" s="196"/>
      <c r="P49" s="127"/>
    </row>
    <row r="50" spans="1:16" ht="20.25" customHeight="1" x14ac:dyDescent="0.3">
      <c r="A50" s="137"/>
      <c r="B50" s="137"/>
      <c r="C50" s="137"/>
      <c r="D50" s="194"/>
      <c r="E50" s="194"/>
      <c r="F50" s="137"/>
      <c r="G50" s="137"/>
      <c r="H50" s="137"/>
      <c r="I50" s="137"/>
      <c r="J50" s="137"/>
      <c r="K50" s="195"/>
      <c r="L50" s="196"/>
      <c r="M50" s="196"/>
      <c r="N50" s="196"/>
      <c r="O50" s="196"/>
      <c r="P50" s="127"/>
    </row>
    <row r="51" spans="1:16" ht="20.25" customHeight="1" x14ac:dyDescent="0.3">
      <c r="A51" s="137"/>
      <c r="B51" s="137"/>
      <c r="C51" s="137"/>
      <c r="D51" s="194"/>
      <c r="E51" s="194"/>
      <c r="F51" s="137"/>
      <c r="G51" s="137"/>
      <c r="H51" s="137"/>
      <c r="I51" s="137"/>
      <c r="J51" s="137"/>
      <c r="K51" s="195"/>
      <c r="L51" s="196"/>
      <c r="M51" s="196"/>
      <c r="N51" s="196"/>
      <c r="O51" s="196"/>
      <c r="P51" s="127"/>
    </row>
    <row r="52" spans="1:16" ht="20.25" customHeight="1" x14ac:dyDescent="0.3">
      <c r="A52" s="137"/>
      <c r="B52" s="137"/>
      <c r="C52" s="137"/>
      <c r="D52" s="194"/>
      <c r="E52" s="194"/>
      <c r="F52" s="137"/>
      <c r="G52" s="137"/>
      <c r="H52" s="137"/>
      <c r="I52" s="137"/>
      <c r="J52" s="137"/>
      <c r="K52" s="195"/>
      <c r="L52" s="196"/>
      <c r="M52" s="196"/>
      <c r="N52" s="196"/>
      <c r="O52" s="196"/>
      <c r="P52" s="127"/>
    </row>
    <row r="53" spans="1:16" ht="20.25" customHeight="1" x14ac:dyDescent="0.3">
      <c r="A53" s="137"/>
      <c r="B53" s="137"/>
      <c r="C53" s="137"/>
      <c r="D53" s="194"/>
      <c r="E53" s="194"/>
      <c r="F53" s="137"/>
      <c r="G53" s="137"/>
      <c r="H53" s="137"/>
      <c r="I53" s="137"/>
      <c r="J53" s="137"/>
      <c r="K53" s="195"/>
      <c r="L53" s="196"/>
      <c r="M53" s="196"/>
      <c r="N53" s="196"/>
      <c r="O53" s="196"/>
      <c r="P53" s="127"/>
    </row>
    <row r="54" spans="1:16" ht="20.25" customHeight="1" x14ac:dyDescent="0.3">
      <c r="A54" s="137"/>
      <c r="B54" s="137"/>
      <c r="C54" s="137"/>
      <c r="D54" s="194"/>
      <c r="E54" s="194"/>
      <c r="F54" s="137"/>
      <c r="G54" s="137"/>
      <c r="H54" s="137"/>
      <c r="I54" s="137"/>
      <c r="J54" s="137"/>
      <c r="K54" s="195"/>
      <c r="L54" s="196"/>
      <c r="M54" s="196"/>
      <c r="N54" s="196"/>
      <c r="O54" s="196"/>
      <c r="P54" s="127"/>
    </row>
    <row r="55" spans="1:16" ht="20.25" customHeight="1" x14ac:dyDescent="0.3">
      <c r="A55" s="137"/>
      <c r="B55" s="137"/>
      <c r="C55" s="137"/>
      <c r="D55" s="194"/>
      <c r="E55" s="194"/>
      <c r="F55" s="137"/>
      <c r="G55" s="137"/>
      <c r="H55" s="137"/>
      <c r="I55" s="137"/>
      <c r="J55" s="137"/>
      <c r="K55" s="195"/>
      <c r="L55" s="196"/>
      <c r="M55" s="196"/>
      <c r="N55" s="196"/>
      <c r="O55" s="196"/>
      <c r="P55" s="127"/>
    </row>
    <row r="56" spans="1:16" ht="20.25" customHeight="1" x14ac:dyDescent="0.3">
      <c r="A56" s="137"/>
      <c r="B56" s="137"/>
      <c r="C56" s="137"/>
      <c r="D56" s="194"/>
      <c r="E56" s="194"/>
      <c r="F56" s="137"/>
      <c r="G56" s="137"/>
      <c r="H56" s="137"/>
      <c r="I56" s="137"/>
      <c r="J56" s="137"/>
      <c r="K56" s="195"/>
      <c r="L56" s="196"/>
      <c r="M56" s="196"/>
      <c r="N56" s="196"/>
      <c r="O56" s="196"/>
      <c r="P56" s="127"/>
    </row>
    <row r="57" spans="1:16" ht="20.25" customHeight="1" x14ac:dyDescent="0.3">
      <c r="A57" s="137"/>
      <c r="B57" s="137"/>
      <c r="C57" s="137"/>
      <c r="D57" s="194"/>
      <c r="E57" s="194"/>
      <c r="F57" s="137"/>
      <c r="G57" s="137"/>
      <c r="H57" s="137"/>
      <c r="I57" s="137"/>
      <c r="J57" s="137"/>
      <c r="K57" s="195"/>
      <c r="L57" s="196"/>
      <c r="M57" s="196"/>
      <c r="N57" s="196"/>
      <c r="O57" s="196"/>
      <c r="P57" s="127"/>
    </row>
    <row r="58" spans="1:16" ht="20.25" customHeight="1" x14ac:dyDescent="0.3">
      <c r="A58" s="137"/>
      <c r="B58" s="137"/>
      <c r="C58" s="137"/>
      <c r="D58" s="194"/>
      <c r="E58" s="194"/>
      <c r="F58" s="137"/>
      <c r="G58" s="137"/>
      <c r="H58" s="137"/>
      <c r="I58" s="137"/>
      <c r="J58" s="137"/>
      <c r="K58" s="195"/>
      <c r="L58" s="196"/>
      <c r="M58" s="196"/>
      <c r="N58" s="196"/>
      <c r="O58" s="196"/>
      <c r="P58" s="127"/>
    </row>
    <row r="59" spans="1:16" ht="20.25" customHeight="1" x14ac:dyDescent="0.3">
      <c r="A59" s="137"/>
      <c r="B59" s="137"/>
      <c r="C59" s="137"/>
      <c r="D59" s="194"/>
      <c r="E59" s="194"/>
      <c r="F59" s="137"/>
      <c r="G59" s="137"/>
      <c r="H59" s="137"/>
      <c r="I59" s="137"/>
      <c r="J59" s="137"/>
      <c r="K59" s="195"/>
      <c r="L59" s="196"/>
      <c r="M59" s="196"/>
      <c r="N59" s="196"/>
      <c r="O59" s="196"/>
      <c r="P59" s="127"/>
    </row>
    <row r="60" spans="1:16" ht="20.25" customHeight="1" x14ac:dyDescent="0.3">
      <c r="A60" s="137"/>
      <c r="B60" s="137"/>
      <c r="C60" s="137"/>
      <c r="D60" s="194"/>
      <c r="E60" s="194"/>
      <c r="F60" s="137"/>
      <c r="G60" s="137"/>
      <c r="H60" s="137"/>
      <c r="I60" s="137"/>
      <c r="J60" s="137"/>
      <c r="K60" s="195"/>
      <c r="L60" s="196"/>
      <c r="M60" s="196"/>
      <c r="N60" s="196"/>
      <c r="O60" s="196"/>
      <c r="P60" s="127"/>
    </row>
    <row r="61" spans="1:16" ht="20.25" customHeight="1" x14ac:dyDescent="0.3">
      <c r="A61" s="137"/>
      <c r="B61" s="137"/>
      <c r="C61" s="137"/>
      <c r="D61" s="194"/>
      <c r="E61" s="194"/>
      <c r="F61" s="137"/>
      <c r="G61" s="137"/>
      <c r="H61" s="137"/>
      <c r="I61" s="137"/>
      <c r="J61" s="137"/>
      <c r="K61" s="195"/>
      <c r="L61" s="196"/>
      <c r="M61" s="196"/>
      <c r="N61" s="196"/>
      <c r="O61" s="196"/>
      <c r="P61" s="127"/>
    </row>
    <row r="62" spans="1:16" ht="20.25" customHeight="1" x14ac:dyDescent="0.3">
      <c r="A62" s="137"/>
      <c r="B62" s="137"/>
      <c r="C62" s="137"/>
      <c r="D62" s="194"/>
      <c r="E62" s="194"/>
      <c r="F62" s="137"/>
      <c r="G62" s="137"/>
      <c r="H62" s="137"/>
      <c r="I62" s="137"/>
      <c r="J62" s="137"/>
      <c r="K62" s="195"/>
      <c r="L62" s="196"/>
      <c r="M62" s="196"/>
      <c r="N62" s="196"/>
      <c r="O62" s="196"/>
      <c r="P62" s="127"/>
    </row>
    <row r="63" spans="1:16" ht="20.25" customHeight="1" x14ac:dyDescent="0.3">
      <c r="A63" s="137"/>
      <c r="B63" s="137"/>
      <c r="C63" s="137"/>
      <c r="D63" s="194"/>
      <c r="E63" s="194"/>
      <c r="F63" s="137"/>
      <c r="G63" s="137"/>
      <c r="H63" s="137"/>
      <c r="I63" s="137"/>
      <c r="J63" s="137"/>
      <c r="K63" s="195"/>
      <c r="L63" s="196"/>
      <c r="M63" s="196"/>
      <c r="N63" s="196"/>
      <c r="O63" s="196"/>
      <c r="P63" s="127"/>
    </row>
    <row r="64" spans="1:16" ht="20.25" customHeight="1" x14ac:dyDescent="0.3">
      <c r="A64" s="137"/>
      <c r="B64" s="137"/>
      <c r="C64" s="137"/>
      <c r="D64" s="194"/>
      <c r="E64" s="194"/>
      <c r="F64" s="137"/>
      <c r="G64" s="137"/>
      <c r="H64" s="137"/>
      <c r="I64" s="137"/>
      <c r="J64" s="137"/>
      <c r="K64" s="195"/>
      <c r="L64" s="196"/>
      <c r="M64" s="196"/>
      <c r="N64" s="196"/>
      <c r="O64" s="196"/>
      <c r="P64" s="127"/>
    </row>
    <row r="65" spans="1:16" ht="20.25" customHeight="1" x14ac:dyDescent="0.3">
      <c r="A65" s="137"/>
      <c r="B65" s="137"/>
      <c r="C65" s="137"/>
      <c r="D65" s="194"/>
      <c r="E65" s="194"/>
      <c r="F65" s="137"/>
      <c r="G65" s="137"/>
      <c r="H65" s="137"/>
      <c r="I65" s="137"/>
      <c r="J65" s="137"/>
      <c r="K65" s="195"/>
      <c r="L65" s="196"/>
      <c r="M65" s="196"/>
      <c r="N65" s="196"/>
      <c r="O65" s="196"/>
      <c r="P65" s="127"/>
    </row>
    <row r="66" spans="1:16" ht="20.25" customHeight="1" x14ac:dyDescent="0.3">
      <c r="A66" s="137"/>
      <c r="B66" s="137"/>
      <c r="C66" s="137"/>
      <c r="D66" s="194"/>
      <c r="E66" s="194"/>
      <c r="F66" s="137"/>
      <c r="G66" s="137"/>
      <c r="H66" s="137"/>
      <c r="I66" s="137"/>
      <c r="J66" s="137"/>
      <c r="K66" s="195"/>
      <c r="L66" s="196"/>
      <c r="M66" s="196"/>
      <c r="N66" s="196"/>
      <c r="O66" s="196"/>
      <c r="P66" s="127"/>
    </row>
    <row r="67" spans="1:16" ht="20.25" customHeight="1" x14ac:dyDescent="0.3">
      <c r="A67" s="137"/>
      <c r="B67" s="137"/>
      <c r="C67" s="137"/>
      <c r="D67" s="194"/>
      <c r="E67" s="194"/>
      <c r="F67" s="137"/>
      <c r="G67" s="137"/>
      <c r="H67" s="137"/>
      <c r="I67" s="137"/>
      <c r="J67" s="137"/>
      <c r="K67" s="195"/>
      <c r="L67" s="196"/>
      <c r="M67" s="196"/>
      <c r="N67" s="196"/>
      <c r="O67" s="196"/>
      <c r="P67" s="127"/>
    </row>
    <row r="68" spans="1:16" ht="20.25" customHeight="1" x14ac:dyDescent="0.3">
      <c r="A68" s="137"/>
      <c r="B68" s="137"/>
      <c r="C68" s="137"/>
      <c r="D68" s="194"/>
      <c r="E68" s="194"/>
      <c r="F68" s="137"/>
      <c r="G68" s="137"/>
      <c r="H68" s="137"/>
      <c r="I68" s="137"/>
      <c r="J68" s="137"/>
      <c r="K68" s="195"/>
      <c r="L68" s="196"/>
      <c r="M68" s="196"/>
      <c r="N68" s="196"/>
      <c r="O68" s="196"/>
      <c r="P68" s="127"/>
    </row>
    <row r="69" spans="1:16" ht="20.25" customHeight="1" x14ac:dyDescent="0.3">
      <c r="A69" s="137"/>
      <c r="B69" s="137"/>
      <c r="C69" s="137"/>
      <c r="D69" s="194"/>
      <c r="E69" s="194"/>
      <c r="F69" s="137"/>
      <c r="G69" s="137"/>
      <c r="H69" s="137"/>
      <c r="I69" s="137"/>
      <c r="J69" s="137"/>
      <c r="K69" s="195"/>
      <c r="L69" s="196"/>
      <c r="M69" s="196"/>
      <c r="N69" s="196"/>
      <c r="O69" s="196"/>
      <c r="P69" s="127"/>
    </row>
    <row r="70" spans="1:16" ht="20.25" customHeight="1" x14ac:dyDescent="0.3">
      <c r="A70" s="137"/>
      <c r="B70" s="137"/>
      <c r="C70" s="137"/>
      <c r="D70" s="194"/>
      <c r="E70" s="194"/>
      <c r="F70" s="137"/>
      <c r="G70" s="137"/>
      <c r="H70" s="137"/>
      <c r="I70" s="137"/>
      <c r="J70" s="137"/>
      <c r="K70" s="195"/>
      <c r="L70" s="196"/>
      <c r="M70" s="196"/>
      <c r="N70" s="196"/>
      <c r="O70" s="196"/>
      <c r="P70" s="127"/>
    </row>
    <row r="71" spans="1:16" ht="20.25" customHeight="1" x14ac:dyDescent="0.3">
      <c r="A71" s="137"/>
      <c r="B71" s="137"/>
      <c r="C71" s="137"/>
      <c r="D71" s="194"/>
      <c r="E71" s="194"/>
      <c r="F71" s="137"/>
      <c r="G71" s="137"/>
      <c r="H71" s="137"/>
      <c r="I71" s="137"/>
      <c r="J71" s="137"/>
      <c r="K71" s="195"/>
      <c r="L71" s="196"/>
      <c r="M71" s="196"/>
      <c r="N71" s="196"/>
      <c r="O71" s="196"/>
      <c r="P71" s="127"/>
    </row>
    <row r="72" spans="1:16" ht="20.25" customHeight="1" x14ac:dyDescent="0.3">
      <c r="A72" s="137"/>
      <c r="B72" s="137"/>
      <c r="C72" s="137"/>
      <c r="D72" s="194"/>
      <c r="E72" s="194"/>
      <c r="F72" s="137"/>
      <c r="G72" s="137"/>
      <c r="H72" s="137"/>
      <c r="I72" s="137"/>
      <c r="J72" s="137"/>
      <c r="K72" s="195"/>
      <c r="L72" s="196"/>
      <c r="M72" s="196"/>
      <c r="N72" s="196"/>
      <c r="O72" s="196"/>
      <c r="P72" s="127"/>
    </row>
    <row r="73" spans="1:16" ht="20.25" customHeight="1" x14ac:dyDescent="0.3">
      <c r="A73" s="137"/>
      <c r="B73" s="137"/>
      <c r="C73" s="137"/>
      <c r="D73" s="194"/>
      <c r="E73" s="194"/>
      <c r="F73" s="137"/>
      <c r="G73" s="137"/>
      <c r="H73" s="137"/>
      <c r="I73" s="137"/>
      <c r="J73" s="137"/>
      <c r="K73" s="195"/>
      <c r="L73" s="196"/>
      <c r="M73" s="196"/>
      <c r="N73" s="196"/>
      <c r="O73" s="196"/>
      <c r="P73" s="127"/>
    </row>
    <row r="74" spans="1:16" ht="20.25" customHeight="1" x14ac:dyDescent="0.3">
      <c r="A74" s="137"/>
      <c r="B74" s="137"/>
      <c r="C74" s="137"/>
      <c r="D74" s="194"/>
      <c r="E74" s="194"/>
      <c r="F74" s="137"/>
      <c r="G74" s="137"/>
      <c r="H74" s="137"/>
      <c r="I74" s="137"/>
      <c r="J74" s="137"/>
      <c r="K74" s="195"/>
      <c r="L74" s="196"/>
      <c r="M74" s="196"/>
      <c r="N74" s="196"/>
      <c r="O74" s="196"/>
      <c r="P74" s="127"/>
    </row>
    <row r="75" spans="1:16" ht="20.25" customHeight="1" x14ac:dyDescent="0.3">
      <c r="A75" s="137"/>
      <c r="B75" s="137"/>
      <c r="C75" s="137"/>
      <c r="D75" s="194"/>
      <c r="E75" s="194"/>
      <c r="F75" s="137"/>
      <c r="G75" s="137"/>
      <c r="H75" s="137"/>
      <c r="I75" s="137"/>
      <c r="J75" s="137"/>
      <c r="K75" s="195"/>
      <c r="L75" s="196"/>
      <c r="M75" s="196"/>
      <c r="N75" s="196"/>
      <c r="O75" s="196"/>
      <c r="P75" s="127"/>
    </row>
    <row r="76" spans="1:16" ht="20.25" customHeight="1" x14ac:dyDescent="0.3">
      <c r="A76" s="137"/>
      <c r="B76" s="137"/>
      <c r="C76" s="137"/>
      <c r="D76" s="194"/>
      <c r="E76" s="194"/>
      <c r="F76" s="137"/>
      <c r="G76" s="137"/>
      <c r="H76" s="137"/>
      <c r="I76" s="137"/>
      <c r="J76" s="137"/>
      <c r="K76" s="195"/>
      <c r="L76" s="196"/>
      <c r="M76" s="196"/>
      <c r="N76" s="196"/>
      <c r="O76" s="196"/>
      <c r="P76" s="127"/>
    </row>
    <row r="77" spans="1:16" ht="20.25" customHeight="1" x14ac:dyDescent="0.3">
      <c r="A77" s="137"/>
      <c r="B77" s="137"/>
      <c r="C77" s="137"/>
      <c r="D77" s="194"/>
      <c r="E77" s="194"/>
      <c r="F77" s="137"/>
      <c r="G77" s="137"/>
      <c r="H77" s="137"/>
      <c r="I77" s="137"/>
      <c r="J77" s="137"/>
      <c r="K77" s="195"/>
      <c r="L77" s="196"/>
      <c r="M77" s="196"/>
      <c r="N77" s="196"/>
      <c r="O77" s="196"/>
      <c r="P77" s="127"/>
    </row>
    <row r="78" spans="1:16" ht="20.25" customHeight="1" x14ac:dyDescent="0.3">
      <c r="A78" s="137"/>
      <c r="B78" s="137"/>
      <c r="C78" s="137"/>
      <c r="D78" s="194"/>
      <c r="E78" s="194"/>
      <c r="F78" s="137"/>
      <c r="G78" s="137"/>
      <c r="H78" s="137"/>
      <c r="I78" s="137"/>
      <c r="J78" s="137"/>
      <c r="K78" s="195"/>
      <c r="L78" s="196"/>
      <c r="M78" s="196"/>
      <c r="N78" s="196"/>
      <c r="O78" s="196"/>
      <c r="P78" s="127"/>
    </row>
    <row r="79" spans="1:16" ht="20.25" customHeight="1" x14ac:dyDescent="0.3">
      <c r="A79" s="137"/>
      <c r="B79" s="137"/>
      <c r="C79" s="137"/>
      <c r="D79" s="194"/>
      <c r="E79" s="194"/>
      <c r="F79" s="137"/>
      <c r="G79" s="137"/>
      <c r="H79" s="137"/>
      <c r="I79" s="137"/>
      <c r="J79" s="137"/>
      <c r="K79" s="195"/>
      <c r="L79" s="196"/>
      <c r="M79" s="196"/>
      <c r="N79" s="196"/>
      <c r="O79" s="196"/>
      <c r="P79" s="127"/>
    </row>
    <row r="80" spans="1:16" ht="20.25" customHeight="1" x14ac:dyDescent="0.3">
      <c r="A80" s="137"/>
      <c r="B80" s="137"/>
      <c r="C80" s="137"/>
      <c r="D80" s="194"/>
      <c r="E80" s="194"/>
      <c r="F80" s="137"/>
      <c r="G80" s="137"/>
      <c r="H80" s="137"/>
      <c r="I80" s="137"/>
      <c r="J80" s="137"/>
      <c r="K80" s="195"/>
      <c r="L80" s="196"/>
      <c r="M80" s="196"/>
      <c r="N80" s="196"/>
      <c r="O80" s="196"/>
      <c r="P80" s="127"/>
    </row>
    <row r="81" spans="1:16" ht="20.25" customHeight="1" x14ac:dyDescent="0.3">
      <c r="A81" s="137"/>
      <c r="B81" s="137"/>
      <c r="C81" s="137"/>
      <c r="D81" s="194"/>
      <c r="E81" s="194"/>
      <c r="F81" s="137"/>
      <c r="G81" s="137"/>
      <c r="H81" s="137"/>
      <c r="I81" s="137"/>
      <c r="J81" s="137"/>
      <c r="K81" s="195"/>
      <c r="L81" s="196"/>
      <c r="M81" s="196"/>
      <c r="N81" s="196"/>
      <c r="O81" s="196"/>
      <c r="P81" s="127"/>
    </row>
    <row r="82" spans="1:16" ht="20.25" customHeight="1" x14ac:dyDescent="0.3">
      <c r="A82" s="137"/>
      <c r="B82" s="137"/>
      <c r="C82" s="137"/>
      <c r="D82" s="194"/>
      <c r="E82" s="194"/>
      <c r="F82" s="137"/>
      <c r="G82" s="137"/>
      <c r="H82" s="137"/>
      <c r="I82" s="137"/>
      <c r="J82" s="137"/>
      <c r="K82" s="195"/>
      <c r="L82" s="196"/>
      <c r="M82" s="196"/>
      <c r="N82" s="196"/>
      <c r="O82" s="196"/>
      <c r="P82" s="127"/>
    </row>
    <row r="83" spans="1:16" ht="20.25" customHeight="1" x14ac:dyDescent="0.3">
      <c r="A83" s="137"/>
      <c r="B83" s="137"/>
      <c r="C83" s="137"/>
      <c r="D83" s="194"/>
      <c r="E83" s="194"/>
      <c r="F83" s="137"/>
      <c r="G83" s="137"/>
      <c r="H83" s="137"/>
      <c r="I83" s="137"/>
      <c r="J83" s="137"/>
      <c r="K83" s="195"/>
      <c r="L83" s="196"/>
      <c r="M83" s="196"/>
      <c r="N83" s="196"/>
      <c r="O83" s="196"/>
      <c r="P83" s="127"/>
    </row>
    <row r="84" spans="1:16" ht="20.25" customHeight="1" x14ac:dyDescent="0.3">
      <c r="A84" s="137"/>
      <c r="B84" s="137"/>
      <c r="C84" s="137"/>
      <c r="D84" s="194"/>
      <c r="E84" s="194"/>
      <c r="F84" s="137"/>
      <c r="G84" s="137"/>
      <c r="H84" s="137"/>
      <c r="I84" s="137"/>
      <c r="J84" s="137"/>
      <c r="K84" s="195"/>
      <c r="L84" s="196"/>
      <c r="M84" s="196"/>
      <c r="N84" s="196"/>
      <c r="O84" s="196"/>
      <c r="P84" s="127"/>
    </row>
    <row r="85" spans="1:16" ht="20.25" customHeight="1" x14ac:dyDescent="0.3">
      <c r="A85" s="137"/>
      <c r="B85" s="137"/>
      <c r="C85" s="137"/>
      <c r="D85" s="194"/>
      <c r="E85" s="194"/>
      <c r="F85" s="137"/>
      <c r="G85" s="137"/>
      <c r="H85" s="137"/>
      <c r="I85" s="137"/>
      <c r="J85" s="137"/>
      <c r="K85" s="195"/>
      <c r="L85" s="196"/>
      <c r="M85" s="196"/>
      <c r="N85" s="196"/>
      <c r="O85" s="196"/>
      <c r="P85" s="127"/>
    </row>
    <row r="86" spans="1:16" ht="20.25" customHeight="1" x14ac:dyDescent="0.3">
      <c r="A86" s="137"/>
      <c r="B86" s="137"/>
      <c r="C86" s="137"/>
      <c r="D86" s="194"/>
      <c r="E86" s="194"/>
      <c r="F86" s="137"/>
      <c r="G86" s="137"/>
      <c r="H86" s="137"/>
      <c r="I86" s="137"/>
      <c r="J86" s="137"/>
      <c r="K86" s="195"/>
      <c r="L86" s="196"/>
      <c r="M86" s="196"/>
      <c r="N86" s="196"/>
      <c r="O86" s="196"/>
      <c r="P86" s="127"/>
    </row>
    <row r="87" spans="1:16" ht="20.25" customHeight="1" x14ac:dyDescent="0.3">
      <c r="A87" s="137"/>
      <c r="B87" s="137"/>
      <c r="C87" s="137"/>
      <c r="D87" s="194"/>
      <c r="E87" s="194"/>
      <c r="F87" s="137"/>
      <c r="G87" s="137"/>
      <c r="H87" s="137"/>
      <c r="I87" s="137"/>
      <c r="J87" s="137"/>
      <c r="K87" s="195"/>
      <c r="L87" s="196"/>
      <c r="M87" s="196"/>
      <c r="N87" s="196"/>
      <c r="O87" s="196"/>
      <c r="P87" s="127"/>
    </row>
    <row r="88" spans="1:16" ht="20.25" customHeight="1" x14ac:dyDescent="0.3">
      <c r="A88" s="137"/>
      <c r="B88" s="137"/>
      <c r="C88" s="137"/>
      <c r="D88" s="194"/>
      <c r="E88" s="194"/>
      <c r="F88" s="137"/>
      <c r="G88" s="137"/>
      <c r="H88" s="137"/>
      <c r="I88" s="137"/>
      <c r="J88" s="137"/>
      <c r="K88" s="195"/>
      <c r="L88" s="196"/>
      <c r="M88" s="196"/>
      <c r="N88" s="196"/>
      <c r="O88" s="196"/>
      <c r="P88" s="127"/>
    </row>
    <row r="89" spans="1:16" ht="20.25" customHeight="1" x14ac:dyDescent="0.3">
      <c r="A89" s="137"/>
      <c r="B89" s="137"/>
      <c r="C89" s="137"/>
      <c r="D89" s="194"/>
      <c r="E89" s="194"/>
      <c r="F89" s="137"/>
      <c r="G89" s="137"/>
      <c r="H89" s="137"/>
      <c r="I89" s="137"/>
      <c r="J89" s="137"/>
      <c r="K89" s="195"/>
      <c r="L89" s="196"/>
      <c r="M89" s="196"/>
      <c r="N89" s="196"/>
      <c r="O89" s="196"/>
      <c r="P89" s="127"/>
    </row>
    <row r="90" spans="1:16" ht="20.25" customHeight="1" x14ac:dyDescent="0.3">
      <c r="A90" s="137"/>
      <c r="B90" s="137"/>
      <c r="C90" s="137"/>
      <c r="D90" s="194"/>
      <c r="E90" s="194"/>
      <c r="F90" s="137"/>
      <c r="G90" s="137"/>
      <c r="H90" s="137"/>
      <c r="I90" s="137"/>
      <c r="J90" s="137"/>
      <c r="K90" s="195"/>
      <c r="L90" s="196"/>
      <c r="M90" s="196"/>
      <c r="N90" s="196"/>
      <c r="O90" s="196"/>
      <c r="P90" s="127"/>
    </row>
    <row r="91" spans="1:16" ht="20.25" customHeight="1" x14ac:dyDescent="0.3">
      <c r="A91" s="137"/>
      <c r="B91" s="137"/>
      <c r="C91" s="137"/>
      <c r="D91" s="194"/>
      <c r="E91" s="194"/>
      <c r="F91" s="137"/>
      <c r="G91" s="137"/>
      <c r="H91" s="137"/>
      <c r="I91" s="137"/>
      <c r="J91" s="137"/>
      <c r="K91" s="195"/>
      <c r="L91" s="196"/>
      <c r="M91" s="196"/>
      <c r="N91" s="196"/>
      <c r="O91" s="196"/>
      <c r="P91" s="127"/>
    </row>
    <row r="92" spans="1:16" ht="20.25" customHeight="1" x14ac:dyDescent="0.3">
      <c r="A92" s="137"/>
      <c r="B92" s="137"/>
      <c r="C92" s="137"/>
      <c r="D92" s="194"/>
      <c r="E92" s="194"/>
      <c r="F92" s="137"/>
      <c r="G92" s="137"/>
      <c r="H92" s="137"/>
      <c r="I92" s="137"/>
      <c r="J92" s="137"/>
      <c r="K92" s="195"/>
      <c r="L92" s="196"/>
      <c r="M92" s="196"/>
      <c r="N92" s="196"/>
      <c r="O92" s="196"/>
      <c r="P92" s="127"/>
    </row>
    <row r="93" spans="1:16" ht="20.25" customHeight="1" x14ac:dyDescent="0.3">
      <c r="A93" s="137"/>
      <c r="B93" s="137"/>
      <c r="C93" s="137"/>
      <c r="D93" s="194"/>
      <c r="E93" s="194"/>
      <c r="F93" s="137"/>
      <c r="G93" s="137"/>
      <c r="H93" s="137"/>
      <c r="I93" s="137"/>
      <c r="J93" s="137"/>
      <c r="K93" s="195"/>
      <c r="L93" s="196"/>
      <c r="M93" s="196"/>
      <c r="N93" s="196"/>
      <c r="O93" s="196"/>
      <c r="P93" s="127"/>
    </row>
    <row r="94" spans="1:16" ht="20.25" customHeight="1" x14ac:dyDescent="0.3">
      <c r="A94" s="137"/>
      <c r="B94" s="137"/>
      <c r="C94" s="137"/>
      <c r="D94" s="194"/>
      <c r="E94" s="194"/>
      <c r="F94" s="137"/>
      <c r="G94" s="137"/>
      <c r="H94" s="137"/>
      <c r="I94" s="137"/>
      <c r="J94" s="137"/>
      <c r="K94" s="195"/>
      <c r="L94" s="196"/>
      <c r="M94" s="196"/>
      <c r="N94" s="196"/>
      <c r="O94" s="196"/>
      <c r="P94" s="127"/>
    </row>
    <row r="95" spans="1:16" ht="20.25" customHeight="1" x14ac:dyDescent="0.3">
      <c r="A95" s="137"/>
      <c r="B95" s="137"/>
      <c r="C95" s="137"/>
      <c r="D95" s="194"/>
      <c r="E95" s="194"/>
      <c r="F95" s="137"/>
      <c r="G95" s="137"/>
      <c r="H95" s="137"/>
      <c r="I95" s="137"/>
      <c r="J95" s="137"/>
      <c r="K95" s="195"/>
      <c r="L95" s="196"/>
      <c r="M95" s="196"/>
      <c r="N95" s="196"/>
      <c r="O95" s="196"/>
      <c r="P95" s="127"/>
    </row>
    <row r="96" spans="1:16" ht="20.25" customHeight="1" x14ac:dyDescent="0.3">
      <c r="A96" s="137"/>
      <c r="B96" s="137"/>
      <c r="C96" s="137"/>
      <c r="D96" s="194"/>
      <c r="E96" s="194"/>
      <c r="F96" s="137"/>
      <c r="G96" s="137"/>
      <c r="H96" s="137"/>
      <c r="I96" s="137"/>
      <c r="J96" s="137"/>
      <c r="K96" s="195"/>
      <c r="L96" s="196"/>
      <c r="M96" s="196"/>
      <c r="N96" s="196"/>
      <c r="O96" s="196"/>
      <c r="P96" s="127"/>
    </row>
    <row r="97" spans="1:16" ht="20.25" customHeight="1" x14ac:dyDescent="0.3">
      <c r="A97" s="137"/>
      <c r="B97" s="137"/>
      <c r="C97" s="137"/>
      <c r="D97" s="194"/>
      <c r="E97" s="194"/>
      <c r="F97" s="137"/>
      <c r="G97" s="137"/>
      <c r="H97" s="137"/>
      <c r="I97" s="137"/>
      <c r="J97" s="137"/>
      <c r="K97" s="195"/>
      <c r="L97" s="196"/>
      <c r="M97" s="196"/>
      <c r="N97" s="196"/>
      <c r="O97" s="196"/>
      <c r="P97" s="127"/>
    </row>
    <row r="98" spans="1:16" ht="20.25" customHeight="1" x14ac:dyDescent="0.3">
      <c r="A98" s="137"/>
      <c r="B98" s="137"/>
      <c r="C98" s="137"/>
      <c r="D98" s="194"/>
      <c r="E98" s="194"/>
      <c r="F98" s="137"/>
      <c r="G98" s="137"/>
      <c r="H98" s="137"/>
      <c r="I98" s="137"/>
      <c r="J98" s="137"/>
      <c r="K98" s="195"/>
      <c r="L98" s="196"/>
      <c r="M98" s="196"/>
      <c r="N98" s="196"/>
      <c r="O98" s="196"/>
      <c r="P98" s="127"/>
    </row>
    <row r="99" spans="1:16" ht="20.25" customHeight="1" x14ac:dyDescent="0.3">
      <c r="A99" s="137"/>
      <c r="B99" s="137"/>
      <c r="C99" s="137"/>
      <c r="D99" s="194"/>
      <c r="E99" s="194"/>
      <c r="F99" s="137"/>
      <c r="G99" s="137"/>
      <c r="H99" s="137"/>
      <c r="I99" s="137"/>
      <c r="J99" s="137"/>
      <c r="K99" s="195"/>
      <c r="L99" s="196"/>
      <c r="M99" s="196"/>
      <c r="N99" s="196"/>
      <c r="O99" s="196"/>
      <c r="P99" s="127"/>
    </row>
    <row r="100" spans="1:16" ht="20.25" customHeight="1" x14ac:dyDescent="0.3">
      <c r="A100" s="137"/>
      <c r="B100" s="137"/>
      <c r="C100" s="137"/>
      <c r="D100" s="194"/>
      <c r="E100" s="194"/>
      <c r="F100" s="137"/>
      <c r="G100" s="137"/>
      <c r="H100" s="137"/>
      <c r="I100" s="137"/>
      <c r="J100" s="137"/>
      <c r="K100" s="195"/>
      <c r="L100" s="196"/>
      <c r="M100" s="196"/>
      <c r="N100" s="196"/>
      <c r="O100" s="196"/>
      <c r="P100" s="127"/>
    </row>
    <row r="101" spans="1:16" ht="20.25" customHeight="1" x14ac:dyDescent="0.3">
      <c r="A101" s="137"/>
      <c r="B101" s="137"/>
      <c r="C101" s="137"/>
      <c r="D101" s="194"/>
      <c r="E101" s="194"/>
      <c r="F101" s="137"/>
      <c r="G101" s="137"/>
      <c r="H101" s="137"/>
      <c r="I101" s="137"/>
      <c r="J101" s="137"/>
      <c r="K101" s="195"/>
      <c r="L101" s="196"/>
      <c r="M101" s="196"/>
      <c r="N101" s="196"/>
      <c r="O101" s="196"/>
      <c r="P101" s="127"/>
    </row>
    <row r="102" spans="1:16" ht="20.25" customHeight="1" x14ac:dyDescent="0.3">
      <c r="A102" s="137"/>
      <c r="B102" s="137"/>
      <c r="C102" s="137"/>
      <c r="D102" s="194"/>
      <c r="E102" s="194"/>
      <c r="F102" s="137"/>
      <c r="G102" s="137"/>
      <c r="H102" s="137"/>
      <c r="I102" s="137"/>
      <c r="J102" s="137"/>
      <c r="K102" s="195"/>
      <c r="L102" s="196"/>
      <c r="M102" s="196"/>
      <c r="N102" s="196"/>
      <c r="O102" s="196"/>
      <c r="P102" s="127"/>
    </row>
    <row r="103" spans="1:16" ht="20.25" customHeight="1" x14ac:dyDescent="0.3">
      <c r="A103" s="137"/>
      <c r="B103" s="137"/>
      <c r="C103" s="137"/>
      <c r="D103" s="194"/>
      <c r="E103" s="194"/>
      <c r="F103" s="137"/>
      <c r="G103" s="137"/>
      <c r="H103" s="137"/>
      <c r="I103" s="137"/>
      <c r="J103" s="137"/>
      <c r="K103" s="195"/>
      <c r="L103" s="196"/>
      <c r="M103" s="196"/>
      <c r="N103" s="196"/>
      <c r="O103" s="196"/>
      <c r="P103" s="127"/>
    </row>
    <row r="104" spans="1:16" ht="20.25" customHeight="1" x14ac:dyDescent="0.3">
      <c r="A104" s="137"/>
      <c r="B104" s="137"/>
      <c r="C104" s="137"/>
      <c r="D104" s="194"/>
      <c r="E104" s="194"/>
      <c r="F104" s="137"/>
      <c r="G104" s="137"/>
      <c r="H104" s="137"/>
      <c r="I104" s="137"/>
      <c r="J104" s="137"/>
      <c r="K104" s="195"/>
      <c r="L104" s="196"/>
      <c r="M104" s="196"/>
      <c r="N104" s="196"/>
      <c r="O104" s="196"/>
      <c r="P104" s="127"/>
    </row>
    <row r="105" spans="1:16" ht="20.25" customHeight="1" x14ac:dyDescent="0.3">
      <c r="A105" s="137"/>
      <c r="B105" s="137"/>
      <c r="C105" s="137"/>
      <c r="D105" s="194"/>
      <c r="E105" s="194"/>
      <c r="F105" s="137"/>
      <c r="G105" s="137"/>
      <c r="H105" s="137"/>
      <c r="I105" s="137"/>
      <c r="J105" s="137"/>
      <c r="K105" s="195"/>
      <c r="L105" s="196"/>
      <c r="M105" s="196"/>
      <c r="N105" s="196"/>
      <c r="O105" s="196"/>
      <c r="P105" s="127"/>
    </row>
    <row r="106" spans="1:16" ht="20.25" customHeight="1" x14ac:dyDescent="0.3">
      <c r="A106" s="137"/>
      <c r="B106" s="137"/>
      <c r="C106" s="137"/>
      <c r="D106" s="194"/>
      <c r="E106" s="194"/>
      <c r="F106" s="137"/>
      <c r="G106" s="137"/>
      <c r="H106" s="137"/>
      <c r="I106" s="137"/>
      <c r="J106" s="137"/>
      <c r="K106" s="195"/>
      <c r="L106" s="196"/>
      <c r="M106" s="196"/>
      <c r="N106" s="196"/>
      <c r="O106" s="196"/>
      <c r="P106" s="127"/>
    </row>
    <row r="107" spans="1:16" ht="20.25" customHeight="1" x14ac:dyDescent="0.3">
      <c r="A107" s="137"/>
      <c r="B107" s="137"/>
      <c r="C107" s="137"/>
      <c r="D107" s="194"/>
      <c r="E107" s="194"/>
      <c r="F107" s="137"/>
      <c r="G107" s="137"/>
      <c r="H107" s="137"/>
      <c r="I107" s="137"/>
      <c r="J107" s="137"/>
      <c r="K107" s="195"/>
      <c r="L107" s="196"/>
      <c r="M107" s="196"/>
      <c r="N107" s="196"/>
      <c r="O107" s="196"/>
      <c r="P107" s="127"/>
    </row>
    <row r="108" spans="1:16" ht="20.25" customHeight="1" x14ac:dyDescent="0.3">
      <c r="A108" s="137"/>
      <c r="B108" s="137"/>
      <c r="C108" s="137"/>
      <c r="D108" s="194"/>
      <c r="E108" s="194"/>
      <c r="F108" s="137"/>
      <c r="G108" s="137"/>
      <c r="H108" s="137"/>
      <c r="I108" s="137"/>
      <c r="J108" s="137"/>
      <c r="K108" s="195"/>
      <c r="L108" s="196"/>
      <c r="M108" s="196"/>
      <c r="N108" s="196"/>
      <c r="O108" s="196"/>
      <c r="P108" s="127"/>
    </row>
    <row r="109" spans="1:16" ht="20.25" customHeight="1" x14ac:dyDescent="0.3">
      <c r="A109" s="137"/>
      <c r="B109" s="137"/>
      <c r="C109" s="137"/>
      <c r="D109" s="194"/>
      <c r="E109" s="194"/>
      <c r="F109" s="137"/>
      <c r="G109" s="137"/>
      <c r="H109" s="137"/>
      <c r="I109" s="137"/>
      <c r="J109" s="137"/>
      <c r="K109" s="195"/>
      <c r="L109" s="196"/>
      <c r="M109" s="196"/>
      <c r="N109" s="196"/>
      <c r="O109" s="196"/>
      <c r="P109" s="127"/>
    </row>
    <row r="110" spans="1:16" ht="20.25" customHeight="1" x14ac:dyDescent="0.3">
      <c r="A110" s="137"/>
      <c r="B110" s="137"/>
      <c r="C110" s="137"/>
      <c r="D110" s="194"/>
      <c r="E110" s="194"/>
      <c r="F110" s="137"/>
      <c r="G110" s="137"/>
      <c r="H110" s="137"/>
      <c r="I110" s="137"/>
      <c r="J110" s="137"/>
      <c r="K110" s="195"/>
      <c r="L110" s="196"/>
      <c r="M110" s="196"/>
      <c r="N110" s="196"/>
      <c r="O110" s="196"/>
      <c r="P110" s="127"/>
    </row>
    <row r="111" spans="1:16" ht="20.25" customHeight="1" x14ac:dyDescent="0.3">
      <c r="A111" s="137"/>
      <c r="B111" s="137"/>
      <c r="C111" s="137"/>
      <c r="D111" s="194"/>
      <c r="E111" s="194"/>
      <c r="F111" s="137"/>
      <c r="G111" s="137"/>
      <c r="H111" s="137"/>
      <c r="I111" s="137"/>
      <c r="J111" s="137"/>
      <c r="K111" s="195"/>
      <c r="L111" s="196"/>
      <c r="M111" s="196"/>
      <c r="N111" s="196"/>
      <c r="O111" s="196"/>
      <c r="P111" s="127"/>
    </row>
    <row r="112" spans="1:16" ht="20.25" customHeight="1" x14ac:dyDescent="0.3">
      <c r="A112" s="137"/>
      <c r="B112" s="137"/>
      <c r="C112" s="137"/>
      <c r="D112" s="194"/>
      <c r="E112" s="194"/>
      <c r="F112" s="137"/>
      <c r="G112" s="137"/>
      <c r="H112" s="137"/>
      <c r="I112" s="137"/>
      <c r="J112" s="137"/>
      <c r="K112" s="195"/>
      <c r="L112" s="196"/>
      <c r="M112" s="196"/>
      <c r="N112" s="196"/>
      <c r="O112" s="196"/>
      <c r="P112" s="127"/>
    </row>
    <row r="113" spans="1:16" ht="20.25" customHeight="1" x14ac:dyDescent="0.3">
      <c r="A113" s="137"/>
      <c r="B113" s="137"/>
      <c r="C113" s="137"/>
      <c r="D113" s="194"/>
      <c r="E113" s="194"/>
      <c r="F113" s="137"/>
      <c r="G113" s="137"/>
      <c r="H113" s="137"/>
      <c r="I113" s="137"/>
      <c r="J113" s="137"/>
      <c r="K113" s="195"/>
      <c r="L113" s="196"/>
      <c r="M113" s="196"/>
      <c r="N113" s="196"/>
      <c r="O113" s="196"/>
      <c r="P113" s="127"/>
    </row>
    <row r="114" spans="1:16" ht="20.25" customHeight="1" x14ac:dyDescent="0.3">
      <c r="A114" s="137"/>
      <c r="B114" s="137"/>
      <c r="C114" s="137"/>
      <c r="D114" s="194"/>
      <c r="E114" s="194"/>
      <c r="F114" s="137"/>
      <c r="G114" s="137"/>
      <c r="H114" s="137"/>
      <c r="I114" s="137"/>
      <c r="J114" s="137"/>
      <c r="K114" s="195"/>
      <c r="L114" s="196"/>
      <c r="M114" s="196"/>
      <c r="N114" s="196"/>
      <c r="O114" s="196"/>
      <c r="P114" s="127"/>
    </row>
    <row r="115" spans="1:16" ht="20.25" customHeight="1" x14ac:dyDescent="0.3">
      <c r="A115" s="137"/>
      <c r="B115" s="137"/>
      <c r="C115" s="137"/>
      <c r="D115" s="194"/>
      <c r="E115" s="194"/>
      <c r="F115" s="137"/>
      <c r="G115" s="137"/>
      <c r="H115" s="137"/>
      <c r="I115" s="137"/>
      <c r="J115" s="137"/>
      <c r="K115" s="195"/>
      <c r="L115" s="196"/>
      <c r="M115" s="196"/>
      <c r="N115" s="196"/>
      <c r="O115" s="196"/>
      <c r="P115" s="127"/>
    </row>
    <row r="116" spans="1:16" ht="20.25" customHeight="1" x14ac:dyDescent="0.3">
      <c r="A116" s="137"/>
      <c r="B116" s="137"/>
      <c r="C116" s="137"/>
      <c r="D116" s="194"/>
      <c r="E116" s="194"/>
      <c r="F116" s="137"/>
      <c r="G116" s="137"/>
      <c r="H116" s="137"/>
      <c r="I116" s="137"/>
      <c r="J116" s="137"/>
      <c r="K116" s="195"/>
      <c r="L116" s="196"/>
      <c r="M116" s="196"/>
      <c r="N116" s="196"/>
      <c r="O116" s="196"/>
      <c r="P116" s="127"/>
    </row>
    <row r="117" spans="1:16" ht="20.25" customHeight="1" x14ac:dyDescent="0.3">
      <c r="A117" s="137"/>
      <c r="B117" s="137"/>
      <c r="C117" s="137"/>
      <c r="D117" s="194"/>
      <c r="E117" s="194"/>
      <c r="F117" s="137"/>
      <c r="G117" s="137"/>
      <c r="H117" s="137"/>
      <c r="I117" s="137"/>
      <c r="J117" s="137"/>
      <c r="K117" s="195"/>
      <c r="L117" s="196"/>
      <c r="M117" s="196"/>
      <c r="N117" s="196"/>
      <c r="O117" s="196"/>
      <c r="P117" s="127"/>
    </row>
    <row r="118" spans="1:16" ht="20.25" customHeight="1" x14ac:dyDescent="0.3">
      <c r="A118" s="137"/>
      <c r="B118" s="137"/>
      <c r="C118" s="137"/>
      <c r="D118" s="194"/>
      <c r="E118" s="194"/>
      <c r="F118" s="137"/>
      <c r="G118" s="137"/>
      <c r="H118" s="137"/>
      <c r="I118" s="137"/>
      <c r="J118" s="137"/>
      <c r="K118" s="195"/>
      <c r="L118" s="196"/>
      <c r="M118" s="196"/>
      <c r="N118" s="196"/>
      <c r="O118" s="196"/>
      <c r="P118" s="127"/>
    </row>
    <row r="119" spans="1:16" ht="20.25" customHeight="1" x14ac:dyDescent="0.3">
      <c r="A119" s="137"/>
      <c r="B119" s="137"/>
      <c r="C119" s="137"/>
      <c r="D119" s="194"/>
      <c r="E119" s="194"/>
      <c r="F119" s="137"/>
      <c r="G119" s="137"/>
      <c r="H119" s="137"/>
      <c r="I119" s="137"/>
      <c r="J119" s="137"/>
      <c r="K119" s="195"/>
      <c r="L119" s="196"/>
      <c r="M119" s="196"/>
      <c r="N119" s="196"/>
      <c r="O119" s="196"/>
      <c r="P119" s="127"/>
    </row>
    <row r="120" spans="1:16" ht="20.25" customHeight="1" x14ac:dyDescent="0.3">
      <c r="A120" s="137"/>
      <c r="B120" s="137"/>
      <c r="C120" s="137"/>
      <c r="D120" s="194"/>
      <c r="E120" s="194"/>
      <c r="F120" s="137"/>
      <c r="G120" s="137"/>
      <c r="H120" s="137"/>
      <c r="I120" s="137"/>
      <c r="J120" s="137"/>
      <c r="K120" s="195"/>
      <c r="L120" s="196"/>
      <c r="M120" s="196"/>
      <c r="N120" s="196"/>
      <c r="O120" s="196"/>
      <c r="P120" s="127"/>
    </row>
    <row r="121" spans="1:16" ht="20.25" customHeight="1" x14ac:dyDescent="0.3">
      <c r="A121" s="137"/>
      <c r="B121" s="137"/>
      <c r="C121" s="137"/>
      <c r="D121" s="194"/>
      <c r="E121" s="194"/>
      <c r="F121" s="137"/>
      <c r="G121" s="137"/>
      <c r="H121" s="137"/>
      <c r="I121" s="137"/>
      <c r="J121" s="137"/>
      <c r="K121" s="195"/>
      <c r="L121" s="196"/>
      <c r="M121" s="196"/>
      <c r="N121" s="196"/>
      <c r="O121" s="196"/>
      <c r="P121" s="127"/>
    </row>
    <row r="122" spans="1:16" ht="20.25" customHeight="1" x14ac:dyDescent="0.3">
      <c r="A122" s="137"/>
      <c r="B122" s="137"/>
      <c r="C122" s="137"/>
      <c r="D122" s="194"/>
      <c r="E122" s="194"/>
      <c r="F122" s="137"/>
      <c r="G122" s="137"/>
      <c r="H122" s="137"/>
      <c r="I122" s="137"/>
      <c r="J122" s="137"/>
      <c r="K122" s="195"/>
      <c r="L122" s="196"/>
      <c r="M122" s="196"/>
      <c r="N122" s="196"/>
      <c r="O122" s="196"/>
      <c r="P122" s="127"/>
    </row>
    <row r="123" spans="1:16" ht="20.25" customHeight="1" x14ac:dyDescent="0.3">
      <c r="A123" s="137"/>
      <c r="B123" s="137"/>
      <c r="C123" s="137"/>
      <c r="D123" s="194"/>
      <c r="E123" s="194"/>
      <c r="F123" s="137"/>
      <c r="G123" s="137"/>
      <c r="H123" s="137"/>
      <c r="I123" s="137"/>
      <c r="J123" s="137"/>
      <c r="K123" s="195"/>
      <c r="L123" s="196"/>
      <c r="M123" s="196"/>
      <c r="N123" s="196"/>
      <c r="O123" s="196"/>
      <c r="P123" s="127"/>
    </row>
    <row r="124" spans="1:16" ht="20.25" customHeight="1" x14ac:dyDescent="0.3">
      <c r="A124" s="137"/>
      <c r="B124" s="137"/>
      <c r="C124" s="137"/>
      <c r="D124" s="194"/>
      <c r="E124" s="194"/>
      <c r="F124" s="137"/>
      <c r="G124" s="137"/>
      <c r="H124" s="137"/>
      <c r="I124" s="137"/>
      <c r="J124" s="137"/>
      <c r="K124" s="195"/>
      <c r="L124" s="196"/>
      <c r="M124" s="196"/>
      <c r="N124" s="196"/>
      <c r="O124" s="196"/>
      <c r="P124" s="127"/>
    </row>
    <row r="125" spans="1:16" ht="20.25" customHeight="1" x14ac:dyDescent="0.3">
      <c r="A125" s="137"/>
      <c r="B125" s="137"/>
      <c r="C125" s="137"/>
      <c r="D125" s="194"/>
      <c r="E125" s="194"/>
      <c r="F125" s="137"/>
      <c r="G125" s="137"/>
      <c r="H125" s="137"/>
      <c r="I125" s="137"/>
      <c r="J125" s="137"/>
      <c r="K125" s="195"/>
      <c r="L125" s="196"/>
      <c r="M125" s="196"/>
      <c r="N125" s="196"/>
      <c r="O125" s="196"/>
      <c r="P125" s="127"/>
    </row>
    <row r="126" spans="1:16" ht="20.25" customHeight="1" x14ac:dyDescent="0.3">
      <c r="A126" s="137"/>
      <c r="B126" s="137"/>
      <c r="C126" s="137"/>
      <c r="D126" s="194"/>
      <c r="E126" s="194"/>
      <c r="F126" s="137"/>
      <c r="G126" s="137"/>
      <c r="H126" s="137"/>
      <c r="I126" s="137"/>
      <c r="J126" s="137"/>
      <c r="K126" s="195"/>
      <c r="L126" s="196"/>
      <c r="M126" s="196"/>
      <c r="N126" s="196"/>
      <c r="O126" s="196"/>
      <c r="P126" s="127"/>
    </row>
    <row r="127" spans="1:16" ht="20.25" customHeight="1" x14ac:dyDescent="0.3">
      <c r="A127" s="137"/>
      <c r="B127" s="137"/>
      <c r="C127" s="137"/>
      <c r="D127" s="194"/>
      <c r="E127" s="194"/>
      <c r="F127" s="137"/>
      <c r="G127" s="137"/>
      <c r="H127" s="137"/>
      <c r="I127" s="137"/>
      <c r="J127" s="137"/>
      <c r="K127" s="195"/>
      <c r="L127" s="196"/>
      <c r="M127" s="196"/>
      <c r="N127" s="196"/>
      <c r="O127" s="196"/>
      <c r="P127" s="127"/>
    </row>
    <row r="128" spans="1:16" ht="20.25" customHeight="1" x14ac:dyDescent="0.3">
      <c r="A128" s="137"/>
      <c r="B128" s="137"/>
      <c r="C128" s="137"/>
      <c r="D128" s="194"/>
      <c r="E128" s="194"/>
      <c r="F128" s="137"/>
      <c r="G128" s="137"/>
      <c r="H128" s="137"/>
      <c r="I128" s="137"/>
      <c r="J128" s="137"/>
      <c r="K128" s="195"/>
      <c r="L128" s="196"/>
      <c r="M128" s="196"/>
      <c r="N128" s="196"/>
      <c r="O128" s="196"/>
      <c r="P128" s="127"/>
    </row>
    <row r="129" spans="1:16" ht="20.25" customHeight="1" x14ac:dyDescent="0.3">
      <c r="A129" s="137"/>
      <c r="B129" s="137"/>
      <c r="C129" s="137"/>
      <c r="D129" s="194"/>
      <c r="E129" s="194"/>
      <c r="F129" s="137"/>
      <c r="G129" s="137"/>
      <c r="H129" s="137"/>
      <c r="I129" s="137"/>
      <c r="J129" s="137"/>
      <c r="K129" s="195"/>
      <c r="L129" s="196"/>
      <c r="M129" s="196"/>
      <c r="N129" s="196"/>
      <c r="O129" s="196"/>
      <c r="P129" s="127"/>
    </row>
    <row r="130" spans="1:16" ht="20.25" customHeight="1" x14ac:dyDescent="0.3">
      <c r="A130" s="137"/>
      <c r="B130" s="137"/>
      <c r="C130" s="137"/>
      <c r="D130" s="194"/>
      <c r="E130" s="194"/>
      <c r="F130" s="137"/>
      <c r="G130" s="137"/>
      <c r="H130" s="137"/>
      <c r="I130" s="137"/>
      <c r="J130" s="137"/>
      <c r="K130" s="195"/>
      <c r="L130" s="196"/>
      <c r="M130" s="196"/>
      <c r="N130" s="196"/>
      <c r="O130" s="196"/>
      <c r="P130" s="127"/>
    </row>
    <row r="131" spans="1:16" ht="20.25" customHeight="1" x14ac:dyDescent="0.3">
      <c r="A131" s="137"/>
      <c r="B131" s="137"/>
      <c r="C131" s="137"/>
      <c r="D131" s="194"/>
      <c r="E131" s="194"/>
      <c r="F131" s="137"/>
      <c r="G131" s="137"/>
      <c r="H131" s="137"/>
      <c r="I131" s="137"/>
      <c r="J131" s="137"/>
      <c r="K131" s="195"/>
      <c r="L131" s="196"/>
      <c r="M131" s="196"/>
      <c r="N131" s="196"/>
      <c r="O131" s="196"/>
      <c r="P131" s="127"/>
    </row>
    <row r="132" spans="1:16" ht="20.25" customHeight="1" x14ac:dyDescent="0.3">
      <c r="A132" s="137"/>
      <c r="B132" s="137"/>
      <c r="C132" s="137"/>
      <c r="D132" s="194"/>
      <c r="E132" s="194"/>
      <c r="F132" s="137"/>
      <c r="G132" s="137"/>
      <c r="H132" s="137"/>
      <c r="I132" s="137"/>
      <c r="J132" s="137"/>
      <c r="K132" s="195"/>
      <c r="L132" s="196"/>
      <c r="M132" s="196"/>
      <c r="N132" s="196"/>
      <c r="O132" s="196"/>
      <c r="P132" s="127"/>
    </row>
    <row r="133" spans="1:16" ht="20.25" customHeight="1" x14ac:dyDescent="0.3">
      <c r="A133" s="137"/>
      <c r="B133" s="137"/>
      <c r="C133" s="137"/>
      <c r="D133" s="194"/>
      <c r="E133" s="194"/>
      <c r="F133" s="137"/>
      <c r="G133" s="137"/>
      <c r="H133" s="137"/>
      <c r="I133" s="137"/>
      <c r="J133" s="137"/>
      <c r="K133" s="195"/>
      <c r="L133" s="196"/>
      <c r="M133" s="196"/>
      <c r="N133" s="196"/>
      <c r="O133" s="196"/>
      <c r="P133" s="127"/>
    </row>
    <row r="134" spans="1:16" ht="20.25" customHeight="1" x14ac:dyDescent="0.3">
      <c r="A134" s="137"/>
      <c r="B134" s="137"/>
      <c r="C134" s="137"/>
      <c r="D134" s="194"/>
      <c r="E134" s="194"/>
      <c r="F134" s="137"/>
      <c r="G134" s="137"/>
      <c r="H134" s="137"/>
      <c r="I134" s="137"/>
      <c r="J134" s="137"/>
      <c r="K134" s="195"/>
      <c r="L134" s="196"/>
      <c r="M134" s="196"/>
      <c r="N134" s="196"/>
      <c r="O134" s="196"/>
      <c r="P134" s="127"/>
    </row>
    <row r="135" spans="1:16" ht="20.25" customHeight="1" x14ac:dyDescent="0.3">
      <c r="A135" s="137"/>
      <c r="B135" s="137"/>
      <c r="C135" s="137"/>
      <c r="D135" s="194"/>
      <c r="E135" s="194"/>
      <c r="F135" s="137"/>
      <c r="G135" s="137"/>
      <c r="H135" s="137"/>
      <c r="I135" s="137"/>
      <c r="J135" s="137"/>
      <c r="K135" s="195"/>
      <c r="L135" s="196"/>
      <c r="M135" s="196"/>
      <c r="N135" s="196"/>
      <c r="O135" s="196"/>
      <c r="P135" s="127"/>
    </row>
    <row r="136" spans="1:16" ht="20.25" customHeight="1" x14ac:dyDescent="0.3">
      <c r="A136" s="137"/>
      <c r="B136" s="137"/>
      <c r="C136" s="137"/>
      <c r="D136" s="194"/>
      <c r="E136" s="194"/>
      <c r="F136" s="137"/>
      <c r="G136" s="137"/>
      <c r="H136" s="137"/>
      <c r="I136" s="137"/>
      <c r="J136" s="137"/>
      <c r="K136" s="195"/>
      <c r="L136" s="196"/>
      <c r="M136" s="196"/>
      <c r="N136" s="196"/>
      <c r="O136" s="196"/>
      <c r="P136" s="127"/>
    </row>
    <row r="137" spans="1:16" ht="20.25" customHeight="1" x14ac:dyDescent="0.3">
      <c r="A137" s="137"/>
      <c r="B137" s="137"/>
      <c r="C137" s="137"/>
      <c r="D137" s="194"/>
      <c r="E137" s="194"/>
      <c r="F137" s="137"/>
      <c r="G137" s="137"/>
      <c r="H137" s="137"/>
      <c r="I137" s="137"/>
      <c r="J137" s="137"/>
      <c r="K137" s="195"/>
      <c r="L137" s="196"/>
      <c r="M137" s="196"/>
      <c r="N137" s="196"/>
      <c r="O137" s="196"/>
      <c r="P137" s="127"/>
    </row>
    <row r="138" spans="1:16" ht="20.25" customHeight="1" x14ac:dyDescent="0.3">
      <c r="A138" s="137"/>
      <c r="B138" s="137"/>
      <c r="C138" s="137"/>
      <c r="D138" s="194"/>
      <c r="E138" s="194"/>
      <c r="F138" s="137"/>
      <c r="G138" s="137"/>
      <c r="H138" s="137"/>
      <c r="I138" s="137"/>
      <c r="J138" s="137"/>
      <c r="K138" s="195"/>
      <c r="L138" s="196"/>
      <c r="M138" s="196"/>
      <c r="N138" s="196"/>
      <c r="O138" s="196"/>
      <c r="P138" s="127"/>
    </row>
    <row r="139" spans="1:16" ht="20.25" customHeight="1" x14ac:dyDescent="0.3">
      <c r="A139" s="137"/>
      <c r="B139" s="137"/>
      <c r="C139" s="137"/>
      <c r="D139" s="194"/>
      <c r="E139" s="194"/>
      <c r="F139" s="137"/>
      <c r="G139" s="137"/>
      <c r="H139" s="137"/>
      <c r="I139" s="137"/>
      <c r="J139" s="137"/>
      <c r="K139" s="195"/>
      <c r="L139" s="196"/>
      <c r="M139" s="196"/>
      <c r="N139" s="196"/>
      <c r="O139" s="196"/>
      <c r="P139" s="127"/>
    </row>
    <row r="140" spans="1:16" ht="20.25" customHeight="1" x14ac:dyDescent="0.3">
      <c r="A140" s="137"/>
      <c r="B140" s="137"/>
      <c r="C140" s="137"/>
      <c r="D140" s="194"/>
      <c r="E140" s="194"/>
      <c r="F140" s="137"/>
      <c r="G140" s="137"/>
      <c r="H140" s="137"/>
      <c r="I140" s="137"/>
      <c r="J140" s="137"/>
      <c r="K140" s="195"/>
      <c r="L140" s="196"/>
      <c r="M140" s="196"/>
      <c r="N140" s="196"/>
      <c r="O140" s="196"/>
      <c r="P140" s="127"/>
    </row>
    <row r="141" spans="1:16" ht="20.25" customHeight="1" x14ac:dyDescent="0.3">
      <c r="A141" s="137"/>
      <c r="B141" s="137"/>
      <c r="C141" s="137"/>
      <c r="D141" s="194"/>
      <c r="E141" s="194"/>
      <c r="F141" s="137"/>
      <c r="G141" s="137"/>
      <c r="H141" s="137"/>
      <c r="I141" s="137"/>
      <c r="J141" s="137"/>
      <c r="K141" s="195"/>
      <c r="L141" s="196"/>
      <c r="M141" s="196"/>
      <c r="N141" s="196"/>
      <c r="O141" s="196"/>
      <c r="P141" s="127"/>
    </row>
    <row r="142" spans="1:16" ht="20.25" customHeight="1" x14ac:dyDescent="0.3">
      <c r="A142" s="137"/>
      <c r="B142" s="137"/>
      <c r="C142" s="137"/>
      <c r="D142" s="194"/>
      <c r="E142" s="194"/>
      <c r="F142" s="137"/>
      <c r="G142" s="137"/>
      <c r="H142" s="137"/>
      <c r="I142" s="137"/>
      <c r="J142" s="137"/>
      <c r="K142" s="195"/>
      <c r="L142" s="196"/>
      <c r="M142" s="196"/>
      <c r="N142" s="196"/>
      <c r="O142" s="196"/>
      <c r="P142" s="127"/>
    </row>
    <row r="143" spans="1:16" ht="20.25" customHeight="1" x14ac:dyDescent="0.3">
      <c r="A143" s="137"/>
      <c r="B143" s="137"/>
      <c r="C143" s="137"/>
      <c r="D143" s="194"/>
      <c r="E143" s="194"/>
      <c r="F143" s="137"/>
      <c r="G143" s="137"/>
      <c r="H143" s="137"/>
      <c r="I143" s="137"/>
      <c r="J143" s="137"/>
      <c r="K143" s="195"/>
      <c r="L143" s="196"/>
      <c r="M143" s="196"/>
      <c r="N143" s="196"/>
      <c r="O143" s="196"/>
      <c r="P143" s="127"/>
    </row>
    <row r="144" spans="1:16" ht="20.25" customHeight="1" x14ac:dyDescent="0.3">
      <c r="A144" s="137"/>
      <c r="B144" s="137"/>
      <c r="C144" s="137"/>
      <c r="D144" s="194"/>
      <c r="E144" s="194"/>
      <c r="F144" s="137"/>
      <c r="G144" s="137"/>
      <c r="H144" s="137"/>
      <c r="I144" s="137"/>
      <c r="J144" s="137"/>
      <c r="K144" s="195"/>
      <c r="L144" s="196"/>
      <c r="M144" s="196"/>
      <c r="N144" s="196"/>
      <c r="O144" s="196"/>
      <c r="P144" s="127"/>
    </row>
    <row r="145" spans="1:16" ht="20.25" customHeight="1" x14ac:dyDescent="0.3">
      <c r="A145" s="137"/>
      <c r="B145" s="137"/>
      <c r="C145" s="137"/>
      <c r="D145" s="194"/>
      <c r="E145" s="194"/>
      <c r="F145" s="137"/>
      <c r="G145" s="137"/>
      <c r="H145" s="137"/>
      <c r="I145" s="137"/>
      <c r="J145" s="137"/>
      <c r="K145" s="195"/>
      <c r="L145" s="196"/>
      <c r="M145" s="196"/>
      <c r="N145" s="196"/>
      <c r="O145" s="196"/>
      <c r="P145" s="127"/>
    </row>
    <row r="146" spans="1:16" ht="20.25" customHeight="1" x14ac:dyDescent="0.3">
      <c r="A146" s="137"/>
      <c r="B146" s="137"/>
      <c r="C146" s="137"/>
      <c r="D146" s="194"/>
      <c r="E146" s="194"/>
      <c r="F146" s="137"/>
      <c r="G146" s="137"/>
      <c r="H146" s="137"/>
      <c r="I146" s="137"/>
      <c r="J146" s="137"/>
      <c r="K146" s="195"/>
      <c r="L146" s="196"/>
      <c r="M146" s="196"/>
      <c r="N146" s="196"/>
      <c r="O146" s="196"/>
      <c r="P146" s="127"/>
    </row>
    <row r="147" spans="1:16" ht="20.25" customHeight="1" x14ac:dyDescent="0.3">
      <c r="A147" s="137"/>
      <c r="B147" s="137"/>
      <c r="C147" s="137"/>
      <c r="D147" s="194"/>
      <c r="E147" s="194"/>
      <c r="F147" s="137"/>
      <c r="G147" s="137"/>
      <c r="H147" s="137"/>
      <c r="I147" s="137"/>
      <c r="J147" s="137"/>
      <c r="K147" s="195"/>
      <c r="L147" s="196"/>
      <c r="M147" s="196"/>
      <c r="N147" s="196"/>
      <c r="O147" s="196"/>
      <c r="P147" s="127"/>
    </row>
    <row r="148" spans="1:16" ht="20.25" customHeight="1" x14ac:dyDescent="0.3">
      <c r="A148" s="137"/>
      <c r="B148" s="137"/>
      <c r="C148" s="137"/>
      <c r="D148" s="194"/>
      <c r="E148" s="194"/>
      <c r="F148" s="137"/>
      <c r="G148" s="137"/>
      <c r="H148" s="137"/>
      <c r="I148" s="137"/>
      <c r="J148" s="137"/>
      <c r="K148" s="195"/>
      <c r="L148" s="196"/>
      <c r="M148" s="196"/>
      <c r="N148" s="196"/>
      <c r="O148" s="196"/>
      <c r="P148" s="127"/>
    </row>
    <row r="149" spans="1:16" ht="20.25" customHeight="1" x14ac:dyDescent="0.3">
      <c r="A149" s="137"/>
      <c r="B149" s="137"/>
      <c r="C149" s="137"/>
      <c r="D149" s="194"/>
      <c r="E149" s="194"/>
      <c r="F149" s="137"/>
      <c r="G149" s="137"/>
      <c r="H149" s="137"/>
      <c r="I149" s="137"/>
      <c r="J149" s="137"/>
      <c r="K149" s="195"/>
      <c r="L149" s="196"/>
      <c r="M149" s="196"/>
      <c r="N149" s="196"/>
      <c r="O149" s="196"/>
      <c r="P149" s="127"/>
    </row>
    <row r="150" spans="1:16" ht="20.25" customHeight="1" x14ac:dyDescent="0.3">
      <c r="A150" s="137"/>
      <c r="B150" s="137"/>
      <c r="C150" s="137"/>
      <c r="D150" s="194"/>
      <c r="E150" s="194"/>
      <c r="F150" s="137"/>
      <c r="G150" s="137"/>
      <c r="H150" s="137"/>
      <c r="I150" s="137"/>
      <c r="J150" s="137"/>
      <c r="K150" s="195"/>
      <c r="L150" s="196"/>
      <c r="M150" s="196"/>
      <c r="N150" s="196"/>
      <c r="O150" s="196"/>
      <c r="P150" s="127"/>
    </row>
    <row r="151" spans="1:16" ht="20.25" customHeight="1" x14ac:dyDescent="0.3">
      <c r="A151" s="137"/>
      <c r="B151" s="137"/>
      <c r="C151" s="137"/>
      <c r="D151" s="194"/>
      <c r="E151" s="194"/>
      <c r="F151" s="137"/>
      <c r="G151" s="137"/>
      <c r="H151" s="137"/>
      <c r="I151" s="137"/>
      <c r="J151" s="137"/>
      <c r="K151" s="195"/>
      <c r="L151" s="196"/>
      <c r="M151" s="196"/>
      <c r="N151" s="196"/>
      <c r="O151" s="196"/>
      <c r="P151" s="127"/>
    </row>
    <row r="152" spans="1:16" ht="20.25" customHeight="1" x14ac:dyDescent="0.3">
      <c r="A152" s="137"/>
      <c r="B152" s="137"/>
      <c r="C152" s="137"/>
      <c r="D152" s="194"/>
      <c r="E152" s="194"/>
      <c r="F152" s="137"/>
      <c r="G152" s="137"/>
      <c r="H152" s="137"/>
      <c r="I152" s="137"/>
      <c r="J152" s="137"/>
      <c r="K152" s="195"/>
      <c r="L152" s="196"/>
      <c r="M152" s="196"/>
      <c r="N152" s="196"/>
      <c r="O152" s="196"/>
      <c r="P152" s="127"/>
    </row>
    <row r="153" spans="1:16" ht="20.25" customHeight="1" x14ac:dyDescent="0.3">
      <c r="A153" s="137"/>
      <c r="B153" s="137"/>
      <c r="C153" s="137"/>
      <c r="D153" s="194"/>
      <c r="E153" s="194"/>
      <c r="F153" s="137"/>
      <c r="G153" s="137"/>
      <c r="H153" s="137"/>
      <c r="I153" s="137"/>
      <c r="J153" s="137"/>
      <c r="K153" s="195"/>
      <c r="L153" s="196"/>
      <c r="M153" s="196"/>
      <c r="N153" s="196"/>
      <c r="O153" s="196"/>
      <c r="P153" s="127"/>
    </row>
    <row r="154" spans="1:16" ht="20.25" customHeight="1" x14ac:dyDescent="0.3">
      <c r="A154" s="137"/>
      <c r="B154" s="137"/>
      <c r="C154" s="137"/>
      <c r="D154" s="194"/>
      <c r="E154" s="194"/>
      <c r="F154" s="137"/>
      <c r="G154" s="137"/>
      <c r="H154" s="137"/>
      <c r="I154" s="137"/>
      <c r="J154" s="137"/>
      <c r="K154" s="195"/>
      <c r="L154" s="196"/>
      <c r="M154" s="196"/>
      <c r="N154" s="196"/>
      <c r="O154" s="196"/>
      <c r="P154" s="127"/>
    </row>
    <row r="155" spans="1:16" ht="20.25" customHeight="1" x14ac:dyDescent="0.3">
      <c r="A155" s="137"/>
      <c r="B155" s="137"/>
      <c r="C155" s="137"/>
      <c r="D155" s="194"/>
      <c r="E155" s="194"/>
      <c r="F155" s="137"/>
      <c r="G155" s="137"/>
      <c r="H155" s="137"/>
      <c r="I155" s="137"/>
      <c r="J155" s="137"/>
      <c r="K155" s="195"/>
      <c r="L155" s="196"/>
      <c r="M155" s="196"/>
      <c r="N155" s="196"/>
      <c r="O155" s="196"/>
      <c r="P155" s="127"/>
    </row>
    <row r="156" spans="1:16" ht="20.25" customHeight="1" x14ac:dyDescent="0.3">
      <c r="A156" s="137"/>
      <c r="B156" s="137"/>
      <c r="C156" s="137"/>
      <c r="D156" s="194"/>
      <c r="E156" s="194"/>
      <c r="F156" s="137"/>
      <c r="G156" s="137"/>
      <c r="H156" s="137"/>
      <c r="I156" s="137"/>
      <c r="J156" s="137"/>
      <c r="K156" s="195"/>
      <c r="L156" s="196"/>
      <c r="M156" s="196"/>
      <c r="N156" s="196"/>
      <c r="O156" s="196"/>
      <c r="P156" s="127"/>
    </row>
    <row r="157" spans="1:16" ht="20.25" customHeight="1" x14ac:dyDescent="0.3">
      <c r="A157" s="137"/>
      <c r="B157" s="137"/>
      <c r="C157" s="137"/>
      <c r="D157" s="194"/>
      <c r="E157" s="194"/>
      <c r="F157" s="137"/>
      <c r="G157" s="137"/>
      <c r="H157" s="137"/>
      <c r="I157" s="137"/>
      <c r="J157" s="137"/>
      <c r="K157" s="195"/>
      <c r="L157" s="196"/>
      <c r="M157" s="196"/>
      <c r="N157" s="196"/>
      <c r="O157" s="196"/>
      <c r="P157" s="127"/>
    </row>
    <row r="158" spans="1:16" ht="20.25" customHeight="1" x14ac:dyDescent="0.3">
      <c r="A158" s="137"/>
      <c r="B158" s="137"/>
      <c r="C158" s="137"/>
      <c r="D158" s="194"/>
      <c r="E158" s="194"/>
      <c r="F158" s="137"/>
      <c r="G158" s="137"/>
      <c r="H158" s="137"/>
      <c r="I158" s="137"/>
      <c r="J158" s="137"/>
      <c r="K158" s="195"/>
      <c r="L158" s="196"/>
      <c r="M158" s="196"/>
      <c r="N158" s="196"/>
      <c r="O158" s="196"/>
      <c r="P158" s="127"/>
    </row>
    <row r="159" spans="1:16" ht="20.25" customHeight="1" x14ac:dyDescent="0.3">
      <c r="A159" s="137"/>
      <c r="B159" s="137"/>
      <c r="C159" s="137"/>
      <c r="D159" s="194"/>
      <c r="E159" s="194"/>
      <c r="F159" s="137"/>
      <c r="G159" s="137"/>
      <c r="H159" s="137"/>
      <c r="I159" s="137"/>
      <c r="J159" s="137"/>
      <c r="K159" s="195"/>
      <c r="L159" s="196"/>
      <c r="M159" s="196"/>
      <c r="N159" s="196"/>
      <c r="O159" s="196"/>
      <c r="P159" s="127"/>
    </row>
    <row r="160" spans="1:16" ht="20.25" customHeight="1" x14ac:dyDescent="0.3">
      <c r="A160" s="137"/>
      <c r="B160" s="137"/>
      <c r="C160" s="137"/>
      <c r="D160" s="194"/>
      <c r="E160" s="194"/>
      <c r="F160" s="137"/>
      <c r="G160" s="137"/>
      <c r="H160" s="137"/>
      <c r="I160" s="137"/>
      <c r="J160" s="137"/>
      <c r="K160" s="195"/>
      <c r="L160" s="196"/>
      <c r="M160" s="196"/>
      <c r="N160" s="196"/>
      <c r="O160" s="196"/>
      <c r="P160" s="127"/>
    </row>
    <row r="161" spans="1:16" ht="20.25" customHeight="1" x14ac:dyDescent="0.3">
      <c r="A161" s="137"/>
      <c r="B161" s="137"/>
      <c r="C161" s="137"/>
      <c r="D161" s="194"/>
      <c r="E161" s="194"/>
      <c r="F161" s="137"/>
      <c r="G161" s="137"/>
      <c r="H161" s="137"/>
      <c r="I161" s="137"/>
      <c r="J161" s="137"/>
      <c r="K161" s="195"/>
      <c r="L161" s="196"/>
      <c r="M161" s="196"/>
      <c r="N161" s="196"/>
      <c r="O161" s="196"/>
      <c r="P161" s="127"/>
    </row>
    <row r="162" spans="1:16" ht="20.25" customHeight="1" x14ac:dyDescent="0.3">
      <c r="A162" s="137"/>
      <c r="B162" s="137"/>
      <c r="C162" s="137"/>
      <c r="D162" s="194"/>
      <c r="E162" s="194"/>
      <c r="F162" s="137"/>
      <c r="G162" s="137"/>
      <c r="H162" s="137"/>
      <c r="I162" s="137"/>
      <c r="J162" s="137"/>
      <c r="K162" s="195"/>
      <c r="L162" s="196"/>
      <c r="M162" s="196"/>
      <c r="N162" s="196"/>
      <c r="O162" s="196"/>
      <c r="P162" s="127"/>
    </row>
    <row r="163" spans="1:16" ht="20.25" customHeight="1" x14ac:dyDescent="0.3">
      <c r="A163" s="137"/>
      <c r="B163" s="137"/>
      <c r="C163" s="137"/>
      <c r="D163" s="194"/>
      <c r="E163" s="194"/>
      <c r="F163" s="137"/>
      <c r="G163" s="137"/>
      <c r="H163" s="137"/>
      <c r="I163" s="137"/>
      <c r="J163" s="137"/>
      <c r="K163" s="195"/>
      <c r="L163" s="196"/>
      <c r="M163" s="196"/>
      <c r="N163" s="196"/>
      <c r="O163" s="196"/>
      <c r="P163" s="127"/>
    </row>
    <row r="164" spans="1:16" ht="20.25" customHeight="1" x14ac:dyDescent="0.3">
      <c r="A164" s="137"/>
      <c r="B164" s="137"/>
      <c r="C164" s="137"/>
      <c r="D164" s="194"/>
      <c r="E164" s="194"/>
      <c r="F164" s="137"/>
      <c r="G164" s="137"/>
      <c r="H164" s="137"/>
      <c r="I164" s="137"/>
      <c r="J164" s="137"/>
      <c r="K164" s="195"/>
      <c r="L164" s="196"/>
      <c r="M164" s="196"/>
      <c r="N164" s="196"/>
      <c r="O164" s="196"/>
      <c r="P164" s="127"/>
    </row>
    <row r="165" spans="1:16" ht="20.25" customHeight="1" x14ac:dyDescent="0.3">
      <c r="A165" s="137"/>
      <c r="B165" s="137"/>
      <c r="C165" s="137"/>
      <c r="D165" s="194"/>
      <c r="E165" s="194"/>
      <c r="F165" s="137"/>
      <c r="G165" s="137"/>
      <c r="H165" s="137"/>
      <c r="I165" s="137"/>
      <c r="J165" s="137"/>
      <c r="K165" s="195"/>
      <c r="L165" s="196"/>
      <c r="M165" s="196"/>
      <c r="N165" s="196"/>
      <c r="O165" s="196"/>
      <c r="P165" s="127"/>
    </row>
    <row r="166" spans="1:16" ht="20.25" customHeight="1" x14ac:dyDescent="0.3">
      <c r="A166" s="137"/>
      <c r="B166" s="137"/>
      <c r="C166" s="137"/>
      <c r="D166" s="194"/>
      <c r="E166" s="194"/>
      <c r="F166" s="137"/>
      <c r="G166" s="137"/>
      <c r="H166" s="137"/>
      <c r="I166" s="137"/>
      <c r="J166" s="137"/>
      <c r="K166" s="195"/>
      <c r="L166" s="196"/>
      <c r="M166" s="196"/>
      <c r="N166" s="196"/>
      <c r="O166" s="196"/>
      <c r="P166" s="127"/>
    </row>
    <row r="167" spans="1:16" ht="20.25" customHeight="1" x14ac:dyDescent="0.3">
      <c r="A167" s="137"/>
      <c r="B167" s="137"/>
      <c r="C167" s="137"/>
      <c r="D167" s="194"/>
      <c r="E167" s="194"/>
      <c r="F167" s="137"/>
      <c r="G167" s="137"/>
      <c r="H167" s="137"/>
      <c r="I167" s="137"/>
      <c r="J167" s="137"/>
      <c r="K167" s="195"/>
      <c r="L167" s="196"/>
      <c r="M167" s="196"/>
      <c r="N167" s="196"/>
      <c r="O167" s="196"/>
      <c r="P167" s="127"/>
    </row>
    <row r="168" spans="1:16" ht="20.25" customHeight="1" x14ac:dyDescent="0.3">
      <c r="A168" s="137"/>
      <c r="B168" s="137"/>
      <c r="C168" s="137"/>
      <c r="D168" s="194"/>
      <c r="E168" s="194"/>
      <c r="F168" s="137"/>
      <c r="G168" s="137"/>
      <c r="H168" s="137"/>
      <c r="I168" s="137"/>
      <c r="J168" s="137"/>
      <c r="K168" s="195"/>
      <c r="L168" s="196"/>
      <c r="M168" s="196"/>
      <c r="N168" s="196"/>
      <c r="O168" s="196"/>
      <c r="P168" s="127"/>
    </row>
    <row r="169" spans="1:16" ht="20.25" customHeight="1" x14ac:dyDescent="0.3">
      <c r="A169" s="137"/>
      <c r="B169" s="137"/>
      <c r="C169" s="137"/>
      <c r="D169" s="194"/>
      <c r="E169" s="194"/>
      <c r="F169" s="137"/>
      <c r="G169" s="137"/>
      <c r="H169" s="137"/>
      <c r="I169" s="137"/>
      <c r="J169" s="137"/>
      <c r="K169" s="195"/>
      <c r="L169" s="196"/>
      <c r="M169" s="196"/>
      <c r="N169" s="196"/>
      <c r="O169" s="196"/>
      <c r="P169" s="127"/>
    </row>
    <row r="170" spans="1:16" ht="20.25" customHeight="1" x14ac:dyDescent="0.3">
      <c r="A170" s="137"/>
      <c r="B170" s="137"/>
      <c r="C170" s="137"/>
      <c r="D170" s="194"/>
      <c r="E170" s="194"/>
      <c r="F170" s="137"/>
      <c r="G170" s="137"/>
      <c r="H170" s="137"/>
      <c r="I170" s="137"/>
      <c r="J170" s="137"/>
      <c r="K170" s="195"/>
      <c r="L170" s="196"/>
      <c r="M170" s="196"/>
      <c r="N170" s="196"/>
      <c r="O170" s="196"/>
      <c r="P170" s="127"/>
    </row>
    <row r="171" spans="1:16" ht="20.25" customHeight="1" x14ac:dyDescent="0.3">
      <c r="A171" s="137"/>
      <c r="B171" s="137"/>
      <c r="C171" s="137"/>
      <c r="D171" s="194"/>
      <c r="E171" s="194"/>
      <c r="F171" s="137"/>
      <c r="G171" s="137"/>
      <c r="H171" s="137"/>
      <c r="I171" s="137"/>
      <c r="J171" s="137"/>
      <c r="K171" s="195"/>
      <c r="L171" s="196"/>
      <c r="M171" s="196"/>
      <c r="N171" s="196"/>
      <c r="O171" s="196"/>
      <c r="P171" s="127"/>
    </row>
    <row r="172" spans="1:16" ht="20.25" customHeight="1" x14ac:dyDescent="0.3">
      <c r="A172" s="137"/>
      <c r="B172" s="137"/>
      <c r="C172" s="137"/>
      <c r="D172" s="194"/>
      <c r="E172" s="194"/>
      <c r="F172" s="137"/>
      <c r="G172" s="137"/>
      <c r="H172" s="137"/>
      <c r="I172" s="137"/>
      <c r="J172" s="137"/>
      <c r="K172" s="195"/>
      <c r="L172" s="196"/>
      <c r="M172" s="196"/>
      <c r="N172" s="196"/>
      <c r="O172" s="196"/>
      <c r="P172" s="127"/>
    </row>
    <row r="173" spans="1:16" ht="20.25" customHeight="1" x14ac:dyDescent="0.3">
      <c r="A173" s="137"/>
      <c r="B173" s="137"/>
      <c r="C173" s="137"/>
      <c r="D173" s="194"/>
      <c r="E173" s="194"/>
      <c r="F173" s="137"/>
      <c r="G173" s="137"/>
      <c r="H173" s="137"/>
      <c r="I173" s="137"/>
      <c r="J173" s="137"/>
      <c r="K173" s="195"/>
      <c r="L173" s="196"/>
      <c r="M173" s="196"/>
      <c r="N173" s="196"/>
      <c r="O173" s="196"/>
      <c r="P173" s="127"/>
    </row>
    <row r="174" spans="1:16" ht="20.25" customHeight="1" x14ac:dyDescent="0.3">
      <c r="A174" s="137"/>
      <c r="B174" s="137"/>
      <c r="C174" s="137"/>
      <c r="D174" s="194"/>
      <c r="E174" s="194"/>
      <c r="F174" s="137"/>
      <c r="G174" s="137"/>
      <c r="H174" s="137"/>
      <c r="I174" s="137"/>
      <c r="J174" s="137"/>
      <c r="K174" s="195"/>
      <c r="L174" s="196"/>
      <c r="M174" s="196"/>
      <c r="N174" s="196"/>
      <c r="O174" s="196"/>
      <c r="P174" s="127"/>
    </row>
    <row r="175" spans="1:16" ht="20.25" customHeight="1" x14ac:dyDescent="0.3">
      <c r="A175" s="137"/>
      <c r="B175" s="137"/>
      <c r="C175" s="137"/>
      <c r="D175" s="194"/>
      <c r="E175" s="194"/>
      <c r="F175" s="137"/>
      <c r="G175" s="137"/>
      <c r="H175" s="137"/>
      <c r="I175" s="137"/>
      <c r="J175" s="137"/>
      <c r="K175" s="195"/>
      <c r="L175" s="196"/>
      <c r="M175" s="196"/>
      <c r="N175" s="196"/>
      <c r="O175" s="196"/>
      <c r="P175" s="127"/>
    </row>
    <row r="176" spans="1:16" ht="20.25" customHeight="1" x14ac:dyDescent="0.3">
      <c r="A176" s="137"/>
      <c r="B176" s="137"/>
      <c r="C176" s="137"/>
      <c r="D176" s="194"/>
      <c r="E176" s="194"/>
      <c r="F176" s="137"/>
      <c r="G176" s="137"/>
      <c r="H176" s="137"/>
      <c r="I176" s="137"/>
      <c r="J176" s="137"/>
      <c r="K176" s="195"/>
      <c r="L176" s="196"/>
      <c r="M176" s="196"/>
      <c r="N176" s="196"/>
      <c r="O176" s="196"/>
      <c r="P176" s="127"/>
    </row>
    <row r="177" spans="1:16" ht="20.25" customHeight="1" x14ac:dyDescent="0.3">
      <c r="A177" s="137"/>
      <c r="B177" s="137"/>
      <c r="C177" s="137"/>
      <c r="D177" s="194"/>
      <c r="E177" s="194"/>
      <c r="F177" s="137"/>
      <c r="G177" s="137"/>
      <c r="H177" s="137"/>
      <c r="I177" s="137"/>
      <c r="J177" s="137"/>
      <c r="K177" s="195"/>
      <c r="L177" s="196"/>
      <c r="M177" s="196"/>
      <c r="N177" s="196"/>
      <c r="O177" s="196"/>
      <c r="P177" s="127"/>
    </row>
    <row r="178" spans="1:16" ht="20.25" customHeight="1" x14ac:dyDescent="0.3">
      <c r="A178" s="137"/>
      <c r="B178" s="137"/>
      <c r="C178" s="137"/>
      <c r="D178" s="194"/>
      <c r="E178" s="194"/>
      <c r="F178" s="137"/>
      <c r="G178" s="137"/>
      <c r="H178" s="137"/>
      <c r="I178" s="137"/>
      <c r="J178" s="137"/>
      <c r="K178" s="195"/>
      <c r="L178" s="196"/>
      <c r="M178" s="196"/>
      <c r="N178" s="196"/>
      <c r="O178" s="196"/>
      <c r="P178" s="127"/>
    </row>
    <row r="179" spans="1:16" ht="20.25" customHeight="1" x14ac:dyDescent="0.3">
      <c r="A179" s="137"/>
      <c r="B179" s="137"/>
      <c r="C179" s="137"/>
      <c r="D179" s="194"/>
      <c r="E179" s="194"/>
      <c r="F179" s="137"/>
      <c r="G179" s="137"/>
      <c r="H179" s="137"/>
      <c r="I179" s="137"/>
      <c r="J179" s="137"/>
      <c r="K179" s="195"/>
      <c r="L179" s="196"/>
      <c r="M179" s="196"/>
      <c r="N179" s="196"/>
      <c r="O179" s="196"/>
      <c r="P179" s="127"/>
    </row>
    <row r="180" spans="1:16" ht="20.25" customHeight="1" x14ac:dyDescent="0.3">
      <c r="A180" s="137"/>
      <c r="B180" s="137"/>
      <c r="C180" s="137"/>
      <c r="D180" s="194"/>
      <c r="E180" s="194"/>
      <c r="F180" s="137"/>
      <c r="G180" s="137"/>
      <c r="H180" s="137"/>
      <c r="I180" s="137"/>
      <c r="J180" s="137"/>
      <c r="K180" s="195"/>
      <c r="L180" s="196"/>
      <c r="M180" s="196"/>
      <c r="N180" s="196"/>
      <c r="O180" s="196"/>
      <c r="P180" s="127"/>
    </row>
    <row r="181" spans="1:16" ht="20.25" customHeight="1" x14ac:dyDescent="0.3">
      <c r="A181" s="137"/>
      <c r="B181" s="137"/>
      <c r="C181" s="137"/>
      <c r="D181" s="194"/>
      <c r="E181" s="194"/>
      <c r="F181" s="137"/>
      <c r="G181" s="137"/>
      <c r="H181" s="137"/>
      <c r="I181" s="137"/>
      <c r="J181" s="137"/>
      <c r="K181" s="195"/>
      <c r="L181" s="196"/>
      <c r="M181" s="196"/>
      <c r="N181" s="196"/>
      <c r="O181" s="196"/>
      <c r="P181" s="127"/>
    </row>
    <row r="182" spans="1:16" ht="20.25" customHeight="1" x14ac:dyDescent="0.3">
      <c r="A182" s="137"/>
      <c r="B182" s="137"/>
      <c r="C182" s="137"/>
      <c r="D182" s="194"/>
      <c r="E182" s="194"/>
      <c r="F182" s="137"/>
      <c r="G182" s="137"/>
      <c r="H182" s="137"/>
      <c r="I182" s="137"/>
      <c r="J182" s="137"/>
      <c r="K182" s="195"/>
      <c r="L182" s="196"/>
      <c r="M182" s="196"/>
      <c r="N182" s="196"/>
      <c r="O182" s="196"/>
      <c r="P182" s="127"/>
    </row>
    <row r="183" spans="1:16" ht="20.25" customHeight="1" x14ac:dyDescent="0.3">
      <c r="A183" s="137"/>
      <c r="B183" s="137"/>
      <c r="C183" s="137"/>
      <c r="D183" s="194"/>
      <c r="E183" s="194"/>
      <c r="F183" s="137"/>
      <c r="G183" s="137"/>
      <c r="H183" s="137"/>
      <c r="I183" s="137"/>
      <c r="J183" s="137"/>
      <c r="K183" s="195"/>
      <c r="L183" s="196"/>
      <c r="M183" s="196"/>
      <c r="N183" s="196"/>
      <c r="O183" s="196"/>
      <c r="P183" s="127"/>
    </row>
    <row r="184" spans="1:16" ht="20.25" customHeight="1" x14ac:dyDescent="0.3">
      <c r="A184" s="137"/>
      <c r="B184" s="137"/>
      <c r="C184" s="137"/>
      <c r="D184" s="194"/>
      <c r="E184" s="194"/>
      <c r="F184" s="137"/>
      <c r="G184" s="137"/>
      <c r="H184" s="137"/>
      <c r="I184" s="137"/>
      <c r="J184" s="137"/>
      <c r="K184" s="195"/>
      <c r="L184" s="196"/>
      <c r="M184" s="196"/>
      <c r="N184" s="196"/>
      <c r="O184" s="196"/>
      <c r="P184" s="127"/>
    </row>
    <row r="185" spans="1:16" ht="20.25" customHeight="1" x14ac:dyDescent="0.3">
      <c r="A185" s="137"/>
      <c r="B185" s="137"/>
      <c r="C185" s="137"/>
      <c r="D185" s="194"/>
      <c r="E185" s="194"/>
      <c r="F185" s="137"/>
      <c r="G185" s="137"/>
      <c r="H185" s="137"/>
      <c r="I185" s="137"/>
      <c r="J185" s="137"/>
      <c r="K185" s="195"/>
      <c r="L185" s="196"/>
      <c r="M185" s="196"/>
      <c r="N185" s="196"/>
      <c r="O185" s="196"/>
      <c r="P185" s="127"/>
    </row>
    <row r="186" spans="1:16" ht="20.25" customHeight="1" x14ac:dyDescent="0.3">
      <c r="A186" s="137"/>
      <c r="B186" s="137"/>
      <c r="C186" s="137"/>
      <c r="D186" s="194"/>
      <c r="E186" s="194"/>
      <c r="F186" s="137"/>
      <c r="G186" s="137"/>
      <c r="H186" s="137"/>
      <c r="I186" s="137"/>
      <c r="J186" s="137"/>
      <c r="K186" s="195"/>
      <c r="L186" s="196"/>
      <c r="M186" s="196"/>
      <c r="N186" s="196"/>
      <c r="O186" s="196"/>
      <c r="P186" s="127"/>
    </row>
    <row r="187" spans="1:16" ht="20.25" customHeight="1" x14ac:dyDescent="0.3">
      <c r="A187" s="137"/>
      <c r="B187" s="137"/>
      <c r="C187" s="137"/>
      <c r="D187" s="194"/>
      <c r="E187" s="194"/>
      <c r="F187" s="137"/>
      <c r="G187" s="137"/>
      <c r="H187" s="137"/>
      <c r="I187" s="137"/>
      <c r="J187" s="137"/>
      <c r="K187" s="195"/>
      <c r="L187" s="196"/>
      <c r="M187" s="196"/>
      <c r="N187" s="196"/>
      <c r="O187" s="196"/>
      <c r="P187" s="127"/>
    </row>
    <row r="188" spans="1:16" ht="20.25" customHeight="1" x14ac:dyDescent="0.3">
      <c r="A188" s="137"/>
      <c r="B188" s="137"/>
      <c r="C188" s="137"/>
      <c r="D188" s="194"/>
      <c r="E188" s="194"/>
      <c r="F188" s="137"/>
      <c r="G188" s="137"/>
      <c r="H188" s="137"/>
      <c r="I188" s="137"/>
      <c r="J188" s="137"/>
      <c r="K188" s="195"/>
      <c r="L188" s="196"/>
      <c r="M188" s="196"/>
      <c r="N188" s="196"/>
      <c r="O188" s="196"/>
      <c r="P188" s="127"/>
    </row>
    <row r="189" spans="1:16" ht="20.25" customHeight="1" x14ac:dyDescent="0.3">
      <c r="A189" s="137"/>
      <c r="B189" s="137"/>
      <c r="C189" s="137"/>
      <c r="D189" s="194"/>
      <c r="E189" s="194"/>
      <c r="F189" s="137"/>
      <c r="G189" s="137"/>
      <c r="H189" s="137"/>
      <c r="I189" s="137"/>
      <c r="J189" s="137"/>
      <c r="K189" s="195"/>
      <c r="L189" s="196"/>
      <c r="M189" s="196"/>
      <c r="N189" s="196"/>
      <c r="O189" s="196"/>
      <c r="P189" s="127"/>
    </row>
    <row r="190" spans="1:16" ht="20.25" customHeight="1" x14ac:dyDescent="0.3">
      <c r="A190" s="137"/>
      <c r="B190" s="137"/>
      <c r="C190" s="137"/>
      <c r="D190" s="194"/>
      <c r="E190" s="194"/>
      <c r="F190" s="137"/>
      <c r="G190" s="137"/>
      <c r="H190" s="137"/>
      <c r="I190" s="137"/>
      <c r="J190" s="137"/>
      <c r="K190" s="195"/>
      <c r="L190" s="196"/>
      <c r="M190" s="196"/>
      <c r="N190" s="196"/>
      <c r="O190" s="196"/>
      <c r="P190" s="127"/>
    </row>
    <row r="191" spans="1:16" ht="20.25" customHeight="1" x14ac:dyDescent="0.3">
      <c r="A191" s="137"/>
      <c r="B191" s="137"/>
      <c r="C191" s="137"/>
      <c r="D191" s="194"/>
      <c r="E191" s="194"/>
      <c r="F191" s="137"/>
      <c r="G191" s="137"/>
      <c r="H191" s="137"/>
      <c r="I191" s="137"/>
      <c r="J191" s="137"/>
      <c r="K191" s="195"/>
      <c r="L191" s="196"/>
      <c r="M191" s="196"/>
      <c r="N191" s="196"/>
      <c r="O191" s="196"/>
      <c r="P191" s="127"/>
    </row>
    <row r="192" spans="1:16" ht="20.25" customHeight="1" x14ac:dyDescent="0.3">
      <c r="A192" s="137"/>
      <c r="B192" s="137"/>
      <c r="C192" s="137"/>
      <c r="D192" s="194"/>
      <c r="E192" s="194"/>
      <c r="F192" s="137"/>
      <c r="G192" s="137"/>
      <c r="H192" s="137"/>
      <c r="I192" s="137"/>
      <c r="J192" s="137"/>
      <c r="K192" s="195"/>
      <c r="L192" s="196"/>
      <c r="M192" s="196"/>
      <c r="N192" s="196"/>
      <c r="O192" s="196"/>
      <c r="P192" s="127"/>
    </row>
    <row r="193" spans="1:16" ht="20.25" customHeight="1" x14ac:dyDescent="0.3">
      <c r="A193" s="137"/>
      <c r="B193" s="137"/>
      <c r="C193" s="137"/>
      <c r="D193" s="194"/>
      <c r="E193" s="194"/>
      <c r="F193" s="137"/>
      <c r="G193" s="137"/>
      <c r="H193" s="137"/>
      <c r="I193" s="137"/>
      <c r="J193" s="137"/>
      <c r="K193" s="195"/>
      <c r="L193" s="196"/>
      <c r="M193" s="196"/>
      <c r="N193" s="196"/>
      <c r="O193" s="196"/>
      <c r="P193" s="127"/>
    </row>
    <row r="194" spans="1:16" ht="20.25" customHeight="1" x14ac:dyDescent="0.3">
      <c r="A194" s="137"/>
      <c r="B194" s="137"/>
      <c r="C194" s="137"/>
      <c r="D194" s="194"/>
      <c r="E194" s="194"/>
      <c r="F194" s="137"/>
      <c r="G194" s="137"/>
      <c r="H194" s="137"/>
      <c r="I194" s="137"/>
      <c r="J194" s="137"/>
      <c r="K194" s="195"/>
      <c r="L194" s="196"/>
      <c r="M194" s="196"/>
      <c r="N194" s="196"/>
      <c r="O194" s="196"/>
      <c r="P194" s="127"/>
    </row>
    <row r="195" spans="1:16" ht="20.25" customHeight="1" x14ac:dyDescent="0.3">
      <c r="A195" s="137"/>
      <c r="B195" s="137"/>
      <c r="C195" s="137"/>
      <c r="D195" s="194"/>
      <c r="E195" s="194"/>
      <c r="F195" s="137"/>
      <c r="G195" s="137"/>
      <c r="H195" s="137"/>
      <c r="I195" s="137"/>
      <c r="J195" s="137"/>
      <c r="K195" s="195"/>
      <c r="L195" s="196"/>
      <c r="M195" s="196"/>
      <c r="N195" s="196"/>
      <c r="O195" s="196"/>
      <c r="P195" s="127"/>
    </row>
    <row r="196" spans="1:16" ht="20.25" customHeight="1" x14ac:dyDescent="0.3">
      <c r="A196" s="137"/>
      <c r="B196" s="137"/>
      <c r="C196" s="137"/>
      <c r="D196" s="194"/>
      <c r="E196" s="194"/>
      <c r="F196" s="137"/>
      <c r="G196" s="137"/>
      <c r="H196" s="137"/>
      <c r="I196" s="137"/>
      <c r="J196" s="137"/>
      <c r="K196" s="195"/>
      <c r="L196" s="196"/>
      <c r="M196" s="196"/>
      <c r="N196" s="196"/>
      <c r="O196" s="196"/>
      <c r="P196" s="127"/>
    </row>
    <row r="197" spans="1:16" ht="20.25" customHeight="1" x14ac:dyDescent="0.3">
      <c r="A197" s="137"/>
      <c r="B197" s="137"/>
      <c r="C197" s="137"/>
      <c r="D197" s="194"/>
      <c r="E197" s="194"/>
      <c r="F197" s="137"/>
      <c r="G197" s="137"/>
      <c r="H197" s="137"/>
      <c r="I197" s="137"/>
      <c r="J197" s="137"/>
      <c r="K197" s="195"/>
      <c r="L197" s="196"/>
      <c r="M197" s="196"/>
      <c r="N197" s="196"/>
      <c r="O197" s="196"/>
      <c r="P197" s="127"/>
    </row>
    <row r="198" spans="1:16" ht="20.25" customHeight="1" x14ac:dyDescent="0.3">
      <c r="A198" s="137"/>
      <c r="B198" s="137"/>
      <c r="C198" s="137"/>
      <c r="D198" s="194"/>
      <c r="E198" s="194"/>
      <c r="F198" s="137"/>
      <c r="G198" s="137"/>
      <c r="H198" s="137"/>
      <c r="I198" s="137"/>
      <c r="J198" s="137"/>
      <c r="K198" s="195"/>
      <c r="L198" s="196"/>
      <c r="M198" s="196"/>
      <c r="N198" s="196"/>
      <c r="O198" s="196"/>
      <c r="P198" s="127"/>
    </row>
    <row r="199" spans="1:16" ht="20.25" customHeight="1" x14ac:dyDescent="0.3">
      <c r="A199" s="137"/>
      <c r="B199" s="137"/>
      <c r="C199" s="137"/>
      <c r="D199" s="194"/>
      <c r="E199" s="194"/>
      <c r="F199" s="137"/>
      <c r="G199" s="137"/>
      <c r="H199" s="137"/>
      <c r="I199" s="137"/>
      <c r="J199" s="137"/>
      <c r="K199" s="195"/>
      <c r="L199" s="196"/>
      <c r="M199" s="196"/>
      <c r="N199" s="196"/>
      <c r="O199" s="196"/>
      <c r="P199" s="127"/>
    </row>
    <row r="200" spans="1:16" ht="20.25" customHeight="1" x14ac:dyDescent="0.3">
      <c r="A200" s="137"/>
      <c r="B200" s="137"/>
      <c r="C200" s="137"/>
      <c r="D200" s="194"/>
      <c r="E200" s="194"/>
      <c r="F200" s="137"/>
      <c r="G200" s="137"/>
      <c r="H200" s="137"/>
      <c r="I200" s="137"/>
      <c r="J200" s="137"/>
      <c r="K200" s="195"/>
      <c r="L200" s="196"/>
      <c r="M200" s="196"/>
      <c r="N200" s="196"/>
      <c r="O200" s="196"/>
      <c r="P200" s="127"/>
    </row>
    <row r="201" spans="1:16" ht="20.25" customHeight="1" x14ac:dyDescent="0.3">
      <c r="A201" s="137"/>
      <c r="B201" s="137"/>
      <c r="C201" s="137"/>
      <c r="D201" s="194"/>
      <c r="E201" s="194"/>
      <c r="F201" s="137"/>
      <c r="G201" s="137"/>
      <c r="H201" s="137"/>
      <c r="I201" s="137"/>
      <c r="J201" s="137"/>
      <c r="K201" s="195"/>
      <c r="L201" s="196"/>
      <c r="M201" s="196"/>
      <c r="N201" s="196"/>
      <c r="O201" s="196"/>
      <c r="P201" s="127"/>
    </row>
    <row r="202" spans="1:16" ht="20.25" customHeight="1" x14ac:dyDescent="0.3">
      <c r="A202" s="137"/>
      <c r="B202" s="137"/>
      <c r="C202" s="137"/>
      <c r="D202" s="194"/>
      <c r="E202" s="194"/>
      <c r="F202" s="137"/>
      <c r="G202" s="137"/>
      <c r="H202" s="137"/>
      <c r="I202" s="137"/>
      <c r="J202" s="137"/>
      <c r="K202" s="195"/>
      <c r="L202" s="196"/>
      <c r="M202" s="196"/>
      <c r="N202" s="196"/>
      <c r="O202" s="196"/>
      <c r="P202" s="127"/>
    </row>
    <row r="203" spans="1:16" ht="20.25" customHeight="1" x14ac:dyDescent="0.3">
      <c r="A203" s="137"/>
      <c r="B203" s="137"/>
      <c r="C203" s="137"/>
      <c r="D203" s="194"/>
      <c r="E203" s="194"/>
      <c r="F203" s="137"/>
      <c r="G203" s="137"/>
      <c r="H203" s="137"/>
      <c r="I203" s="137"/>
      <c r="J203" s="137"/>
      <c r="K203" s="195"/>
      <c r="L203" s="196"/>
      <c r="M203" s="196"/>
      <c r="N203" s="196"/>
      <c r="O203" s="196"/>
      <c r="P203" s="127"/>
    </row>
    <row r="204" spans="1:16" ht="20.25" customHeight="1" x14ac:dyDescent="0.3">
      <c r="A204" s="137"/>
      <c r="B204" s="137"/>
      <c r="C204" s="137"/>
      <c r="D204" s="194"/>
      <c r="E204" s="194"/>
      <c r="F204" s="137"/>
      <c r="G204" s="137"/>
      <c r="H204" s="137"/>
      <c r="I204" s="137"/>
      <c r="J204" s="137"/>
      <c r="K204" s="195"/>
      <c r="L204" s="196"/>
      <c r="M204" s="196"/>
      <c r="N204" s="196"/>
      <c r="O204" s="196"/>
      <c r="P204" s="127"/>
    </row>
    <row r="205" spans="1:16" ht="20.25" customHeight="1" x14ac:dyDescent="0.3">
      <c r="A205" s="137"/>
      <c r="B205" s="137"/>
      <c r="C205" s="137"/>
      <c r="D205" s="194"/>
      <c r="E205" s="194"/>
      <c r="F205" s="137"/>
      <c r="G205" s="137"/>
      <c r="H205" s="137"/>
      <c r="I205" s="137"/>
      <c r="J205" s="137"/>
      <c r="K205" s="195"/>
      <c r="L205" s="196"/>
      <c r="M205" s="196"/>
      <c r="N205" s="196"/>
      <c r="O205" s="196"/>
      <c r="P205" s="127"/>
    </row>
    <row r="206" spans="1:16" ht="20.25" customHeight="1" x14ac:dyDescent="0.3">
      <c r="A206" s="137"/>
      <c r="B206" s="137"/>
      <c r="C206" s="137"/>
      <c r="D206" s="194"/>
      <c r="E206" s="194"/>
      <c r="F206" s="137"/>
      <c r="G206" s="137"/>
      <c r="H206" s="137"/>
      <c r="I206" s="137"/>
      <c r="J206" s="137"/>
      <c r="K206" s="195"/>
      <c r="L206" s="196"/>
      <c r="M206" s="196"/>
      <c r="N206" s="196"/>
      <c r="O206" s="196"/>
      <c r="P206" s="127"/>
    </row>
    <row r="207" spans="1:16" ht="20.25" customHeight="1" x14ac:dyDescent="0.3">
      <c r="A207" s="137"/>
      <c r="B207" s="137"/>
      <c r="C207" s="137"/>
      <c r="D207" s="194"/>
      <c r="E207" s="194"/>
      <c r="F207" s="137"/>
      <c r="G207" s="137"/>
      <c r="H207" s="137"/>
      <c r="I207" s="137"/>
      <c r="J207" s="137"/>
      <c r="K207" s="195"/>
      <c r="L207" s="196"/>
      <c r="M207" s="196"/>
      <c r="N207" s="196"/>
      <c r="O207" s="196"/>
      <c r="P207" s="127"/>
    </row>
    <row r="208" spans="1:16" ht="20.25" customHeight="1" x14ac:dyDescent="0.3">
      <c r="A208" s="137"/>
      <c r="B208" s="137"/>
      <c r="C208" s="137"/>
      <c r="D208" s="194"/>
      <c r="E208" s="194"/>
      <c r="F208" s="137"/>
      <c r="G208" s="137"/>
      <c r="H208" s="137"/>
      <c r="I208" s="137"/>
      <c r="J208" s="137"/>
      <c r="K208" s="195"/>
      <c r="L208" s="196"/>
      <c r="M208" s="196"/>
      <c r="N208" s="196"/>
      <c r="O208" s="196"/>
      <c r="P208" s="127"/>
    </row>
    <row r="209" spans="1:16" ht="20.25" customHeight="1" x14ac:dyDescent="0.3">
      <c r="A209" s="137"/>
      <c r="B209" s="137"/>
      <c r="C209" s="137"/>
      <c r="D209" s="194"/>
      <c r="E209" s="194"/>
      <c r="F209" s="137"/>
      <c r="G209" s="137"/>
      <c r="H209" s="137"/>
      <c r="I209" s="137"/>
      <c r="J209" s="137"/>
      <c r="K209" s="195"/>
      <c r="L209" s="196"/>
      <c r="M209" s="196"/>
      <c r="N209" s="196"/>
      <c r="O209" s="196"/>
      <c r="P209" s="127"/>
    </row>
    <row r="210" spans="1:16" ht="20.25" customHeight="1" x14ac:dyDescent="0.3">
      <c r="A210" s="137"/>
      <c r="B210" s="137"/>
      <c r="C210" s="137"/>
      <c r="D210" s="194"/>
      <c r="E210" s="194"/>
      <c r="F210" s="137"/>
      <c r="G210" s="137"/>
      <c r="H210" s="137"/>
      <c r="I210" s="137"/>
      <c r="J210" s="137"/>
      <c r="K210" s="195"/>
      <c r="L210" s="196"/>
      <c r="M210" s="196"/>
      <c r="N210" s="196"/>
      <c r="O210" s="196"/>
      <c r="P210" s="127"/>
    </row>
    <row r="211" spans="1:16" ht="20.25" customHeight="1" x14ac:dyDescent="0.3">
      <c r="A211" s="137"/>
      <c r="B211" s="137"/>
      <c r="C211" s="137"/>
      <c r="D211" s="194"/>
      <c r="E211" s="194"/>
      <c r="F211" s="137"/>
      <c r="G211" s="137"/>
      <c r="H211" s="137"/>
      <c r="I211" s="137"/>
      <c r="J211" s="137"/>
      <c r="K211" s="195"/>
      <c r="L211" s="196"/>
      <c r="M211" s="196"/>
      <c r="N211" s="196"/>
      <c r="O211" s="196"/>
      <c r="P211" s="127"/>
    </row>
    <row r="212" spans="1:16" ht="20.25" customHeight="1" x14ac:dyDescent="0.3">
      <c r="A212" s="137"/>
      <c r="B212" s="137"/>
      <c r="C212" s="137"/>
      <c r="D212" s="194"/>
      <c r="E212" s="194"/>
      <c r="F212" s="137"/>
      <c r="G212" s="137"/>
      <c r="H212" s="137"/>
      <c r="I212" s="137"/>
      <c r="J212" s="137"/>
      <c r="K212" s="195"/>
      <c r="L212" s="196"/>
      <c r="M212" s="196"/>
      <c r="N212" s="196"/>
      <c r="O212" s="196"/>
      <c r="P212" s="127"/>
    </row>
    <row r="213" spans="1:16" ht="20.25" customHeight="1" x14ac:dyDescent="0.3">
      <c r="A213" s="137"/>
      <c r="B213" s="137"/>
      <c r="C213" s="137"/>
      <c r="D213" s="194"/>
      <c r="E213" s="194"/>
      <c r="F213" s="137"/>
      <c r="G213" s="137"/>
      <c r="H213" s="137"/>
      <c r="I213" s="137"/>
      <c r="J213" s="137"/>
      <c r="K213" s="195"/>
      <c r="L213" s="196"/>
      <c r="M213" s="196"/>
      <c r="N213" s="196"/>
      <c r="O213" s="196"/>
      <c r="P213" s="127"/>
    </row>
    <row r="214" spans="1:16" ht="20.25" customHeight="1" x14ac:dyDescent="0.3">
      <c r="A214" s="137"/>
      <c r="B214" s="137"/>
      <c r="C214" s="137"/>
      <c r="D214" s="194"/>
      <c r="E214" s="194"/>
      <c r="F214" s="137"/>
      <c r="G214" s="137"/>
      <c r="H214" s="137"/>
      <c r="I214" s="137"/>
      <c r="J214" s="137"/>
      <c r="K214" s="195"/>
      <c r="L214" s="196"/>
      <c r="M214" s="196"/>
      <c r="N214" s="196"/>
      <c r="O214" s="196"/>
      <c r="P214" s="127"/>
    </row>
    <row r="215" spans="1:16" ht="20.25" customHeight="1" x14ac:dyDescent="0.3">
      <c r="A215" s="137"/>
      <c r="B215" s="137"/>
      <c r="C215" s="137"/>
      <c r="D215" s="194"/>
      <c r="E215" s="194"/>
      <c r="F215" s="137"/>
      <c r="G215" s="137"/>
      <c r="H215" s="137"/>
      <c r="I215" s="137"/>
      <c r="J215" s="137"/>
      <c r="K215" s="195"/>
      <c r="L215" s="196"/>
      <c r="M215" s="196"/>
      <c r="N215" s="196"/>
      <c r="O215" s="196"/>
      <c r="P215" s="127"/>
    </row>
    <row r="216" spans="1:16" ht="20.25" customHeight="1" x14ac:dyDescent="0.3">
      <c r="A216" s="137"/>
      <c r="B216" s="137"/>
      <c r="C216" s="137"/>
      <c r="D216" s="194"/>
      <c r="E216" s="194"/>
      <c r="F216" s="137"/>
      <c r="G216" s="137"/>
      <c r="H216" s="137"/>
      <c r="I216" s="137"/>
      <c r="J216" s="137"/>
      <c r="K216" s="195"/>
      <c r="L216" s="196"/>
      <c r="M216" s="196"/>
      <c r="N216" s="196"/>
      <c r="O216" s="196"/>
      <c r="P216" s="127"/>
    </row>
    <row r="217" spans="1:16" ht="20.25" customHeight="1" x14ac:dyDescent="0.3">
      <c r="A217" s="137"/>
      <c r="B217" s="137"/>
      <c r="C217" s="137"/>
      <c r="D217" s="194"/>
      <c r="E217" s="194"/>
      <c r="F217" s="137"/>
      <c r="G217" s="137"/>
      <c r="H217" s="137"/>
      <c r="I217" s="137"/>
      <c r="J217" s="137"/>
      <c r="K217" s="195"/>
      <c r="L217" s="196"/>
      <c r="M217" s="196"/>
      <c r="N217" s="196"/>
      <c r="O217" s="196"/>
      <c r="P217" s="127"/>
    </row>
    <row r="218" spans="1:16" ht="20.25" customHeight="1" x14ac:dyDescent="0.3">
      <c r="A218" s="137"/>
      <c r="B218" s="137"/>
      <c r="C218" s="137"/>
      <c r="D218" s="194"/>
      <c r="E218" s="194"/>
      <c r="F218" s="137"/>
      <c r="G218" s="137"/>
      <c r="H218" s="137"/>
      <c r="I218" s="137"/>
      <c r="J218" s="137"/>
      <c r="K218" s="195"/>
      <c r="L218" s="196"/>
      <c r="M218" s="196"/>
      <c r="N218" s="196"/>
      <c r="O218" s="196"/>
      <c r="P218" s="127"/>
    </row>
    <row r="219" spans="1:16" ht="20.25" customHeight="1" x14ac:dyDescent="0.3">
      <c r="A219" s="137"/>
      <c r="B219" s="137"/>
      <c r="C219" s="137"/>
      <c r="D219" s="194"/>
      <c r="E219" s="194"/>
      <c r="F219" s="137"/>
      <c r="G219" s="137"/>
      <c r="H219" s="137"/>
      <c r="I219" s="137"/>
      <c r="J219" s="137"/>
      <c r="K219" s="195"/>
      <c r="L219" s="196"/>
      <c r="M219" s="196"/>
      <c r="N219" s="196"/>
      <c r="O219" s="196"/>
      <c r="P219" s="127"/>
    </row>
    <row r="220" spans="1:16" ht="20.25" customHeight="1" x14ac:dyDescent="0.3">
      <c r="A220" s="137"/>
      <c r="B220" s="137"/>
      <c r="C220" s="137"/>
      <c r="D220" s="194"/>
      <c r="E220" s="194"/>
      <c r="F220" s="137"/>
      <c r="G220" s="137"/>
      <c r="H220" s="137"/>
      <c r="I220" s="137"/>
      <c r="J220" s="137"/>
      <c r="K220" s="195"/>
      <c r="L220" s="196"/>
      <c r="M220" s="196"/>
      <c r="N220" s="196"/>
      <c r="O220" s="196"/>
      <c r="P220" s="127"/>
    </row>
    <row r="221" spans="1:16" ht="20.25" customHeight="1" x14ac:dyDescent="0.3">
      <c r="A221" s="137"/>
      <c r="B221" s="137"/>
      <c r="C221" s="137"/>
      <c r="D221" s="194"/>
      <c r="E221" s="194"/>
      <c r="F221" s="137"/>
      <c r="G221" s="137"/>
      <c r="H221" s="137"/>
      <c r="I221" s="137"/>
      <c r="J221" s="137"/>
      <c r="K221" s="195"/>
      <c r="L221" s="196"/>
      <c r="M221" s="196"/>
      <c r="N221" s="196"/>
      <c r="O221" s="196"/>
      <c r="P221" s="127"/>
    </row>
    <row r="222" spans="1:16" ht="20.25" customHeight="1" x14ac:dyDescent="0.3">
      <c r="A222" s="137"/>
      <c r="B222" s="137"/>
      <c r="C222" s="137"/>
      <c r="D222" s="194"/>
      <c r="E222" s="194"/>
      <c r="F222" s="137"/>
      <c r="G222" s="137"/>
      <c r="H222" s="137"/>
      <c r="I222" s="137"/>
      <c r="J222" s="137"/>
      <c r="K222" s="195"/>
      <c r="L222" s="196"/>
      <c r="M222" s="196"/>
      <c r="N222" s="196"/>
      <c r="O222" s="196"/>
      <c r="P222" s="127"/>
    </row>
    <row r="223" spans="1:16" ht="20.25" customHeight="1" x14ac:dyDescent="0.3">
      <c r="A223" s="137"/>
      <c r="B223" s="137"/>
      <c r="C223" s="137"/>
      <c r="D223" s="194"/>
      <c r="E223" s="194"/>
      <c r="F223" s="137"/>
      <c r="G223" s="137"/>
      <c r="H223" s="137"/>
      <c r="I223" s="137"/>
      <c r="J223" s="137"/>
      <c r="K223" s="195"/>
      <c r="L223" s="196"/>
      <c r="M223" s="196"/>
      <c r="N223" s="196"/>
      <c r="O223" s="196"/>
      <c r="P223" s="127"/>
    </row>
    <row r="224" spans="1:16" ht="20.25" customHeight="1" x14ac:dyDescent="0.3">
      <c r="A224" s="137"/>
      <c r="B224" s="137"/>
      <c r="C224" s="137"/>
      <c r="D224" s="194"/>
      <c r="E224" s="194"/>
      <c r="F224" s="137"/>
      <c r="G224" s="137"/>
      <c r="H224" s="137"/>
      <c r="I224" s="137"/>
      <c r="J224" s="137"/>
      <c r="K224" s="195"/>
      <c r="L224" s="196"/>
      <c r="M224" s="196"/>
      <c r="N224" s="196"/>
      <c r="O224" s="196"/>
      <c r="P224" s="127"/>
    </row>
    <row r="225" spans="1:16" ht="20.25" customHeight="1" x14ac:dyDescent="0.3">
      <c r="A225" s="137"/>
      <c r="B225" s="137"/>
      <c r="C225" s="137"/>
      <c r="D225" s="194"/>
      <c r="E225" s="194"/>
      <c r="F225" s="137"/>
      <c r="G225" s="137"/>
      <c r="H225" s="137"/>
      <c r="I225" s="137"/>
      <c r="J225" s="137"/>
      <c r="K225" s="195"/>
      <c r="L225" s="196"/>
      <c r="M225" s="196"/>
      <c r="N225" s="196"/>
      <c r="O225" s="196"/>
      <c r="P225" s="127"/>
    </row>
    <row r="226" spans="1:16" ht="20.25" customHeight="1" x14ac:dyDescent="0.3">
      <c r="A226" s="137"/>
      <c r="B226" s="137"/>
      <c r="C226" s="137"/>
      <c r="D226" s="194"/>
      <c r="E226" s="194"/>
      <c r="F226" s="137"/>
      <c r="G226" s="137"/>
      <c r="H226" s="137"/>
      <c r="I226" s="137"/>
      <c r="J226" s="137"/>
      <c r="K226" s="195"/>
      <c r="L226" s="196"/>
      <c r="M226" s="196"/>
      <c r="N226" s="196"/>
      <c r="O226" s="196"/>
      <c r="P226" s="127"/>
    </row>
    <row r="227" spans="1:16" ht="20.25" customHeight="1" x14ac:dyDescent="0.3">
      <c r="A227" s="137"/>
      <c r="B227" s="137"/>
      <c r="C227" s="137"/>
      <c r="D227" s="194"/>
      <c r="E227" s="194"/>
      <c r="F227" s="137"/>
      <c r="G227" s="137"/>
      <c r="H227" s="137"/>
      <c r="I227" s="137"/>
      <c r="J227" s="137"/>
      <c r="K227" s="195"/>
      <c r="L227" s="196"/>
      <c r="M227" s="196"/>
      <c r="N227" s="196"/>
      <c r="O227" s="196"/>
      <c r="P227" s="127"/>
    </row>
    <row r="228" spans="1:16" ht="20.25" customHeight="1" x14ac:dyDescent="0.3">
      <c r="A228" s="137"/>
      <c r="B228" s="137"/>
      <c r="C228" s="137"/>
      <c r="D228" s="194"/>
      <c r="E228" s="194"/>
      <c r="F228" s="137"/>
      <c r="G228" s="137"/>
      <c r="H228" s="137"/>
      <c r="I228" s="137"/>
      <c r="J228" s="137"/>
      <c r="K228" s="195"/>
      <c r="L228" s="196"/>
      <c r="M228" s="196"/>
      <c r="N228" s="196"/>
      <c r="O228" s="196"/>
      <c r="P228" s="127"/>
    </row>
    <row r="229" spans="1:16" ht="20.25" customHeight="1" x14ac:dyDescent="0.3">
      <c r="A229" s="137"/>
      <c r="B229" s="137"/>
      <c r="C229" s="137"/>
      <c r="D229" s="194"/>
      <c r="E229" s="194"/>
      <c r="F229" s="137"/>
      <c r="G229" s="137"/>
      <c r="H229" s="137"/>
      <c r="I229" s="137"/>
      <c r="J229" s="137"/>
      <c r="K229" s="195"/>
      <c r="L229" s="196"/>
      <c r="M229" s="196"/>
      <c r="N229" s="196"/>
      <c r="O229" s="196"/>
      <c r="P229" s="127"/>
    </row>
    <row r="230" spans="1:16" ht="20.25" customHeight="1" x14ac:dyDescent="0.3">
      <c r="A230" s="137"/>
      <c r="B230" s="137"/>
      <c r="C230" s="137"/>
      <c r="D230" s="194"/>
      <c r="E230" s="194"/>
      <c r="F230" s="137"/>
      <c r="G230" s="137"/>
      <c r="H230" s="137"/>
      <c r="I230" s="137"/>
      <c r="J230" s="137"/>
      <c r="K230" s="195"/>
      <c r="L230" s="196"/>
      <c r="M230" s="196"/>
      <c r="N230" s="196"/>
      <c r="O230" s="196"/>
      <c r="P230" s="127"/>
    </row>
    <row r="231" spans="1:16" ht="20.25" customHeight="1" x14ac:dyDescent="0.3">
      <c r="A231" s="137"/>
      <c r="B231" s="137"/>
      <c r="C231" s="137"/>
      <c r="D231" s="194"/>
      <c r="E231" s="194"/>
      <c r="F231" s="137"/>
      <c r="G231" s="137"/>
      <c r="H231" s="137"/>
      <c r="I231" s="137"/>
      <c r="J231" s="137"/>
      <c r="K231" s="195"/>
      <c r="L231" s="196"/>
      <c r="M231" s="196"/>
      <c r="N231" s="196"/>
      <c r="O231" s="196"/>
      <c r="P231" s="127"/>
    </row>
    <row r="232" spans="1:16" ht="20.25" customHeight="1" x14ac:dyDescent="0.3">
      <c r="A232" s="137"/>
      <c r="B232" s="137"/>
      <c r="C232" s="137"/>
      <c r="D232" s="194"/>
      <c r="E232" s="194"/>
      <c r="F232" s="137"/>
      <c r="G232" s="137"/>
      <c r="H232" s="137"/>
      <c r="I232" s="137"/>
      <c r="J232" s="137"/>
      <c r="K232" s="195"/>
      <c r="L232" s="196"/>
      <c r="M232" s="196"/>
      <c r="N232" s="196"/>
      <c r="O232" s="196"/>
      <c r="P232" s="127"/>
    </row>
    <row r="233" spans="1:16" ht="20.25" customHeight="1" x14ac:dyDescent="0.3">
      <c r="A233" s="137"/>
      <c r="B233" s="137"/>
      <c r="C233" s="137"/>
      <c r="D233" s="194"/>
      <c r="E233" s="194"/>
      <c r="F233" s="137"/>
      <c r="G233" s="137"/>
      <c r="H233" s="137"/>
      <c r="I233" s="137"/>
      <c r="J233" s="137"/>
      <c r="K233" s="195"/>
      <c r="L233" s="196"/>
      <c r="M233" s="196"/>
      <c r="N233" s="196"/>
      <c r="O233" s="196"/>
      <c r="P233" s="127"/>
    </row>
    <row r="234" spans="1:16" ht="20.25" customHeight="1" x14ac:dyDescent="0.3">
      <c r="A234" s="137"/>
      <c r="B234" s="137"/>
      <c r="C234" s="137"/>
      <c r="D234" s="194"/>
      <c r="E234" s="194"/>
      <c r="F234" s="137"/>
      <c r="G234" s="137"/>
      <c r="H234" s="137"/>
      <c r="I234" s="137"/>
      <c r="J234" s="137"/>
      <c r="K234" s="195"/>
      <c r="L234" s="196"/>
      <c r="M234" s="196"/>
      <c r="N234" s="196"/>
      <c r="O234" s="196"/>
      <c r="P234" s="127"/>
    </row>
    <row r="235" spans="1:16" ht="20.25" customHeight="1" x14ac:dyDescent="0.3">
      <c r="A235" s="137"/>
      <c r="B235" s="137"/>
      <c r="C235" s="137"/>
      <c r="D235" s="194"/>
      <c r="E235" s="194"/>
      <c r="F235" s="137"/>
      <c r="G235" s="137"/>
      <c r="H235" s="137"/>
      <c r="I235" s="137"/>
      <c r="J235" s="137"/>
      <c r="K235" s="195"/>
      <c r="L235" s="196"/>
      <c r="M235" s="196"/>
      <c r="N235" s="196"/>
      <c r="O235" s="196"/>
      <c r="P235" s="127"/>
    </row>
    <row r="236" spans="1:16" ht="20.25" customHeight="1" x14ac:dyDescent="0.3">
      <c r="A236" s="137"/>
      <c r="B236" s="137"/>
      <c r="C236" s="137"/>
      <c r="D236" s="194"/>
      <c r="E236" s="194"/>
      <c r="F236" s="137"/>
      <c r="G236" s="137"/>
      <c r="H236" s="137"/>
      <c r="I236" s="137"/>
      <c r="J236" s="137"/>
      <c r="K236" s="195"/>
      <c r="L236" s="196"/>
      <c r="M236" s="196"/>
      <c r="N236" s="196"/>
      <c r="O236" s="196"/>
      <c r="P236" s="127"/>
    </row>
    <row r="237" spans="1:16" ht="20.25" customHeight="1" x14ac:dyDescent="0.3">
      <c r="A237" s="137"/>
      <c r="B237" s="137"/>
      <c r="C237" s="137"/>
      <c r="D237" s="194"/>
      <c r="E237" s="194"/>
      <c r="F237" s="137"/>
      <c r="G237" s="137"/>
      <c r="H237" s="137"/>
      <c r="I237" s="137"/>
      <c r="J237" s="137"/>
      <c r="K237" s="195"/>
      <c r="L237" s="196"/>
      <c r="M237" s="196"/>
      <c r="N237" s="196"/>
      <c r="O237" s="196"/>
      <c r="P237" s="127"/>
    </row>
    <row r="238" spans="1:16" ht="20.25" customHeight="1" x14ac:dyDescent="0.3">
      <c r="A238" s="137"/>
      <c r="B238" s="137"/>
      <c r="C238" s="137"/>
      <c r="D238" s="194"/>
      <c r="E238" s="194"/>
      <c r="F238" s="137"/>
      <c r="G238" s="137"/>
      <c r="H238" s="137"/>
      <c r="I238" s="137"/>
      <c r="J238" s="137"/>
      <c r="K238" s="195"/>
      <c r="L238" s="196"/>
      <c r="M238" s="196"/>
      <c r="N238" s="196"/>
      <c r="O238" s="196"/>
      <c r="P238" s="127"/>
    </row>
    <row r="239" spans="1:16" ht="20.25" customHeight="1" x14ac:dyDescent="0.3">
      <c r="A239" s="137"/>
      <c r="B239" s="137"/>
      <c r="C239" s="137"/>
      <c r="D239" s="194"/>
      <c r="E239" s="194"/>
      <c r="F239" s="137"/>
      <c r="G239" s="137"/>
      <c r="H239" s="137"/>
      <c r="I239" s="137"/>
      <c r="J239" s="137"/>
      <c r="K239" s="195"/>
      <c r="L239" s="196"/>
      <c r="M239" s="196"/>
      <c r="N239" s="196"/>
      <c r="O239" s="196"/>
      <c r="P239" s="127"/>
    </row>
    <row r="240" spans="1:16" ht="20.25" customHeight="1" x14ac:dyDescent="0.3">
      <c r="A240" s="137"/>
      <c r="B240" s="137"/>
      <c r="C240" s="137"/>
      <c r="D240" s="194"/>
      <c r="E240" s="194"/>
      <c r="F240" s="137"/>
      <c r="G240" s="137"/>
      <c r="H240" s="137"/>
      <c r="I240" s="137"/>
      <c r="J240" s="137"/>
      <c r="K240" s="195"/>
      <c r="L240" s="196"/>
      <c r="M240" s="196"/>
      <c r="N240" s="196"/>
      <c r="O240" s="196"/>
      <c r="P240" s="127"/>
    </row>
    <row r="241" spans="1:16" ht="20.25" customHeight="1" x14ac:dyDescent="0.3">
      <c r="A241" s="137"/>
      <c r="B241" s="137"/>
      <c r="C241" s="137"/>
      <c r="D241" s="194"/>
      <c r="E241" s="194"/>
      <c r="F241" s="137"/>
      <c r="G241" s="137"/>
      <c r="H241" s="137"/>
      <c r="I241" s="137"/>
      <c r="J241" s="137"/>
      <c r="K241" s="195"/>
      <c r="L241" s="196"/>
      <c r="M241" s="196"/>
      <c r="N241" s="196"/>
      <c r="O241" s="196"/>
      <c r="P241" s="127"/>
    </row>
    <row r="242" spans="1:16" ht="20.25" customHeight="1" x14ac:dyDescent="0.3">
      <c r="A242" s="137"/>
      <c r="B242" s="137"/>
      <c r="C242" s="137"/>
      <c r="D242" s="194"/>
      <c r="E242" s="194"/>
      <c r="F242" s="137"/>
      <c r="G242" s="137"/>
      <c r="H242" s="137"/>
      <c r="I242" s="137"/>
      <c r="J242" s="137"/>
      <c r="K242" s="195"/>
      <c r="L242" s="196"/>
      <c r="M242" s="196"/>
      <c r="N242" s="196"/>
      <c r="O242" s="196"/>
      <c r="P242" s="127"/>
    </row>
    <row r="243" spans="1:16" ht="20.25" customHeight="1" x14ac:dyDescent="0.3">
      <c r="A243" s="137"/>
      <c r="B243" s="137"/>
      <c r="C243" s="137"/>
      <c r="D243" s="194"/>
      <c r="E243" s="194"/>
      <c r="F243" s="137"/>
      <c r="G243" s="137"/>
      <c r="H243" s="137"/>
      <c r="I243" s="137"/>
      <c r="J243" s="137"/>
      <c r="K243" s="195"/>
      <c r="L243" s="196"/>
      <c r="M243" s="196"/>
      <c r="N243" s="196"/>
      <c r="O243" s="196"/>
      <c r="P243" s="127"/>
    </row>
    <row r="244" spans="1:16" ht="20.25" customHeight="1" x14ac:dyDescent="0.3">
      <c r="A244" s="137"/>
      <c r="B244" s="137"/>
      <c r="C244" s="137"/>
      <c r="D244" s="194"/>
      <c r="E244" s="194"/>
      <c r="F244" s="137"/>
      <c r="G244" s="137"/>
      <c r="H244" s="137"/>
      <c r="I244" s="137"/>
      <c r="J244" s="137"/>
      <c r="K244" s="195"/>
      <c r="L244" s="196"/>
      <c r="M244" s="196"/>
      <c r="N244" s="196"/>
      <c r="O244" s="196"/>
      <c r="P244" s="127"/>
    </row>
    <row r="245" spans="1:16" ht="20.25" customHeight="1" x14ac:dyDescent="0.3">
      <c r="A245" s="137"/>
      <c r="B245" s="137"/>
      <c r="C245" s="137"/>
      <c r="D245" s="194"/>
      <c r="E245" s="194"/>
      <c r="F245" s="137"/>
      <c r="G245" s="137"/>
      <c r="H245" s="137"/>
      <c r="I245" s="137"/>
      <c r="J245" s="137"/>
      <c r="K245" s="195"/>
      <c r="L245" s="196"/>
      <c r="M245" s="196"/>
      <c r="N245" s="196"/>
      <c r="O245" s="196"/>
      <c r="P245" s="127"/>
    </row>
    <row r="246" spans="1:16" ht="20.25" customHeight="1" x14ac:dyDescent="0.3">
      <c r="A246" s="137"/>
      <c r="B246" s="137"/>
      <c r="C246" s="137"/>
      <c r="D246" s="194"/>
      <c r="E246" s="194"/>
      <c r="F246" s="137"/>
      <c r="G246" s="137"/>
      <c r="H246" s="137"/>
      <c r="I246" s="137"/>
      <c r="J246" s="137"/>
      <c r="K246" s="195"/>
      <c r="L246" s="196"/>
      <c r="M246" s="196"/>
      <c r="N246" s="196"/>
      <c r="O246" s="196"/>
      <c r="P246" s="127"/>
    </row>
    <row r="247" spans="1:16" ht="20.25" customHeight="1" x14ac:dyDescent="0.3">
      <c r="A247" s="137"/>
      <c r="B247" s="137"/>
      <c r="C247" s="137"/>
      <c r="D247" s="194"/>
      <c r="E247" s="194"/>
      <c r="F247" s="137"/>
      <c r="G247" s="137"/>
      <c r="H247" s="137"/>
      <c r="I247" s="137"/>
      <c r="J247" s="137"/>
      <c r="K247" s="195"/>
      <c r="L247" s="196"/>
      <c r="M247" s="196"/>
      <c r="N247" s="196"/>
      <c r="O247" s="196"/>
      <c r="P247" s="127"/>
    </row>
    <row r="248" spans="1:16" ht="20.25" customHeight="1" x14ac:dyDescent="0.3">
      <c r="A248" s="137"/>
      <c r="B248" s="137"/>
      <c r="C248" s="137"/>
      <c r="D248" s="194"/>
      <c r="E248" s="194"/>
      <c r="F248" s="137"/>
      <c r="G248" s="137"/>
      <c r="H248" s="137"/>
      <c r="I248" s="137"/>
      <c r="J248" s="137"/>
      <c r="K248" s="195"/>
      <c r="L248" s="196"/>
      <c r="M248" s="196"/>
      <c r="N248" s="196"/>
      <c r="O248" s="196"/>
      <c r="P248" s="127"/>
    </row>
    <row r="249" spans="1:16" ht="20.25" customHeight="1" x14ac:dyDescent="0.3">
      <c r="A249" s="137"/>
      <c r="B249" s="137"/>
      <c r="C249" s="137"/>
      <c r="D249" s="194"/>
      <c r="E249" s="194"/>
      <c r="F249" s="137"/>
      <c r="G249" s="137"/>
      <c r="H249" s="137"/>
      <c r="I249" s="137"/>
      <c r="J249" s="137"/>
      <c r="K249" s="195"/>
      <c r="L249" s="196"/>
      <c r="M249" s="196"/>
      <c r="N249" s="196"/>
      <c r="O249" s="196"/>
      <c r="P249" s="127"/>
    </row>
    <row r="250" spans="1:16" ht="20.25" customHeight="1" x14ac:dyDescent="0.3">
      <c r="A250" s="137"/>
      <c r="B250" s="137"/>
      <c r="C250" s="137"/>
      <c r="D250" s="194"/>
      <c r="E250" s="194"/>
      <c r="F250" s="137"/>
      <c r="G250" s="137"/>
      <c r="H250" s="137"/>
      <c r="I250" s="137"/>
      <c r="J250" s="137"/>
      <c r="K250" s="195"/>
      <c r="L250" s="196"/>
      <c r="M250" s="196"/>
      <c r="N250" s="196"/>
      <c r="O250" s="196"/>
      <c r="P250" s="127"/>
    </row>
    <row r="251" spans="1:16" ht="20.25" customHeight="1" x14ac:dyDescent="0.3">
      <c r="A251" s="137"/>
      <c r="B251" s="137"/>
      <c r="C251" s="137"/>
      <c r="D251" s="194"/>
      <c r="E251" s="194"/>
      <c r="F251" s="137"/>
      <c r="G251" s="137"/>
      <c r="H251" s="137"/>
      <c r="I251" s="137"/>
      <c r="J251" s="137"/>
      <c r="K251" s="195"/>
      <c r="L251" s="196"/>
      <c r="M251" s="196"/>
      <c r="N251" s="196"/>
      <c r="O251" s="196"/>
      <c r="P251" s="127"/>
    </row>
    <row r="252" spans="1:16" ht="20.25" customHeight="1" x14ac:dyDescent="0.3">
      <c r="A252" s="137"/>
      <c r="B252" s="137"/>
      <c r="C252" s="137"/>
      <c r="D252" s="194"/>
      <c r="E252" s="194"/>
      <c r="F252" s="137"/>
      <c r="G252" s="137"/>
      <c r="H252" s="137"/>
      <c r="I252" s="137"/>
      <c r="J252" s="137"/>
      <c r="K252" s="195"/>
      <c r="L252" s="196"/>
      <c r="M252" s="196"/>
      <c r="N252" s="196"/>
      <c r="O252" s="196"/>
      <c r="P252" s="127"/>
    </row>
    <row r="253" spans="1:16" ht="20.25" customHeight="1" x14ac:dyDescent="0.3">
      <c r="A253" s="137"/>
      <c r="B253" s="137"/>
      <c r="C253" s="137"/>
      <c r="D253" s="194"/>
      <c r="E253" s="194"/>
      <c r="F253" s="137"/>
      <c r="G253" s="137"/>
      <c r="H253" s="137"/>
      <c r="I253" s="137"/>
      <c r="J253" s="137"/>
      <c r="K253" s="195"/>
      <c r="L253" s="196"/>
      <c r="M253" s="196"/>
      <c r="N253" s="196"/>
      <c r="O253" s="196"/>
      <c r="P253" s="127"/>
    </row>
    <row r="254" spans="1:16" ht="20.25" customHeight="1" x14ac:dyDescent="0.3">
      <c r="A254" s="137"/>
      <c r="B254" s="137"/>
      <c r="C254" s="137"/>
      <c r="D254" s="194"/>
      <c r="E254" s="194"/>
      <c r="F254" s="137"/>
      <c r="G254" s="137"/>
      <c r="H254" s="137"/>
      <c r="I254" s="137"/>
      <c r="J254" s="137"/>
      <c r="K254" s="195"/>
      <c r="L254" s="196"/>
      <c r="M254" s="196"/>
      <c r="N254" s="196"/>
      <c r="O254" s="196"/>
      <c r="P254" s="127"/>
    </row>
    <row r="255" spans="1:16" ht="20.25" customHeight="1" x14ac:dyDescent="0.3">
      <c r="A255" s="137"/>
      <c r="B255" s="137"/>
      <c r="C255" s="137"/>
      <c r="D255" s="194"/>
      <c r="E255" s="194"/>
      <c r="F255" s="137"/>
      <c r="G255" s="137"/>
      <c r="H255" s="137"/>
      <c r="I255" s="137"/>
      <c r="J255" s="137"/>
      <c r="K255" s="195"/>
      <c r="L255" s="196"/>
      <c r="M255" s="196"/>
      <c r="N255" s="196"/>
      <c r="O255" s="196"/>
      <c r="P255" s="127"/>
    </row>
    <row r="256" spans="1:16" ht="20.25" customHeight="1" x14ac:dyDescent="0.3">
      <c r="A256" s="137"/>
      <c r="B256" s="137"/>
      <c r="C256" s="137"/>
      <c r="D256" s="194"/>
      <c r="E256" s="194"/>
      <c r="F256" s="137"/>
      <c r="G256" s="137"/>
      <c r="H256" s="137"/>
      <c r="I256" s="137"/>
      <c r="J256" s="137"/>
      <c r="K256" s="195"/>
      <c r="L256" s="196"/>
      <c r="M256" s="196"/>
      <c r="N256" s="196"/>
      <c r="O256" s="196"/>
      <c r="P256" s="127"/>
    </row>
    <row r="257" spans="1:16" ht="20.25" customHeight="1" x14ac:dyDescent="0.3">
      <c r="A257" s="137"/>
      <c r="B257" s="137"/>
      <c r="C257" s="137"/>
      <c r="D257" s="194"/>
      <c r="E257" s="194"/>
      <c r="F257" s="137"/>
      <c r="G257" s="137"/>
      <c r="H257" s="137"/>
      <c r="I257" s="137"/>
      <c r="J257" s="137"/>
      <c r="K257" s="195"/>
      <c r="L257" s="196"/>
      <c r="M257" s="196"/>
      <c r="N257" s="196"/>
      <c r="O257" s="196"/>
      <c r="P257" s="127"/>
    </row>
    <row r="258" spans="1:16" ht="20.25" customHeight="1" x14ac:dyDescent="0.3">
      <c r="A258" s="137"/>
      <c r="B258" s="137"/>
      <c r="C258" s="137"/>
      <c r="D258" s="194"/>
      <c r="E258" s="194"/>
      <c r="F258" s="137"/>
      <c r="G258" s="137"/>
      <c r="H258" s="137"/>
      <c r="I258" s="137"/>
      <c r="J258" s="137"/>
      <c r="K258" s="195"/>
      <c r="L258" s="196"/>
      <c r="M258" s="196"/>
      <c r="N258" s="196"/>
      <c r="O258" s="196"/>
      <c r="P258" s="127"/>
    </row>
    <row r="259" spans="1:16" ht="20.25" customHeight="1" x14ac:dyDescent="0.3">
      <c r="A259" s="137"/>
      <c r="B259" s="137"/>
      <c r="C259" s="137"/>
      <c r="D259" s="194"/>
      <c r="E259" s="194"/>
      <c r="F259" s="137"/>
      <c r="G259" s="137"/>
      <c r="H259" s="137"/>
      <c r="I259" s="137"/>
      <c r="J259" s="137"/>
      <c r="K259" s="195"/>
      <c r="L259" s="196"/>
      <c r="M259" s="196"/>
      <c r="N259" s="196"/>
      <c r="O259" s="196"/>
      <c r="P259" s="127"/>
    </row>
    <row r="260" spans="1:16" ht="20.25" customHeight="1" x14ac:dyDescent="0.3">
      <c r="A260" s="137"/>
      <c r="B260" s="137"/>
      <c r="C260" s="137"/>
      <c r="D260" s="194"/>
      <c r="E260" s="194"/>
      <c r="F260" s="137"/>
      <c r="G260" s="137"/>
      <c r="H260" s="137"/>
      <c r="I260" s="137"/>
      <c r="J260" s="137"/>
      <c r="K260" s="195"/>
      <c r="L260" s="196"/>
      <c r="M260" s="196"/>
      <c r="N260" s="196"/>
      <c r="O260" s="196"/>
      <c r="P260" s="127"/>
    </row>
    <row r="261" spans="1:16" ht="20.25" customHeight="1" x14ac:dyDescent="0.3">
      <c r="A261" s="137"/>
      <c r="B261" s="137"/>
      <c r="C261" s="137"/>
      <c r="D261" s="194"/>
      <c r="E261" s="194"/>
      <c r="F261" s="137"/>
      <c r="G261" s="137"/>
      <c r="H261" s="137"/>
      <c r="I261" s="137"/>
      <c r="J261" s="137"/>
      <c r="K261" s="195"/>
      <c r="L261" s="196"/>
      <c r="M261" s="196"/>
      <c r="N261" s="196"/>
      <c r="O261" s="196"/>
      <c r="P261" s="127"/>
    </row>
    <row r="262" spans="1:16" ht="20.25" customHeight="1" x14ac:dyDescent="0.3">
      <c r="A262" s="137"/>
      <c r="B262" s="137"/>
      <c r="C262" s="137"/>
      <c r="D262" s="194"/>
      <c r="E262" s="194"/>
      <c r="F262" s="137"/>
      <c r="G262" s="137"/>
      <c r="H262" s="137"/>
      <c r="I262" s="137"/>
      <c r="J262" s="137"/>
      <c r="K262" s="195"/>
      <c r="L262" s="196"/>
      <c r="M262" s="196"/>
      <c r="N262" s="196"/>
      <c r="O262" s="196"/>
      <c r="P262" s="127"/>
    </row>
    <row r="263" spans="1:16" ht="20.25" customHeight="1" x14ac:dyDescent="0.3">
      <c r="A263" s="137"/>
      <c r="B263" s="137"/>
      <c r="C263" s="137"/>
      <c r="D263" s="194"/>
      <c r="E263" s="194"/>
      <c r="F263" s="137"/>
      <c r="G263" s="137"/>
      <c r="H263" s="137"/>
      <c r="I263" s="137"/>
      <c r="J263" s="137"/>
      <c r="K263" s="195"/>
      <c r="L263" s="196"/>
      <c r="M263" s="196"/>
      <c r="N263" s="196"/>
      <c r="O263" s="196"/>
      <c r="P263" s="127"/>
    </row>
    <row r="264" spans="1:16" ht="20.25" customHeight="1" x14ac:dyDescent="0.3">
      <c r="A264" s="137"/>
      <c r="B264" s="137"/>
      <c r="C264" s="137"/>
      <c r="D264" s="194"/>
      <c r="E264" s="194"/>
      <c r="F264" s="137"/>
      <c r="G264" s="137"/>
      <c r="H264" s="137"/>
      <c r="I264" s="137"/>
      <c r="J264" s="137"/>
      <c r="K264" s="195"/>
      <c r="L264" s="196"/>
      <c r="M264" s="196"/>
      <c r="N264" s="196"/>
      <c r="O264" s="196"/>
      <c r="P264" s="127"/>
    </row>
    <row r="265" spans="1:16" ht="20.25" customHeight="1" x14ac:dyDescent="0.3">
      <c r="A265" s="137"/>
      <c r="B265" s="137"/>
      <c r="C265" s="137"/>
      <c r="D265" s="194"/>
      <c r="E265" s="194"/>
      <c r="F265" s="137"/>
      <c r="G265" s="137"/>
      <c r="H265" s="137"/>
      <c r="I265" s="137"/>
      <c r="J265" s="137"/>
      <c r="K265" s="195"/>
      <c r="L265" s="196"/>
      <c r="M265" s="196"/>
      <c r="N265" s="196"/>
      <c r="O265" s="196"/>
      <c r="P265" s="127"/>
    </row>
    <row r="266" spans="1:16" ht="20.25" customHeight="1" x14ac:dyDescent="0.3">
      <c r="A266" s="137"/>
      <c r="B266" s="137"/>
      <c r="C266" s="137"/>
      <c r="D266" s="194"/>
      <c r="E266" s="194"/>
      <c r="F266" s="137"/>
      <c r="G266" s="137"/>
      <c r="H266" s="137"/>
      <c r="I266" s="137"/>
      <c r="J266" s="137"/>
      <c r="K266" s="195"/>
      <c r="L266" s="196"/>
      <c r="M266" s="196"/>
      <c r="N266" s="196"/>
      <c r="O266" s="196"/>
      <c r="P266" s="127"/>
    </row>
    <row r="267" spans="1:16" ht="20.25" customHeight="1" x14ac:dyDescent="0.3">
      <c r="A267" s="137"/>
      <c r="B267" s="137"/>
      <c r="C267" s="137"/>
      <c r="D267" s="194"/>
      <c r="E267" s="194"/>
      <c r="F267" s="137"/>
      <c r="G267" s="137"/>
      <c r="H267" s="137"/>
      <c r="I267" s="137"/>
      <c r="J267" s="137"/>
      <c r="K267" s="195"/>
      <c r="L267" s="196"/>
      <c r="M267" s="196"/>
      <c r="N267" s="196"/>
      <c r="O267" s="196"/>
      <c r="P267" s="127"/>
    </row>
    <row r="268" spans="1:16" ht="20.25" customHeight="1" x14ac:dyDescent="0.3">
      <c r="A268" s="137"/>
      <c r="B268" s="137"/>
      <c r="C268" s="137"/>
      <c r="D268" s="194"/>
      <c r="E268" s="194"/>
      <c r="F268" s="137"/>
      <c r="G268" s="137"/>
      <c r="H268" s="137"/>
      <c r="I268" s="137"/>
      <c r="J268" s="137"/>
      <c r="K268" s="195"/>
      <c r="L268" s="196"/>
      <c r="M268" s="196"/>
      <c r="N268" s="196"/>
      <c r="O268" s="196"/>
      <c r="P268" s="127"/>
    </row>
    <row r="269" spans="1:16" ht="20.25" customHeight="1" x14ac:dyDescent="0.3">
      <c r="A269" s="137"/>
      <c r="B269" s="137"/>
      <c r="C269" s="137"/>
      <c r="D269" s="194"/>
      <c r="E269" s="194"/>
      <c r="F269" s="137"/>
      <c r="G269" s="137"/>
      <c r="H269" s="137"/>
      <c r="I269" s="137"/>
      <c r="J269" s="137"/>
      <c r="K269" s="195"/>
      <c r="L269" s="196"/>
      <c r="M269" s="196"/>
      <c r="N269" s="196"/>
      <c r="O269" s="196"/>
      <c r="P269" s="127"/>
    </row>
    <row r="270" spans="1:16" ht="20.25" customHeight="1" x14ac:dyDescent="0.3">
      <c r="A270" s="137"/>
      <c r="B270" s="137"/>
      <c r="C270" s="137"/>
      <c r="D270" s="194"/>
      <c r="E270" s="194"/>
      <c r="F270" s="137"/>
      <c r="G270" s="137"/>
      <c r="H270" s="137"/>
      <c r="I270" s="137"/>
      <c r="J270" s="137"/>
      <c r="K270" s="195"/>
      <c r="L270" s="196"/>
      <c r="M270" s="196"/>
      <c r="N270" s="196"/>
      <c r="O270" s="196"/>
      <c r="P270" s="127"/>
    </row>
    <row r="271" spans="1:16" ht="20.25" customHeight="1" x14ac:dyDescent="0.3">
      <c r="A271" s="137"/>
      <c r="B271" s="137"/>
      <c r="C271" s="137"/>
      <c r="D271" s="194"/>
      <c r="E271" s="194"/>
      <c r="F271" s="137"/>
      <c r="G271" s="137"/>
      <c r="H271" s="137"/>
      <c r="I271" s="137"/>
      <c r="J271" s="137"/>
      <c r="K271" s="195"/>
      <c r="L271" s="196"/>
      <c r="M271" s="196"/>
      <c r="N271" s="196"/>
      <c r="O271" s="196"/>
      <c r="P271" s="127"/>
    </row>
    <row r="272" spans="1:16" ht="20.25" customHeight="1" x14ac:dyDescent="0.3">
      <c r="A272" s="137"/>
      <c r="B272" s="137"/>
      <c r="C272" s="137"/>
      <c r="D272" s="194"/>
      <c r="E272" s="194"/>
      <c r="F272" s="137"/>
      <c r="G272" s="137"/>
      <c r="H272" s="137"/>
      <c r="I272" s="137"/>
      <c r="J272" s="137"/>
      <c r="K272" s="195"/>
      <c r="L272" s="196"/>
      <c r="M272" s="196"/>
      <c r="N272" s="196"/>
      <c r="O272" s="196"/>
      <c r="P272" s="127"/>
    </row>
    <row r="273" spans="1:16" ht="20.25" customHeight="1" x14ac:dyDescent="0.3">
      <c r="A273" s="137"/>
      <c r="B273" s="137"/>
      <c r="C273" s="137"/>
      <c r="D273" s="194"/>
      <c r="E273" s="194"/>
      <c r="F273" s="137"/>
      <c r="G273" s="137"/>
      <c r="H273" s="137"/>
      <c r="I273" s="137"/>
      <c r="J273" s="137"/>
      <c r="K273" s="195"/>
      <c r="L273" s="196"/>
      <c r="M273" s="196"/>
      <c r="N273" s="196"/>
      <c r="O273" s="196"/>
      <c r="P273" s="127"/>
    </row>
    <row r="274" spans="1:16" ht="20.25" customHeight="1" x14ac:dyDescent="0.3">
      <c r="A274" s="137"/>
      <c r="B274" s="137"/>
      <c r="C274" s="137"/>
      <c r="D274" s="194"/>
      <c r="E274" s="194"/>
      <c r="F274" s="137"/>
      <c r="G274" s="137"/>
      <c r="H274" s="137"/>
      <c r="I274" s="137"/>
      <c r="J274" s="137"/>
      <c r="K274" s="195"/>
      <c r="L274" s="196"/>
      <c r="M274" s="196"/>
      <c r="N274" s="196"/>
      <c r="O274" s="196"/>
      <c r="P274" s="127"/>
    </row>
    <row r="275" spans="1:16" ht="20.25" customHeight="1" x14ac:dyDescent="0.3">
      <c r="A275" s="137"/>
      <c r="B275" s="137"/>
      <c r="C275" s="137"/>
      <c r="D275" s="194"/>
      <c r="E275" s="194"/>
      <c r="F275" s="137"/>
      <c r="G275" s="137"/>
      <c r="H275" s="137"/>
      <c r="I275" s="137"/>
      <c r="J275" s="137"/>
      <c r="K275" s="195"/>
      <c r="L275" s="196"/>
      <c r="M275" s="196"/>
      <c r="N275" s="196"/>
      <c r="O275" s="196"/>
      <c r="P275" s="127"/>
    </row>
    <row r="276" spans="1:16" ht="20.25" customHeight="1" x14ac:dyDescent="0.3">
      <c r="A276" s="137"/>
      <c r="B276" s="137"/>
      <c r="C276" s="137"/>
      <c r="D276" s="194"/>
      <c r="E276" s="194"/>
      <c r="F276" s="137"/>
      <c r="G276" s="137"/>
      <c r="H276" s="137"/>
      <c r="I276" s="137"/>
      <c r="J276" s="137"/>
      <c r="K276" s="195"/>
      <c r="L276" s="196"/>
      <c r="M276" s="196"/>
      <c r="N276" s="196"/>
      <c r="O276" s="196"/>
      <c r="P276" s="127"/>
    </row>
    <row r="277" spans="1:16" ht="20.25" customHeight="1" x14ac:dyDescent="0.3">
      <c r="A277" s="137"/>
      <c r="B277" s="137"/>
      <c r="C277" s="137"/>
      <c r="D277" s="194"/>
      <c r="E277" s="194"/>
      <c r="F277" s="137"/>
      <c r="G277" s="137"/>
      <c r="H277" s="137"/>
      <c r="I277" s="137"/>
      <c r="J277" s="137"/>
      <c r="K277" s="195"/>
      <c r="L277" s="196"/>
      <c r="M277" s="196"/>
      <c r="N277" s="196"/>
      <c r="O277" s="196"/>
      <c r="P277" s="127"/>
    </row>
    <row r="278" spans="1:16" ht="20.25" customHeight="1" x14ac:dyDescent="0.3">
      <c r="A278" s="137"/>
      <c r="B278" s="137"/>
      <c r="C278" s="137"/>
      <c r="D278" s="194"/>
      <c r="E278" s="194"/>
      <c r="F278" s="137"/>
      <c r="G278" s="137"/>
      <c r="H278" s="137"/>
      <c r="I278" s="137"/>
      <c r="J278" s="137"/>
      <c r="K278" s="195"/>
      <c r="L278" s="196"/>
      <c r="M278" s="196"/>
      <c r="N278" s="196"/>
      <c r="O278" s="196"/>
      <c r="P278" s="127"/>
    </row>
    <row r="279" spans="1:16" ht="20.25" customHeight="1" x14ac:dyDescent="0.3">
      <c r="A279" s="137"/>
      <c r="B279" s="137"/>
      <c r="C279" s="137"/>
      <c r="D279" s="194"/>
      <c r="E279" s="194"/>
      <c r="F279" s="137"/>
      <c r="G279" s="137"/>
      <c r="H279" s="137"/>
      <c r="I279" s="137"/>
      <c r="J279" s="137"/>
      <c r="K279" s="195"/>
      <c r="L279" s="196"/>
      <c r="M279" s="196"/>
      <c r="N279" s="196"/>
      <c r="O279" s="196"/>
      <c r="P279" s="127"/>
    </row>
    <row r="280" spans="1:16" ht="20.25" customHeight="1" x14ac:dyDescent="0.3">
      <c r="A280" s="137"/>
      <c r="B280" s="137"/>
      <c r="C280" s="137"/>
      <c r="D280" s="194"/>
      <c r="E280" s="194"/>
      <c r="F280" s="137"/>
      <c r="G280" s="137"/>
      <c r="H280" s="137"/>
      <c r="I280" s="137"/>
      <c r="J280" s="137"/>
      <c r="K280" s="195"/>
      <c r="L280" s="196"/>
      <c r="M280" s="196"/>
      <c r="N280" s="196"/>
      <c r="O280" s="196"/>
      <c r="P280" s="127"/>
    </row>
    <row r="281" spans="1:16" ht="20.25" customHeight="1" x14ac:dyDescent="0.3">
      <c r="A281" s="137"/>
      <c r="B281" s="137"/>
      <c r="C281" s="137"/>
      <c r="D281" s="194"/>
      <c r="E281" s="194"/>
      <c r="F281" s="137"/>
      <c r="G281" s="137"/>
      <c r="H281" s="137"/>
      <c r="I281" s="137"/>
      <c r="J281" s="137"/>
      <c r="K281" s="195"/>
      <c r="L281" s="196"/>
      <c r="M281" s="196"/>
      <c r="N281" s="196"/>
      <c r="O281" s="196"/>
      <c r="P281" s="127"/>
    </row>
    <row r="282" spans="1:16" ht="20.25" customHeight="1" x14ac:dyDescent="0.3">
      <c r="A282" s="137"/>
      <c r="B282" s="137"/>
      <c r="C282" s="137"/>
      <c r="D282" s="194"/>
      <c r="E282" s="194"/>
      <c r="F282" s="137"/>
      <c r="G282" s="137"/>
      <c r="H282" s="137"/>
      <c r="I282" s="137"/>
      <c r="J282" s="137"/>
      <c r="K282" s="195"/>
      <c r="L282" s="196"/>
      <c r="M282" s="196"/>
      <c r="N282" s="196"/>
      <c r="O282" s="196"/>
      <c r="P282" s="127"/>
    </row>
    <row r="283" spans="1:16" ht="20.25" customHeight="1" x14ac:dyDescent="0.3">
      <c r="A283" s="137"/>
      <c r="B283" s="137"/>
      <c r="C283" s="137"/>
      <c r="D283" s="194"/>
      <c r="E283" s="194"/>
      <c r="F283" s="137"/>
      <c r="G283" s="137"/>
      <c r="H283" s="137"/>
      <c r="I283" s="137"/>
      <c r="J283" s="137"/>
      <c r="K283" s="195"/>
      <c r="L283" s="196"/>
      <c r="M283" s="196"/>
      <c r="N283" s="196"/>
      <c r="O283" s="196"/>
      <c r="P283" s="127"/>
    </row>
    <row r="284" spans="1:16" ht="20.25" customHeight="1" x14ac:dyDescent="0.3">
      <c r="A284" s="137"/>
      <c r="B284" s="137"/>
      <c r="C284" s="137"/>
      <c r="D284" s="194"/>
      <c r="E284" s="194"/>
      <c r="F284" s="137"/>
      <c r="G284" s="137"/>
      <c r="H284" s="137"/>
      <c r="I284" s="137"/>
      <c r="J284" s="137"/>
      <c r="K284" s="195"/>
      <c r="L284" s="196"/>
      <c r="M284" s="196"/>
      <c r="N284" s="196"/>
      <c r="O284" s="196"/>
      <c r="P284" s="127"/>
    </row>
    <row r="285" spans="1:16" ht="20.25" customHeight="1" x14ac:dyDescent="0.3">
      <c r="A285" s="137"/>
      <c r="B285" s="137"/>
      <c r="C285" s="137"/>
      <c r="D285" s="194"/>
      <c r="E285" s="194"/>
      <c r="F285" s="137"/>
      <c r="G285" s="137"/>
      <c r="H285" s="137"/>
      <c r="I285" s="137"/>
      <c r="J285" s="137"/>
      <c r="K285" s="195"/>
      <c r="L285" s="196"/>
      <c r="M285" s="196"/>
      <c r="N285" s="196"/>
      <c r="O285" s="196"/>
      <c r="P285" s="127"/>
    </row>
    <row r="286" spans="1:16" ht="20.25" customHeight="1" x14ac:dyDescent="0.3">
      <c r="A286" s="137"/>
      <c r="B286" s="137"/>
      <c r="C286" s="137"/>
      <c r="D286" s="194"/>
      <c r="E286" s="194"/>
      <c r="F286" s="137"/>
      <c r="G286" s="137"/>
      <c r="H286" s="137"/>
      <c r="I286" s="137"/>
      <c r="J286" s="137"/>
      <c r="K286" s="195"/>
      <c r="L286" s="196"/>
      <c r="M286" s="196"/>
      <c r="N286" s="196"/>
      <c r="O286" s="196"/>
      <c r="P286" s="127"/>
    </row>
    <row r="287" spans="1:16" ht="20.25" customHeight="1" x14ac:dyDescent="0.3">
      <c r="A287" s="137"/>
      <c r="B287" s="137"/>
      <c r="C287" s="137"/>
      <c r="D287" s="194"/>
      <c r="E287" s="194"/>
      <c r="F287" s="137"/>
      <c r="G287" s="137"/>
      <c r="H287" s="137"/>
      <c r="I287" s="137"/>
      <c r="J287" s="137"/>
      <c r="K287" s="195"/>
      <c r="L287" s="196"/>
      <c r="M287" s="196"/>
      <c r="N287" s="196"/>
      <c r="O287" s="196"/>
      <c r="P287" s="127"/>
    </row>
    <row r="288" spans="1:16" ht="20.25" customHeight="1" x14ac:dyDescent="0.3">
      <c r="A288" s="137"/>
      <c r="B288" s="137"/>
      <c r="C288" s="137"/>
      <c r="D288" s="194"/>
      <c r="E288" s="194"/>
      <c r="F288" s="137"/>
      <c r="G288" s="137"/>
      <c r="H288" s="137"/>
      <c r="I288" s="137"/>
      <c r="J288" s="137"/>
      <c r="K288" s="195"/>
      <c r="L288" s="196"/>
      <c r="M288" s="196"/>
      <c r="N288" s="196"/>
      <c r="O288" s="196"/>
      <c r="P288" s="127"/>
    </row>
    <row r="289" spans="1:16" ht="20.25" customHeight="1" x14ac:dyDescent="0.3">
      <c r="A289" s="137"/>
      <c r="B289" s="137"/>
      <c r="C289" s="137"/>
      <c r="D289" s="194"/>
      <c r="E289" s="194"/>
      <c r="F289" s="137"/>
      <c r="G289" s="137"/>
      <c r="H289" s="137"/>
      <c r="I289" s="137"/>
      <c r="J289" s="137"/>
      <c r="K289" s="195"/>
      <c r="L289" s="196"/>
      <c r="M289" s="196"/>
      <c r="N289" s="196"/>
      <c r="O289" s="196"/>
      <c r="P289" s="127"/>
    </row>
    <row r="290" spans="1:16" ht="20.25" customHeight="1" x14ac:dyDescent="0.3">
      <c r="A290" s="137"/>
      <c r="B290" s="137"/>
      <c r="C290" s="137"/>
      <c r="D290" s="194"/>
      <c r="E290" s="194"/>
      <c r="F290" s="137"/>
      <c r="G290" s="137"/>
      <c r="H290" s="137"/>
      <c r="I290" s="137"/>
      <c r="J290" s="137"/>
      <c r="K290" s="195"/>
      <c r="L290" s="196"/>
      <c r="M290" s="196"/>
      <c r="N290" s="196"/>
      <c r="O290" s="196"/>
      <c r="P290" s="127"/>
    </row>
    <row r="291" spans="1:16" ht="20.25" customHeight="1" x14ac:dyDescent="0.3">
      <c r="A291" s="137"/>
      <c r="B291" s="137"/>
      <c r="C291" s="137"/>
      <c r="D291" s="194"/>
      <c r="E291" s="194"/>
      <c r="F291" s="137"/>
      <c r="G291" s="137"/>
      <c r="H291" s="137"/>
      <c r="I291" s="137"/>
      <c r="J291" s="137"/>
      <c r="K291" s="195"/>
      <c r="L291" s="196"/>
      <c r="M291" s="196"/>
      <c r="N291" s="196"/>
      <c r="O291" s="196"/>
      <c r="P291" s="127"/>
    </row>
    <row r="292" spans="1:16" ht="20.25" customHeight="1" x14ac:dyDescent="0.3">
      <c r="A292" s="137"/>
      <c r="B292" s="137"/>
      <c r="C292" s="137"/>
      <c r="D292" s="194"/>
      <c r="E292" s="194"/>
      <c r="F292" s="137"/>
      <c r="G292" s="137"/>
      <c r="H292" s="137"/>
      <c r="I292" s="137"/>
      <c r="J292" s="137"/>
      <c r="K292" s="195"/>
      <c r="L292" s="196"/>
      <c r="M292" s="196"/>
      <c r="N292" s="196"/>
      <c r="O292" s="196"/>
      <c r="P292" s="127"/>
    </row>
    <row r="293" spans="1:16" ht="20.25" customHeight="1" x14ac:dyDescent="0.3">
      <c r="A293" s="137"/>
      <c r="B293" s="137"/>
      <c r="C293" s="137"/>
      <c r="D293" s="194"/>
      <c r="E293" s="194"/>
      <c r="F293" s="137"/>
      <c r="G293" s="137"/>
      <c r="H293" s="137"/>
      <c r="I293" s="137"/>
      <c r="J293" s="137"/>
      <c r="K293" s="195"/>
      <c r="L293" s="196"/>
      <c r="M293" s="196"/>
      <c r="N293" s="196"/>
      <c r="O293" s="196"/>
      <c r="P293" s="127"/>
    </row>
    <row r="294" spans="1:16" ht="20.25" customHeight="1" x14ac:dyDescent="0.3">
      <c r="A294" s="137"/>
      <c r="B294" s="137"/>
      <c r="C294" s="137"/>
      <c r="D294" s="194"/>
      <c r="E294" s="194"/>
      <c r="F294" s="137"/>
      <c r="G294" s="137"/>
      <c r="H294" s="137"/>
      <c r="I294" s="137"/>
      <c r="J294" s="137"/>
      <c r="K294" s="195"/>
      <c r="L294" s="196"/>
      <c r="M294" s="196"/>
      <c r="N294" s="196"/>
      <c r="O294" s="196"/>
      <c r="P294" s="127"/>
    </row>
    <row r="295" spans="1:16" ht="20.25" customHeight="1" x14ac:dyDescent="0.3">
      <c r="A295" s="137"/>
      <c r="B295" s="137"/>
      <c r="C295" s="137"/>
      <c r="D295" s="194"/>
      <c r="E295" s="194"/>
      <c r="F295" s="137"/>
      <c r="G295" s="137"/>
      <c r="H295" s="137"/>
      <c r="I295" s="137"/>
      <c r="J295" s="137"/>
      <c r="K295" s="195"/>
      <c r="L295" s="196"/>
      <c r="M295" s="196"/>
      <c r="N295" s="196"/>
      <c r="O295" s="196"/>
      <c r="P295" s="127"/>
    </row>
    <row r="296" spans="1:16" ht="20.25" customHeight="1" x14ac:dyDescent="0.3">
      <c r="A296" s="137"/>
      <c r="B296" s="137"/>
      <c r="C296" s="137"/>
      <c r="D296" s="194"/>
      <c r="E296" s="194"/>
      <c r="F296" s="137"/>
      <c r="G296" s="137"/>
      <c r="H296" s="137"/>
      <c r="I296" s="137"/>
      <c r="J296" s="137"/>
      <c r="K296" s="195"/>
      <c r="L296" s="196"/>
      <c r="M296" s="196"/>
      <c r="N296" s="196"/>
      <c r="O296" s="196"/>
      <c r="P296" s="127"/>
    </row>
    <row r="297" spans="1:16" ht="20.25" customHeight="1" x14ac:dyDescent="0.3">
      <c r="A297" s="137"/>
      <c r="B297" s="137"/>
      <c r="C297" s="137"/>
      <c r="D297" s="194"/>
      <c r="E297" s="194"/>
      <c r="F297" s="137"/>
      <c r="G297" s="137"/>
      <c r="H297" s="137"/>
      <c r="I297" s="137"/>
      <c r="J297" s="137"/>
      <c r="K297" s="195"/>
      <c r="L297" s="196"/>
      <c r="M297" s="196"/>
      <c r="N297" s="196"/>
      <c r="O297" s="196"/>
      <c r="P297" s="127"/>
    </row>
    <row r="298" spans="1:16" ht="20.25" customHeight="1" x14ac:dyDescent="0.3">
      <c r="A298" s="137"/>
      <c r="B298" s="137"/>
      <c r="C298" s="137"/>
      <c r="D298" s="194"/>
      <c r="E298" s="194"/>
      <c r="F298" s="137"/>
      <c r="G298" s="137"/>
      <c r="H298" s="137"/>
      <c r="I298" s="137"/>
      <c r="J298" s="137"/>
      <c r="K298" s="195"/>
      <c r="L298" s="196"/>
      <c r="M298" s="196"/>
      <c r="N298" s="196"/>
      <c r="O298" s="196"/>
      <c r="P298" s="127"/>
    </row>
    <row r="299" spans="1:16" ht="20.25" customHeight="1" x14ac:dyDescent="0.3">
      <c r="A299" s="137"/>
      <c r="B299" s="137"/>
      <c r="C299" s="137"/>
      <c r="D299" s="194"/>
      <c r="E299" s="194"/>
      <c r="F299" s="137"/>
      <c r="G299" s="137"/>
      <c r="H299" s="137"/>
      <c r="I299" s="137"/>
      <c r="J299" s="137"/>
      <c r="K299" s="195"/>
      <c r="L299" s="196"/>
      <c r="M299" s="196"/>
      <c r="N299" s="196"/>
      <c r="O299" s="196"/>
      <c r="P299" s="127"/>
    </row>
    <row r="300" spans="1:16" ht="20.25" customHeight="1" x14ac:dyDescent="0.3">
      <c r="A300" s="137"/>
      <c r="B300" s="137"/>
      <c r="C300" s="137"/>
      <c r="D300" s="194"/>
      <c r="E300" s="194"/>
      <c r="F300" s="137"/>
      <c r="G300" s="137"/>
      <c r="H300" s="137"/>
      <c r="I300" s="137"/>
      <c r="J300" s="137"/>
      <c r="K300" s="195"/>
      <c r="L300" s="196"/>
      <c r="M300" s="196"/>
      <c r="N300" s="196"/>
      <c r="O300" s="196"/>
      <c r="P300" s="127"/>
    </row>
    <row r="301" spans="1:16" ht="20.25" customHeight="1" x14ac:dyDescent="0.3">
      <c r="A301" s="137"/>
      <c r="B301" s="137"/>
      <c r="C301" s="137"/>
      <c r="D301" s="194"/>
      <c r="E301" s="194"/>
      <c r="F301" s="137"/>
      <c r="G301" s="137"/>
      <c r="H301" s="137"/>
      <c r="I301" s="137"/>
      <c r="J301" s="137"/>
      <c r="K301" s="195"/>
      <c r="L301" s="196"/>
      <c r="M301" s="196"/>
      <c r="N301" s="196"/>
      <c r="O301" s="196"/>
      <c r="P301" s="127"/>
    </row>
    <row r="302" spans="1:16" ht="20.25" customHeight="1" x14ac:dyDescent="0.3">
      <c r="A302" s="137"/>
      <c r="B302" s="137"/>
      <c r="C302" s="137"/>
      <c r="D302" s="194"/>
      <c r="E302" s="194"/>
      <c r="F302" s="137"/>
      <c r="G302" s="137"/>
      <c r="H302" s="137"/>
      <c r="I302" s="137"/>
      <c r="J302" s="137"/>
      <c r="K302" s="195"/>
      <c r="L302" s="196"/>
      <c r="M302" s="196"/>
      <c r="N302" s="196"/>
      <c r="O302" s="196"/>
      <c r="P302" s="127"/>
    </row>
    <row r="303" spans="1:16" ht="20.25" customHeight="1" x14ac:dyDescent="0.3">
      <c r="A303" s="137"/>
      <c r="B303" s="137"/>
      <c r="C303" s="137"/>
      <c r="D303" s="194"/>
      <c r="E303" s="194"/>
      <c r="F303" s="137"/>
      <c r="G303" s="137"/>
      <c r="H303" s="137"/>
      <c r="I303" s="137"/>
      <c r="J303" s="137"/>
      <c r="K303" s="195"/>
      <c r="L303" s="196"/>
      <c r="M303" s="196"/>
      <c r="N303" s="196"/>
      <c r="O303" s="196"/>
      <c r="P303" s="127"/>
    </row>
    <row r="304" spans="1:16" ht="20.25" customHeight="1" x14ac:dyDescent="0.3">
      <c r="A304" s="137"/>
      <c r="B304" s="137"/>
      <c r="C304" s="137"/>
      <c r="D304" s="137"/>
      <c r="E304" s="137"/>
      <c r="F304" s="137"/>
      <c r="G304" s="137"/>
      <c r="H304" s="137"/>
      <c r="I304" s="137"/>
      <c r="J304" s="127"/>
      <c r="K304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4.33203125" customWidth="1"/>
    <col min="3" max="3" width="18.5546875" bestFit="1" customWidth="1"/>
    <col min="4" max="4" width="31.44140625" customWidth="1"/>
    <col min="5" max="5" width="23.3320312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1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34" t="s">
        <v>158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IFERROR(SUM(Tabla14[SaldoCapital]),"0")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'!$I$6)*SUM(Tabla14[1ra Banda])</f>
        <v>0</v>
      </c>
      <c r="M5" s="256">
        <f>(1-'Índice promedio de morosidad '!$I$6)*SUM(Tabla14[[2da Banda ]])</f>
        <v>0</v>
      </c>
      <c r="N5" s="256">
        <f>(1-'Índice promedio de morosidad '!$I$6)*SUM(Tabla14[3ra Banda])</f>
        <v>0</v>
      </c>
      <c r="O5" s="256">
        <f>(1-'Índice promedio de morosidad '!$I$6)*SUM(Tabla14[4ta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'!$I$7)*SUM(Tabla14[1ra Banda])</f>
        <v>0</v>
      </c>
      <c r="M6" s="256">
        <f>(1-'Índice promedio de morosidad '!$I$7)*SUM(Tabla14[[2da Banda ]])</f>
        <v>0</v>
      </c>
      <c r="N6" s="256">
        <f>(1-'Índice promedio de morosidad '!$I$7)*SUM(Tabla14[3ra Banda])</f>
        <v>0</v>
      </c>
      <c r="O6" s="256">
        <f>(1-'Índice promedio de morosidad '!$I$7)*SUM(Tabla14[4ta Banda])</f>
        <v>0</v>
      </c>
    </row>
    <row r="7" spans="1:16" ht="20.25" customHeight="1" x14ac:dyDescent="0.3">
      <c r="A7" s="346" t="s">
        <v>147</v>
      </c>
      <c r="B7" s="346"/>
      <c r="C7" s="346"/>
      <c r="D7" s="346"/>
      <c r="E7" s="346"/>
      <c r="F7" s="346"/>
      <c r="G7" s="346"/>
      <c r="H7" s="346"/>
      <c r="I7" s="346"/>
      <c r="J7" s="257"/>
      <c r="K7" s="257"/>
      <c r="L7" s="240"/>
      <c r="M7" s="134"/>
      <c r="N7" s="134"/>
      <c r="O7" s="134"/>
      <c r="P7" s="134"/>
    </row>
    <row r="8" spans="1:16" ht="58.2" customHeight="1" x14ac:dyDescent="0.3">
      <c r="A8" s="217" t="s">
        <v>143</v>
      </c>
      <c r="B8" s="155" t="s">
        <v>141</v>
      </c>
      <c r="C8" s="155" t="s">
        <v>142</v>
      </c>
      <c r="D8" s="155" t="s">
        <v>144</v>
      </c>
      <c r="E8" s="155" t="s">
        <v>145</v>
      </c>
      <c r="F8" s="155" t="s">
        <v>149</v>
      </c>
      <c r="G8" s="155" t="s">
        <v>148</v>
      </c>
      <c r="H8" s="155" t="s">
        <v>146</v>
      </c>
      <c r="I8" s="155" t="s">
        <v>150</v>
      </c>
      <c r="J8" s="211" t="s">
        <v>153</v>
      </c>
      <c r="K8" s="211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258"/>
      <c r="B9" s="179"/>
      <c r="C9" s="179"/>
      <c r="D9" s="233"/>
      <c r="E9" s="233"/>
      <c r="F9" s="179"/>
      <c r="G9" s="179"/>
      <c r="H9" s="179"/>
      <c r="I9" s="179"/>
      <c r="J9" s="179">
        <f t="shared" ref="J9" si="0">(1+F9/100)^(I9/360)-1</f>
        <v>0</v>
      </c>
      <c r="K9" s="234">
        <f>IFERROR(ROUND(NPER(J9,-H9,B9,,),0),0)</f>
        <v>0</v>
      </c>
      <c r="L9" s="218">
        <f>IF(I9&gt;30,0,IF(I9=30,H9/2,H9))</f>
        <v>0</v>
      </c>
      <c r="M9" s="218">
        <f>+IF(I9&gt;30,0,IF(I9=30,H9/2,H9))</f>
        <v>0</v>
      </c>
      <c r="N9" s="218" t="b">
        <f>+IF(I9&gt;60,0,IF(AND(I9&gt;=30,I9&lt;60),H9,IF(I9=15,2*H9)))</f>
        <v>0</v>
      </c>
      <c r="O9" s="219" t="b">
        <f>IF(I9&gt;90,0,IF(AND(I9&gt;=30,I9&lt;90),H9,IF(I9=15,2*H9)))</f>
        <v>0</v>
      </c>
      <c r="P9" s="174"/>
    </row>
    <row r="10" spans="1:16" ht="20.25" customHeight="1" x14ac:dyDescent="0.3">
      <c r="A10" s="137"/>
      <c r="B10" s="137"/>
      <c r="C10" s="137"/>
      <c r="D10" s="194"/>
      <c r="E10" s="194"/>
      <c r="F10" s="137"/>
      <c r="G10" s="137"/>
      <c r="H10" s="137"/>
      <c r="I10" s="137"/>
      <c r="J10" s="137"/>
      <c r="K10" s="195"/>
      <c r="L10" s="196"/>
      <c r="M10" s="196"/>
      <c r="N10" s="196"/>
      <c r="O10" s="196"/>
      <c r="P10" s="127"/>
    </row>
    <row r="11" spans="1:16" ht="20.25" customHeight="1" x14ac:dyDescent="0.3">
      <c r="A11" s="137"/>
      <c r="B11" s="137"/>
      <c r="C11" s="137"/>
      <c r="D11" s="194"/>
      <c r="E11" s="194"/>
      <c r="F11" s="137"/>
      <c r="G11" s="137"/>
      <c r="H11" s="137"/>
      <c r="I11" s="137"/>
      <c r="J11" s="137"/>
      <c r="K11" s="195"/>
      <c r="L11" s="196"/>
      <c r="M11" s="196"/>
      <c r="N11" s="196"/>
      <c r="O11" s="196"/>
      <c r="P11" s="127"/>
    </row>
    <row r="12" spans="1:16" ht="20.25" customHeight="1" x14ac:dyDescent="0.3">
      <c r="A12" s="137"/>
      <c r="B12" s="137"/>
      <c r="C12" s="137"/>
      <c r="D12" s="194"/>
      <c r="E12" s="194"/>
      <c r="F12" s="137"/>
      <c r="G12" s="137"/>
      <c r="H12" s="137"/>
      <c r="I12" s="137"/>
      <c r="J12" s="137"/>
      <c r="K12" s="195"/>
      <c r="L12" s="196"/>
      <c r="M12" s="196"/>
      <c r="N12" s="196"/>
      <c r="O12" s="196"/>
      <c r="P12" s="127"/>
    </row>
    <row r="13" spans="1:16" ht="20.25" customHeight="1" x14ac:dyDescent="0.3">
      <c r="A13" s="137"/>
      <c r="B13" s="137"/>
      <c r="C13" s="137"/>
      <c r="D13" s="194"/>
      <c r="E13" s="194"/>
      <c r="F13" s="137"/>
      <c r="G13" s="137"/>
      <c r="H13" s="137"/>
      <c r="I13" s="137"/>
      <c r="J13" s="137"/>
      <c r="K13" s="195"/>
      <c r="L13" s="196"/>
      <c r="M13" s="196"/>
      <c r="N13" s="196"/>
      <c r="O13" s="196"/>
      <c r="P13" s="127"/>
    </row>
    <row r="14" spans="1:16" ht="20.25" customHeight="1" x14ac:dyDescent="0.3">
      <c r="A14" s="137"/>
      <c r="B14" s="137"/>
      <c r="C14" s="137"/>
      <c r="D14" s="194"/>
      <c r="E14" s="194"/>
      <c r="F14" s="137"/>
      <c r="G14" s="137"/>
      <c r="H14" s="137"/>
      <c r="I14" s="137"/>
      <c r="J14" s="137"/>
      <c r="K14" s="195"/>
      <c r="L14" s="196"/>
      <c r="M14" s="196"/>
      <c r="N14" s="196"/>
      <c r="O14" s="196"/>
      <c r="P14" s="127"/>
    </row>
    <row r="15" spans="1:16" ht="20.25" customHeight="1" x14ac:dyDescent="0.3">
      <c r="A15" s="137"/>
      <c r="B15" s="137"/>
      <c r="C15" s="137"/>
      <c r="D15" s="137"/>
      <c r="E15" s="137"/>
      <c r="F15" s="137"/>
      <c r="G15" s="137"/>
      <c r="H15" s="137"/>
      <c r="I15" s="137"/>
      <c r="J15" s="127"/>
      <c r="K15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5.44140625" customWidth="1"/>
    <col min="3" max="3" width="18.5546875" bestFit="1" customWidth="1"/>
    <col min="4" max="4" width="31.44140625" customWidth="1"/>
    <col min="5" max="5" width="23.3320312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34" t="s">
        <v>163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IFERROR(SUM(Tabla11[SaldoCapital]),"0")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'!$I$6)*SUM(Tabla11[1ra Banda])</f>
        <v>0</v>
      </c>
      <c r="M5" s="256">
        <f>(1-'Índice promedio de morosidad '!$I$6)*SUM(Tabla11[[2da Banda ]])</f>
        <v>0</v>
      </c>
      <c r="N5" s="256">
        <f>(1-'Índice promedio de morosidad '!$I$6)*SUM(Tabla11[3ra Banda])</f>
        <v>0</v>
      </c>
      <c r="O5" s="256">
        <f>(1-'Índice promedio de morosidad '!$I$6)*SUM(Tabla11[4ta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'!$I$7)*SUM(Tabla11[1ra Banda])</f>
        <v>0</v>
      </c>
      <c r="M6" s="256">
        <f>(1-'Índice promedio de morosidad '!$I$7)*SUM(Tabla11[[2da Banda ]])</f>
        <v>0</v>
      </c>
      <c r="N6" s="256">
        <f>(1-'Índice promedio de morosidad '!$I$7)*SUM(Tabla11[3ra Banda])</f>
        <v>0</v>
      </c>
      <c r="O6" s="256">
        <f>(1-'Índice promedio de morosidad '!$I$7)*SUM(Tabla11[4ta Banda])</f>
        <v>0</v>
      </c>
    </row>
    <row r="7" spans="1:16" ht="20.25" customHeight="1" x14ac:dyDescent="0.3">
      <c r="A7" s="345" t="s">
        <v>147</v>
      </c>
      <c r="B7" s="345"/>
      <c r="C7" s="345"/>
      <c r="D7" s="345"/>
      <c r="E7" s="345"/>
      <c r="F7" s="345"/>
      <c r="G7" s="345"/>
      <c r="H7" s="345"/>
      <c r="I7" s="345"/>
      <c r="J7" s="257"/>
      <c r="K7" s="257"/>
      <c r="L7" s="240"/>
      <c r="M7" s="134"/>
      <c r="N7" s="134"/>
      <c r="O7" s="134"/>
      <c r="P7" s="134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204"/>
      <c r="B9" s="204"/>
      <c r="C9" s="204"/>
      <c r="D9" s="204"/>
      <c r="E9" s="204"/>
      <c r="F9" s="204"/>
      <c r="G9" s="204"/>
      <c r="H9" s="204"/>
      <c r="I9" s="204"/>
      <c r="J9" s="227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5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44140625" customWidth="1"/>
    <col min="3" max="3" width="18.5546875" bestFit="1" customWidth="1"/>
    <col min="4" max="4" width="31.44140625" customWidth="1"/>
    <col min="5" max="5" width="24.33203125" customWidth="1"/>
    <col min="6" max="6" width="28.6640625" bestFit="1" customWidth="1"/>
    <col min="7" max="7" width="16.5546875" customWidth="1"/>
    <col min="8" max="8" width="21.33203125" bestFit="1" customWidth="1"/>
    <col min="9" max="9" width="20.6640625" bestFit="1" customWidth="1"/>
    <col min="10" max="10" width="22.6640625" style="3" customWidth="1"/>
    <col min="11" max="11" width="21.4414062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34" t="s">
        <v>159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IFERROR(SUM(Tabla10[SaldoCapital]),"0")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'!$I$6)*SUM(Tabla10[1ra Banda])</f>
        <v>0</v>
      </c>
      <c r="M5" s="256">
        <f>(1-'Índice promedio de morosidad '!$I$6)*SUM(Tabla10[[2da Banda ]])</f>
        <v>0</v>
      </c>
      <c r="N5" s="256">
        <f>(1-'Índice promedio de morosidad '!$I$6)*SUM(Tabla10[3ra Banda])</f>
        <v>0</v>
      </c>
      <c r="O5" s="256">
        <f>(1-'Índice promedio de morosidad '!$I$6)*SUM(Tabla10[4ta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'!$I$7)*SUM(Tabla10[1ra Banda])</f>
        <v>0</v>
      </c>
      <c r="M6" s="256">
        <f>(1-'Índice promedio de morosidad '!$I$7)*SUM(Tabla10[[2da Banda ]])</f>
        <v>0</v>
      </c>
      <c r="N6" s="256">
        <f>(1-'Índice promedio de morosidad '!$I$7)*SUM(Tabla10[3ra Banda])</f>
        <v>0</v>
      </c>
      <c r="O6" s="256">
        <f>(1-'Índice promedio de morosidad '!$I$7)*SUM(Tabla10[4ta Banda])</f>
        <v>0</v>
      </c>
    </row>
    <row r="7" spans="1:16" ht="20.25" customHeight="1" x14ac:dyDescent="0.3">
      <c r="A7" s="345" t="s">
        <v>147</v>
      </c>
      <c r="B7" s="345"/>
      <c r="C7" s="345"/>
      <c r="D7" s="345"/>
      <c r="E7" s="345"/>
      <c r="F7" s="345"/>
      <c r="G7" s="345"/>
      <c r="H7" s="345"/>
      <c r="I7" s="345"/>
      <c r="J7" s="257"/>
      <c r="K7" s="257"/>
      <c r="L7" s="240"/>
      <c r="M7" s="134"/>
      <c r="N7" s="134"/>
      <c r="O7" s="134"/>
      <c r="P7" s="134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27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5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5546875" customWidth="1"/>
    <col min="3" max="3" width="18.5546875" bestFit="1" customWidth="1"/>
    <col min="4" max="4" width="31.44140625" customWidth="1"/>
    <col min="5" max="5" width="24" customWidth="1"/>
    <col min="6" max="6" width="28.6640625" bestFit="1" customWidth="1"/>
    <col min="7" max="7" width="17" customWidth="1"/>
    <col min="8" max="8" width="21.33203125" bestFit="1" customWidth="1"/>
    <col min="9" max="9" width="20.6640625" bestFit="1" customWidth="1"/>
    <col min="10" max="10" width="23.5546875" style="3" customWidth="1"/>
    <col min="11" max="11" width="21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34" t="s">
        <v>160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IFERROR(SUM(Tabla8[SaldoCapital]),"0")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'!$I$6)*SUM(Tabla8[1ra Banda])</f>
        <v>0</v>
      </c>
      <c r="M5" s="256">
        <f>(1-'Índice promedio de morosidad '!$I$6)*SUM(Tabla8[[2da Banda ]])</f>
        <v>0</v>
      </c>
      <c r="N5" s="256">
        <f>(1-'Índice promedio de morosidad '!$I$6)*SUM(Tabla8[3ra Banda])</f>
        <v>0</v>
      </c>
      <c r="O5" s="256">
        <f>(1-'Índice promedio de morosidad '!$I$6)*SUM(Tabla8[4ta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'!$I$7)*SUM(Tabla8[1ra Banda])</f>
        <v>0</v>
      </c>
      <c r="M6" s="256">
        <f>(1-'Índice promedio de morosidad '!$I$7)*SUM(Tabla8[[2da Banda ]])</f>
        <v>0</v>
      </c>
      <c r="N6" s="256">
        <f>(1-'Índice promedio de morosidad '!$I$7)*SUM(Tabla8[3ra Banda])</f>
        <v>0</v>
      </c>
      <c r="O6" s="256">
        <f>(1-'Índice promedio de morosidad '!$I$7)*SUM(Tabla8[4ta Banda])</f>
        <v>0</v>
      </c>
    </row>
    <row r="7" spans="1:16" ht="20.25" customHeight="1" x14ac:dyDescent="0.3">
      <c r="A7" s="345" t="s">
        <v>147</v>
      </c>
      <c r="B7" s="345"/>
      <c r="C7" s="345"/>
      <c r="D7" s="345"/>
      <c r="E7" s="345"/>
      <c r="F7" s="345"/>
      <c r="G7" s="345"/>
      <c r="H7" s="345"/>
      <c r="I7" s="345"/>
      <c r="J7" s="257"/>
      <c r="K7" s="257"/>
      <c r="L7" s="240"/>
      <c r="M7" s="134"/>
      <c r="N7" s="134"/>
      <c r="O7" s="134"/>
      <c r="P7" s="134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27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5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topLeftCell="A13" zoomScale="70" zoomScaleNormal="70" workbookViewId="0">
      <selection activeCell="D26" sqref="D26"/>
    </sheetView>
  </sheetViews>
  <sheetFormatPr baseColWidth="10" defaultColWidth="11.44140625" defaultRowHeight="13.8" x14ac:dyDescent="0.25"/>
  <cols>
    <col min="1" max="1" width="31.33203125" style="24" customWidth="1"/>
    <col min="2" max="2" width="39" style="24" customWidth="1"/>
    <col min="3" max="3" width="28.33203125" style="24" customWidth="1"/>
    <col min="4" max="4" width="39.5546875" style="24" customWidth="1"/>
    <col min="5" max="5" width="62.88671875" style="24" customWidth="1"/>
    <col min="6" max="6" width="23.44140625" style="24" bestFit="1" customWidth="1"/>
    <col min="7" max="7" width="35.5546875" style="24" bestFit="1" customWidth="1"/>
    <col min="8" max="8" width="70.6640625" style="24" customWidth="1"/>
    <col min="9" max="9" width="22.33203125" style="24" customWidth="1"/>
    <col min="10" max="10" width="45.44140625" style="24" bestFit="1" customWidth="1"/>
    <col min="11" max="11" width="25.5546875" style="24" customWidth="1"/>
    <col min="12" max="12" width="17.44140625" style="24" bestFit="1" customWidth="1"/>
    <col min="13" max="13" width="10.44140625" style="24" bestFit="1" customWidth="1"/>
    <col min="14" max="14" width="16.44140625" style="24" bestFit="1" customWidth="1"/>
    <col min="15" max="15" width="17.44140625" style="24" bestFit="1" customWidth="1"/>
    <col min="16" max="16384" width="11.44140625" style="24"/>
  </cols>
  <sheetData>
    <row r="2" spans="1:15" ht="14.4" thickBot="1" x14ac:dyDescent="0.3"/>
    <row r="3" spans="1:15" ht="42" customHeight="1" thickBot="1" x14ac:dyDescent="0.3">
      <c r="A3" s="334" t="s">
        <v>54</v>
      </c>
      <c r="B3" s="335"/>
      <c r="C3" s="335"/>
      <c r="D3" s="335"/>
      <c r="E3" s="335"/>
      <c r="F3" s="335"/>
      <c r="G3" s="335"/>
      <c r="H3" s="335"/>
      <c r="I3" s="336"/>
    </row>
    <row r="4" spans="1:15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5">
      <c r="A5" s="347" t="s">
        <v>55</v>
      </c>
      <c r="B5" s="347"/>
      <c r="C5" s="347"/>
      <c r="D5" s="347"/>
      <c r="E5" s="347"/>
      <c r="F5" s="347"/>
      <c r="G5" s="347"/>
      <c r="H5" s="347"/>
      <c r="I5" s="347"/>
    </row>
    <row r="6" spans="1:15" x14ac:dyDescent="0.25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5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5">
      <c r="A8" s="114" t="s">
        <v>134</v>
      </c>
      <c r="B8" s="112"/>
      <c r="C8" s="276"/>
      <c r="D8" s="228" t="s">
        <v>47</v>
      </c>
      <c r="E8" s="244" t="str">
        <f>IFERROR((VLOOKUP($B$8,Tabla3[],8,FALSE))/2,"0")</f>
        <v>0</v>
      </c>
      <c r="F8" s="244" t="str">
        <f>IFERROR((VLOOKUP($B$8,Tabla3[],8,FALSE))/2,"0")</f>
        <v>0</v>
      </c>
      <c r="G8" s="244" t="str">
        <f>IFERROR((VLOOKUP($B$8,Tabla3[],8,FALSE)),"0")</f>
        <v>0</v>
      </c>
      <c r="H8" s="244" t="str">
        <f>IFERROR((VLOOKUP($B$8,Tabla3[],8,FALSE)),"0")</f>
        <v>0</v>
      </c>
      <c r="I8" s="185"/>
    </row>
    <row r="9" spans="1:15" ht="26.25" customHeight="1" x14ac:dyDescent="0.25">
      <c r="A9" s="114" t="s">
        <v>135</v>
      </c>
      <c r="B9" s="244" t="str">
        <f>IFERROR(VLOOKUP($B$8,Tabla3[],2,FALSE),"0")</f>
        <v>0</v>
      </c>
      <c r="C9" s="59"/>
      <c r="D9" s="228" t="s">
        <v>56</v>
      </c>
      <c r="E9" s="244" t="str">
        <f>IFERROR((VLOOKUP($B$8,Tabla3[],9,FALSE))/2,"0")</f>
        <v>0</v>
      </c>
      <c r="F9" s="244" t="str">
        <f>IFERROR((VLOOKUP($B$8,Tabla3[],9,FALSE))/2,"0")</f>
        <v>0</v>
      </c>
      <c r="G9" s="244" t="str">
        <f>IFERROR((VLOOKUP($B$8,Tabla3[],9,FALSE)),"0")</f>
        <v>0</v>
      </c>
      <c r="H9" s="244" t="str">
        <f>IFERROR((VLOOKUP($B$8,Tabla3[],9,FALSE)),"0")</f>
        <v>0</v>
      </c>
      <c r="I9" s="59"/>
    </row>
    <row r="10" spans="1:15" x14ac:dyDescent="0.25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5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3">
      <c r="A12" s="207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3">
      <c r="A13" s="186"/>
      <c r="B13" s="245"/>
      <c r="C13" s="46"/>
      <c r="D13" s="227"/>
      <c r="E13" s="227"/>
      <c r="F13" s="227"/>
      <c r="G13" s="47"/>
      <c r="H13" s="47"/>
      <c r="I13" s="47"/>
      <c r="M13" s="45"/>
    </row>
    <row r="14" spans="1:15" s="3" customFormat="1" ht="20.25" customHeight="1" x14ac:dyDescent="0.3">
      <c r="A14" s="186"/>
      <c r="B14" s="244"/>
      <c r="C14" s="46" t="str">
        <f t="shared" ref="C14:C36" si="0">IFERROR((B14-B13)/B13,"")</f>
        <v/>
      </c>
      <c r="D14" s="46"/>
      <c r="E14" s="246"/>
      <c r="F14" s="227"/>
      <c r="G14" s="47"/>
      <c r="H14" s="47"/>
      <c r="I14" s="47"/>
      <c r="M14" s="45"/>
    </row>
    <row r="15" spans="1:15" s="3" customFormat="1" ht="20.25" customHeight="1" x14ac:dyDescent="0.3">
      <c r="A15" s="186"/>
      <c r="B15" s="246"/>
      <c r="C15" s="46" t="str">
        <f t="shared" si="0"/>
        <v/>
      </c>
      <c r="D15" s="46"/>
      <c r="E15" s="246"/>
      <c r="F15" s="227"/>
      <c r="G15" s="47"/>
      <c r="H15" s="47"/>
      <c r="I15" s="47"/>
      <c r="M15" s="45"/>
    </row>
    <row r="16" spans="1:15" s="3" customFormat="1" ht="20.25" customHeight="1" x14ac:dyDescent="0.3">
      <c r="A16" s="186"/>
      <c r="B16" s="246"/>
      <c r="C16" s="46" t="str">
        <f t="shared" si="0"/>
        <v/>
      </c>
      <c r="D16" s="46"/>
      <c r="E16" s="246"/>
      <c r="F16" s="227"/>
      <c r="G16" s="47"/>
      <c r="H16" s="47"/>
      <c r="I16" s="47"/>
      <c r="M16" s="45"/>
    </row>
    <row r="17" spans="1:15" s="3" customFormat="1" ht="20.25" customHeight="1" x14ac:dyDescent="0.3">
      <c r="A17" s="186"/>
      <c r="B17" s="246"/>
      <c r="C17" s="46" t="str">
        <f t="shared" si="0"/>
        <v/>
      </c>
      <c r="D17" s="46"/>
      <c r="E17" s="246"/>
      <c r="F17" s="227"/>
      <c r="G17" s="47"/>
      <c r="H17" s="47"/>
      <c r="I17" s="47"/>
      <c r="M17" s="45"/>
    </row>
    <row r="18" spans="1:15" s="3" customFormat="1" ht="20.25" customHeight="1" x14ac:dyDescent="0.3">
      <c r="A18" s="186"/>
      <c r="B18" s="246"/>
      <c r="C18" s="46" t="str">
        <f t="shared" si="0"/>
        <v/>
      </c>
      <c r="D18" s="46"/>
      <c r="E18" s="246"/>
      <c r="F18" s="227"/>
      <c r="G18" s="47"/>
      <c r="H18" s="47"/>
      <c r="I18" s="47"/>
      <c r="M18" s="45"/>
    </row>
    <row r="19" spans="1:15" s="3" customFormat="1" ht="20.25" customHeight="1" x14ac:dyDescent="0.3">
      <c r="A19" s="186"/>
      <c r="B19" s="246"/>
      <c r="C19" s="46" t="str">
        <f t="shared" si="0"/>
        <v/>
      </c>
      <c r="D19" s="46"/>
      <c r="E19" s="246"/>
      <c r="F19" s="227"/>
      <c r="G19" s="47"/>
      <c r="H19" s="47"/>
      <c r="I19" s="47"/>
      <c r="M19" s="45"/>
    </row>
    <row r="20" spans="1:15" s="3" customFormat="1" ht="20.25" customHeight="1" x14ac:dyDescent="0.3">
      <c r="A20" s="186"/>
      <c r="B20" s="246"/>
      <c r="C20" s="46" t="str">
        <f t="shared" si="0"/>
        <v/>
      </c>
      <c r="D20" s="46"/>
      <c r="E20" s="246"/>
      <c r="F20" s="227"/>
      <c r="G20" s="47"/>
      <c r="H20" s="47"/>
      <c r="I20" s="47"/>
      <c r="M20" s="45"/>
    </row>
    <row r="21" spans="1:15" s="3" customFormat="1" ht="20.25" customHeight="1" x14ac:dyDescent="0.3">
      <c r="A21" s="186"/>
      <c r="B21" s="246"/>
      <c r="C21" s="46" t="str">
        <f t="shared" si="0"/>
        <v/>
      </c>
      <c r="D21" s="46"/>
      <c r="E21" s="246"/>
      <c r="F21" s="227"/>
      <c r="G21" s="47"/>
      <c r="H21" s="47"/>
      <c r="I21" s="47"/>
      <c r="M21" s="45"/>
    </row>
    <row r="22" spans="1:15" s="3" customFormat="1" ht="20.25" customHeight="1" x14ac:dyDescent="0.3">
      <c r="A22" s="186"/>
      <c r="B22" s="246"/>
      <c r="C22" s="46" t="str">
        <f t="shared" si="0"/>
        <v/>
      </c>
      <c r="D22" s="46"/>
      <c r="E22" s="246"/>
      <c r="F22" s="227"/>
      <c r="G22" s="47"/>
      <c r="H22" s="47"/>
      <c r="I22" s="47"/>
      <c r="J22" s="17"/>
      <c r="K22" s="17"/>
      <c r="M22" s="45"/>
    </row>
    <row r="23" spans="1:15" s="3" customFormat="1" ht="20.25" customHeight="1" x14ac:dyDescent="0.3">
      <c r="A23" s="186"/>
      <c r="B23" s="246"/>
      <c r="C23" s="46" t="str">
        <f t="shared" si="0"/>
        <v/>
      </c>
      <c r="D23" s="46"/>
      <c r="E23" s="246"/>
      <c r="F23" s="227"/>
      <c r="G23" s="50"/>
      <c r="H23" s="43"/>
      <c r="I23" s="43"/>
      <c r="J23" s="17"/>
      <c r="K23" s="17"/>
      <c r="M23" s="45"/>
    </row>
    <row r="24" spans="1:15" s="3" customFormat="1" ht="20.25" customHeight="1" x14ac:dyDescent="0.3">
      <c r="A24" s="186"/>
      <c r="B24" s="246"/>
      <c r="C24" s="46" t="str">
        <f t="shared" si="0"/>
        <v/>
      </c>
      <c r="D24" s="46"/>
      <c r="E24" s="246"/>
      <c r="F24" s="227"/>
      <c r="G24" s="50"/>
      <c r="H24" s="43"/>
      <c r="I24" s="43"/>
      <c r="J24" s="17"/>
      <c r="K24" s="17"/>
      <c r="M24" s="45"/>
    </row>
    <row r="25" spans="1:15" s="3" customFormat="1" ht="20.25" customHeight="1" x14ac:dyDescent="0.3">
      <c r="A25" s="186"/>
      <c r="B25" s="246"/>
      <c r="C25" s="46" t="str">
        <f t="shared" si="0"/>
        <v/>
      </c>
      <c r="D25" s="46"/>
      <c r="E25" s="246"/>
      <c r="F25" s="227"/>
      <c r="G25" s="50"/>
      <c r="H25" s="43"/>
      <c r="I25" s="43"/>
      <c r="J25" s="17"/>
      <c r="K25" s="17"/>
      <c r="M25" s="45"/>
    </row>
    <row r="26" spans="1:15" s="3" customFormat="1" ht="20.25" customHeight="1" x14ac:dyDescent="0.3">
      <c r="A26" s="186"/>
      <c r="B26" s="246"/>
      <c r="C26" s="46" t="str">
        <f>IFERROR((B26-B25)/B25,"")</f>
        <v/>
      </c>
      <c r="D26" s="46" t="str">
        <f>IFERROR(AVERAGE(C14:C25),"")</f>
        <v/>
      </c>
      <c r="E26" s="246" t="str">
        <f t="shared" ref="E26:E36" si="1">IFERROR(B25*(1+D26),"")</f>
        <v/>
      </c>
      <c r="F26" s="227">
        <f t="shared" ref="F26:F36" si="2">+IF(B26&gt;=E26,1,0)</f>
        <v>1</v>
      </c>
      <c r="G26" s="50">
        <f t="shared" ref="G26:G37" si="3">AVERAGE(F15:F26)</f>
        <v>1</v>
      </c>
      <c r="H26" s="43" t="str">
        <f t="shared" ref="H26:H37" si="4">+IFERROR(B26*(D26)*G26,"")</f>
        <v/>
      </c>
      <c r="I26" s="43" t="str">
        <f t="shared" ref="I26:I37" si="5">+IFERROR(MIN(B15:B26)*(D26)*G26,"")</f>
        <v/>
      </c>
      <c r="J26" s="17"/>
      <c r="K26" s="17"/>
      <c r="M26" s="45"/>
    </row>
    <row r="27" spans="1:15" s="3" customFormat="1" ht="20.25" customHeight="1" x14ac:dyDescent="0.3">
      <c r="A27" s="186"/>
      <c r="B27" s="246"/>
      <c r="C27" s="46" t="str">
        <f t="shared" si="0"/>
        <v/>
      </c>
      <c r="D27" s="46" t="str">
        <f t="shared" ref="D27:D36" si="6">IFERROR(AVERAGE(C15:C26),"")</f>
        <v/>
      </c>
      <c r="E27" s="246" t="str">
        <f t="shared" si="1"/>
        <v/>
      </c>
      <c r="F27" s="227">
        <f t="shared" si="2"/>
        <v>1</v>
      </c>
      <c r="G27" s="50">
        <f t="shared" si="3"/>
        <v>1</v>
      </c>
      <c r="H27" s="43" t="str">
        <f t="shared" si="4"/>
        <v/>
      </c>
      <c r="I27" s="43" t="str">
        <f t="shared" si="5"/>
        <v/>
      </c>
      <c r="J27" s="17"/>
      <c r="K27" s="17"/>
      <c r="M27" s="45"/>
    </row>
    <row r="28" spans="1:15" s="3" customFormat="1" ht="20.25" customHeight="1" x14ac:dyDescent="0.3">
      <c r="A28" s="186"/>
      <c r="B28" s="246"/>
      <c r="C28" s="46" t="str">
        <f t="shared" si="0"/>
        <v/>
      </c>
      <c r="D28" s="46" t="str">
        <f t="shared" si="6"/>
        <v/>
      </c>
      <c r="E28" s="246" t="str">
        <f t="shared" si="1"/>
        <v/>
      </c>
      <c r="F28" s="227">
        <f t="shared" si="2"/>
        <v>1</v>
      </c>
      <c r="G28" s="50">
        <f t="shared" si="3"/>
        <v>1</v>
      </c>
      <c r="H28" s="43" t="str">
        <f t="shared" si="4"/>
        <v/>
      </c>
      <c r="I28" s="43" t="str">
        <f t="shared" si="5"/>
        <v/>
      </c>
      <c r="J28" s="17"/>
      <c r="K28" s="17"/>
      <c r="M28" s="45"/>
    </row>
    <row r="29" spans="1:15" s="3" customFormat="1" ht="20.25" customHeight="1" x14ac:dyDescent="0.3">
      <c r="A29" s="186"/>
      <c r="B29" s="246"/>
      <c r="C29" s="46" t="str">
        <f t="shared" si="0"/>
        <v/>
      </c>
      <c r="D29" s="46" t="str">
        <f t="shared" si="6"/>
        <v/>
      </c>
      <c r="E29" s="246" t="str">
        <f t="shared" si="1"/>
        <v/>
      </c>
      <c r="F29" s="227">
        <f t="shared" si="2"/>
        <v>1</v>
      </c>
      <c r="G29" s="50">
        <f t="shared" si="3"/>
        <v>1</v>
      </c>
      <c r="H29" s="43" t="str">
        <f t="shared" si="4"/>
        <v/>
      </c>
      <c r="I29" s="43" t="str">
        <f t="shared" si="5"/>
        <v/>
      </c>
      <c r="J29" s="17"/>
      <c r="K29" s="17"/>
      <c r="M29" s="45"/>
    </row>
    <row r="30" spans="1:15" s="3" customFormat="1" ht="20.25" customHeight="1" x14ac:dyDescent="0.3">
      <c r="A30" s="186"/>
      <c r="B30" s="246"/>
      <c r="C30" s="46" t="str">
        <f t="shared" si="0"/>
        <v/>
      </c>
      <c r="D30" s="46" t="str">
        <f t="shared" si="6"/>
        <v/>
      </c>
      <c r="E30" s="246" t="str">
        <f t="shared" si="1"/>
        <v/>
      </c>
      <c r="F30" s="227">
        <f t="shared" si="2"/>
        <v>1</v>
      </c>
      <c r="G30" s="50">
        <f t="shared" si="3"/>
        <v>1</v>
      </c>
      <c r="H30" s="43" t="str">
        <f t="shared" si="4"/>
        <v/>
      </c>
      <c r="I30" s="43" t="str">
        <f t="shared" si="5"/>
        <v/>
      </c>
      <c r="J30" s="17"/>
      <c r="K30" s="17"/>
      <c r="M30" s="45"/>
    </row>
    <row r="31" spans="1:15" s="3" customFormat="1" ht="20.25" customHeight="1" x14ac:dyDescent="0.3">
      <c r="A31" s="186"/>
      <c r="B31" s="246"/>
      <c r="C31" s="46" t="str">
        <f t="shared" si="0"/>
        <v/>
      </c>
      <c r="D31" s="46" t="str">
        <f t="shared" si="6"/>
        <v/>
      </c>
      <c r="E31" s="246" t="str">
        <f t="shared" si="1"/>
        <v/>
      </c>
      <c r="F31" s="227">
        <f t="shared" si="2"/>
        <v>1</v>
      </c>
      <c r="G31" s="50">
        <f t="shared" si="3"/>
        <v>1</v>
      </c>
      <c r="H31" s="43" t="str">
        <f t="shared" si="4"/>
        <v/>
      </c>
      <c r="I31" s="43" t="str">
        <f t="shared" si="5"/>
        <v/>
      </c>
      <c r="J31" s="17"/>
      <c r="K31" s="17"/>
      <c r="M31" s="45"/>
      <c r="N31" s="45"/>
      <c r="O31" s="49"/>
    </row>
    <row r="32" spans="1:15" s="3" customFormat="1" ht="20.25" customHeight="1" x14ac:dyDescent="0.3">
      <c r="A32" s="186"/>
      <c r="B32" s="246"/>
      <c r="C32" s="46" t="str">
        <f t="shared" si="0"/>
        <v/>
      </c>
      <c r="D32" s="46" t="str">
        <f t="shared" si="6"/>
        <v/>
      </c>
      <c r="E32" s="246" t="str">
        <f t="shared" si="1"/>
        <v/>
      </c>
      <c r="F32" s="227">
        <f t="shared" si="2"/>
        <v>1</v>
      </c>
      <c r="G32" s="50">
        <f t="shared" si="3"/>
        <v>1</v>
      </c>
      <c r="H32" s="43" t="str">
        <f t="shared" si="4"/>
        <v/>
      </c>
      <c r="I32" s="43" t="str">
        <f t="shared" si="5"/>
        <v/>
      </c>
      <c r="J32" s="17"/>
      <c r="K32" s="17"/>
      <c r="M32" s="45"/>
      <c r="N32" s="45"/>
      <c r="O32" s="49"/>
    </row>
    <row r="33" spans="1:15" s="3" customFormat="1" ht="20.25" customHeight="1" x14ac:dyDescent="0.3">
      <c r="A33" s="186"/>
      <c r="B33" s="246"/>
      <c r="C33" s="46" t="str">
        <f t="shared" si="0"/>
        <v/>
      </c>
      <c r="D33" s="46" t="str">
        <f t="shared" si="6"/>
        <v/>
      </c>
      <c r="E33" s="246" t="str">
        <f t="shared" si="1"/>
        <v/>
      </c>
      <c r="F33" s="227">
        <f t="shared" si="2"/>
        <v>1</v>
      </c>
      <c r="G33" s="50">
        <f t="shared" si="3"/>
        <v>1</v>
      </c>
      <c r="H33" s="43" t="str">
        <f t="shared" si="4"/>
        <v/>
      </c>
      <c r="I33" s="43" t="str">
        <f t="shared" si="5"/>
        <v/>
      </c>
      <c r="J33" s="17"/>
      <c r="K33" s="17"/>
      <c r="M33" s="45"/>
      <c r="N33" s="45"/>
      <c r="O33" s="49"/>
    </row>
    <row r="34" spans="1:15" s="3" customFormat="1" ht="20.25" customHeight="1" x14ac:dyDescent="0.3">
      <c r="A34" s="186"/>
      <c r="B34" s="247"/>
      <c r="C34" s="46" t="str">
        <f t="shared" si="0"/>
        <v/>
      </c>
      <c r="D34" s="46" t="str">
        <f t="shared" si="6"/>
        <v/>
      </c>
      <c r="E34" s="246" t="str">
        <f t="shared" si="1"/>
        <v/>
      </c>
      <c r="F34" s="227">
        <f t="shared" si="2"/>
        <v>1</v>
      </c>
      <c r="G34" s="50">
        <f t="shared" si="3"/>
        <v>1</v>
      </c>
      <c r="H34" s="43" t="str">
        <f t="shared" si="4"/>
        <v/>
      </c>
      <c r="I34" s="43" t="str">
        <f t="shared" si="5"/>
        <v/>
      </c>
      <c r="J34" s="17"/>
      <c r="K34" s="17"/>
      <c r="M34" s="45"/>
      <c r="N34" s="45"/>
      <c r="O34" s="49"/>
    </row>
    <row r="35" spans="1:15" s="3" customFormat="1" ht="20.25" customHeight="1" x14ac:dyDescent="0.3">
      <c r="A35" s="186"/>
      <c r="B35" s="246"/>
      <c r="C35" s="46" t="str">
        <f t="shared" si="0"/>
        <v/>
      </c>
      <c r="D35" s="46" t="str">
        <f t="shared" si="6"/>
        <v/>
      </c>
      <c r="E35" s="246" t="str">
        <f t="shared" si="1"/>
        <v/>
      </c>
      <c r="F35" s="227">
        <f t="shared" si="2"/>
        <v>1</v>
      </c>
      <c r="G35" s="50">
        <f t="shared" si="3"/>
        <v>1</v>
      </c>
      <c r="H35" s="43" t="str">
        <f t="shared" si="4"/>
        <v/>
      </c>
      <c r="I35" s="43" t="str">
        <f t="shared" si="5"/>
        <v/>
      </c>
      <c r="J35" s="17"/>
      <c r="K35" s="17"/>
    </row>
    <row r="36" spans="1:15" s="3" customFormat="1" ht="20.25" customHeight="1" x14ac:dyDescent="0.3">
      <c r="A36" s="192"/>
      <c r="B36" s="248"/>
      <c r="C36" s="175" t="str">
        <f t="shared" si="0"/>
        <v/>
      </c>
      <c r="D36" s="175" t="str">
        <f t="shared" si="6"/>
        <v/>
      </c>
      <c r="E36" s="248" t="str">
        <f t="shared" si="1"/>
        <v/>
      </c>
      <c r="F36" s="179">
        <f t="shared" si="2"/>
        <v>1</v>
      </c>
      <c r="G36" s="180">
        <f t="shared" si="3"/>
        <v>1</v>
      </c>
      <c r="H36" s="181" t="str">
        <f t="shared" si="4"/>
        <v/>
      </c>
      <c r="I36" s="181" t="str">
        <f t="shared" si="5"/>
        <v/>
      </c>
      <c r="J36" s="17"/>
      <c r="K36" s="17"/>
    </row>
    <row r="37" spans="1:15" s="3" customFormat="1" ht="20.25" customHeight="1" x14ac:dyDescent="0.3">
      <c r="A37" s="192"/>
      <c r="B37" s="249"/>
      <c r="C37" s="175" t="str">
        <f>IFERROR((B37-B36)/B36,"")</f>
        <v/>
      </c>
      <c r="D37" s="175" t="str">
        <f>IFERROR(AVERAGE(C25:C36),"")</f>
        <v/>
      </c>
      <c r="E37" s="248" t="str">
        <f t="shared" ref="E37" si="7">IFERROR(B36*(1+D37),"")</f>
        <v/>
      </c>
      <c r="F37" s="179">
        <f t="shared" ref="F37" si="8">+IF(B37&gt;=E37,1,0)</f>
        <v>1</v>
      </c>
      <c r="G37" s="213">
        <f t="shared" si="3"/>
        <v>1</v>
      </c>
      <c r="H37" s="181" t="str">
        <f t="shared" si="4"/>
        <v/>
      </c>
      <c r="I37" s="181" t="str">
        <f t="shared" si="5"/>
        <v/>
      </c>
      <c r="J37" s="17"/>
      <c r="K37" s="17"/>
    </row>
    <row r="38" spans="1:15" ht="19.2" customHeight="1" x14ac:dyDescent="0.25">
      <c r="A38" s="176"/>
      <c r="B38" s="182"/>
      <c r="C38" s="80"/>
      <c r="D38" s="80"/>
      <c r="E38" s="177"/>
      <c r="F38" s="183"/>
      <c r="G38" s="184"/>
      <c r="H38" s="185"/>
      <c r="I38" s="185"/>
    </row>
    <row r="39" spans="1:15" ht="19.2" customHeight="1" x14ac:dyDescent="0.25">
      <c r="A39" s="176"/>
      <c r="B39" s="182"/>
      <c r="C39" s="80"/>
      <c r="D39" s="80"/>
      <c r="E39" s="177"/>
      <c r="F39" s="183"/>
      <c r="G39" s="184"/>
      <c r="H39" s="185"/>
      <c r="I39" s="185"/>
    </row>
    <row r="40" spans="1:15" ht="19.2" customHeight="1" x14ac:dyDescent="0.25">
      <c r="A40" s="176"/>
      <c r="B40" s="182"/>
      <c r="C40" s="80"/>
      <c r="D40" s="80"/>
      <c r="E40" s="177"/>
      <c r="F40" s="183"/>
      <c r="G40" s="184"/>
      <c r="H40" s="185"/>
      <c r="I40" s="185"/>
    </row>
    <row r="41" spans="1:15" ht="19.2" customHeight="1" x14ac:dyDescent="0.25">
      <c r="A41" s="176"/>
      <c r="B41" s="182"/>
      <c r="C41" s="80"/>
      <c r="D41" s="80"/>
      <c r="E41" s="177"/>
      <c r="F41" s="183"/>
      <c r="G41" s="184"/>
      <c r="H41" s="185"/>
      <c r="I41" s="185"/>
    </row>
    <row r="42" spans="1:15" ht="19.2" customHeight="1" x14ac:dyDescent="0.25">
      <c r="A42" s="176"/>
      <c r="B42" s="182"/>
      <c r="C42" s="80"/>
      <c r="D42" s="80"/>
      <c r="E42" s="177"/>
      <c r="F42" s="183"/>
      <c r="G42" s="184"/>
      <c r="H42" s="185"/>
      <c r="I42" s="185"/>
    </row>
    <row r="43" spans="1:15" ht="19.2" customHeight="1" x14ac:dyDescent="0.25">
      <c r="A43" s="176"/>
      <c r="B43" s="182"/>
      <c r="C43" s="80"/>
      <c r="D43" s="80"/>
      <c r="E43" s="177"/>
      <c r="F43" s="183"/>
      <c r="G43" s="184"/>
      <c r="H43" s="185"/>
      <c r="I43" s="185"/>
    </row>
    <row r="44" spans="1:15" ht="19.2" customHeight="1" x14ac:dyDescent="0.25">
      <c r="A44" s="176"/>
      <c r="B44" s="182"/>
      <c r="C44" s="80"/>
      <c r="D44" s="80"/>
      <c r="E44" s="177"/>
      <c r="F44" s="183"/>
      <c r="G44" s="184"/>
      <c r="H44" s="185"/>
      <c r="I44" s="185"/>
    </row>
    <row r="45" spans="1:15" ht="19.2" customHeight="1" x14ac:dyDescent="0.25">
      <c r="A45" s="176"/>
      <c r="B45" s="182"/>
      <c r="C45" s="80"/>
      <c r="D45" s="80"/>
      <c r="E45" s="177"/>
      <c r="F45" s="183"/>
      <c r="G45" s="184"/>
      <c r="H45" s="185"/>
      <c r="I45" s="185"/>
    </row>
    <row r="46" spans="1:15" ht="19.2" customHeight="1" x14ac:dyDescent="0.25">
      <c r="A46" s="176"/>
      <c r="B46" s="182"/>
      <c r="C46" s="80"/>
      <c r="D46" s="80"/>
      <c r="E46" s="177"/>
      <c r="F46" s="183"/>
      <c r="G46" s="184"/>
      <c r="H46" s="185"/>
      <c r="I46" s="185"/>
    </row>
    <row r="47" spans="1:15" ht="19.2" customHeight="1" x14ac:dyDescent="0.25">
      <c r="A47" s="176"/>
      <c r="B47" s="182"/>
      <c r="C47" s="80"/>
      <c r="D47" s="80"/>
      <c r="E47" s="177"/>
      <c r="F47" s="183"/>
      <c r="G47" s="184"/>
      <c r="H47" s="185"/>
      <c r="I47" s="185"/>
    </row>
    <row r="48" spans="1:15" ht="19.2" customHeight="1" x14ac:dyDescent="0.25">
      <c r="A48" s="176"/>
      <c r="B48" s="182"/>
      <c r="C48" s="80"/>
      <c r="D48" s="80"/>
      <c r="E48" s="177"/>
      <c r="F48" s="183"/>
      <c r="G48" s="184"/>
      <c r="H48" s="185"/>
      <c r="I48" s="185"/>
    </row>
    <row r="49" spans="1:9" x14ac:dyDescent="0.25">
      <c r="A49" s="176"/>
      <c r="B49" s="182"/>
      <c r="C49" s="80"/>
      <c r="D49" s="80"/>
      <c r="E49" s="177"/>
      <c r="F49" s="183"/>
      <c r="G49" s="184"/>
      <c r="H49" s="185"/>
      <c r="I49" s="185"/>
    </row>
    <row r="50" spans="1:9" x14ac:dyDescent="0.25">
      <c r="A50" s="176"/>
      <c r="B50" s="182"/>
      <c r="C50" s="80"/>
      <c r="D50" s="80"/>
      <c r="E50" s="177"/>
      <c r="F50" s="183"/>
      <c r="G50" s="184"/>
      <c r="H50" s="185"/>
      <c r="I50" s="185"/>
    </row>
    <row r="51" spans="1:9" x14ac:dyDescent="0.25">
      <c r="A51" s="176"/>
      <c r="B51" s="182"/>
      <c r="C51" s="80"/>
      <c r="D51" s="80"/>
      <c r="E51" s="177"/>
      <c r="F51" s="183"/>
      <c r="G51" s="184"/>
      <c r="H51" s="185"/>
      <c r="I51" s="185"/>
    </row>
    <row r="52" spans="1:9" x14ac:dyDescent="0.25">
      <c r="A52" s="176"/>
      <c r="B52" s="182"/>
      <c r="C52" s="80"/>
      <c r="D52" s="80"/>
      <c r="E52" s="177"/>
      <c r="F52" s="183"/>
      <c r="G52" s="184"/>
      <c r="H52" s="185"/>
      <c r="I52" s="185"/>
    </row>
    <row r="53" spans="1:9" x14ac:dyDescent="0.25">
      <c r="A53" s="176"/>
      <c r="B53" s="182"/>
      <c r="C53" s="80"/>
      <c r="D53" s="80"/>
      <c r="E53" s="177"/>
      <c r="F53" s="183"/>
      <c r="G53" s="184"/>
      <c r="H53" s="185"/>
      <c r="I53" s="185"/>
    </row>
    <row r="54" spans="1:9" x14ac:dyDescent="0.25">
      <c r="A54" s="176"/>
      <c r="B54" s="182"/>
      <c r="C54" s="80"/>
      <c r="D54" s="80"/>
      <c r="E54" s="177"/>
      <c r="F54" s="183"/>
      <c r="G54" s="184"/>
      <c r="H54" s="185"/>
      <c r="I54" s="185"/>
    </row>
    <row r="55" spans="1:9" x14ac:dyDescent="0.25">
      <c r="A55" s="176"/>
      <c r="B55" s="182"/>
      <c r="C55" s="80"/>
      <c r="D55" s="80"/>
      <c r="E55" s="177"/>
      <c r="F55" s="183"/>
      <c r="G55" s="184"/>
      <c r="H55" s="185"/>
      <c r="I55" s="185"/>
    </row>
    <row r="56" spans="1:9" x14ac:dyDescent="0.25">
      <c r="A56" s="176"/>
      <c r="B56" s="182"/>
      <c r="C56" s="80"/>
      <c r="D56" s="80"/>
      <c r="E56" s="177"/>
      <c r="F56" s="183"/>
      <c r="G56" s="184"/>
      <c r="H56" s="185"/>
      <c r="I56" s="185"/>
    </row>
    <row r="57" spans="1:9" x14ac:dyDescent="0.25">
      <c r="A57" s="176"/>
      <c r="B57" s="182"/>
      <c r="C57" s="80"/>
      <c r="D57" s="80"/>
      <c r="E57" s="177"/>
      <c r="F57" s="183"/>
      <c r="G57" s="184"/>
      <c r="H57" s="185"/>
      <c r="I57" s="185"/>
    </row>
    <row r="58" spans="1:9" x14ac:dyDescent="0.25">
      <c r="A58" s="176"/>
      <c r="B58" s="182"/>
      <c r="C58" s="80"/>
      <c r="D58" s="80"/>
      <c r="E58" s="177"/>
      <c r="F58" s="183"/>
      <c r="G58" s="184"/>
      <c r="H58" s="185"/>
      <c r="I58" s="185"/>
    </row>
    <row r="59" spans="1:9" x14ac:dyDescent="0.25">
      <c r="A59" s="176"/>
      <c r="B59" s="182"/>
      <c r="C59" s="80"/>
      <c r="D59" s="80"/>
      <c r="E59" s="177"/>
      <c r="F59" s="183"/>
      <c r="G59" s="184"/>
      <c r="H59" s="185"/>
      <c r="I59" s="185"/>
    </row>
    <row r="60" spans="1:9" x14ac:dyDescent="0.25">
      <c r="A60" s="176"/>
      <c r="B60" s="182"/>
      <c r="C60" s="80"/>
      <c r="D60" s="80"/>
      <c r="E60" s="177"/>
      <c r="F60" s="183"/>
      <c r="G60" s="184"/>
      <c r="H60" s="185"/>
      <c r="I60" s="185"/>
    </row>
    <row r="61" spans="1:9" x14ac:dyDescent="0.25">
      <c r="A61" s="176"/>
      <c r="B61" s="182"/>
      <c r="C61" s="80"/>
      <c r="D61" s="80"/>
      <c r="E61" s="177"/>
      <c r="F61" s="183"/>
      <c r="G61" s="184"/>
      <c r="H61" s="185"/>
      <c r="I61" s="185"/>
    </row>
    <row r="62" spans="1:9" x14ac:dyDescent="0.25">
      <c r="A62" s="176"/>
      <c r="B62" s="182"/>
      <c r="C62" s="80"/>
      <c r="D62" s="80"/>
      <c r="E62" s="177"/>
      <c r="F62" s="183"/>
      <c r="G62" s="184"/>
      <c r="H62" s="185"/>
      <c r="I62" s="185"/>
    </row>
    <row r="63" spans="1:9" x14ac:dyDescent="0.25">
      <c r="A63" s="176"/>
      <c r="B63" s="182"/>
      <c r="C63" s="80"/>
      <c r="D63" s="80"/>
      <c r="E63" s="177"/>
      <c r="F63" s="183"/>
      <c r="G63" s="184"/>
      <c r="H63" s="185"/>
      <c r="I63" s="185"/>
    </row>
    <row r="64" spans="1:9" x14ac:dyDescent="0.25">
      <c r="A64" s="176"/>
      <c r="B64" s="182"/>
      <c r="C64" s="80"/>
      <c r="D64" s="80"/>
      <c r="E64" s="177"/>
      <c r="F64" s="183"/>
      <c r="G64" s="184"/>
      <c r="H64" s="185"/>
      <c r="I64" s="185"/>
    </row>
    <row r="65" spans="1:9" x14ac:dyDescent="0.25">
      <c r="A65" s="176"/>
      <c r="B65" s="182"/>
      <c r="C65" s="80"/>
      <c r="D65" s="80"/>
      <c r="E65" s="177"/>
      <c r="F65" s="183"/>
      <c r="G65" s="184"/>
      <c r="H65" s="185"/>
      <c r="I65" s="185"/>
    </row>
    <row r="66" spans="1:9" x14ac:dyDescent="0.25">
      <c r="A66" s="176"/>
      <c r="B66" s="182"/>
      <c r="C66" s="80"/>
      <c r="D66" s="80"/>
      <c r="E66" s="177"/>
      <c r="F66" s="183"/>
      <c r="G66" s="184"/>
      <c r="H66" s="185"/>
      <c r="I66" s="185"/>
    </row>
    <row r="67" spans="1:9" x14ac:dyDescent="0.25">
      <c r="A67" s="176"/>
      <c r="B67" s="182"/>
      <c r="C67" s="80"/>
      <c r="D67" s="80"/>
      <c r="E67" s="177"/>
      <c r="F67" s="183"/>
      <c r="G67" s="184"/>
      <c r="H67" s="185"/>
      <c r="I67" s="185"/>
    </row>
    <row r="68" spans="1:9" x14ac:dyDescent="0.25">
      <c r="A68" s="176"/>
      <c r="B68" s="182"/>
      <c r="C68" s="80"/>
      <c r="D68" s="80"/>
      <c r="E68" s="177"/>
      <c r="F68" s="183"/>
      <c r="G68" s="184"/>
      <c r="H68" s="185"/>
      <c r="I68" s="185"/>
    </row>
    <row r="69" spans="1:9" x14ac:dyDescent="0.25">
      <c r="A69" s="176"/>
      <c r="B69" s="182"/>
      <c r="C69" s="80"/>
      <c r="D69" s="80"/>
      <c r="E69" s="177"/>
      <c r="F69" s="183"/>
      <c r="G69" s="184"/>
      <c r="H69" s="185"/>
      <c r="I69" s="185"/>
    </row>
    <row r="70" spans="1:9" x14ac:dyDescent="0.25">
      <c r="A70" s="176"/>
      <c r="B70" s="182"/>
      <c r="C70" s="80"/>
      <c r="D70" s="80"/>
      <c r="E70" s="177"/>
      <c r="F70" s="183"/>
      <c r="G70" s="184"/>
      <c r="H70" s="185"/>
      <c r="I70" s="185"/>
    </row>
    <row r="71" spans="1:9" x14ac:dyDescent="0.25">
      <c r="A71" s="176"/>
      <c r="B71" s="182"/>
      <c r="C71" s="80"/>
      <c r="D71" s="80"/>
      <c r="E71" s="177"/>
      <c r="F71" s="183"/>
      <c r="G71" s="184"/>
      <c r="H71" s="185"/>
      <c r="I71" s="185"/>
    </row>
    <row r="72" spans="1:9" x14ac:dyDescent="0.25">
      <c r="A72" s="176"/>
      <c r="B72" s="182"/>
      <c r="C72" s="80"/>
      <c r="D72" s="80"/>
      <c r="E72" s="177"/>
      <c r="F72" s="183"/>
      <c r="G72" s="184"/>
      <c r="H72" s="185"/>
      <c r="I72" s="185"/>
    </row>
    <row r="73" spans="1:9" x14ac:dyDescent="0.25">
      <c r="A73" s="176"/>
      <c r="B73" s="182"/>
      <c r="C73" s="80"/>
      <c r="D73" s="80"/>
      <c r="E73" s="177"/>
      <c r="F73" s="183"/>
      <c r="G73" s="184"/>
      <c r="H73" s="185"/>
      <c r="I73" s="185"/>
    </row>
    <row r="74" spans="1:9" x14ac:dyDescent="0.25">
      <c r="A74" s="176"/>
      <c r="B74" s="182"/>
      <c r="C74" s="80"/>
      <c r="D74" s="80"/>
      <c r="E74" s="177"/>
      <c r="F74" s="183"/>
      <c r="G74" s="184"/>
      <c r="H74" s="185"/>
      <c r="I74" s="185"/>
    </row>
    <row r="75" spans="1:9" x14ac:dyDescent="0.25">
      <c r="A75" s="176"/>
      <c r="B75" s="182"/>
      <c r="C75" s="80"/>
      <c r="D75" s="80"/>
      <c r="E75" s="177"/>
      <c r="F75" s="183"/>
      <c r="G75" s="184"/>
      <c r="H75" s="185"/>
      <c r="I75" s="185"/>
    </row>
    <row r="76" spans="1:9" x14ac:dyDescent="0.25">
      <c r="A76" s="176"/>
      <c r="B76" s="182"/>
      <c r="C76" s="80"/>
      <c r="D76" s="80"/>
      <c r="E76" s="177"/>
      <c r="F76" s="183"/>
      <c r="G76" s="184"/>
      <c r="H76" s="185"/>
      <c r="I76" s="185"/>
    </row>
    <row r="77" spans="1:9" x14ac:dyDescent="0.25">
      <c r="A77" s="176"/>
      <c r="B77" s="182"/>
      <c r="C77" s="80"/>
      <c r="D77" s="80"/>
      <c r="E77" s="177"/>
      <c r="F77" s="183"/>
      <c r="G77" s="184"/>
      <c r="H77" s="185"/>
      <c r="I77" s="185"/>
    </row>
    <row r="78" spans="1:9" x14ac:dyDescent="0.25">
      <c r="A78" s="176"/>
      <c r="B78" s="182"/>
      <c r="C78" s="80"/>
      <c r="D78" s="80"/>
      <c r="E78" s="177"/>
      <c r="F78" s="183"/>
      <c r="G78" s="184"/>
      <c r="H78" s="185"/>
      <c r="I78" s="185"/>
    </row>
    <row r="79" spans="1:9" x14ac:dyDescent="0.25">
      <c r="A79" s="176"/>
      <c r="B79" s="182"/>
      <c r="C79" s="80"/>
      <c r="D79" s="80"/>
      <c r="E79" s="177"/>
      <c r="F79" s="183"/>
      <c r="G79" s="184"/>
      <c r="H79" s="185"/>
      <c r="I79" s="185"/>
    </row>
    <row r="80" spans="1:9" x14ac:dyDescent="0.25">
      <c r="A80" s="176"/>
      <c r="B80" s="182"/>
      <c r="C80" s="80"/>
      <c r="D80" s="80"/>
      <c r="E80" s="177"/>
      <c r="F80" s="183"/>
      <c r="G80" s="184"/>
      <c r="H80" s="185"/>
      <c r="I80" s="185"/>
    </row>
    <row r="81" spans="1:9" x14ac:dyDescent="0.25">
      <c r="A81" s="176"/>
      <c r="B81" s="182"/>
      <c r="C81" s="80"/>
      <c r="D81" s="80"/>
      <c r="E81" s="177"/>
      <c r="F81" s="183"/>
      <c r="G81" s="184"/>
      <c r="H81" s="185"/>
      <c r="I81" s="185"/>
    </row>
    <row r="82" spans="1:9" x14ac:dyDescent="0.25">
      <c r="A82" s="176"/>
      <c r="B82" s="182"/>
      <c r="C82" s="80"/>
      <c r="D82" s="80"/>
      <c r="E82" s="177"/>
      <c r="F82" s="183"/>
      <c r="G82" s="184"/>
      <c r="H82" s="185"/>
      <c r="I82" s="185"/>
    </row>
    <row r="83" spans="1:9" x14ac:dyDescent="0.25">
      <c r="A83" s="176"/>
      <c r="B83" s="182"/>
      <c r="C83" s="80"/>
      <c r="D83" s="80"/>
      <c r="E83" s="177"/>
      <c r="F83" s="183"/>
      <c r="G83" s="184"/>
      <c r="H83" s="185"/>
      <c r="I83" s="185"/>
    </row>
    <row r="84" spans="1:9" x14ac:dyDescent="0.25">
      <c r="A84" s="176"/>
      <c r="B84" s="182"/>
      <c r="C84" s="80"/>
      <c r="D84" s="80"/>
      <c r="E84" s="177"/>
      <c r="F84" s="183"/>
      <c r="G84" s="184"/>
      <c r="H84" s="185"/>
      <c r="I84" s="185"/>
    </row>
    <row r="85" spans="1:9" x14ac:dyDescent="0.25">
      <c r="A85" s="176"/>
      <c r="B85" s="182"/>
      <c r="C85" s="80"/>
      <c r="D85" s="80"/>
      <c r="E85" s="177"/>
      <c r="F85" s="183"/>
      <c r="G85" s="184"/>
      <c r="H85" s="185"/>
      <c r="I85" s="185"/>
    </row>
    <row r="86" spans="1:9" x14ac:dyDescent="0.25">
      <c r="A86" s="176"/>
      <c r="B86" s="182"/>
      <c r="C86" s="80"/>
      <c r="D86" s="80"/>
      <c r="E86" s="177"/>
      <c r="F86" s="183"/>
      <c r="G86" s="184"/>
      <c r="H86" s="185"/>
      <c r="I86" s="185"/>
    </row>
    <row r="87" spans="1:9" x14ac:dyDescent="0.25">
      <c r="A87" s="176"/>
      <c r="B87" s="182"/>
      <c r="C87" s="80"/>
      <c r="D87" s="80"/>
      <c r="E87" s="177"/>
      <c r="F87" s="183"/>
      <c r="G87" s="184"/>
      <c r="H87" s="185"/>
      <c r="I87" s="185"/>
    </row>
    <row r="88" spans="1:9" x14ac:dyDescent="0.25">
      <c r="A88" s="176"/>
      <c r="B88" s="182"/>
      <c r="C88" s="80"/>
      <c r="D88" s="80"/>
      <c r="E88" s="177"/>
      <c r="F88" s="183"/>
      <c r="G88" s="184"/>
      <c r="H88" s="185"/>
      <c r="I88" s="185"/>
    </row>
    <row r="89" spans="1:9" x14ac:dyDescent="0.25">
      <c r="A89" s="176"/>
      <c r="B89" s="182"/>
      <c r="C89" s="80"/>
      <c r="D89" s="80"/>
      <c r="E89" s="177"/>
      <c r="F89" s="183"/>
      <c r="G89" s="184"/>
      <c r="H89" s="185"/>
      <c r="I89" s="185"/>
    </row>
    <row r="90" spans="1:9" x14ac:dyDescent="0.25">
      <c r="A90" s="176"/>
      <c r="B90" s="182"/>
      <c r="C90" s="80"/>
      <c r="D90" s="80"/>
      <c r="E90" s="177"/>
      <c r="F90" s="183"/>
      <c r="G90" s="184"/>
      <c r="H90" s="185"/>
      <c r="I90" s="185"/>
    </row>
    <row r="91" spans="1:9" x14ac:dyDescent="0.25">
      <c r="A91" s="176"/>
      <c r="B91" s="182"/>
      <c r="C91" s="80"/>
      <c r="D91" s="80"/>
      <c r="E91" s="177"/>
      <c r="F91" s="183"/>
      <c r="G91" s="184"/>
      <c r="H91" s="185"/>
      <c r="I91" s="185"/>
    </row>
    <row r="92" spans="1:9" x14ac:dyDescent="0.25">
      <c r="A92" s="176"/>
      <c r="B92" s="182"/>
      <c r="C92" s="80"/>
      <c r="D92" s="80"/>
      <c r="E92" s="177"/>
      <c r="F92" s="183"/>
      <c r="G92" s="184"/>
      <c r="H92" s="185"/>
      <c r="I92" s="185"/>
    </row>
    <row r="93" spans="1:9" x14ac:dyDescent="0.25">
      <c r="A93" s="176"/>
      <c r="B93" s="182"/>
      <c r="C93" s="80"/>
      <c r="D93" s="80"/>
      <c r="E93" s="177"/>
      <c r="F93" s="183"/>
      <c r="G93" s="184"/>
      <c r="H93" s="185"/>
      <c r="I93" s="185"/>
    </row>
    <row r="94" spans="1:9" x14ac:dyDescent="0.25">
      <c r="A94" s="176"/>
      <c r="B94" s="182"/>
      <c r="C94" s="80"/>
      <c r="D94" s="80"/>
      <c r="E94" s="177"/>
      <c r="F94" s="183"/>
      <c r="G94" s="184"/>
      <c r="H94" s="185"/>
      <c r="I94" s="185"/>
    </row>
    <row r="95" spans="1:9" x14ac:dyDescent="0.25">
      <c r="A95" s="176"/>
      <c r="B95" s="182"/>
      <c r="C95" s="80"/>
      <c r="D95" s="80"/>
      <c r="E95" s="177"/>
      <c r="F95" s="183"/>
      <c r="G95" s="184"/>
      <c r="H95" s="185"/>
      <c r="I95" s="185"/>
    </row>
    <row r="96" spans="1:9" x14ac:dyDescent="0.25">
      <c r="A96" s="176"/>
      <c r="B96" s="182"/>
      <c r="C96" s="80"/>
      <c r="D96" s="80"/>
      <c r="E96" s="177"/>
      <c r="F96" s="183"/>
      <c r="G96" s="184"/>
      <c r="H96" s="185"/>
      <c r="I96" s="185"/>
    </row>
    <row r="97" spans="1:9" x14ac:dyDescent="0.25">
      <c r="A97" s="176"/>
      <c r="B97" s="182"/>
      <c r="C97" s="80"/>
      <c r="D97" s="80"/>
      <c r="E97" s="177"/>
      <c r="F97" s="183"/>
      <c r="G97" s="184"/>
      <c r="H97" s="185"/>
      <c r="I97" s="185"/>
    </row>
    <row r="98" spans="1:9" x14ac:dyDescent="0.25">
      <c r="A98" s="176"/>
      <c r="B98" s="182"/>
      <c r="C98" s="80"/>
      <c r="D98" s="80"/>
      <c r="E98" s="177"/>
      <c r="F98" s="183"/>
      <c r="G98" s="184"/>
      <c r="H98" s="185"/>
      <c r="I98" s="185"/>
    </row>
    <row r="99" spans="1:9" x14ac:dyDescent="0.25">
      <c r="A99" s="176"/>
      <c r="B99" s="182"/>
      <c r="C99" s="80"/>
      <c r="D99" s="80"/>
      <c r="E99" s="177"/>
      <c r="F99" s="183"/>
      <c r="G99" s="184"/>
      <c r="H99" s="185"/>
      <c r="I99" s="185"/>
    </row>
    <row r="100" spans="1:9" x14ac:dyDescent="0.25">
      <c r="A100" s="176"/>
      <c r="B100" s="182"/>
      <c r="C100" s="80"/>
      <c r="D100" s="80"/>
      <c r="E100" s="177"/>
      <c r="F100" s="183"/>
      <c r="G100" s="184"/>
      <c r="H100" s="185"/>
      <c r="I100" s="185"/>
    </row>
    <row r="101" spans="1:9" x14ac:dyDescent="0.25">
      <c r="A101" s="176"/>
      <c r="B101" s="182"/>
      <c r="C101" s="80"/>
      <c r="D101" s="80"/>
      <c r="E101" s="177"/>
      <c r="F101" s="183"/>
      <c r="G101" s="184"/>
      <c r="H101" s="185"/>
      <c r="I101" s="185"/>
    </row>
    <row r="102" spans="1:9" x14ac:dyDescent="0.25">
      <c r="A102" s="176"/>
      <c r="B102" s="182"/>
      <c r="C102" s="80"/>
      <c r="D102" s="80"/>
      <c r="E102" s="177"/>
      <c r="F102" s="183"/>
      <c r="G102" s="184"/>
      <c r="H102" s="185"/>
      <c r="I102" s="185"/>
    </row>
    <row r="103" spans="1:9" x14ac:dyDescent="0.25">
      <c r="A103" s="176"/>
      <c r="B103" s="182"/>
      <c r="C103" s="80"/>
      <c r="D103" s="80"/>
      <c r="E103" s="177"/>
      <c r="F103" s="183"/>
      <c r="G103" s="184"/>
      <c r="H103" s="185"/>
      <c r="I103" s="185"/>
    </row>
    <row r="104" spans="1:9" x14ac:dyDescent="0.25">
      <c r="A104" s="176"/>
      <c r="B104" s="182"/>
      <c r="C104" s="80"/>
      <c r="D104" s="80"/>
      <c r="E104" s="177"/>
      <c r="F104" s="183"/>
      <c r="G104" s="184"/>
      <c r="H104" s="185"/>
      <c r="I104" s="185"/>
    </row>
    <row r="105" spans="1:9" x14ac:dyDescent="0.25">
      <c r="A105" s="176"/>
      <c r="B105" s="182"/>
      <c r="C105" s="80"/>
      <c r="D105" s="80"/>
      <c r="E105" s="177"/>
      <c r="F105" s="183"/>
      <c r="G105" s="184"/>
      <c r="H105" s="185"/>
      <c r="I105" s="185"/>
    </row>
    <row r="106" spans="1:9" x14ac:dyDescent="0.25">
      <c r="A106" s="176"/>
      <c r="B106" s="182"/>
      <c r="C106" s="80"/>
      <c r="D106" s="80"/>
      <c r="E106" s="177"/>
      <c r="F106" s="183"/>
      <c r="G106" s="184"/>
      <c r="H106" s="185"/>
      <c r="I106" s="185"/>
    </row>
    <row r="107" spans="1:9" x14ac:dyDescent="0.25">
      <c r="A107" s="176"/>
      <c r="B107" s="182"/>
      <c r="C107" s="80"/>
      <c r="D107" s="80"/>
      <c r="E107" s="177"/>
      <c r="F107" s="183"/>
      <c r="G107" s="184"/>
      <c r="H107" s="185"/>
      <c r="I107" s="185"/>
    </row>
    <row r="108" spans="1:9" x14ac:dyDescent="0.25">
      <c r="A108" s="176"/>
      <c r="B108" s="182"/>
      <c r="C108" s="80"/>
      <c r="D108" s="80"/>
      <c r="E108" s="177"/>
      <c r="F108" s="183"/>
      <c r="G108" s="184"/>
      <c r="H108" s="185"/>
      <c r="I108" s="185"/>
    </row>
    <row r="109" spans="1:9" x14ac:dyDescent="0.25">
      <c r="A109" s="176"/>
      <c r="B109" s="182"/>
      <c r="C109" s="80"/>
      <c r="D109" s="80"/>
      <c r="E109" s="177"/>
      <c r="F109" s="183"/>
      <c r="G109" s="184"/>
      <c r="H109" s="185"/>
      <c r="I109" s="185"/>
    </row>
    <row r="110" spans="1:9" x14ac:dyDescent="0.25">
      <c r="A110" s="176"/>
      <c r="B110" s="182"/>
      <c r="C110" s="80"/>
      <c r="D110" s="80"/>
      <c r="E110" s="177"/>
      <c r="F110" s="183"/>
      <c r="G110" s="184"/>
      <c r="H110" s="185"/>
      <c r="I110" s="185"/>
    </row>
    <row r="111" spans="1:9" x14ac:dyDescent="0.25">
      <c r="A111" s="176"/>
      <c r="B111" s="182"/>
      <c r="C111" s="80"/>
      <c r="D111" s="80"/>
      <c r="E111" s="177"/>
      <c r="F111" s="183"/>
      <c r="G111" s="184"/>
      <c r="H111" s="185"/>
      <c r="I111" s="185"/>
    </row>
    <row r="112" spans="1:9" x14ac:dyDescent="0.25">
      <c r="A112" s="176"/>
      <c r="B112" s="182"/>
      <c r="C112" s="80"/>
      <c r="D112" s="80"/>
      <c r="E112" s="177"/>
      <c r="F112" s="183"/>
      <c r="G112" s="184"/>
      <c r="H112" s="185"/>
      <c r="I112" s="185"/>
    </row>
    <row r="113" spans="1:9" x14ac:dyDescent="0.25">
      <c r="A113" s="176"/>
      <c r="B113" s="182"/>
      <c r="C113" s="80"/>
      <c r="D113" s="80"/>
      <c r="E113" s="177"/>
      <c r="F113" s="183"/>
      <c r="G113" s="184"/>
      <c r="H113" s="185"/>
      <c r="I113" s="185"/>
    </row>
    <row r="114" spans="1:9" x14ac:dyDescent="0.25">
      <c r="A114" s="176"/>
      <c r="B114" s="182"/>
      <c r="C114" s="80"/>
      <c r="D114" s="80"/>
      <c r="E114" s="177"/>
      <c r="F114" s="183"/>
      <c r="G114" s="184"/>
      <c r="H114" s="185"/>
      <c r="I114" s="185"/>
    </row>
    <row r="115" spans="1:9" x14ac:dyDescent="0.25">
      <c r="A115" s="176"/>
      <c r="B115" s="182"/>
      <c r="C115" s="80"/>
      <c r="D115" s="80"/>
      <c r="E115" s="177"/>
      <c r="F115" s="183"/>
      <c r="G115" s="184"/>
      <c r="H115" s="185"/>
      <c r="I115" s="185"/>
    </row>
    <row r="116" spans="1:9" x14ac:dyDescent="0.25">
      <c r="A116" s="176"/>
      <c r="B116" s="182"/>
      <c r="C116" s="80"/>
      <c r="D116" s="80"/>
      <c r="E116" s="177"/>
      <c r="F116" s="183"/>
      <c r="G116" s="184"/>
      <c r="H116" s="185"/>
      <c r="I116" s="185"/>
    </row>
    <row r="117" spans="1:9" x14ac:dyDescent="0.25">
      <c r="A117" s="176"/>
      <c r="B117" s="182"/>
      <c r="C117" s="80"/>
      <c r="D117" s="80"/>
      <c r="E117" s="177"/>
      <c r="F117" s="183"/>
      <c r="G117" s="184"/>
      <c r="H117" s="185"/>
      <c r="I117" s="185"/>
    </row>
    <row r="118" spans="1:9" x14ac:dyDescent="0.25">
      <c r="A118" s="176"/>
      <c r="B118" s="182"/>
      <c r="C118" s="80"/>
      <c r="D118" s="80"/>
      <c r="E118" s="177"/>
      <c r="F118" s="183"/>
      <c r="G118" s="184"/>
      <c r="H118" s="185"/>
      <c r="I118" s="185"/>
    </row>
    <row r="119" spans="1:9" x14ac:dyDescent="0.25">
      <c r="A119" s="176"/>
      <c r="B119" s="182"/>
      <c r="C119" s="80"/>
      <c r="D119" s="80"/>
      <c r="E119" s="177"/>
      <c r="F119" s="183"/>
      <c r="G119" s="184"/>
      <c r="H119" s="185"/>
      <c r="I119" s="185"/>
    </row>
    <row r="120" spans="1:9" x14ac:dyDescent="0.25">
      <c r="A120" s="176"/>
      <c r="B120" s="182"/>
      <c r="C120" s="80"/>
      <c r="D120" s="80"/>
      <c r="E120" s="177"/>
      <c r="F120" s="183"/>
      <c r="G120" s="184"/>
      <c r="H120" s="185"/>
      <c r="I120" s="185"/>
    </row>
    <row r="121" spans="1:9" x14ac:dyDescent="0.25">
      <c r="A121" s="176"/>
      <c r="B121" s="182"/>
      <c r="C121" s="80"/>
      <c r="D121" s="80"/>
      <c r="E121" s="177"/>
      <c r="F121" s="183"/>
      <c r="G121" s="184"/>
      <c r="H121" s="185"/>
      <c r="I121" s="185"/>
    </row>
    <row r="122" spans="1:9" x14ac:dyDescent="0.25">
      <c r="A122" s="176"/>
      <c r="B122" s="182"/>
      <c r="C122" s="80"/>
      <c r="D122" s="80"/>
      <c r="E122" s="177"/>
      <c r="F122" s="183"/>
      <c r="G122" s="184"/>
      <c r="H122" s="185"/>
      <c r="I122" s="185"/>
    </row>
    <row r="123" spans="1:9" x14ac:dyDescent="0.25">
      <c r="A123" s="176"/>
      <c r="B123" s="182"/>
      <c r="C123" s="80"/>
      <c r="D123" s="80"/>
      <c r="E123" s="177"/>
      <c r="F123" s="183"/>
      <c r="G123" s="184"/>
      <c r="H123" s="185"/>
      <c r="I123" s="185"/>
    </row>
    <row r="124" spans="1:9" x14ac:dyDescent="0.25">
      <c r="A124" s="176"/>
      <c r="B124" s="182"/>
      <c r="C124" s="80"/>
      <c r="D124" s="80"/>
      <c r="E124" s="177"/>
      <c r="F124" s="183"/>
      <c r="G124" s="184"/>
      <c r="H124" s="185"/>
      <c r="I124" s="185"/>
    </row>
    <row r="125" spans="1:9" x14ac:dyDescent="0.25">
      <c r="A125" s="176"/>
      <c r="B125" s="182"/>
      <c r="C125" s="80"/>
      <c r="D125" s="80"/>
      <c r="E125" s="177"/>
      <c r="F125" s="183"/>
      <c r="G125" s="184"/>
      <c r="H125" s="185"/>
      <c r="I125" s="185"/>
    </row>
    <row r="126" spans="1:9" x14ac:dyDescent="0.25">
      <c r="A126" s="176"/>
      <c r="B126" s="182"/>
      <c r="C126" s="80"/>
      <c r="D126" s="80"/>
      <c r="E126" s="177"/>
      <c r="F126" s="183"/>
      <c r="G126" s="184"/>
      <c r="H126" s="185"/>
      <c r="I126" s="185"/>
    </row>
    <row r="127" spans="1:9" x14ac:dyDescent="0.25">
      <c r="A127" s="176"/>
      <c r="B127" s="182"/>
      <c r="C127" s="80"/>
      <c r="D127" s="80"/>
      <c r="E127" s="177"/>
      <c r="F127" s="183"/>
      <c r="G127" s="184"/>
      <c r="H127" s="185"/>
      <c r="I127" s="185"/>
    </row>
    <row r="128" spans="1:9" x14ac:dyDescent="0.25">
      <c r="A128" s="176"/>
      <c r="B128" s="182"/>
      <c r="C128" s="80"/>
      <c r="D128" s="80"/>
      <c r="E128" s="177"/>
      <c r="F128" s="183"/>
      <c r="G128" s="184"/>
      <c r="H128" s="185"/>
      <c r="I128" s="185"/>
    </row>
    <row r="129" spans="1:9" x14ac:dyDescent="0.25">
      <c r="A129" s="176"/>
      <c r="B129" s="182"/>
      <c r="C129" s="80"/>
      <c r="D129" s="80"/>
      <c r="E129" s="177"/>
      <c r="F129" s="183"/>
      <c r="G129" s="184"/>
      <c r="H129" s="185"/>
      <c r="I129" s="185"/>
    </row>
    <row r="130" spans="1:9" x14ac:dyDescent="0.25">
      <c r="A130" s="176"/>
      <c r="B130" s="182"/>
      <c r="C130" s="80"/>
      <c r="D130" s="80"/>
      <c r="E130" s="177"/>
      <c r="F130" s="183"/>
      <c r="G130" s="184"/>
      <c r="H130" s="185"/>
      <c r="I130" s="185"/>
    </row>
    <row r="131" spans="1:9" x14ac:dyDescent="0.25">
      <c r="A131" s="176"/>
      <c r="B131" s="182"/>
      <c r="C131" s="80"/>
      <c r="D131" s="80"/>
      <c r="E131" s="177"/>
      <c r="F131" s="183"/>
      <c r="G131" s="184"/>
      <c r="H131" s="185"/>
      <c r="I131" s="185"/>
    </row>
    <row r="132" spans="1:9" x14ac:dyDescent="0.25">
      <c r="A132" s="176"/>
      <c r="B132" s="182"/>
      <c r="C132" s="80"/>
      <c r="D132" s="80"/>
      <c r="E132" s="177"/>
      <c r="F132" s="183"/>
      <c r="G132" s="184"/>
      <c r="H132" s="185"/>
      <c r="I132" s="185"/>
    </row>
    <row r="133" spans="1:9" x14ac:dyDescent="0.25">
      <c r="A133" s="176"/>
      <c r="B133" s="182"/>
      <c r="C133" s="80"/>
      <c r="D133" s="80"/>
      <c r="E133" s="177"/>
      <c r="F133" s="183"/>
      <c r="G133" s="184"/>
      <c r="H133" s="185"/>
      <c r="I133" s="185"/>
    </row>
    <row r="134" spans="1:9" x14ac:dyDescent="0.25">
      <c r="A134" s="176"/>
      <c r="B134" s="182"/>
      <c r="C134" s="80"/>
      <c r="D134" s="80"/>
      <c r="E134" s="177"/>
      <c r="F134" s="183"/>
      <c r="G134" s="184"/>
      <c r="H134" s="185"/>
      <c r="I134" s="185"/>
    </row>
    <row r="135" spans="1:9" x14ac:dyDescent="0.25">
      <c r="A135" s="176"/>
      <c r="B135" s="182"/>
      <c r="C135" s="80"/>
      <c r="D135" s="80"/>
      <c r="E135" s="177"/>
      <c r="F135" s="183"/>
      <c r="G135" s="184"/>
      <c r="H135" s="185"/>
      <c r="I135" s="185"/>
    </row>
    <row r="136" spans="1:9" x14ac:dyDescent="0.25">
      <c r="A136" s="176"/>
      <c r="B136" s="182"/>
      <c r="C136" s="80"/>
      <c r="D136" s="80"/>
      <c r="E136" s="177"/>
      <c r="F136" s="183"/>
      <c r="G136" s="184"/>
      <c r="H136" s="185"/>
      <c r="I136" s="185"/>
    </row>
    <row r="137" spans="1:9" x14ac:dyDescent="0.25">
      <c r="A137" s="176"/>
      <c r="B137" s="182"/>
      <c r="C137" s="80"/>
      <c r="D137" s="80"/>
      <c r="E137" s="177"/>
      <c r="F137" s="183"/>
      <c r="G137" s="184"/>
      <c r="H137" s="185"/>
      <c r="I137" s="185"/>
    </row>
    <row r="138" spans="1:9" x14ac:dyDescent="0.25">
      <c r="A138" s="176"/>
      <c r="B138" s="182"/>
      <c r="C138" s="80"/>
      <c r="D138" s="80"/>
      <c r="E138" s="177"/>
      <c r="F138" s="183"/>
      <c r="G138" s="184"/>
      <c r="H138" s="185"/>
      <c r="I138" s="185"/>
    </row>
    <row r="139" spans="1:9" x14ac:dyDescent="0.25">
      <c r="A139" s="176"/>
      <c r="B139" s="182"/>
      <c r="C139" s="80"/>
      <c r="D139" s="80"/>
      <c r="E139" s="177"/>
      <c r="F139" s="183"/>
      <c r="G139" s="184"/>
      <c r="H139" s="185"/>
      <c r="I139" s="185"/>
    </row>
    <row r="140" spans="1:9" x14ac:dyDescent="0.25">
      <c r="A140" s="176"/>
      <c r="B140" s="182"/>
      <c r="C140" s="80"/>
      <c r="D140" s="80"/>
      <c r="E140" s="177"/>
      <c r="F140" s="183"/>
      <c r="G140" s="184"/>
      <c r="H140" s="185"/>
      <c r="I140" s="185"/>
    </row>
    <row r="141" spans="1:9" x14ac:dyDescent="0.25">
      <c r="A141" s="176"/>
      <c r="B141" s="182"/>
      <c r="C141" s="80"/>
      <c r="D141" s="80"/>
      <c r="E141" s="177"/>
      <c r="F141" s="183"/>
      <c r="G141" s="184"/>
      <c r="H141" s="185"/>
      <c r="I141" s="185"/>
    </row>
    <row r="142" spans="1:9" x14ac:dyDescent="0.25">
      <c r="A142" s="176"/>
      <c r="B142" s="182"/>
      <c r="C142" s="80"/>
      <c r="D142" s="80"/>
      <c r="E142" s="177"/>
      <c r="F142" s="183"/>
      <c r="G142" s="184"/>
      <c r="H142" s="185"/>
      <c r="I142" s="185"/>
    </row>
    <row r="143" spans="1:9" x14ac:dyDescent="0.25">
      <c r="A143" s="176"/>
      <c r="B143" s="182"/>
      <c r="C143" s="80"/>
      <c r="D143" s="80"/>
      <c r="E143" s="177"/>
      <c r="F143" s="183"/>
      <c r="G143" s="184"/>
      <c r="H143" s="185"/>
      <c r="I143" s="185"/>
    </row>
    <row r="144" spans="1:9" x14ac:dyDescent="0.25">
      <c r="A144" s="176"/>
      <c r="B144" s="182"/>
      <c r="C144" s="80"/>
      <c r="D144" s="80"/>
      <c r="E144" s="177"/>
      <c r="F144" s="183"/>
      <c r="G144" s="184"/>
      <c r="H144" s="185"/>
      <c r="I144" s="185"/>
    </row>
    <row r="145" spans="1:9" x14ac:dyDescent="0.25">
      <c r="A145" s="176"/>
      <c r="B145" s="182"/>
      <c r="C145" s="80"/>
      <c r="D145" s="80"/>
      <c r="E145" s="177"/>
      <c r="F145" s="183"/>
      <c r="G145" s="184"/>
      <c r="H145" s="185"/>
      <c r="I145" s="185"/>
    </row>
    <row r="146" spans="1:9" x14ac:dyDescent="0.25">
      <c r="A146" s="176"/>
      <c r="B146" s="182"/>
      <c r="C146" s="80"/>
      <c r="D146" s="80"/>
      <c r="E146" s="177"/>
      <c r="F146" s="183"/>
      <c r="G146" s="184"/>
      <c r="H146" s="185"/>
      <c r="I146" s="185"/>
    </row>
    <row r="147" spans="1:9" x14ac:dyDescent="0.25">
      <c r="A147" s="176"/>
      <c r="B147" s="182"/>
      <c r="C147" s="80"/>
      <c r="D147" s="80"/>
      <c r="E147" s="177"/>
      <c r="F147" s="183"/>
      <c r="G147" s="184"/>
      <c r="H147" s="185"/>
      <c r="I147" s="185"/>
    </row>
    <row r="148" spans="1:9" x14ac:dyDescent="0.25">
      <c r="A148" s="176"/>
      <c r="B148" s="182"/>
      <c r="C148" s="80"/>
      <c r="D148" s="80"/>
      <c r="E148" s="177"/>
      <c r="F148" s="183"/>
      <c r="G148" s="184"/>
      <c r="H148" s="185"/>
      <c r="I148" s="185"/>
    </row>
    <row r="149" spans="1:9" x14ac:dyDescent="0.25">
      <c r="A149" s="176"/>
      <c r="B149" s="182"/>
      <c r="C149" s="80"/>
      <c r="D149" s="80"/>
      <c r="E149" s="177"/>
      <c r="F149" s="183"/>
      <c r="G149" s="184"/>
      <c r="H149" s="185"/>
      <c r="I149" s="185"/>
    </row>
    <row r="150" spans="1:9" x14ac:dyDescent="0.25">
      <c r="A150" s="176"/>
      <c r="B150" s="182"/>
      <c r="C150" s="80"/>
      <c r="D150" s="80"/>
      <c r="E150" s="177"/>
      <c r="F150" s="183"/>
      <c r="G150" s="184"/>
      <c r="H150" s="185"/>
      <c r="I150" s="185"/>
    </row>
    <row r="151" spans="1:9" x14ac:dyDescent="0.25">
      <c r="A151" s="176"/>
      <c r="B151" s="182"/>
      <c r="C151" s="80"/>
      <c r="D151" s="80"/>
      <c r="E151" s="177"/>
      <c r="F151" s="183"/>
      <c r="G151" s="184"/>
      <c r="H151" s="185"/>
      <c r="I151" s="185"/>
    </row>
    <row r="152" spans="1:9" x14ac:dyDescent="0.25">
      <c r="A152" s="176"/>
      <c r="B152" s="182"/>
      <c r="C152" s="80"/>
      <c r="D152" s="80"/>
      <c r="E152" s="177"/>
      <c r="F152" s="183"/>
      <c r="G152" s="184"/>
      <c r="H152" s="185"/>
      <c r="I152" s="185"/>
    </row>
    <row r="153" spans="1:9" x14ac:dyDescent="0.25">
      <c r="A153" s="176"/>
      <c r="B153" s="182"/>
      <c r="C153" s="80"/>
      <c r="D153" s="80"/>
      <c r="E153" s="177"/>
      <c r="F153" s="183"/>
      <c r="G153" s="184"/>
      <c r="H153" s="185"/>
      <c r="I153" s="185"/>
    </row>
    <row r="154" spans="1:9" x14ac:dyDescent="0.25">
      <c r="A154" s="176"/>
      <c r="B154" s="182"/>
      <c r="C154" s="80"/>
      <c r="D154" s="80"/>
      <c r="E154" s="177"/>
      <c r="F154" s="183"/>
      <c r="G154" s="184"/>
      <c r="H154" s="185"/>
      <c r="I154" s="185"/>
    </row>
    <row r="155" spans="1:9" x14ac:dyDescent="0.25">
      <c r="A155" s="176"/>
      <c r="B155" s="182"/>
      <c r="C155" s="80"/>
      <c r="D155" s="80"/>
      <c r="E155" s="177"/>
      <c r="F155" s="183"/>
      <c r="G155" s="184"/>
      <c r="H155" s="185"/>
      <c r="I155" s="185"/>
    </row>
    <row r="156" spans="1:9" x14ac:dyDescent="0.25">
      <c r="A156" s="176"/>
      <c r="B156" s="182"/>
      <c r="C156" s="80"/>
      <c r="D156" s="80"/>
      <c r="E156" s="177"/>
      <c r="F156" s="183"/>
      <c r="G156" s="184"/>
      <c r="H156" s="185"/>
      <c r="I156" s="185"/>
    </row>
    <row r="157" spans="1:9" x14ac:dyDescent="0.25">
      <c r="A157" s="176"/>
      <c r="B157" s="182"/>
      <c r="C157" s="80"/>
      <c r="D157" s="80"/>
      <c r="E157" s="177"/>
      <c r="F157" s="183"/>
      <c r="G157" s="184"/>
      <c r="H157" s="185"/>
      <c r="I157" s="185"/>
    </row>
    <row r="158" spans="1:9" x14ac:dyDescent="0.25">
      <c r="A158" s="176"/>
      <c r="B158" s="182"/>
      <c r="C158" s="80"/>
      <c r="D158" s="80"/>
      <c r="E158" s="177"/>
      <c r="F158" s="183"/>
      <c r="G158" s="184"/>
      <c r="H158" s="185"/>
      <c r="I158" s="185"/>
    </row>
    <row r="159" spans="1:9" x14ac:dyDescent="0.25">
      <c r="A159" s="176"/>
      <c r="B159" s="182"/>
      <c r="C159" s="80"/>
      <c r="D159" s="80"/>
      <c r="E159" s="177"/>
      <c r="F159" s="183"/>
      <c r="G159" s="184"/>
      <c r="H159" s="185"/>
      <c r="I159" s="185"/>
    </row>
    <row r="160" spans="1:9" x14ac:dyDescent="0.25">
      <c r="A160" s="176"/>
      <c r="B160" s="182"/>
      <c r="C160" s="80"/>
      <c r="D160" s="80"/>
      <c r="E160" s="177"/>
      <c r="F160" s="183"/>
      <c r="G160" s="184"/>
      <c r="H160" s="185"/>
      <c r="I160" s="185"/>
    </row>
    <row r="161" spans="1:9" x14ac:dyDescent="0.25">
      <c r="A161" s="176"/>
      <c r="B161" s="182"/>
      <c r="C161" s="80"/>
      <c r="D161" s="80"/>
      <c r="E161" s="177"/>
      <c r="F161" s="183"/>
      <c r="G161" s="184"/>
      <c r="H161" s="185"/>
      <c r="I161" s="185"/>
    </row>
    <row r="162" spans="1:9" x14ac:dyDescent="0.25">
      <c r="A162" s="176"/>
      <c r="B162" s="182"/>
      <c r="C162" s="80"/>
      <c r="D162" s="80"/>
      <c r="E162" s="177"/>
      <c r="F162" s="183"/>
      <c r="G162" s="184"/>
      <c r="H162" s="185"/>
      <c r="I162" s="185"/>
    </row>
    <row r="163" spans="1:9" x14ac:dyDescent="0.25">
      <c r="A163" s="176"/>
      <c r="B163" s="182"/>
      <c r="C163" s="80"/>
      <c r="D163" s="80"/>
      <c r="E163" s="177"/>
      <c r="F163" s="183"/>
      <c r="G163" s="184"/>
      <c r="H163" s="185"/>
      <c r="I163" s="185"/>
    </row>
    <row r="164" spans="1:9" x14ac:dyDescent="0.25">
      <c r="A164" s="176"/>
      <c r="B164" s="182"/>
      <c r="C164" s="80"/>
      <c r="D164" s="80"/>
      <c r="E164" s="177"/>
      <c r="F164" s="183"/>
      <c r="G164" s="184"/>
      <c r="H164" s="185"/>
      <c r="I164" s="185"/>
    </row>
    <row r="165" spans="1:9" x14ac:dyDescent="0.25">
      <c r="A165" s="176"/>
      <c r="B165" s="182"/>
      <c r="C165" s="80"/>
      <c r="D165" s="80"/>
      <c r="E165" s="177"/>
      <c r="F165" s="183"/>
      <c r="G165" s="184"/>
      <c r="H165" s="185"/>
      <c r="I165" s="185"/>
    </row>
    <row r="166" spans="1:9" x14ac:dyDescent="0.25">
      <c r="A166" s="176"/>
      <c r="B166" s="182"/>
      <c r="C166" s="80"/>
      <c r="D166" s="80"/>
      <c r="E166" s="177"/>
      <c r="F166" s="183"/>
      <c r="G166" s="184"/>
      <c r="H166" s="185"/>
      <c r="I166" s="185"/>
    </row>
    <row r="167" spans="1:9" x14ac:dyDescent="0.25">
      <c r="A167" s="176"/>
      <c r="B167" s="182"/>
      <c r="C167" s="80"/>
      <c r="D167" s="80"/>
      <c r="E167" s="177"/>
      <c r="F167" s="183"/>
      <c r="G167" s="184"/>
      <c r="H167" s="185"/>
      <c r="I167" s="185"/>
    </row>
    <row r="168" spans="1:9" x14ac:dyDescent="0.25">
      <c r="A168" s="176"/>
      <c r="B168" s="182"/>
      <c r="C168" s="80"/>
      <c r="D168" s="80"/>
      <c r="E168" s="177"/>
      <c r="F168" s="183"/>
      <c r="G168" s="184"/>
      <c r="H168" s="185"/>
      <c r="I168" s="185"/>
    </row>
    <row r="169" spans="1:9" x14ac:dyDescent="0.25">
      <c r="A169" s="176"/>
      <c r="B169" s="182"/>
      <c r="C169" s="80"/>
      <c r="D169" s="80"/>
      <c r="E169" s="177"/>
      <c r="F169" s="183"/>
      <c r="G169" s="184"/>
      <c r="H169" s="185"/>
      <c r="I169" s="185"/>
    </row>
    <row r="170" spans="1:9" x14ac:dyDescent="0.25">
      <c r="A170" s="176"/>
      <c r="B170" s="182"/>
      <c r="C170" s="80"/>
      <c r="D170" s="80"/>
      <c r="E170" s="177"/>
      <c r="F170" s="183"/>
      <c r="G170" s="184"/>
      <c r="H170" s="185"/>
      <c r="I170" s="185"/>
    </row>
    <row r="171" spans="1:9" x14ac:dyDescent="0.25">
      <c r="A171" s="176"/>
      <c r="B171" s="182"/>
      <c r="C171" s="80"/>
      <c r="D171" s="80"/>
      <c r="E171" s="177"/>
      <c r="F171" s="183"/>
      <c r="G171" s="184"/>
      <c r="H171" s="185"/>
      <c r="I171" s="185"/>
    </row>
    <row r="172" spans="1:9" x14ac:dyDescent="0.25">
      <c r="A172" s="176"/>
      <c r="B172" s="182"/>
      <c r="C172" s="80"/>
      <c r="D172" s="80"/>
      <c r="E172" s="177"/>
      <c r="F172" s="183"/>
      <c r="G172" s="184"/>
      <c r="H172" s="185"/>
      <c r="I172" s="185"/>
    </row>
    <row r="173" spans="1:9" x14ac:dyDescent="0.25">
      <c r="A173" s="176"/>
      <c r="B173" s="182"/>
      <c r="C173" s="80"/>
      <c r="D173" s="80"/>
      <c r="E173" s="177"/>
      <c r="F173" s="183"/>
      <c r="G173" s="184"/>
      <c r="H173" s="185"/>
      <c r="I173" s="185"/>
    </row>
    <row r="174" spans="1:9" x14ac:dyDescent="0.25">
      <c r="A174" s="176"/>
      <c r="B174" s="182"/>
      <c r="C174" s="80"/>
      <c r="D174" s="80"/>
      <c r="E174" s="177"/>
      <c r="F174" s="183"/>
      <c r="G174" s="184"/>
      <c r="H174" s="185"/>
      <c r="I174" s="185"/>
    </row>
    <row r="175" spans="1:9" x14ac:dyDescent="0.25">
      <c r="A175" s="176"/>
      <c r="B175" s="182"/>
      <c r="C175" s="80"/>
      <c r="D175" s="80"/>
      <c r="E175" s="177"/>
      <c r="F175" s="183"/>
      <c r="G175" s="184"/>
      <c r="H175" s="185"/>
      <c r="I175" s="185"/>
    </row>
    <row r="176" spans="1:9" x14ac:dyDescent="0.25">
      <c r="A176" s="176"/>
      <c r="B176" s="182"/>
      <c r="C176" s="80"/>
      <c r="D176" s="80"/>
      <c r="E176" s="177"/>
      <c r="F176" s="183"/>
      <c r="G176" s="184"/>
      <c r="H176" s="185"/>
      <c r="I176" s="185"/>
    </row>
    <row r="177" spans="1:9" x14ac:dyDescent="0.25">
      <c r="A177" s="176"/>
      <c r="B177" s="182"/>
      <c r="C177" s="80"/>
      <c r="D177" s="80"/>
      <c r="E177" s="177"/>
      <c r="F177" s="183"/>
      <c r="G177" s="184"/>
      <c r="H177" s="185"/>
      <c r="I177" s="185"/>
    </row>
    <row r="178" spans="1:9" x14ac:dyDescent="0.25">
      <c r="A178" s="176"/>
      <c r="B178" s="182"/>
      <c r="C178" s="80"/>
      <c r="D178" s="80"/>
      <c r="E178" s="177"/>
      <c r="F178" s="183"/>
      <c r="G178" s="184"/>
      <c r="H178" s="185"/>
      <c r="I178" s="185"/>
    </row>
    <row r="179" spans="1:9" x14ac:dyDescent="0.25">
      <c r="A179" s="176"/>
      <c r="B179" s="182"/>
      <c r="C179" s="80"/>
      <c r="D179" s="80"/>
      <c r="E179" s="177"/>
      <c r="F179" s="183"/>
      <c r="G179" s="184"/>
      <c r="H179" s="185"/>
      <c r="I179" s="185"/>
    </row>
    <row r="180" spans="1:9" x14ac:dyDescent="0.25">
      <c r="A180" s="176"/>
      <c r="B180" s="182"/>
      <c r="C180" s="80"/>
      <c r="D180" s="80"/>
      <c r="E180" s="177"/>
      <c r="F180" s="183"/>
      <c r="G180" s="184"/>
      <c r="H180" s="185"/>
      <c r="I180" s="185"/>
    </row>
    <row r="181" spans="1:9" x14ac:dyDescent="0.25">
      <c r="A181" s="176"/>
      <c r="B181" s="182"/>
      <c r="C181" s="80"/>
      <c r="D181" s="80"/>
      <c r="E181" s="177"/>
      <c r="F181" s="183"/>
      <c r="G181" s="184"/>
      <c r="H181" s="185"/>
      <c r="I181" s="185"/>
    </row>
    <row r="182" spans="1:9" x14ac:dyDescent="0.25">
      <c r="A182" s="176"/>
      <c r="B182" s="182"/>
      <c r="C182" s="80"/>
      <c r="D182" s="80"/>
      <c r="E182" s="177"/>
      <c r="F182" s="183"/>
      <c r="G182" s="184"/>
      <c r="H182" s="185"/>
      <c r="I182" s="185"/>
    </row>
    <row r="183" spans="1:9" x14ac:dyDescent="0.25">
      <c r="A183" s="176"/>
      <c r="B183" s="182"/>
      <c r="C183" s="80"/>
      <c r="D183" s="80"/>
      <c r="E183" s="177"/>
      <c r="F183" s="183"/>
      <c r="G183" s="184"/>
      <c r="H183" s="185"/>
      <c r="I183" s="185"/>
    </row>
    <row r="184" spans="1:9" x14ac:dyDescent="0.25">
      <c r="A184" s="176"/>
      <c r="B184" s="182"/>
      <c r="C184" s="80"/>
      <c r="D184" s="80"/>
      <c r="E184" s="177"/>
      <c r="F184" s="183"/>
      <c r="G184" s="184"/>
      <c r="H184" s="185"/>
      <c r="I184" s="185"/>
    </row>
    <row r="185" spans="1:9" x14ac:dyDescent="0.25">
      <c r="A185" s="176"/>
      <c r="B185" s="182"/>
      <c r="C185" s="80"/>
      <c r="D185" s="80"/>
      <c r="E185" s="177"/>
      <c r="F185" s="183"/>
      <c r="G185" s="184"/>
      <c r="H185" s="185"/>
      <c r="I185" s="185"/>
    </row>
    <row r="186" spans="1:9" x14ac:dyDescent="0.25">
      <c r="A186" s="176"/>
      <c r="B186" s="182"/>
      <c r="C186" s="80"/>
      <c r="D186" s="80"/>
      <c r="E186" s="177"/>
      <c r="F186" s="183"/>
      <c r="G186" s="184"/>
      <c r="H186" s="185"/>
      <c r="I186" s="185"/>
    </row>
    <row r="187" spans="1:9" x14ac:dyDescent="0.25">
      <c r="A187" s="176"/>
      <c r="B187" s="182"/>
      <c r="C187" s="80"/>
      <c r="D187" s="80"/>
      <c r="E187" s="177"/>
      <c r="F187" s="183"/>
      <c r="G187" s="184"/>
      <c r="H187" s="185"/>
      <c r="I187" s="185"/>
    </row>
    <row r="188" spans="1:9" x14ac:dyDescent="0.25">
      <c r="A188" s="176"/>
      <c r="B188" s="182"/>
      <c r="C188" s="80"/>
      <c r="D188" s="80"/>
      <c r="E188" s="177"/>
      <c r="F188" s="183"/>
      <c r="G188" s="184"/>
      <c r="H188" s="185"/>
      <c r="I188" s="185"/>
    </row>
    <row r="189" spans="1:9" x14ac:dyDescent="0.25">
      <c r="A189" s="176"/>
      <c r="B189" s="182"/>
      <c r="C189" s="80"/>
      <c r="D189" s="80"/>
      <c r="E189" s="177"/>
      <c r="F189" s="183"/>
      <c r="G189" s="184"/>
      <c r="H189" s="185"/>
      <c r="I189" s="185"/>
    </row>
    <row r="190" spans="1:9" x14ac:dyDescent="0.25">
      <c r="A190" s="176"/>
      <c r="B190" s="182"/>
      <c r="C190" s="80"/>
      <c r="D190" s="80"/>
      <c r="E190" s="177"/>
      <c r="F190" s="183"/>
      <c r="G190" s="184"/>
      <c r="H190" s="185"/>
      <c r="I190" s="185"/>
    </row>
    <row r="191" spans="1:9" x14ac:dyDescent="0.25">
      <c r="A191" s="176"/>
      <c r="B191" s="182"/>
      <c r="C191" s="80"/>
      <c r="D191" s="80"/>
      <c r="E191" s="177"/>
      <c r="F191" s="183"/>
      <c r="G191" s="184"/>
      <c r="H191" s="185"/>
      <c r="I191" s="185"/>
    </row>
    <row r="192" spans="1:9" x14ac:dyDescent="0.25">
      <c r="A192" s="176"/>
      <c r="B192" s="182"/>
      <c r="C192" s="80"/>
      <c r="D192" s="80"/>
      <c r="E192" s="177"/>
      <c r="F192" s="183"/>
      <c r="G192" s="184"/>
      <c r="H192" s="185"/>
      <c r="I192" s="185"/>
    </row>
    <row r="193" spans="1:9" x14ac:dyDescent="0.25">
      <c r="A193" s="176"/>
      <c r="B193" s="182"/>
      <c r="C193" s="80"/>
      <c r="D193" s="80"/>
      <c r="E193" s="177"/>
      <c r="F193" s="183"/>
      <c r="G193" s="184"/>
      <c r="H193" s="185"/>
      <c r="I193" s="185"/>
    </row>
    <row r="194" spans="1:9" x14ac:dyDescent="0.25">
      <c r="A194" s="176"/>
      <c r="B194" s="182"/>
      <c r="C194" s="80"/>
      <c r="D194" s="80"/>
      <c r="E194" s="177"/>
      <c r="F194" s="183"/>
      <c r="G194" s="184"/>
      <c r="H194" s="185"/>
      <c r="I194" s="185"/>
    </row>
    <row r="195" spans="1:9" x14ac:dyDescent="0.25">
      <c r="A195" s="176"/>
      <c r="B195" s="182"/>
      <c r="C195" s="80"/>
      <c r="D195" s="80"/>
      <c r="E195" s="177"/>
      <c r="F195" s="183"/>
      <c r="G195" s="184"/>
      <c r="H195" s="185"/>
      <c r="I195" s="185"/>
    </row>
    <row r="196" spans="1:9" x14ac:dyDescent="0.25">
      <c r="A196" s="176"/>
      <c r="B196" s="182"/>
      <c r="C196" s="80"/>
      <c r="D196" s="80"/>
      <c r="E196" s="177"/>
      <c r="F196" s="183"/>
      <c r="G196" s="184"/>
      <c r="H196" s="185"/>
      <c r="I196" s="185"/>
    </row>
    <row r="197" spans="1:9" x14ac:dyDescent="0.25">
      <c r="A197" s="176"/>
      <c r="B197" s="182"/>
      <c r="C197" s="80"/>
      <c r="D197" s="80"/>
      <c r="E197" s="177"/>
      <c r="F197" s="183"/>
      <c r="G197" s="184"/>
      <c r="H197" s="185"/>
      <c r="I197" s="185"/>
    </row>
    <row r="198" spans="1:9" x14ac:dyDescent="0.25">
      <c r="A198" s="176"/>
      <c r="B198" s="182"/>
      <c r="C198" s="80"/>
      <c r="D198" s="80"/>
      <c r="E198" s="177"/>
      <c r="F198" s="183"/>
      <c r="G198" s="184"/>
      <c r="H198" s="185"/>
      <c r="I198" s="185"/>
    </row>
    <row r="199" spans="1:9" x14ac:dyDescent="0.25">
      <c r="A199" s="176"/>
      <c r="B199" s="182"/>
      <c r="C199" s="80"/>
      <c r="D199" s="80"/>
      <c r="E199" s="177"/>
      <c r="F199" s="183"/>
      <c r="G199" s="184"/>
      <c r="H199" s="185"/>
      <c r="I199" s="185"/>
    </row>
    <row r="200" spans="1:9" x14ac:dyDescent="0.25">
      <c r="A200" s="176"/>
      <c r="B200" s="182"/>
      <c r="C200" s="80"/>
      <c r="D200" s="80"/>
      <c r="E200" s="177"/>
      <c r="F200" s="183"/>
      <c r="G200" s="184"/>
      <c r="H200" s="185"/>
      <c r="I200" s="185"/>
    </row>
    <row r="201" spans="1:9" x14ac:dyDescent="0.25">
      <c r="A201" s="176"/>
      <c r="B201" s="182"/>
      <c r="C201" s="80"/>
      <c r="D201" s="80"/>
      <c r="E201" s="177"/>
      <c r="F201" s="183"/>
      <c r="G201" s="184"/>
      <c r="H201" s="185"/>
      <c r="I201" s="185"/>
    </row>
    <row r="202" spans="1:9" x14ac:dyDescent="0.25">
      <c r="A202" s="176"/>
      <c r="B202" s="182"/>
      <c r="C202" s="80"/>
      <c r="D202" s="80"/>
      <c r="E202" s="177"/>
      <c r="F202" s="183"/>
      <c r="G202" s="184"/>
      <c r="H202" s="185"/>
      <c r="I202" s="185"/>
    </row>
    <row r="203" spans="1:9" x14ac:dyDescent="0.25">
      <c r="A203" s="176"/>
      <c r="B203" s="182"/>
      <c r="C203" s="80"/>
      <c r="D203" s="80"/>
      <c r="E203" s="177"/>
      <c r="F203" s="183"/>
      <c r="G203" s="184"/>
      <c r="H203" s="185"/>
      <c r="I203" s="185"/>
    </row>
    <row r="204" spans="1:9" x14ac:dyDescent="0.25">
      <c r="A204" s="176"/>
      <c r="B204" s="182"/>
      <c r="C204" s="80"/>
      <c r="D204" s="80"/>
      <c r="E204" s="177"/>
      <c r="F204" s="183"/>
      <c r="G204" s="184"/>
      <c r="H204" s="185"/>
      <c r="I204" s="185"/>
    </row>
    <row r="205" spans="1:9" x14ac:dyDescent="0.25">
      <c r="A205" s="176"/>
      <c r="B205" s="182"/>
      <c r="C205" s="80"/>
      <c r="D205" s="80"/>
      <c r="E205" s="177"/>
      <c r="F205" s="183"/>
      <c r="G205" s="184"/>
      <c r="H205" s="185"/>
      <c r="I205" s="185"/>
    </row>
    <row r="206" spans="1:9" x14ac:dyDescent="0.25">
      <c r="A206" s="176"/>
      <c r="B206" s="182"/>
      <c r="C206" s="80"/>
      <c r="D206" s="80"/>
      <c r="E206" s="177"/>
      <c r="F206" s="183"/>
      <c r="G206" s="184"/>
      <c r="H206" s="185"/>
      <c r="I206" s="185"/>
    </row>
    <row r="207" spans="1:9" x14ac:dyDescent="0.25">
      <c r="A207" s="176"/>
      <c r="B207" s="182"/>
      <c r="C207" s="80"/>
      <c r="D207" s="80"/>
      <c r="E207" s="177"/>
      <c r="F207" s="183"/>
      <c r="G207" s="184"/>
      <c r="H207" s="185"/>
      <c r="I207" s="185"/>
    </row>
    <row r="208" spans="1:9" x14ac:dyDescent="0.25">
      <c r="A208" s="176"/>
      <c r="B208" s="182"/>
      <c r="C208" s="80"/>
      <c r="D208" s="80"/>
      <c r="E208" s="177"/>
      <c r="F208" s="183"/>
      <c r="G208" s="184"/>
      <c r="H208" s="185"/>
      <c r="I208" s="185"/>
    </row>
    <row r="209" spans="1:9" x14ac:dyDescent="0.25">
      <c r="A209" s="176"/>
      <c r="B209" s="182"/>
      <c r="C209" s="80"/>
      <c r="D209" s="80"/>
      <c r="E209" s="177"/>
      <c r="F209" s="183"/>
      <c r="G209" s="184"/>
      <c r="H209" s="185"/>
      <c r="I209" s="185"/>
    </row>
    <row r="210" spans="1:9" x14ac:dyDescent="0.25">
      <c r="A210" s="176"/>
      <c r="B210" s="182"/>
      <c r="C210" s="80"/>
      <c r="D210" s="80"/>
      <c r="E210" s="177"/>
      <c r="F210" s="183"/>
      <c r="G210" s="184"/>
      <c r="H210" s="185"/>
      <c r="I210" s="185"/>
    </row>
    <row r="211" spans="1:9" x14ac:dyDescent="0.25">
      <c r="A211" s="176"/>
      <c r="B211" s="182"/>
      <c r="C211" s="80"/>
      <c r="D211" s="80"/>
      <c r="E211" s="177"/>
      <c r="F211" s="183"/>
      <c r="G211" s="184"/>
      <c r="H211" s="185"/>
      <c r="I211" s="185"/>
    </row>
    <row r="212" spans="1:9" x14ac:dyDescent="0.25">
      <c r="A212" s="176"/>
      <c r="B212" s="182"/>
      <c r="C212" s="80"/>
      <c r="D212" s="80"/>
      <c r="E212" s="177"/>
      <c r="F212" s="183"/>
      <c r="G212" s="184"/>
      <c r="H212" s="185"/>
      <c r="I212" s="185"/>
    </row>
    <row r="213" spans="1:9" x14ac:dyDescent="0.25">
      <c r="A213" s="176"/>
      <c r="B213" s="182"/>
      <c r="C213" s="80"/>
      <c r="D213" s="80"/>
      <c r="E213" s="177"/>
      <c r="F213" s="183"/>
      <c r="G213" s="184"/>
      <c r="H213" s="185"/>
      <c r="I213" s="185"/>
    </row>
    <row r="214" spans="1:9" x14ac:dyDescent="0.25">
      <c r="A214" s="176"/>
      <c r="B214" s="182"/>
      <c r="C214" s="80"/>
      <c r="D214" s="80"/>
      <c r="E214" s="177"/>
      <c r="F214" s="183"/>
      <c r="G214" s="184"/>
      <c r="H214" s="185"/>
      <c r="I214" s="185"/>
    </row>
    <row r="215" spans="1:9" x14ac:dyDescent="0.25">
      <c r="A215" s="176"/>
      <c r="B215" s="182"/>
      <c r="C215" s="80"/>
      <c r="D215" s="80"/>
      <c r="E215" s="177"/>
      <c r="F215" s="183"/>
      <c r="G215" s="184"/>
      <c r="H215" s="185"/>
      <c r="I215" s="185"/>
    </row>
    <row r="216" spans="1:9" x14ac:dyDescent="0.25">
      <c r="A216" s="176"/>
      <c r="B216" s="182"/>
      <c r="C216" s="80"/>
      <c r="D216" s="80"/>
      <c r="E216" s="177"/>
      <c r="F216" s="183"/>
      <c r="G216" s="184"/>
      <c r="H216" s="185"/>
      <c r="I216" s="185"/>
    </row>
    <row r="217" spans="1:9" x14ac:dyDescent="0.25">
      <c r="A217" s="176"/>
      <c r="B217" s="182"/>
      <c r="C217" s="80"/>
      <c r="D217" s="80"/>
      <c r="E217" s="177"/>
      <c r="F217" s="183"/>
      <c r="G217" s="184"/>
      <c r="H217" s="185"/>
      <c r="I217" s="185"/>
    </row>
    <row r="218" spans="1:9" x14ac:dyDescent="0.25">
      <c r="A218" s="176"/>
      <c r="B218" s="182"/>
      <c r="C218" s="80"/>
      <c r="D218" s="80"/>
      <c r="E218" s="177"/>
      <c r="F218" s="183"/>
      <c r="G218" s="184"/>
      <c r="H218" s="185"/>
      <c r="I218" s="185"/>
    </row>
    <row r="219" spans="1:9" x14ac:dyDescent="0.25">
      <c r="A219" s="176"/>
      <c r="B219" s="182"/>
      <c r="C219" s="80"/>
      <c r="D219" s="80"/>
      <c r="E219" s="177"/>
      <c r="F219" s="183"/>
      <c r="G219" s="184"/>
      <c r="H219" s="185"/>
      <c r="I219" s="185"/>
    </row>
    <row r="220" spans="1:9" x14ac:dyDescent="0.25">
      <c r="A220" s="176"/>
      <c r="B220" s="182"/>
      <c r="C220" s="80"/>
      <c r="D220" s="80"/>
      <c r="E220" s="177"/>
      <c r="F220" s="183"/>
      <c r="G220" s="184"/>
      <c r="H220" s="185"/>
      <c r="I220" s="185"/>
    </row>
    <row r="221" spans="1:9" x14ac:dyDescent="0.25">
      <c r="A221" s="176"/>
      <c r="B221" s="182"/>
      <c r="C221" s="80"/>
      <c r="D221" s="80"/>
      <c r="E221" s="177"/>
      <c r="F221" s="183"/>
      <c r="G221" s="184"/>
      <c r="H221" s="185"/>
      <c r="I221" s="185"/>
    </row>
    <row r="222" spans="1:9" x14ac:dyDescent="0.25">
      <c r="A222" s="176"/>
      <c r="B222" s="182"/>
      <c r="C222" s="80"/>
      <c r="D222" s="80"/>
      <c r="E222" s="177"/>
      <c r="F222" s="183"/>
      <c r="G222" s="184"/>
      <c r="H222" s="185"/>
      <c r="I222" s="185"/>
    </row>
    <row r="223" spans="1:9" x14ac:dyDescent="0.25">
      <c r="A223" s="176"/>
      <c r="B223" s="182"/>
      <c r="C223" s="80"/>
      <c r="D223" s="80"/>
      <c r="E223" s="177"/>
      <c r="F223" s="183"/>
      <c r="G223" s="184"/>
      <c r="H223" s="185"/>
      <c r="I223" s="185"/>
    </row>
    <row r="224" spans="1:9" x14ac:dyDescent="0.25">
      <c r="A224" s="176"/>
      <c r="B224" s="182"/>
      <c r="C224" s="80"/>
      <c r="D224" s="80"/>
      <c r="E224" s="177"/>
      <c r="F224" s="183"/>
      <c r="G224" s="184"/>
      <c r="H224" s="185"/>
      <c r="I224" s="185"/>
    </row>
    <row r="225" spans="1:9" x14ac:dyDescent="0.25">
      <c r="A225" s="176"/>
      <c r="B225" s="182"/>
      <c r="C225" s="80"/>
      <c r="D225" s="80"/>
      <c r="E225" s="177"/>
      <c r="F225" s="183"/>
      <c r="G225" s="184"/>
      <c r="H225" s="185"/>
      <c r="I225" s="185"/>
    </row>
    <row r="226" spans="1:9" x14ac:dyDescent="0.25">
      <c r="A226" s="176"/>
      <c r="B226" s="182"/>
      <c r="C226" s="80"/>
      <c r="D226" s="80"/>
      <c r="E226" s="177"/>
      <c r="F226" s="183"/>
      <c r="G226" s="184"/>
      <c r="H226" s="185"/>
      <c r="I226" s="185"/>
    </row>
    <row r="227" spans="1:9" x14ac:dyDescent="0.25">
      <c r="A227" s="176"/>
      <c r="B227" s="182"/>
      <c r="C227" s="80"/>
      <c r="D227" s="80"/>
      <c r="E227" s="177"/>
      <c r="F227" s="183"/>
      <c r="G227" s="184"/>
      <c r="H227" s="185"/>
      <c r="I227" s="185"/>
    </row>
    <row r="228" spans="1:9" x14ac:dyDescent="0.25">
      <c r="A228" s="176"/>
      <c r="B228" s="182"/>
      <c r="C228" s="80"/>
      <c r="D228" s="80"/>
      <c r="E228" s="177"/>
      <c r="F228" s="183"/>
      <c r="G228" s="184"/>
      <c r="H228" s="185"/>
      <c r="I228" s="185"/>
    </row>
    <row r="229" spans="1:9" x14ac:dyDescent="0.25">
      <c r="A229" s="176"/>
      <c r="B229" s="182"/>
      <c r="C229" s="80"/>
      <c r="D229" s="80"/>
      <c r="E229" s="177"/>
      <c r="F229" s="183"/>
      <c r="G229" s="184"/>
      <c r="H229" s="185"/>
      <c r="I229" s="185"/>
    </row>
    <row r="230" spans="1:9" x14ac:dyDescent="0.25">
      <c r="A230" s="176"/>
      <c r="B230" s="182"/>
      <c r="C230" s="80"/>
      <c r="D230" s="80"/>
      <c r="E230" s="177"/>
      <c r="F230" s="183"/>
      <c r="G230" s="184"/>
      <c r="H230" s="185"/>
      <c r="I230" s="185"/>
    </row>
    <row r="231" spans="1:9" x14ac:dyDescent="0.25">
      <c r="A231" s="176"/>
      <c r="B231" s="182"/>
      <c r="C231" s="80"/>
      <c r="D231" s="80"/>
      <c r="E231" s="177"/>
      <c r="F231" s="183"/>
      <c r="G231" s="184"/>
      <c r="H231" s="185"/>
      <c r="I231" s="185"/>
    </row>
    <row r="232" spans="1:9" x14ac:dyDescent="0.25">
      <c r="A232" s="176"/>
      <c r="B232" s="182"/>
      <c r="C232" s="80"/>
      <c r="D232" s="80"/>
      <c r="E232" s="177"/>
      <c r="F232" s="183"/>
      <c r="G232" s="184"/>
      <c r="H232" s="185"/>
      <c r="I232" s="185"/>
    </row>
    <row r="233" spans="1:9" x14ac:dyDescent="0.25">
      <c r="A233" s="176"/>
      <c r="B233" s="182"/>
      <c r="C233" s="80"/>
      <c r="D233" s="80"/>
      <c r="E233" s="177"/>
      <c r="F233" s="183"/>
      <c r="G233" s="184"/>
      <c r="H233" s="185"/>
      <c r="I233" s="185"/>
    </row>
    <row r="234" spans="1:9" x14ac:dyDescent="0.25">
      <c r="A234" s="176"/>
      <c r="B234" s="182"/>
      <c r="C234" s="80"/>
      <c r="D234" s="80"/>
      <c r="E234" s="177"/>
      <c r="F234" s="183"/>
      <c r="G234" s="184"/>
      <c r="H234" s="185"/>
      <c r="I234" s="185"/>
    </row>
    <row r="235" spans="1:9" x14ac:dyDescent="0.25">
      <c r="A235" s="176"/>
      <c r="B235" s="182"/>
      <c r="C235" s="80"/>
      <c r="D235" s="80"/>
      <c r="E235" s="177"/>
      <c r="F235" s="183"/>
      <c r="G235" s="184"/>
      <c r="H235" s="185"/>
      <c r="I235" s="185"/>
    </row>
    <row r="236" spans="1:9" x14ac:dyDescent="0.25">
      <c r="A236" s="176"/>
      <c r="B236" s="182"/>
      <c r="C236" s="80"/>
      <c r="D236" s="80"/>
      <c r="E236" s="177"/>
      <c r="F236" s="183"/>
      <c r="G236" s="184"/>
      <c r="H236" s="185"/>
      <c r="I236" s="185"/>
    </row>
    <row r="237" spans="1:9" x14ac:dyDescent="0.25">
      <c r="A237" s="176"/>
      <c r="B237" s="182"/>
      <c r="C237" s="80"/>
      <c r="D237" s="80"/>
      <c r="E237" s="177"/>
      <c r="F237" s="183"/>
      <c r="G237" s="184"/>
      <c r="H237" s="185"/>
      <c r="I237" s="185"/>
    </row>
    <row r="238" spans="1:9" x14ac:dyDescent="0.25">
      <c r="A238" s="176"/>
      <c r="B238" s="182"/>
      <c r="C238" s="80"/>
      <c r="D238" s="80"/>
      <c r="E238" s="177"/>
      <c r="F238" s="183"/>
      <c r="G238" s="184"/>
      <c r="H238" s="185"/>
      <c r="I238" s="185"/>
    </row>
    <row r="239" spans="1:9" x14ac:dyDescent="0.25">
      <c r="A239" s="176"/>
      <c r="B239" s="182"/>
      <c r="C239" s="80"/>
      <c r="D239" s="80"/>
      <c r="E239" s="177"/>
      <c r="F239" s="183"/>
      <c r="G239" s="184"/>
      <c r="H239" s="185"/>
      <c r="I239" s="185"/>
    </row>
    <row r="240" spans="1:9" x14ac:dyDescent="0.25">
      <c r="A240" s="176"/>
      <c r="B240" s="182"/>
      <c r="C240" s="80"/>
      <c r="D240" s="80"/>
      <c r="E240" s="177"/>
      <c r="F240" s="183"/>
      <c r="G240" s="184"/>
      <c r="H240" s="185"/>
      <c r="I240" s="185"/>
    </row>
    <row r="241" spans="1:9" x14ac:dyDescent="0.25">
      <c r="A241" s="176"/>
      <c r="B241" s="182"/>
      <c r="C241" s="80"/>
      <c r="D241" s="80"/>
      <c r="E241" s="177"/>
      <c r="F241" s="183"/>
      <c r="G241" s="184"/>
      <c r="H241" s="185"/>
      <c r="I241" s="185"/>
    </row>
    <row r="242" spans="1:9" x14ac:dyDescent="0.25">
      <c r="A242" s="176"/>
      <c r="B242" s="182"/>
      <c r="C242" s="80"/>
      <c r="D242" s="80"/>
      <c r="E242" s="177"/>
      <c r="F242" s="183"/>
      <c r="G242" s="184"/>
      <c r="H242" s="185"/>
      <c r="I242" s="185"/>
    </row>
    <row r="243" spans="1:9" x14ac:dyDescent="0.25">
      <c r="A243" s="176"/>
      <c r="B243" s="182"/>
      <c r="C243" s="80"/>
      <c r="D243" s="80"/>
      <c r="E243" s="177"/>
      <c r="F243" s="183"/>
      <c r="G243" s="184"/>
      <c r="H243" s="185"/>
      <c r="I243" s="185"/>
    </row>
    <row r="244" spans="1:9" x14ac:dyDescent="0.25">
      <c r="A244" s="176"/>
      <c r="B244" s="182"/>
      <c r="C244" s="80"/>
      <c r="D244" s="80"/>
      <c r="E244" s="177"/>
      <c r="F244" s="183"/>
      <c r="G244" s="184"/>
      <c r="H244" s="185"/>
      <c r="I244" s="185"/>
    </row>
    <row r="245" spans="1:9" x14ac:dyDescent="0.25">
      <c r="A245" s="176"/>
      <c r="B245" s="182"/>
      <c r="C245" s="80"/>
      <c r="D245" s="80"/>
      <c r="E245" s="177"/>
      <c r="F245" s="183"/>
      <c r="G245" s="184"/>
      <c r="H245" s="185"/>
      <c r="I245" s="185"/>
    </row>
    <row r="246" spans="1:9" x14ac:dyDescent="0.25">
      <c r="A246" s="176"/>
      <c r="B246" s="182"/>
      <c r="C246" s="80"/>
      <c r="D246" s="80"/>
      <c r="E246" s="177"/>
      <c r="F246" s="183"/>
      <c r="G246" s="184"/>
      <c r="H246" s="185"/>
      <c r="I246" s="185"/>
    </row>
    <row r="247" spans="1:9" x14ac:dyDescent="0.25">
      <c r="A247" s="176"/>
      <c r="B247" s="182"/>
      <c r="C247" s="80"/>
      <c r="D247" s="80"/>
      <c r="E247" s="177"/>
      <c r="F247" s="183"/>
      <c r="G247" s="184"/>
      <c r="H247" s="185"/>
      <c r="I247" s="185"/>
    </row>
    <row r="248" spans="1:9" x14ac:dyDescent="0.25">
      <c r="A248" s="176"/>
      <c r="B248" s="182"/>
      <c r="C248" s="80"/>
      <c r="D248" s="80"/>
      <c r="E248" s="177"/>
      <c r="F248" s="183"/>
      <c r="G248" s="184"/>
      <c r="H248" s="185"/>
      <c r="I248" s="185"/>
    </row>
    <row r="249" spans="1:9" x14ac:dyDescent="0.25">
      <c r="A249" s="176"/>
      <c r="B249" s="182"/>
      <c r="C249" s="80"/>
      <c r="D249" s="80"/>
      <c r="E249" s="177"/>
      <c r="F249" s="183"/>
      <c r="G249" s="184"/>
      <c r="H249" s="185"/>
      <c r="I249" s="185"/>
    </row>
    <row r="250" spans="1:9" x14ac:dyDescent="0.25">
      <c r="A250" s="176"/>
      <c r="B250" s="182"/>
      <c r="C250" s="80"/>
      <c r="D250" s="80"/>
      <c r="E250" s="177"/>
      <c r="F250" s="183"/>
      <c r="G250" s="184"/>
      <c r="H250" s="185"/>
      <c r="I250" s="185"/>
    </row>
    <row r="251" spans="1:9" x14ac:dyDescent="0.25">
      <c r="A251" s="176"/>
      <c r="B251" s="182"/>
      <c r="C251" s="80"/>
      <c r="D251" s="80"/>
      <c r="E251" s="177"/>
      <c r="F251" s="183"/>
      <c r="G251" s="184"/>
      <c r="H251" s="185"/>
      <c r="I251" s="185"/>
    </row>
    <row r="252" spans="1:9" x14ac:dyDescent="0.25">
      <c r="A252" s="176"/>
      <c r="B252" s="182"/>
      <c r="C252" s="80"/>
      <c r="D252" s="80"/>
      <c r="E252" s="177"/>
      <c r="F252" s="183"/>
      <c r="G252" s="184"/>
      <c r="H252" s="185"/>
      <c r="I252" s="185"/>
    </row>
    <row r="253" spans="1:9" x14ac:dyDescent="0.25">
      <c r="A253" s="176"/>
      <c r="B253" s="182"/>
      <c r="C253" s="80"/>
      <c r="D253" s="80"/>
      <c r="E253" s="177"/>
      <c r="F253" s="183"/>
      <c r="G253" s="184"/>
      <c r="H253" s="185"/>
      <c r="I253" s="185"/>
    </row>
    <row r="254" spans="1:9" x14ac:dyDescent="0.25">
      <c r="A254" s="176"/>
      <c r="B254" s="182"/>
      <c r="C254" s="80"/>
      <c r="D254" s="80"/>
      <c r="E254" s="177"/>
      <c r="F254" s="183"/>
      <c r="G254" s="184"/>
      <c r="H254" s="185"/>
      <c r="I254" s="185"/>
    </row>
    <row r="255" spans="1:9" x14ac:dyDescent="0.25">
      <c r="A255" s="176"/>
      <c r="B255" s="182"/>
      <c r="C255" s="80"/>
      <c r="D255" s="80"/>
      <c r="E255" s="177"/>
      <c r="F255" s="183"/>
      <c r="G255" s="184"/>
      <c r="H255" s="185"/>
      <c r="I255" s="185"/>
    </row>
    <row r="256" spans="1:9" x14ac:dyDescent="0.25">
      <c r="A256" s="176"/>
      <c r="B256" s="182"/>
      <c r="C256" s="80"/>
      <c r="D256" s="80"/>
      <c r="E256" s="177"/>
      <c r="F256" s="183"/>
      <c r="G256" s="184"/>
      <c r="H256" s="185"/>
      <c r="I256" s="185"/>
    </row>
    <row r="257" spans="1:9" x14ac:dyDescent="0.25">
      <c r="A257" s="176"/>
      <c r="B257" s="182"/>
      <c r="C257" s="80"/>
      <c r="D257" s="80"/>
      <c r="E257" s="177"/>
      <c r="F257" s="183"/>
      <c r="G257" s="184"/>
      <c r="H257" s="185"/>
      <c r="I257" s="185"/>
    </row>
    <row r="258" spans="1:9" x14ac:dyDescent="0.25">
      <c r="A258" s="176"/>
      <c r="B258" s="182"/>
      <c r="C258" s="80"/>
      <c r="D258" s="80"/>
      <c r="E258" s="177"/>
      <c r="F258" s="183"/>
      <c r="G258" s="184"/>
      <c r="H258" s="185"/>
      <c r="I258" s="185"/>
    </row>
    <row r="259" spans="1:9" x14ac:dyDescent="0.25">
      <c r="A259" s="176"/>
      <c r="B259" s="182"/>
      <c r="C259" s="80"/>
      <c r="D259" s="80"/>
      <c r="E259" s="177"/>
      <c r="F259" s="183"/>
      <c r="G259" s="184"/>
      <c r="H259" s="185"/>
      <c r="I259" s="185"/>
    </row>
    <row r="260" spans="1:9" x14ac:dyDescent="0.25">
      <c r="A260" s="176"/>
      <c r="B260" s="182"/>
      <c r="C260" s="80"/>
      <c r="D260" s="80"/>
      <c r="E260" s="177"/>
      <c r="F260" s="183"/>
      <c r="G260" s="184"/>
      <c r="H260" s="185"/>
      <c r="I260" s="185"/>
    </row>
    <row r="261" spans="1:9" x14ac:dyDescent="0.25">
      <c r="A261" s="176"/>
      <c r="B261" s="182"/>
      <c r="C261" s="80"/>
      <c r="D261" s="80"/>
      <c r="E261" s="177"/>
      <c r="F261" s="183"/>
      <c r="G261" s="184"/>
      <c r="H261" s="185"/>
      <c r="I261" s="185"/>
    </row>
    <row r="262" spans="1:9" x14ac:dyDescent="0.25">
      <c r="A262" s="176"/>
      <c r="B262" s="182"/>
      <c r="C262" s="80"/>
      <c r="D262" s="80"/>
      <c r="E262" s="177"/>
      <c r="F262" s="183"/>
      <c r="G262" s="184"/>
      <c r="H262" s="185"/>
      <c r="I262" s="185"/>
    </row>
    <row r="263" spans="1:9" x14ac:dyDescent="0.25">
      <c r="A263" s="176"/>
      <c r="B263" s="182"/>
      <c r="C263" s="80"/>
      <c r="D263" s="80"/>
      <c r="E263" s="177"/>
      <c r="F263" s="183"/>
      <c r="G263" s="184"/>
      <c r="H263" s="185"/>
      <c r="I263" s="185"/>
    </row>
    <row r="264" spans="1:9" x14ac:dyDescent="0.25">
      <c r="A264" s="176"/>
      <c r="B264" s="182"/>
      <c r="C264" s="80"/>
      <c r="D264" s="80"/>
      <c r="E264" s="177"/>
      <c r="F264" s="183"/>
      <c r="G264" s="184"/>
      <c r="H264" s="185"/>
      <c r="I264" s="185"/>
    </row>
    <row r="265" spans="1:9" x14ac:dyDescent="0.25">
      <c r="A265" s="176"/>
      <c r="B265" s="182"/>
      <c r="C265" s="80"/>
      <c r="D265" s="80"/>
      <c r="E265" s="177"/>
      <c r="F265" s="183"/>
      <c r="G265" s="184"/>
      <c r="H265" s="185"/>
      <c r="I265" s="185"/>
    </row>
    <row r="266" spans="1:9" x14ac:dyDescent="0.25">
      <c r="A266" s="176"/>
      <c r="B266" s="182"/>
      <c r="C266" s="80"/>
      <c r="D266" s="80"/>
      <c r="E266" s="177"/>
      <c r="F266" s="183"/>
      <c r="G266" s="184"/>
      <c r="H266" s="185"/>
      <c r="I266" s="185"/>
    </row>
    <row r="267" spans="1:9" x14ac:dyDescent="0.25">
      <c r="A267" s="176"/>
      <c r="B267" s="182"/>
      <c r="C267" s="80"/>
      <c r="D267" s="80"/>
      <c r="E267" s="177"/>
      <c r="F267" s="183"/>
      <c r="G267" s="184"/>
      <c r="H267" s="185"/>
      <c r="I267" s="185"/>
    </row>
    <row r="268" spans="1:9" x14ac:dyDescent="0.25">
      <c r="A268" s="176"/>
      <c r="B268" s="182"/>
      <c r="C268" s="80"/>
      <c r="D268" s="80"/>
      <c r="E268" s="177"/>
      <c r="F268" s="183"/>
      <c r="G268" s="184"/>
      <c r="H268" s="185"/>
      <c r="I268" s="185"/>
    </row>
    <row r="269" spans="1:9" x14ac:dyDescent="0.25">
      <c r="A269" s="176"/>
      <c r="B269" s="182"/>
      <c r="C269" s="80"/>
      <c r="D269" s="80"/>
      <c r="E269" s="177"/>
      <c r="F269" s="183"/>
      <c r="G269" s="184"/>
      <c r="H269" s="185"/>
      <c r="I269" s="185"/>
    </row>
    <row r="270" spans="1:9" x14ac:dyDescent="0.25">
      <c r="A270" s="176"/>
      <c r="B270" s="182"/>
      <c r="C270" s="80"/>
      <c r="D270" s="80"/>
      <c r="E270" s="177"/>
      <c r="F270" s="183"/>
      <c r="G270" s="184"/>
      <c r="H270" s="185"/>
      <c r="I270" s="185"/>
    </row>
    <row r="271" spans="1:9" x14ac:dyDescent="0.25">
      <c r="A271" s="176"/>
      <c r="B271" s="182"/>
      <c r="C271" s="80"/>
      <c r="D271" s="80"/>
      <c r="E271" s="177"/>
      <c r="F271" s="183"/>
      <c r="G271" s="184"/>
      <c r="H271" s="185"/>
      <c r="I271" s="185"/>
    </row>
    <row r="272" spans="1:9" x14ac:dyDescent="0.25">
      <c r="A272" s="176"/>
      <c r="B272" s="182"/>
      <c r="C272" s="80"/>
      <c r="D272" s="80"/>
      <c r="E272" s="177"/>
      <c r="F272" s="183"/>
      <c r="G272" s="184"/>
      <c r="H272" s="185"/>
      <c r="I272" s="185"/>
    </row>
    <row r="273" spans="1:9" x14ac:dyDescent="0.25">
      <c r="A273" s="176"/>
      <c r="B273" s="182"/>
      <c r="C273" s="80"/>
      <c r="D273" s="80"/>
      <c r="E273" s="177"/>
      <c r="F273" s="183"/>
      <c r="G273" s="184"/>
      <c r="H273" s="185"/>
      <c r="I273" s="185"/>
    </row>
    <row r="274" spans="1:9" x14ac:dyDescent="0.25">
      <c r="A274" s="176"/>
      <c r="B274" s="182"/>
      <c r="C274" s="80"/>
      <c r="D274" s="80"/>
      <c r="E274" s="177"/>
      <c r="F274" s="183"/>
      <c r="G274" s="184"/>
      <c r="H274" s="185"/>
      <c r="I274" s="185"/>
    </row>
    <row r="275" spans="1:9" x14ac:dyDescent="0.25">
      <c r="A275" s="176"/>
      <c r="B275" s="182"/>
      <c r="C275" s="80"/>
      <c r="D275" s="80"/>
      <c r="E275" s="177"/>
      <c r="F275" s="183"/>
      <c r="G275" s="184"/>
      <c r="H275" s="185"/>
      <c r="I275" s="185"/>
    </row>
    <row r="276" spans="1:9" x14ac:dyDescent="0.25">
      <c r="A276" s="176"/>
      <c r="B276" s="182"/>
      <c r="C276" s="80"/>
      <c r="D276" s="80"/>
      <c r="E276" s="177"/>
      <c r="F276" s="183"/>
      <c r="G276" s="184"/>
      <c r="H276" s="185"/>
      <c r="I276" s="185"/>
    </row>
    <row r="277" spans="1:9" x14ac:dyDescent="0.25">
      <c r="A277" s="176"/>
      <c r="B277" s="182"/>
      <c r="C277" s="80"/>
      <c r="D277" s="80"/>
      <c r="E277" s="177"/>
      <c r="F277" s="183"/>
      <c r="G277" s="184"/>
      <c r="H277" s="185"/>
      <c r="I277" s="185"/>
    </row>
    <row r="278" spans="1:9" x14ac:dyDescent="0.25">
      <c r="A278" s="176"/>
      <c r="B278" s="182"/>
      <c r="C278" s="80"/>
      <c r="D278" s="80"/>
      <c r="E278" s="177"/>
      <c r="F278" s="183"/>
      <c r="G278" s="184"/>
      <c r="H278" s="185"/>
      <c r="I278" s="185"/>
    </row>
    <row r="279" spans="1:9" x14ac:dyDescent="0.25">
      <c r="A279" s="176"/>
      <c r="B279" s="182"/>
      <c r="C279" s="80"/>
      <c r="D279" s="80"/>
      <c r="E279" s="177"/>
      <c r="F279" s="183"/>
      <c r="G279" s="184"/>
      <c r="H279" s="185"/>
      <c r="I279" s="185"/>
    </row>
    <row r="280" spans="1:9" x14ac:dyDescent="0.25">
      <c r="A280" s="176"/>
      <c r="B280" s="182"/>
      <c r="C280" s="80"/>
      <c r="D280" s="80"/>
      <c r="E280" s="177"/>
      <c r="F280" s="183"/>
      <c r="G280" s="184"/>
      <c r="H280" s="185"/>
      <c r="I280" s="185"/>
    </row>
    <row r="281" spans="1:9" x14ac:dyDescent="0.25">
      <c r="A281" s="176"/>
      <c r="B281" s="182"/>
      <c r="C281" s="80"/>
      <c r="D281" s="80"/>
      <c r="E281" s="177"/>
      <c r="F281" s="183"/>
      <c r="G281" s="184"/>
      <c r="H281" s="185"/>
      <c r="I281" s="185"/>
    </row>
    <row r="282" spans="1:9" x14ac:dyDescent="0.25">
      <c r="A282" s="176"/>
      <c r="B282" s="182"/>
      <c r="C282" s="80"/>
      <c r="D282" s="80"/>
      <c r="E282" s="177"/>
      <c r="F282" s="183"/>
      <c r="G282" s="184"/>
      <c r="H282" s="185"/>
      <c r="I282" s="185"/>
    </row>
    <row r="283" spans="1:9" x14ac:dyDescent="0.25">
      <c r="A283" s="176"/>
      <c r="B283" s="182"/>
      <c r="C283" s="80"/>
      <c r="D283" s="80"/>
      <c r="E283" s="177"/>
      <c r="F283" s="183"/>
      <c r="G283" s="184"/>
      <c r="H283" s="185"/>
      <c r="I283" s="185"/>
    </row>
    <row r="284" spans="1:9" x14ac:dyDescent="0.25">
      <c r="A284" s="176"/>
      <c r="B284" s="182"/>
      <c r="C284" s="80"/>
      <c r="D284" s="80"/>
      <c r="E284" s="177"/>
      <c r="F284" s="183"/>
      <c r="G284" s="184"/>
      <c r="H284" s="185"/>
      <c r="I284" s="185"/>
    </row>
    <row r="285" spans="1:9" x14ac:dyDescent="0.25">
      <c r="A285" s="176"/>
      <c r="B285" s="182"/>
      <c r="C285" s="80"/>
      <c r="D285" s="80"/>
      <c r="E285" s="177"/>
      <c r="F285" s="183"/>
      <c r="G285" s="184"/>
      <c r="H285" s="185"/>
      <c r="I285" s="185"/>
    </row>
    <row r="286" spans="1:9" x14ac:dyDescent="0.25">
      <c r="A286" s="176"/>
      <c r="B286" s="182"/>
      <c r="C286" s="80"/>
      <c r="D286" s="80"/>
      <c r="E286" s="177"/>
      <c r="F286" s="183"/>
      <c r="G286" s="184"/>
      <c r="H286" s="185"/>
      <c r="I286" s="185"/>
    </row>
    <row r="287" spans="1:9" x14ac:dyDescent="0.25">
      <c r="A287" s="176"/>
      <c r="B287" s="182"/>
      <c r="C287" s="80"/>
      <c r="D287" s="80"/>
      <c r="E287" s="177"/>
      <c r="F287" s="183"/>
      <c r="G287" s="184"/>
      <c r="H287" s="185"/>
      <c r="I287" s="185"/>
    </row>
    <row r="288" spans="1:9" x14ac:dyDescent="0.25">
      <c r="A288" s="176"/>
      <c r="B288" s="182"/>
      <c r="C288" s="80"/>
      <c r="D288" s="80"/>
      <c r="E288" s="177"/>
      <c r="F288" s="183"/>
      <c r="G288" s="184"/>
      <c r="H288" s="185"/>
      <c r="I288" s="185"/>
    </row>
    <row r="289" spans="1:9" x14ac:dyDescent="0.25">
      <c r="A289" s="176"/>
      <c r="B289" s="182"/>
      <c r="C289" s="80"/>
      <c r="D289" s="80"/>
      <c r="E289" s="177"/>
      <c r="F289" s="183"/>
      <c r="G289" s="184"/>
      <c r="H289" s="185"/>
      <c r="I289" s="185"/>
    </row>
    <row r="290" spans="1:9" x14ac:dyDescent="0.25">
      <c r="A290" s="176"/>
      <c r="B290" s="182"/>
      <c r="C290" s="80"/>
      <c r="D290" s="80"/>
      <c r="E290" s="177"/>
      <c r="F290" s="183"/>
      <c r="G290" s="184"/>
      <c r="H290" s="185"/>
      <c r="I290" s="185"/>
    </row>
    <row r="291" spans="1:9" x14ac:dyDescent="0.25">
      <c r="A291" s="176"/>
      <c r="B291" s="182"/>
      <c r="C291" s="80"/>
      <c r="D291" s="80"/>
      <c r="E291" s="177"/>
      <c r="F291" s="183"/>
      <c r="G291" s="184"/>
      <c r="H291" s="185"/>
      <c r="I291" s="185"/>
    </row>
    <row r="292" spans="1:9" x14ac:dyDescent="0.25">
      <c r="A292" s="176"/>
      <c r="B292" s="182"/>
      <c r="C292" s="80"/>
      <c r="D292" s="80"/>
      <c r="E292" s="177"/>
      <c r="F292" s="183"/>
      <c r="G292" s="184"/>
      <c r="H292" s="185"/>
      <c r="I292" s="185"/>
    </row>
    <row r="293" spans="1:9" x14ac:dyDescent="0.25">
      <c r="A293" s="176"/>
      <c r="B293" s="182"/>
      <c r="C293" s="80"/>
      <c r="D293" s="80"/>
      <c r="E293" s="177"/>
      <c r="F293" s="183"/>
      <c r="G293" s="184"/>
      <c r="H293" s="185"/>
      <c r="I293" s="185"/>
    </row>
    <row r="294" spans="1:9" x14ac:dyDescent="0.25">
      <c r="A294" s="176"/>
      <c r="B294" s="182"/>
      <c r="C294" s="80"/>
      <c r="D294" s="80"/>
      <c r="E294" s="177"/>
      <c r="F294" s="183"/>
      <c r="G294" s="184"/>
      <c r="H294" s="185"/>
      <c r="I294" s="185"/>
    </row>
    <row r="295" spans="1:9" x14ac:dyDescent="0.25">
      <c r="A295" s="176"/>
      <c r="B295" s="182"/>
      <c r="C295" s="80"/>
      <c r="D295" s="80"/>
      <c r="E295" s="177"/>
      <c r="F295" s="183"/>
      <c r="G295" s="184"/>
      <c r="H295" s="185"/>
      <c r="I295" s="185"/>
    </row>
    <row r="296" spans="1:9" x14ac:dyDescent="0.25">
      <c r="A296" s="176"/>
      <c r="B296" s="182"/>
      <c r="C296" s="80"/>
      <c r="D296" s="80"/>
      <c r="E296" s="177"/>
      <c r="F296" s="183"/>
      <c r="G296" s="184"/>
      <c r="H296" s="185"/>
      <c r="I296" s="185"/>
    </row>
    <row r="297" spans="1:9" x14ac:dyDescent="0.25">
      <c r="A297" s="176"/>
      <c r="B297" s="182"/>
      <c r="C297" s="80"/>
      <c r="D297" s="80"/>
      <c r="E297" s="177"/>
      <c r="F297" s="183"/>
      <c r="G297" s="184"/>
      <c r="H297" s="185"/>
      <c r="I297" s="185"/>
    </row>
    <row r="298" spans="1:9" x14ac:dyDescent="0.25">
      <c r="A298" s="176"/>
      <c r="B298" s="182"/>
      <c r="C298" s="80"/>
      <c r="D298" s="80"/>
      <c r="E298" s="177"/>
      <c r="F298" s="183"/>
      <c r="G298" s="184"/>
      <c r="H298" s="185"/>
      <c r="I298" s="185"/>
    </row>
    <row r="299" spans="1:9" x14ac:dyDescent="0.25">
      <c r="A299" s="176"/>
      <c r="B299" s="182"/>
      <c r="C299" s="80"/>
      <c r="D299" s="80"/>
      <c r="E299" s="177"/>
      <c r="F299" s="183"/>
      <c r="G299" s="184"/>
      <c r="H299" s="185"/>
      <c r="I299" s="185"/>
    </row>
    <row r="300" spans="1:9" x14ac:dyDescent="0.25">
      <c r="A300" s="176"/>
      <c r="B300" s="182"/>
      <c r="C300" s="80"/>
      <c r="D300" s="80"/>
      <c r="E300" s="177"/>
      <c r="F300" s="183"/>
      <c r="G300" s="184"/>
      <c r="H300" s="185"/>
      <c r="I300" s="185"/>
    </row>
    <row r="301" spans="1:9" x14ac:dyDescent="0.25">
      <c r="A301" s="176"/>
      <c r="B301" s="182"/>
      <c r="C301" s="80"/>
      <c r="D301" s="80"/>
      <c r="E301" s="177"/>
      <c r="F301" s="183"/>
      <c r="G301" s="184"/>
      <c r="H301" s="185"/>
      <c r="I301" s="185"/>
    </row>
    <row r="302" spans="1:9" x14ac:dyDescent="0.25">
      <c r="A302" s="176"/>
      <c r="B302" s="182"/>
      <c r="C302" s="80"/>
      <c r="D302" s="80"/>
      <c r="E302" s="177"/>
      <c r="F302" s="183"/>
      <c r="G302" s="184"/>
      <c r="H302" s="185"/>
      <c r="I302" s="185"/>
    </row>
    <row r="303" spans="1:9" x14ac:dyDescent="0.25">
      <c r="A303" s="176"/>
      <c r="B303" s="182"/>
      <c r="C303" s="80"/>
      <c r="D303" s="80"/>
      <c r="E303" s="177"/>
      <c r="F303" s="183"/>
      <c r="G303" s="184"/>
      <c r="H303" s="185"/>
      <c r="I303" s="185"/>
    </row>
    <row r="304" spans="1:9" x14ac:dyDescent="0.25">
      <c r="A304" s="176"/>
      <c r="B304" s="182"/>
      <c r="C304" s="80"/>
      <c r="D304" s="80"/>
      <c r="E304" s="177"/>
      <c r="F304" s="183"/>
      <c r="G304" s="184"/>
      <c r="H304" s="185"/>
      <c r="I304" s="185"/>
    </row>
    <row r="305" spans="1:9" x14ac:dyDescent="0.25">
      <c r="A305" s="176"/>
      <c r="B305" s="182"/>
      <c r="C305" s="80"/>
      <c r="D305" s="80"/>
      <c r="E305" s="177"/>
      <c r="F305" s="183"/>
      <c r="G305" s="184"/>
      <c r="H305" s="185"/>
      <c r="I305" s="185"/>
    </row>
    <row r="306" spans="1:9" x14ac:dyDescent="0.25">
      <c r="A306" s="176"/>
      <c r="B306" s="182"/>
      <c r="C306" s="80"/>
      <c r="D306" s="80"/>
      <c r="E306" s="177"/>
      <c r="F306" s="183"/>
      <c r="G306" s="184"/>
      <c r="H306" s="185"/>
      <c r="I306" s="185"/>
    </row>
    <row r="307" spans="1:9" x14ac:dyDescent="0.25">
      <c r="A307" s="176"/>
      <c r="B307" s="182"/>
      <c r="C307" s="80"/>
      <c r="D307" s="80"/>
      <c r="E307" s="177"/>
      <c r="F307" s="183"/>
      <c r="G307" s="184"/>
      <c r="H307" s="185"/>
      <c r="I307" s="185"/>
    </row>
    <row r="308" spans="1:9" x14ac:dyDescent="0.25">
      <c r="A308" s="176"/>
      <c r="B308" s="182"/>
      <c r="C308" s="80"/>
      <c r="D308" s="80"/>
      <c r="E308" s="177"/>
      <c r="F308" s="183"/>
      <c r="G308" s="184"/>
      <c r="H308" s="185"/>
      <c r="I308" s="185"/>
    </row>
    <row r="309" spans="1:9" x14ac:dyDescent="0.25">
      <c r="A309" s="176"/>
      <c r="B309" s="182"/>
      <c r="C309" s="80"/>
      <c r="D309" s="80"/>
      <c r="E309" s="177"/>
      <c r="F309" s="183"/>
      <c r="G309" s="184"/>
      <c r="H309" s="185"/>
      <c r="I309" s="185"/>
    </row>
    <row r="310" spans="1:9" x14ac:dyDescent="0.25">
      <c r="A310" s="176"/>
      <c r="B310" s="182"/>
      <c r="C310" s="80"/>
      <c r="D310" s="80"/>
      <c r="E310" s="177"/>
      <c r="F310" s="183"/>
      <c r="G310" s="184"/>
      <c r="H310" s="185"/>
      <c r="I310" s="185"/>
    </row>
    <row r="311" spans="1:9" x14ac:dyDescent="0.25">
      <c r="A311" s="176"/>
      <c r="B311" s="182"/>
      <c r="C311" s="80"/>
      <c r="D311" s="80"/>
      <c r="E311" s="177"/>
      <c r="F311" s="183"/>
      <c r="G311" s="184"/>
      <c r="H311" s="185"/>
      <c r="I311" s="185"/>
    </row>
    <row r="312" spans="1:9" x14ac:dyDescent="0.25">
      <c r="A312" s="176"/>
      <c r="B312" s="182"/>
      <c r="C312" s="80"/>
      <c r="D312" s="80"/>
      <c r="E312" s="177"/>
      <c r="F312" s="183"/>
      <c r="G312" s="184"/>
      <c r="H312" s="185"/>
      <c r="I312" s="185"/>
    </row>
    <row r="313" spans="1:9" x14ac:dyDescent="0.25">
      <c r="A313" s="176"/>
      <c r="B313" s="182"/>
      <c r="C313" s="80"/>
      <c r="D313" s="80"/>
      <c r="E313" s="177"/>
      <c r="F313" s="183"/>
      <c r="G313" s="184"/>
      <c r="H313" s="185"/>
      <c r="I313" s="185"/>
    </row>
    <row r="314" spans="1:9" x14ac:dyDescent="0.25">
      <c r="A314" s="176"/>
      <c r="B314" s="182"/>
      <c r="C314" s="80"/>
      <c r="D314" s="80"/>
      <c r="E314" s="177"/>
      <c r="F314" s="183"/>
      <c r="G314" s="184"/>
      <c r="H314" s="185"/>
      <c r="I314" s="185"/>
    </row>
    <row r="315" spans="1:9" x14ac:dyDescent="0.25">
      <c r="A315" s="176"/>
      <c r="B315" s="182"/>
      <c r="C315" s="80"/>
      <c r="D315" s="80"/>
      <c r="E315" s="177"/>
      <c r="F315" s="183"/>
      <c r="G315" s="184"/>
      <c r="H315" s="185"/>
      <c r="I315" s="185"/>
    </row>
    <row r="316" spans="1:9" x14ac:dyDescent="0.25">
      <c r="A316" s="176"/>
      <c r="B316" s="182"/>
      <c r="C316" s="80"/>
      <c r="D316" s="80"/>
      <c r="E316" s="177"/>
      <c r="F316" s="183"/>
      <c r="G316" s="184"/>
      <c r="H316" s="185"/>
      <c r="I316" s="185"/>
    </row>
    <row r="317" spans="1:9" x14ac:dyDescent="0.25">
      <c r="A317" s="176"/>
      <c r="B317" s="182"/>
      <c r="C317" s="80"/>
      <c r="D317" s="80"/>
      <c r="E317" s="177"/>
      <c r="F317" s="183"/>
      <c r="G317" s="184"/>
      <c r="H317" s="185"/>
      <c r="I317" s="185"/>
    </row>
    <row r="318" spans="1:9" x14ac:dyDescent="0.25">
      <c r="A318" s="176"/>
      <c r="B318" s="182"/>
      <c r="C318" s="80"/>
      <c r="D318" s="80"/>
      <c r="E318" s="177"/>
      <c r="F318" s="183"/>
      <c r="G318" s="184"/>
      <c r="H318" s="185"/>
      <c r="I318" s="185"/>
    </row>
    <row r="319" spans="1:9" x14ac:dyDescent="0.25">
      <c r="A319" s="176"/>
      <c r="B319" s="182"/>
      <c r="C319" s="80"/>
      <c r="D319" s="80"/>
      <c r="E319" s="177"/>
      <c r="F319" s="183"/>
      <c r="G319" s="184"/>
      <c r="H319" s="185"/>
      <c r="I319" s="185"/>
    </row>
    <row r="320" spans="1:9" x14ac:dyDescent="0.25">
      <c r="A320" s="176"/>
      <c r="B320" s="182"/>
      <c r="C320" s="80"/>
      <c r="D320" s="80"/>
      <c r="E320" s="177"/>
      <c r="F320" s="183"/>
      <c r="G320" s="184"/>
      <c r="H320" s="185"/>
      <c r="I320" s="185"/>
    </row>
    <row r="321" spans="1:9" x14ac:dyDescent="0.25">
      <c r="A321" s="176"/>
      <c r="B321" s="182"/>
      <c r="C321" s="80"/>
      <c r="D321" s="80"/>
      <c r="E321" s="177"/>
      <c r="F321" s="183"/>
      <c r="G321" s="184"/>
      <c r="H321" s="185"/>
      <c r="I321" s="185"/>
    </row>
    <row r="322" spans="1:9" x14ac:dyDescent="0.25">
      <c r="A322" s="176"/>
      <c r="B322" s="182"/>
      <c r="C322" s="80"/>
      <c r="D322" s="80"/>
      <c r="E322" s="177"/>
      <c r="F322" s="183"/>
      <c r="G322" s="184"/>
      <c r="H322" s="185"/>
      <c r="I322" s="185"/>
    </row>
    <row r="323" spans="1:9" x14ac:dyDescent="0.25">
      <c r="A323" s="176"/>
      <c r="B323" s="182"/>
      <c r="C323" s="80"/>
      <c r="D323" s="80"/>
      <c r="E323" s="177"/>
      <c r="F323" s="183"/>
      <c r="G323" s="184"/>
      <c r="H323" s="185"/>
      <c r="I323" s="185"/>
    </row>
    <row r="324" spans="1:9" x14ac:dyDescent="0.25">
      <c r="A324" s="176"/>
      <c r="B324" s="182"/>
      <c r="C324" s="80"/>
      <c r="D324" s="80"/>
      <c r="E324" s="177"/>
      <c r="F324" s="183"/>
      <c r="G324" s="184"/>
      <c r="H324" s="185"/>
      <c r="I324" s="185"/>
    </row>
    <row r="325" spans="1:9" x14ac:dyDescent="0.25">
      <c r="A325" s="176"/>
      <c r="B325" s="182"/>
      <c r="C325" s="80"/>
      <c r="D325" s="80"/>
      <c r="E325" s="177"/>
      <c r="F325" s="183"/>
      <c r="G325" s="184"/>
      <c r="H325" s="185"/>
      <c r="I325" s="185"/>
    </row>
    <row r="326" spans="1:9" x14ac:dyDescent="0.25">
      <c r="A326" s="176"/>
      <c r="B326" s="182"/>
      <c r="C326" s="80"/>
      <c r="D326" s="80"/>
      <c r="E326" s="177"/>
      <c r="F326" s="183"/>
      <c r="G326" s="184"/>
      <c r="H326" s="185"/>
      <c r="I326" s="185"/>
    </row>
    <row r="327" spans="1:9" x14ac:dyDescent="0.25">
      <c r="A327" s="176"/>
      <c r="B327" s="182"/>
      <c r="C327" s="80"/>
      <c r="D327" s="80"/>
      <c r="E327" s="177"/>
      <c r="F327" s="183"/>
      <c r="G327" s="184"/>
      <c r="H327" s="185"/>
      <c r="I327" s="185"/>
    </row>
    <row r="328" spans="1:9" x14ac:dyDescent="0.25">
      <c r="A328" s="176"/>
      <c r="B328" s="182"/>
      <c r="C328" s="80"/>
      <c r="D328" s="80"/>
      <c r="E328" s="177"/>
      <c r="F328" s="183"/>
      <c r="G328" s="184"/>
      <c r="H328" s="185"/>
      <c r="I328" s="185"/>
    </row>
    <row r="329" spans="1:9" x14ac:dyDescent="0.25">
      <c r="A329" s="176"/>
      <c r="B329" s="182"/>
      <c r="C329" s="80"/>
      <c r="D329" s="80"/>
      <c r="E329" s="177"/>
      <c r="F329" s="183"/>
      <c r="G329" s="184"/>
      <c r="H329" s="185"/>
      <c r="I329" s="185"/>
    </row>
    <row r="330" spans="1:9" x14ac:dyDescent="0.25">
      <c r="A330" s="176"/>
      <c r="B330" s="182"/>
      <c r="C330" s="80"/>
      <c r="D330" s="80"/>
      <c r="E330" s="177"/>
      <c r="F330" s="183"/>
      <c r="G330" s="184"/>
      <c r="H330" s="185"/>
      <c r="I330" s="185"/>
    </row>
    <row r="331" spans="1:9" x14ac:dyDescent="0.25">
      <c r="A331" s="176"/>
      <c r="B331" s="182"/>
      <c r="C331" s="80"/>
      <c r="D331" s="80"/>
      <c r="E331" s="177"/>
      <c r="F331" s="183"/>
      <c r="G331" s="184"/>
      <c r="H331" s="185"/>
      <c r="I331" s="185"/>
    </row>
    <row r="332" spans="1:9" x14ac:dyDescent="0.25">
      <c r="A332" s="176"/>
      <c r="B332" s="182"/>
      <c r="C332" s="80"/>
      <c r="D332" s="80"/>
      <c r="E332" s="177"/>
      <c r="F332" s="183"/>
      <c r="G332" s="184"/>
      <c r="H332" s="185"/>
      <c r="I332" s="185"/>
    </row>
    <row r="333" spans="1:9" x14ac:dyDescent="0.25">
      <c r="A333" s="176"/>
      <c r="B333" s="182"/>
      <c r="C333" s="80"/>
      <c r="D333" s="80"/>
      <c r="E333" s="177"/>
      <c r="F333" s="183"/>
      <c r="G333" s="184"/>
      <c r="H333" s="185"/>
      <c r="I333" s="185"/>
    </row>
    <row r="334" spans="1:9" x14ac:dyDescent="0.25">
      <c r="A334" s="176"/>
      <c r="B334" s="182"/>
      <c r="C334" s="80"/>
      <c r="D334" s="80"/>
      <c r="E334" s="177"/>
      <c r="F334" s="183"/>
      <c r="G334" s="184"/>
      <c r="H334" s="185"/>
      <c r="I334" s="185"/>
    </row>
    <row r="335" spans="1:9" x14ac:dyDescent="0.25">
      <c r="A335" s="176"/>
      <c r="B335" s="182"/>
      <c r="C335" s="80"/>
      <c r="D335" s="80"/>
      <c r="E335" s="177"/>
      <c r="F335" s="183"/>
      <c r="G335" s="184"/>
      <c r="H335" s="185"/>
      <c r="I335" s="185"/>
    </row>
    <row r="336" spans="1:9" x14ac:dyDescent="0.25">
      <c r="A336" s="176"/>
      <c r="B336" s="182"/>
      <c r="C336" s="80"/>
      <c r="D336" s="80"/>
      <c r="E336" s="177"/>
      <c r="F336" s="183"/>
      <c r="G336" s="184"/>
      <c r="H336" s="185"/>
      <c r="I336" s="185"/>
    </row>
    <row r="337" spans="1:9" x14ac:dyDescent="0.25">
      <c r="A337" s="176"/>
      <c r="B337" s="182"/>
      <c r="C337" s="80"/>
      <c r="D337" s="80"/>
      <c r="E337" s="177"/>
      <c r="F337" s="183"/>
      <c r="G337" s="184"/>
      <c r="H337" s="185"/>
      <c r="I337" s="185"/>
    </row>
    <row r="338" spans="1:9" x14ac:dyDescent="0.25">
      <c r="A338" s="176"/>
      <c r="B338" s="182"/>
      <c r="C338" s="80"/>
      <c r="D338" s="80"/>
      <c r="E338" s="177"/>
      <c r="F338" s="183"/>
      <c r="G338" s="184"/>
      <c r="H338" s="185"/>
      <c r="I338" s="185"/>
    </row>
    <row r="339" spans="1:9" x14ac:dyDescent="0.25">
      <c r="A339" s="176"/>
      <c r="B339" s="182"/>
      <c r="C339" s="80"/>
      <c r="D339" s="80"/>
      <c r="E339" s="177"/>
      <c r="F339" s="183"/>
      <c r="G339" s="184"/>
      <c r="H339" s="185"/>
      <c r="I339" s="185"/>
    </row>
    <row r="340" spans="1:9" x14ac:dyDescent="0.25">
      <c r="A340" s="176"/>
      <c r="B340" s="182"/>
      <c r="C340" s="80"/>
      <c r="D340" s="80"/>
      <c r="E340" s="177"/>
      <c r="F340" s="183"/>
      <c r="G340" s="184"/>
      <c r="H340" s="185"/>
      <c r="I340" s="185"/>
    </row>
    <row r="341" spans="1:9" x14ac:dyDescent="0.25">
      <c r="A341" s="176"/>
      <c r="B341" s="182"/>
      <c r="C341" s="80"/>
      <c r="D341" s="80"/>
      <c r="E341" s="177"/>
      <c r="F341" s="183"/>
      <c r="G341" s="184"/>
      <c r="H341" s="185"/>
      <c r="I341" s="185"/>
    </row>
    <row r="342" spans="1:9" x14ac:dyDescent="0.25">
      <c r="A342" s="176"/>
      <c r="B342" s="182"/>
      <c r="C342" s="80"/>
      <c r="D342" s="80"/>
      <c r="E342" s="177"/>
      <c r="F342" s="183"/>
      <c r="G342" s="184"/>
      <c r="H342" s="185"/>
      <c r="I342" s="185"/>
    </row>
    <row r="343" spans="1:9" x14ac:dyDescent="0.25">
      <c r="A343" s="176"/>
      <c r="B343" s="182"/>
      <c r="C343" s="80"/>
      <c r="D343" s="80"/>
      <c r="E343" s="177"/>
      <c r="F343" s="183"/>
      <c r="G343" s="184"/>
      <c r="H343" s="185"/>
      <c r="I343" s="185"/>
    </row>
    <row r="344" spans="1:9" x14ac:dyDescent="0.25">
      <c r="A344" s="176"/>
      <c r="B344" s="182"/>
      <c r="C344" s="80"/>
      <c r="D344" s="80"/>
      <c r="E344" s="177"/>
      <c r="F344" s="183"/>
      <c r="G344" s="184"/>
      <c r="H344" s="185"/>
      <c r="I344" s="185"/>
    </row>
    <row r="345" spans="1:9" x14ac:dyDescent="0.25">
      <c r="A345" s="176"/>
      <c r="B345" s="182"/>
      <c r="C345" s="80"/>
      <c r="D345" s="80"/>
      <c r="E345" s="177"/>
      <c r="F345" s="183"/>
      <c r="G345" s="184"/>
      <c r="H345" s="185"/>
      <c r="I345" s="185"/>
    </row>
    <row r="346" spans="1:9" x14ac:dyDescent="0.25">
      <c r="A346" s="176"/>
      <c r="B346" s="182"/>
      <c r="C346" s="80"/>
      <c r="D346" s="80"/>
      <c r="E346" s="177"/>
      <c r="F346" s="183"/>
      <c r="G346" s="184"/>
      <c r="H346" s="185"/>
      <c r="I346" s="185"/>
    </row>
    <row r="347" spans="1:9" x14ac:dyDescent="0.25">
      <c r="A347" s="176"/>
      <c r="B347" s="182"/>
      <c r="C347" s="80"/>
      <c r="D347" s="80"/>
      <c r="E347" s="177"/>
      <c r="F347" s="183"/>
      <c r="G347" s="184"/>
      <c r="H347" s="185"/>
      <c r="I347" s="185"/>
    </row>
    <row r="348" spans="1:9" x14ac:dyDescent="0.25">
      <c r="A348" s="176"/>
      <c r="B348" s="182"/>
      <c r="C348" s="80"/>
      <c r="D348" s="80"/>
      <c r="E348" s="177"/>
      <c r="F348" s="183"/>
      <c r="G348" s="184"/>
      <c r="H348" s="185"/>
      <c r="I348" s="185"/>
    </row>
    <row r="349" spans="1:9" x14ac:dyDescent="0.25">
      <c r="A349" s="176"/>
      <c r="B349" s="182"/>
      <c r="C349" s="80"/>
      <c r="D349" s="80"/>
      <c r="E349" s="177"/>
      <c r="F349" s="183"/>
      <c r="G349" s="184"/>
      <c r="H349" s="185"/>
      <c r="I349" s="185"/>
    </row>
    <row r="350" spans="1:9" x14ac:dyDescent="0.25">
      <c r="A350" s="176"/>
      <c r="B350" s="182"/>
      <c r="C350" s="80"/>
      <c r="D350" s="80"/>
      <c r="E350" s="177"/>
      <c r="F350" s="183"/>
      <c r="G350" s="184"/>
      <c r="H350" s="185"/>
      <c r="I350" s="185"/>
    </row>
    <row r="351" spans="1:9" x14ac:dyDescent="0.25">
      <c r="A351" s="176"/>
      <c r="B351" s="182"/>
      <c r="C351" s="80"/>
      <c r="D351" s="80"/>
      <c r="E351" s="177"/>
      <c r="F351" s="183"/>
      <c r="G351" s="184"/>
      <c r="H351" s="185"/>
      <c r="I351" s="185"/>
    </row>
    <row r="352" spans="1:9" x14ac:dyDescent="0.25">
      <c r="A352" s="176"/>
      <c r="B352" s="182"/>
      <c r="C352" s="80"/>
      <c r="D352" s="80"/>
      <c r="E352" s="177"/>
      <c r="F352" s="183"/>
      <c r="G352" s="184"/>
      <c r="H352" s="185"/>
      <c r="I352" s="185"/>
    </row>
    <row r="353" spans="1:9" x14ac:dyDescent="0.25">
      <c r="A353" s="176"/>
      <c r="B353" s="182"/>
      <c r="C353" s="80"/>
      <c r="D353" s="80"/>
      <c r="E353" s="177"/>
      <c r="F353" s="183"/>
      <c r="G353" s="184"/>
      <c r="H353" s="185"/>
      <c r="I353" s="185"/>
    </row>
    <row r="354" spans="1:9" x14ac:dyDescent="0.25">
      <c r="A354" s="176"/>
      <c r="B354" s="182"/>
      <c r="C354" s="80"/>
      <c r="D354" s="80"/>
      <c r="E354" s="177"/>
      <c r="F354" s="183"/>
      <c r="G354" s="184"/>
      <c r="H354" s="185"/>
      <c r="I354" s="185"/>
    </row>
    <row r="355" spans="1:9" x14ac:dyDescent="0.25">
      <c r="A355" s="176"/>
      <c r="B355" s="182"/>
      <c r="C355" s="80"/>
      <c r="D355" s="80"/>
      <c r="E355" s="177"/>
      <c r="F355" s="183"/>
      <c r="G355" s="184"/>
      <c r="H355" s="185"/>
      <c r="I355" s="185"/>
    </row>
    <row r="356" spans="1:9" x14ac:dyDescent="0.25">
      <c r="A356" s="176"/>
      <c r="B356" s="182"/>
      <c r="C356" s="80"/>
      <c r="D356" s="80"/>
      <c r="E356" s="177"/>
      <c r="F356" s="183"/>
      <c r="G356" s="184"/>
      <c r="H356" s="185"/>
      <c r="I356" s="185"/>
    </row>
    <row r="357" spans="1:9" x14ac:dyDescent="0.25">
      <c r="A357" s="176"/>
      <c r="B357" s="182"/>
      <c r="C357" s="80"/>
      <c r="D357" s="80"/>
      <c r="E357" s="177"/>
      <c r="F357" s="183"/>
      <c r="G357" s="184"/>
      <c r="H357" s="185"/>
      <c r="I357" s="185"/>
    </row>
    <row r="358" spans="1:9" x14ac:dyDescent="0.25">
      <c r="A358" s="176"/>
      <c r="B358" s="182"/>
      <c r="C358" s="80"/>
      <c r="D358" s="80"/>
      <c r="E358" s="177"/>
      <c r="F358" s="183"/>
      <c r="G358" s="184"/>
      <c r="H358" s="185"/>
      <c r="I358" s="185"/>
    </row>
    <row r="359" spans="1:9" x14ac:dyDescent="0.25">
      <c r="A359" s="176"/>
      <c r="B359" s="182"/>
      <c r="C359" s="80"/>
      <c r="D359" s="80"/>
      <c r="E359" s="177"/>
      <c r="F359" s="183"/>
      <c r="G359" s="184"/>
      <c r="H359" s="185"/>
      <c r="I359" s="185"/>
    </row>
    <row r="360" spans="1:9" x14ac:dyDescent="0.25">
      <c r="A360" s="176"/>
      <c r="B360" s="182"/>
      <c r="C360" s="80"/>
      <c r="D360" s="80"/>
      <c r="E360" s="177"/>
      <c r="F360" s="183"/>
      <c r="G360" s="184"/>
      <c r="H360" s="185"/>
      <c r="I360" s="185"/>
    </row>
    <row r="361" spans="1:9" x14ac:dyDescent="0.25">
      <c r="A361" s="176"/>
      <c r="B361" s="182"/>
      <c r="C361" s="80"/>
      <c r="D361" s="80"/>
      <c r="E361" s="177"/>
      <c r="F361" s="183"/>
      <c r="G361" s="184"/>
      <c r="H361" s="185"/>
      <c r="I361" s="185"/>
    </row>
    <row r="362" spans="1:9" x14ac:dyDescent="0.25">
      <c r="A362" s="176"/>
      <c r="B362" s="182"/>
      <c r="C362" s="80"/>
      <c r="D362" s="80"/>
      <c r="E362" s="177"/>
      <c r="F362" s="183"/>
      <c r="G362" s="184"/>
      <c r="H362" s="185"/>
      <c r="I362" s="185"/>
    </row>
    <row r="363" spans="1:9" x14ac:dyDescent="0.25">
      <c r="A363" s="176"/>
      <c r="B363" s="182"/>
      <c r="C363" s="80"/>
      <c r="D363" s="80"/>
      <c r="E363" s="177"/>
      <c r="F363" s="183"/>
      <c r="G363" s="184"/>
      <c r="H363" s="185"/>
      <c r="I363" s="185"/>
    </row>
    <row r="364" spans="1:9" x14ac:dyDescent="0.25">
      <c r="A364" s="176"/>
      <c r="B364" s="182"/>
      <c r="C364" s="80"/>
      <c r="D364" s="80"/>
      <c r="E364" s="177"/>
      <c r="F364" s="183"/>
      <c r="G364" s="184"/>
      <c r="H364" s="185"/>
      <c r="I364" s="185"/>
    </row>
    <row r="365" spans="1:9" x14ac:dyDescent="0.25">
      <c r="A365" s="176"/>
      <c r="B365" s="182"/>
      <c r="C365" s="80"/>
      <c r="D365" s="80"/>
      <c r="E365" s="177"/>
      <c r="F365" s="183"/>
      <c r="G365" s="184"/>
      <c r="H365" s="185"/>
      <c r="I365" s="185"/>
    </row>
    <row r="366" spans="1:9" x14ac:dyDescent="0.25">
      <c r="A366" s="176"/>
      <c r="B366" s="182"/>
      <c r="C366" s="80"/>
      <c r="D366" s="80"/>
      <c r="E366" s="177"/>
      <c r="F366" s="183"/>
      <c r="G366" s="184"/>
      <c r="H366" s="185"/>
      <c r="I366" s="185"/>
    </row>
    <row r="367" spans="1:9" x14ac:dyDescent="0.25">
      <c r="A367" s="176"/>
      <c r="B367" s="182"/>
      <c r="C367" s="80"/>
      <c r="D367" s="80"/>
      <c r="E367" s="177"/>
      <c r="F367" s="183"/>
      <c r="G367" s="184"/>
      <c r="H367" s="185"/>
      <c r="I367" s="185"/>
    </row>
    <row r="368" spans="1:9" x14ac:dyDescent="0.25">
      <c r="A368" s="176"/>
      <c r="B368" s="182"/>
      <c r="C368" s="80"/>
      <c r="D368" s="80"/>
      <c r="E368" s="177"/>
      <c r="F368" s="183"/>
      <c r="G368" s="184"/>
      <c r="H368" s="185"/>
      <c r="I368" s="185"/>
    </row>
    <row r="369" spans="1:9" x14ac:dyDescent="0.25">
      <c r="A369" s="176"/>
      <c r="B369" s="182"/>
      <c r="C369" s="80"/>
      <c r="D369" s="80"/>
      <c r="E369" s="177"/>
      <c r="F369" s="183"/>
      <c r="G369" s="184"/>
      <c r="H369" s="185"/>
      <c r="I369" s="185"/>
    </row>
    <row r="370" spans="1:9" x14ac:dyDescent="0.25">
      <c r="A370" s="176"/>
      <c r="B370" s="182"/>
      <c r="C370" s="80"/>
      <c r="D370" s="80"/>
      <c r="E370" s="177"/>
      <c r="F370" s="183"/>
      <c r="G370" s="184"/>
      <c r="H370" s="185"/>
      <c r="I370" s="185"/>
    </row>
    <row r="371" spans="1:9" x14ac:dyDescent="0.25">
      <c r="A371" s="176"/>
      <c r="B371" s="182"/>
      <c r="C371" s="80"/>
      <c r="D371" s="80"/>
      <c r="E371" s="177"/>
      <c r="F371" s="183"/>
      <c r="G371" s="184"/>
      <c r="H371" s="185"/>
      <c r="I371" s="185"/>
    </row>
    <row r="372" spans="1:9" x14ac:dyDescent="0.25">
      <c r="A372" s="176"/>
      <c r="B372" s="182"/>
      <c r="C372" s="80"/>
      <c r="D372" s="80"/>
      <c r="E372" s="177"/>
      <c r="F372" s="183"/>
      <c r="G372" s="184"/>
      <c r="H372" s="185"/>
      <c r="I372" s="185"/>
    </row>
    <row r="373" spans="1:9" x14ac:dyDescent="0.25">
      <c r="A373" s="176"/>
      <c r="B373" s="182"/>
      <c r="C373" s="80"/>
      <c r="D373" s="80"/>
      <c r="E373" s="177"/>
      <c r="F373" s="183"/>
      <c r="G373" s="184"/>
      <c r="H373" s="185"/>
      <c r="I373" s="185"/>
    </row>
    <row r="374" spans="1:9" x14ac:dyDescent="0.25">
      <c r="A374" s="176"/>
      <c r="B374" s="182"/>
      <c r="C374" s="80"/>
      <c r="D374" s="80"/>
      <c r="E374" s="177"/>
      <c r="F374" s="183"/>
      <c r="G374" s="184"/>
      <c r="H374" s="185"/>
      <c r="I374" s="185"/>
    </row>
    <row r="375" spans="1:9" x14ac:dyDescent="0.25">
      <c r="A375" s="176"/>
      <c r="B375" s="182"/>
      <c r="C375" s="80"/>
      <c r="D375" s="80"/>
      <c r="E375" s="177"/>
      <c r="F375" s="183"/>
      <c r="G375" s="184"/>
      <c r="H375" s="185"/>
      <c r="I375" s="185"/>
    </row>
    <row r="376" spans="1:9" x14ac:dyDescent="0.25">
      <c r="A376" s="176"/>
      <c r="B376" s="182"/>
      <c r="C376" s="80"/>
      <c r="D376" s="80"/>
      <c r="E376" s="177"/>
      <c r="F376" s="183"/>
      <c r="G376" s="184"/>
      <c r="H376" s="185"/>
      <c r="I376" s="185"/>
    </row>
    <row r="377" spans="1:9" x14ac:dyDescent="0.25">
      <c r="A377" s="176"/>
      <c r="B377" s="182"/>
      <c r="C377" s="80"/>
      <c r="D377" s="80"/>
      <c r="E377" s="177"/>
      <c r="F377" s="183"/>
      <c r="G377" s="184"/>
      <c r="H377" s="185"/>
      <c r="I377" s="185"/>
    </row>
    <row r="378" spans="1:9" x14ac:dyDescent="0.25">
      <c r="A378" s="176"/>
      <c r="B378" s="182"/>
      <c r="C378" s="80"/>
      <c r="D378" s="80"/>
      <c r="E378" s="177"/>
      <c r="F378" s="183"/>
      <c r="G378" s="184"/>
      <c r="H378" s="185"/>
      <c r="I378" s="185"/>
    </row>
    <row r="379" spans="1:9" x14ac:dyDescent="0.25">
      <c r="A379" s="176"/>
      <c r="B379" s="182"/>
      <c r="C379" s="80"/>
      <c r="D379" s="80"/>
      <c r="E379" s="177"/>
      <c r="F379" s="183"/>
      <c r="G379" s="184"/>
      <c r="H379" s="185"/>
      <c r="I379" s="185"/>
    </row>
    <row r="380" spans="1:9" x14ac:dyDescent="0.25">
      <c r="A380" s="176"/>
      <c r="B380" s="182"/>
      <c r="C380" s="80"/>
      <c r="D380" s="80"/>
      <c r="E380" s="177"/>
      <c r="F380" s="183"/>
      <c r="G380" s="184"/>
      <c r="H380" s="185"/>
      <c r="I380" s="185"/>
    </row>
    <row r="381" spans="1:9" x14ac:dyDescent="0.25">
      <c r="A381" s="176"/>
      <c r="B381" s="182"/>
      <c r="C381" s="80"/>
      <c r="D381" s="80"/>
      <c r="E381" s="177"/>
      <c r="F381" s="183"/>
      <c r="G381" s="184"/>
      <c r="H381" s="185"/>
      <c r="I381" s="185"/>
    </row>
    <row r="382" spans="1:9" x14ac:dyDescent="0.25">
      <c r="A382" s="176"/>
      <c r="B382" s="182"/>
      <c r="C382" s="80"/>
      <c r="D382" s="80"/>
      <c r="E382" s="177"/>
      <c r="F382" s="183"/>
      <c r="G382" s="184"/>
      <c r="H382" s="185"/>
      <c r="I382" s="185"/>
    </row>
    <row r="383" spans="1:9" x14ac:dyDescent="0.25">
      <c r="A383" s="176"/>
      <c r="B383" s="182"/>
      <c r="C383" s="80"/>
      <c r="D383" s="80"/>
      <c r="E383" s="177"/>
      <c r="F383" s="183"/>
      <c r="G383" s="184"/>
      <c r="H383" s="185"/>
      <c r="I383" s="185"/>
    </row>
    <row r="384" spans="1:9" x14ac:dyDescent="0.25">
      <c r="A384" s="176"/>
      <c r="B384" s="182"/>
      <c r="C384" s="80"/>
      <c r="D384" s="80"/>
      <c r="E384" s="177"/>
      <c r="F384" s="183"/>
      <c r="G384" s="184"/>
      <c r="H384" s="185"/>
      <c r="I384" s="185"/>
    </row>
    <row r="385" spans="1:9" x14ac:dyDescent="0.25">
      <c r="A385" s="176"/>
      <c r="B385" s="182"/>
      <c r="C385" s="80"/>
      <c r="D385" s="80"/>
      <c r="E385" s="177"/>
      <c r="F385" s="183"/>
      <c r="G385" s="184"/>
      <c r="H385" s="185"/>
      <c r="I385" s="185"/>
    </row>
    <row r="386" spans="1:9" x14ac:dyDescent="0.25">
      <c r="A386" s="176"/>
      <c r="B386" s="182"/>
      <c r="C386" s="80"/>
      <c r="D386" s="80"/>
      <c r="E386" s="177"/>
      <c r="F386" s="183"/>
      <c r="G386" s="184"/>
      <c r="H386" s="185"/>
      <c r="I386" s="185"/>
    </row>
    <row r="387" spans="1:9" x14ac:dyDescent="0.25">
      <c r="A387" s="176"/>
      <c r="B387" s="182"/>
      <c r="C387" s="80"/>
      <c r="D387" s="80"/>
      <c r="E387" s="177"/>
      <c r="F387" s="183"/>
      <c r="G387" s="184"/>
      <c r="H387" s="185"/>
      <c r="I387" s="185"/>
    </row>
    <row r="388" spans="1:9" x14ac:dyDescent="0.25">
      <c r="A388" s="176"/>
      <c r="B388" s="182"/>
      <c r="C388" s="80"/>
      <c r="D388" s="80"/>
      <c r="E388" s="177"/>
      <c r="F388" s="183"/>
      <c r="G388" s="184"/>
      <c r="H388" s="185"/>
      <c r="I388" s="185"/>
    </row>
    <row r="389" spans="1:9" x14ac:dyDescent="0.25">
      <c r="A389" s="176"/>
      <c r="B389" s="182"/>
      <c r="C389" s="80"/>
      <c r="D389" s="80"/>
      <c r="E389" s="177"/>
      <c r="F389" s="183"/>
      <c r="G389" s="184"/>
      <c r="H389" s="185"/>
      <c r="I389" s="185"/>
    </row>
    <row r="390" spans="1:9" x14ac:dyDescent="0.25">
      <c r="A390" s="176"/>
      <c r="B390" s="182"/>
      <c r="C390" s="80"/>
      <c r="D390" s="80"/>
      <c r="E390" s="177"/>
      <c r="F390" s="183"/>
      <c r="G390" s="184"/>
      <c r="H390" s="185"/>
      <c r="I390" s="185"/>
    </row>
    <row r="391" spans="1:9" x14ac:dyDescent="0.25">
      <c r="A391" s="176"/>
      <c r="B391" s="182"/>
      <c r="C391" s="80"/>
      <c r="D391" s="80"/>
      <c r="E391" s="177"/>
      <c r="F391" s="183"/>
      <c r="G391" s="184"/>
      <c r="H391" s="185"/>
      <c r="I391" s="185"/>
    </row>
    <row r="392" spans="1:9" x14ac:dyDescent="0.25">
      <c r="A392" s="176"/>
      <c r="B392" s="182"/>
      <c r="C392" s="80"/>
      <c r="D392" s="80"/>
      <c r="E392" s="177"/>
      <c r="F392" s="183"/>
      <c r="G392" s="184"/>
      <c r="H392" s="185"/>
      <c r="I392" s="185"/>
    </row>
    <row r="393" spans="1:9" x14ac:dyDescent="0.25">
      <c r="A393" s="176"/>
      <c r="B393" s="182"/>
      <c r="C393" s="80"/>
      <c r="D393" s="80"/>
      <c r="E393" s="177"/>
      <c r="F393" s="183"/>
      <c r="G393" s="184"/>
      <c r="H393" s="185"/>
      <c r="I393" s="185"/>
    </row>
    <row r="394" spans="1:9" x14ac:dyDescent="0.25">
      <c r="A394" s="176"/>
      <c r="B394" s="182"/>
      <c r="C394" s="80"/>
      <c r="D394" s="80"/>
      <c r="E394" s="177"/>
      <c r="F394" s="183"/>
      <c r="G394" s="184"/>
      <c r="H394" s="185"/>
      <c r="I394" s="185"/>
    </row>
    <row r="395" spans="1:9" x14ac:dyDescent="0.25">
      <c r="A395" s="176"/>
      <c r="B395" s="182"/>
      <c r="C395" s="80"/>
      <c r="D395" s="80"/>
      <c r="E395" s="177"/>
      <c r="F395" s="183"/>
      <c r="G395" s="184"/>
      <c r="H395" s="185"/>
      <c r="I395" s="185"/>
    </row>
    <row r="396" spans="1:9" x14ac:dyDescent="0.25">
      <c r="A396" s="176"/>
      <c r="B396" s="182"/>
      <c r="C396" s="80"/>
      <c r="D396" s="80"/>
      <c r="E396" s="177"/>
      <c r="F396" s="183"/>
      <c r="G396" s="184"/>
      <c r="H396" s="185"/>
      <c r="I396" s="185"/>
    </row>
    <row r="397" spans="1:9" x14ac:dyDescent="0.25">
      <c r="A397" s="176"/>
      <c r="B397" s="182"/>
      <c r="C397" s="80"/>
      <c r="D397" s="80"/>
      <c r="E397" s="177"/>
      <c r="F397" s="183"/>
      <c r="G397" s="184"/>
      <c r="H397" s="185"/>
      <c r="I397" s="185"/>
    </row>
    <row r="398" spans="1:9" x14ac:dyDescent="0.25">
      <c r="A398" s="176"/>
      <c r="B398" s="182"/>
      <c r="C398" s="80"/>
      <c r="D398" s="80"/>
      <c r="E398" s="177"/>
      <c r="F398" s="183"/>
      <c r="G398" s="184"/>
      <c r="H398" s="185"/>
      <c r="I398" s="185"/>
    </row>
    <row r="399" spans="1:9" x14ac:dyDescent="0.25">
      <c r="A399" s="176"/>
      <c r="B399" s="182"/>
      <c r="C399" s="80"/>
      <c r="D399" s="80"/>
      <c r="E399" s="177"/>
      <c r="F399" s="183"/>
      <c r="G399" s="184"/>
      <c r="H399" s="185"/>
      <c r="I399" s="185"/>
    </row>
    <row r="400" spans="1:9" x14ac:dyDescent="0.25">
      <c r="A400" s="176"/>
      <c r="B400" s="182"/>
      <c r="C400" s="80"/>
      <c r="D400" s="80"/>
      <c r="E400" s="177"/>
      <c r="F400" s="183"/>
      <c r="G400" s="184"/>
      <c r="H400" s="185"/>
      <c r="I400" s="185"/>
    </row>
    <row r="401" spans="1:9" x14ac:dyDescent="0.25">
      <c r="A401" s="176"/>
      <c r="B401" s="182"/>
      <c r="C401" s="80"/>
      <c r="D401" s="80"/>
      <c r="E401" s="177"/>
      <c r="F401" s="183"/>
      <c r="G401" s="184"/>
      <c r="H401" s="185"/>
      <c r="I401" s="185"/>
    </row>
    <row r="402" spans="1:9" x14ac:dyDescent="0.25">
      <c r="A402" s="176"/>
      <c r="B402" s="182"/>
      <c r="C402" s="80"/>
      <c r="D402" s="80"/>
      <c r="E402" s="177"/>
      <c r="F402" s="183"/>
      <c r="G402" s="184"/>
      <c r="H402" s="185"/>
      <c r="I402" s="185"/>
    </row>
    <row r="403" spans="1:9" x14ac:dyDescent="0.25">
      <c r="A403" s="176"/>
      <c r="B403" s="182"/>
      <c r="C403" s="80"/>
      <c r="D403" s="80"/>
      <c r="E403" s="177"/>
      <c r="F403" s="183"/>
      <c r="G403" s="184"/>
      <c r="H403" s="185"/>
      <c r="I403" s="185"/>
    </row>
    <row r="404" spans="1:9" x14ac:dyDescent="0.25">
      <c r="A404" s="176"/>
      <c r="B404" s="182"/>
      <c r="C404" s="80"/>
      <c r="D404" s="80"/>
      <c r="E404" s="177"/>
      <c r="F404" s="183"/>
      <c r="G404" s="184"/>
      <c r="H404" s="185"/>
      <c r="I404" s="185"/>
    </row>
    <row r="405" spans="1:9" x14ac:dyDescent="0.25">
      <c r="A405" s="176"/>
      <c r="B405" s="182"/>
      <c r="C405" s="80"/>
      <c r="D405" s="80"/>
      <c r="E405" s="177"/>
      <c r="F405" s="183"/>
      <c r="G405" s="184"/>
      <c r="H405" s="185"/>
      <c r="I405" s="185"/>
    </row>
    <row r="406" spans="1:9" x14ac:dyDescent="0.25">
      <c r="A406" s="176"/>
      <c r="B406" s="182"/>
      <c r="C406" s="80"/>
      <c r="D406" s="80"/>
      <c r="E406" s="177"/>
      <c r="F406" s="183"/>
      <c r="G406" s="184"/>
      <c r="H406" s="185"/>
      <c r="I406" s="185"/>
    </row>
    <row r="407" spans="1:9" x14ac:dyDescent="0.25">
      <c r="A407" s="176"/>
      <c r="B407" s="182"/>
      <c r="C407" s="80"/>
      <c r="D407" s="80"/>
      <c r="E407" s="177"/>
      <c r="F407" s="183"/>
      <c r="G407" s="184"/>
      <c r="H407" s="185"/>
      <c r="I407" s="185"/>
    </row>
    <row r="408" spans="1:9" x14ac:dyDescent="0.25">
      <c r="A408" s="176"/>
      <c r="B408" s="182"/>
      <c r="C408" s="80"/>
      <c r="D408" s="80"/>
      <c r="E408" s="177"/>
      <c r="F408" s="183"/>
      <c r="G408" s="184"/>
      <c r="H408" s="185"/>
      <c r="I408" s="185"/>
    </row>
    <row r="409" spans="1:9" x14ac:dyDescent="0.25">
      <c r="A409" s="176"/>
      <c r="B409" s="182"/>
      <c r="C409" s="80"/>
      <c r="D409" s="80"/>
      <c r="E409" s="177"/>
      <c r="F409" s="183"/>
      <c r="G409" s="184"/>
      <c r="H409" s="185"/>
      <c r="I409" s="185"/>
    </row>
    <row r="410" spans="1:9" x14ac:dyDescent="0.25">
      <c r="A410" s="176"/>
      <c r="B410" s="182"/>
      <c r="C410" s="80"/>
      <c r="D410" s="80"/>
      <c r="E410" s="177"/>
      <c r="F410" s="183"/>
      <c r="G410" s="184"/>
      <c r="H410" s="185"/>
      <c r="I410" s="185"/>
    </row>
    <row r="411" spans="1:9" x14ac:dyDescent="0.25">
      <c r="A411" s="176"/>
      <c r="B411" s="182"/>
      <c r="C411" s="80"/>
      <c r="D411" s="80"/>
      <c r="E411" s="177"/>
      <c r="F411" s="183"/>
      <c r="G411" s="184"/>
      <c r="H411" s="185"/>
      <c r="I411" s="185"/>
    </row>
    <row r="412" spans="1:9" x14ac:dyDescent="0.25">
      <c r="A412" s="176"/>
      <c r="B412" s="182"/>
      <c r="C412" s="80"/>
      <c r="D412" s="80"/>
      <c r="E412" s="177"/>
      <c r="F412" s="183"/>
      <c r="G412" s="184"/>
      <c r="H412" s="185"/>
      <c r="I412" s="185"/>
    </row>
    <row r="413" spans="1:9" x14ac:dyDescent="0.25">
      <c r="A413" s="176"/>
      <c r="B413" s="182"/>
      <c r="C413" s="80"/>
      <c r="D413" s="80"/>
      <c r="E413" s="177"/>
      <c r="F413" s="183"/>
      <c r="G413" s="184"/>
      <c r="H413" s="185"/>
      <c r="I413" s="185"/>
    </row>
    <row r="414" spans="1:9" x14ac:dyDescent="0.25">
      <c r="A414" s="176"/>
      <c r="B414" s="182"/>
      <c r="C414" s="80"/>
      <c r="D414" s="80"/>
      <c r="E414" s="177"/>
      <c r="F414" s="183"/>
      <c r="G414" s="184"/>
      <c r="H414" s="185"/>
      <c r="I414" s="185"/>
    </row>
    <row r="415" spans="1:9" x14ac:dyDescent="0.25">
      <c r="A415" s="176"/>
      <c r="B415" s="182"/>
      <c r="C415" s="80"/>
      <c r="D415" s="80"/>
      <c r="E415" s="177"/>
      <c r="F415" s="183"/>
      <c r="G415" s="184"/>
      <c r="H415" s="185"/>
      <c r="I415" s="185"/>
    </row>
    <row r="416" spans="1:9" x14ac:dyDescent="0.25">
      <c r="A416" s="176"/>
      <c r="B416" s="182"/>
      <c r="C416" s="80"/>
      <c r="D416" s="80"/>
      <c r="E416" s="177"/>
      <c r="F416" s="183"/>
      <c r="G416" s="184"/>
      <c r="H416" s="185"/>
      <c r="I416" s="185"/>
    </row>
    <row r="417" spans="1:9" x14ac:dyDescent="0.25">
      <c r="A417" s="176"/>
      <c r="B417" s="182"/>
      <c r="C417" s="80"/>
      <c r="D417" s="80"/>
      <c r="E417" s="177"/>
      <c r="F417" s="183"/>
      <c r="G417" s="184"/>
      <c r="H417" s="185"/>
      <c r="I417" s="185"/>
    </row>
    <row r="418" spans="1:9" x14ac:dyDescent="0.25">
      <c r="A418" s="176"/>
      <c r="B418" s="182"/>
      <c r="C418" s="80"/>
      <c r="D418" s="80"/>
      <c r="E418" s="177"/>
      <c r="F418" s="183"/>
      <c r="G418" s="184"/>
      <c r="H418" s="185"/>
      <c r="I418" s="185"/>
    </row>
    <row r="419" spans="1:9" x14ac:dyDescent="0.25">
      <c r="A419" s="176"/>
      <c r="B419" s="182"/>
      <c r="C419" s="80"/>
      <c r="D419" s="80"/>
      <c r="E419" s="177"/>
      <c r="F419" s="183"/>
      <c r="G419" s="184"/>
      <c r="H419" s="185"/>
      <c r="I419" s="185"/>
    </row>
    <row r="420" spans="1:9" x14ac:dyDescent="0.25">
      <c r="A420" s="176"/>
      <c r="B420" s="182"/>
      <c r="C420" s="80"/>
      <c r="D420" s="80"/>
      <c r="E420" s="177"/>
      <c r="F420" s="183"/>
      <c r="G420" s="184"/>
      <c r="H420" s="185"/>
      <c r="I420" s="185"/>
    </row>
    <row r="421" spans="1:9" x14ac:dyDescent="0.25">
      <c r="A421" s="176"/>
      <c r="B421" s="182"/>
      <c r="C421" s="80"/>
      <c r="D421" s="80"/>
      <c r="E421" s="177"/>
      <c r="F421" s="183"/>
      <c r="G421" s="184"/>
      <c r="H421" s="185"/>
      <c r="I421" s="185"/>
    </row>
    <row r="422" spans="1:9" x14ac:dyDescent="0.25">
      <c r="A422" s="176"/>
      <c r="B422" s="182"/>
      <c r="C422" s="80"/>
      <c r="D422" s="80"/>
      <c r="E422" s="177"/>
      <c r="F422" s="183"/>
      <c r="G422" s="184"/>
      <c r="H422" s="185"/>
      <c r="I422" s="185"/>
    </row>
    <row r="423" spans="1:9" x14ac:dyDescent="0.25">
      <c r="A423" s="176"/>
      <c r="B423" s="182"/>
      <c r="C423" s="80"/>
      <c r="D423" s="80"/>
      <c r="E423" s="177"/>
      <c r="F423" s="183"/>
      <c r="G423" s="184"/>
      <c r="H423" s="185"/>
      <c r="I423" s="185"/>
    </row>
    <row r="424" spans="1:9" x14ac:dyDescent="0.25">
      <c r="A424" s="176"/>
      <c r="B424" s="182"/>
      <c r="C424" s="80"/>
      <c r="D424" s="80"/>
      <c r="E424" s="177"/>
      <c r="F424" s="183"/>
      <c r="G424" s="184"/>
      <c r="H424" s="185"/>
      <c r="I424" s="185"/>
    </row>
    <row r="425" spans="1:9" x14ac:dyDescent="0.25">
      <c r="A425" s="176"/>
      <c r="B425" s="182"/>
      <c r="C425" s="80"/>
      <c r="D425" s="80"/>
      <c r="E425" s="177"/>
      <c r="F425" s="183"/>
      <c r="G425" s="184"/>
      <c r="H425" s="185"/>
      <c r="I425" s="185"/>
    </row>
    <row r="426" spans="1:9" x14ac:dyDescent="0.25">
      <c r="A426" s="176"/>
      <c r="B426" s="182"/>
      <c r="C426" s="80"/>
      <c r="D426" s="80"/>
      <c r="E426" s="177"/>
      <c r="F426" s="183"/>
      <c r="G426" s="184"/>
      <c r="H426" s="185"/>
      <c r="I426" s="185"/>
    </row>
    <row r="427" spans="1:9" x14ac:dyDescent="0.25">
      <c r="A427" s="176"/>
      <c r="B427" s="182"/>
      <c r="C427" s="80"/>
      <c r="D427" s="80"/>
      <c r="E427" s="177"/>
      <c r="F427" s="183"/>
      <c r="G427" s="184"/>
      <c r="H427" s="185"/>
      <c r="I427" s="185"/>
    </row>
    <row r="428" spans="1:9" x14ac:dyDescent="0.25">
      <c r="A428" s="176"/>
      <c r="B428" s="182"/>
      <c r="C428" s="80"/>
      <c r="D428" s="80"/>
      <c r="E428" s="177"/>
      <c r="F428" s="183"/>
      <c r="G428" s="184"/>
      <c r="H428" s="185"/>
      <c r="I428" s="185"/>
    </row>
    <row r="429" spans="1:9" x14ac:dyDescent="0.25">
      <c r="A429" s="176"/>
      <c r="B429" s="182"/>
      <c r="C429" s="80"/>
      <c r="D429" s="80"/>
      <c r="E429" s="177"/>
      <c r="F429" s="183"/>
      <c r="G429" s="184"/>
      <c r="H429" s="185"/>
      <c r="I429" s="185"/>
    </row>
    <row r="430" spans="1:9" x14ac:dyDescent="0.25">
      <c r="A430" s="176"/>
      <c r="B430" s="182"/>
      <c r="C430" s="80"/>
      <c r="D430" s="80"/>
      <c r="E430" s="177"/>
      <c r="F430" s="183"/>
      <c r="G430" s="184"/>
      <c r="H430" s="185"/>
      <c r="I430" s="185"/>
    </row>
    <row r="431" spans="1:9" x14ac:dyDescent="0.25">
      <c r="A431" s="176"/>
      <c r="B431" s="182"/>
      <c r="C431" s="80"/>
      <c r="D431" s="80"/>
      <c r="E431" s="177"/>
      <c r="F431" s="183"/>
      <c r="G431" s="184"/>
      <c r="H431" s="185"/>
      <c r="I431" s="185"/>
    </row>
    <row r="432" spans="1:9" x14ac:dyDescent="0.25">
      <c r="A432" s="176"/>
      <c r="B432" s="182"/>
      <c r="C432" s="80"/>
      <c r="D432" s="80"/>
      <c r="E432" s="177"/>
      <c r="F432" s="183"/>
      <c r="G432" s="184"/>
      <c r="H432" s="185"/>
      <c r="I432" s="185"/>
    </row>
    <row r="433" spans="1:9" x14ac:dyDescent="0.25">
      <c r="A433" s="176"/>
      <c r="B433" s="182"/>
      <c r="C433" s="80"/>
      <c r="D433" s="80"/>
      <c r="E433" s="177"/>
      <c r="F433" s="183"/>
      <c r="G433" s="184"/>
      <c r="H433" s="185"/>
      <c r="I433" s="185"/>
    </row>
    <row r="434" spans="1:9" x14ac:dyDescent="0.25">
      <c r="A434" s="176"/>
      <c r="B434" s="182"/>
      <c r="C434" s="80"/>
      <c r="D434" s="80"/>
      <c r="E434" s="177"/>
      <c r="F434" s="183"/>
      <c r="G434" s="184"/>
      <c r="H434" s="185"/>
      <c r="I434" s="185"/>
    </row>
    <row r="435" spans="1:9" x14ac:dyDescent="0.25">
      <c r="A435" s="176"/>
      <c r="B435" s="182"/>
      <c r="C435" s="80"/>
      <c r="D435" s="80"/>
      <c r="E435" s="177"/>
      <c r="F435" s="183"/>
      <c r="G435" s="184"/>
      <c r="H435" s="185"/>
      <c r="I435" s="185"/>
    </row>
    <row r="436" spans="1:9" x14ac:dyDescent="0.25">
      <c r="A436" s="176"/>
      <c r="B436" s="182"/>
      <c r="C436" s="80"/>
      <c r="D436" s="80"/>
      <c r="E436" s="177"/>
      <c r="F436" s="183"/>
      <c r="G436" s="184"/>
      <c r="H436" s="185"/>
      <c r="I436" s="185"/>
    </row>
    <row r="437" spans="1:9" x14ac:dyDescent="0.25">
      <c r="A437" s="176"/>
      <c r="B437" s="182"/>
      <c r="C437" s="80"/>
      <c r="D437" s="80"/>
      <c r="E437" s="177"/>
      <c r="F437" s="183"/>
      <c r="G437" s="184"/>
      <c r="H437" s="185"/>
      <c r="I437" s="185"/>
    </row>
    <row r="438" spans="1:9" x14ac:dyDescent="0.25">
      <c r="A438" s="176"/>
      <c r="B438" s="182"/>
      <c r="C438" s="80"/>
      <c r="D438" s="80"/>
      <c r="E438" s="177"/>
      <c r="F438" s="183"/>
      <c r="G438" s="184"/>
      <c r="H438" s="185"/>
      <c r="I438" s="185"/>
    </row>
    <row r="439" spans="1:9" x14ac:dyDescent="0.25">
      <c r="A439" s="176"/>
      <c r="B439" s="182"/>
      <c r="C439" s="80"/>
      <c r="D439" s="80"/>
      <c r="E439" s="177"/>
      <c r="F439" s="183"/>
      <c r="G439" s="184"/>
      <c r="H439" s="185"/>
      <c r="I439" s="185"/>
    </row>
    <row r="440" spans="1:9" x14ac:dyDescent="0.25">
      <c r="A440" s="176"/>
      <c r="B440" s="182"/>
      <c r="C440" s="80"/>
      <c r="D440" s="80"/>
      <c r="E440" s="177"/>
      <c r="F440" s="183"/>
      <c r="G440" s="184"/>
      <c r="H440" s="185"/>
      <c r="I440" s="185"/>
    </row>
    <row r="441" spans="1:9" x14ac:dyDescent="0.25">
      <c r="A441" s="176"/>
      <c r="B441" s="182"/>
      <c r="C441" s="80"/>
      <c r="D441" s="80"/>
      <c r="E441" s="177"/>
      <c r="F441" s="183"/>
      <c r="G441" s="184"/>
      <c r="H441" s="185"/>
      <c r="I441" s="185"/>
    </row>
    <row r="442" spans="1:9" x14ac:dyDescent="0.25">
      <c r="A442" s="176"/>
      <c r="B442" s="182"/>
      <c r="C442" s="80"/>
      <c r="D442" s="80"/>
      <c r="E442" s="177"/>
      <c r="F442" s="183"/>
      <c r="G442" s="184"/>
      <c r="H442" s="185"/>
      <c r="I442" s="185"/>
    </row>
    <row r="443" spans="1:9" x14ac:dyDescent="0.25">
      <c r="A443" s="176"/>
      <c r="B443" s="182"/>
      <c r="C443" s="80"/>
      <c r="D443" s="80"/>
      <c r="E443" s="177"/>
      <c r="F443" s="183"/>
      <c r="G443" s="184"/>
      <c r="H443" s="185"/>
      <c r="I443" s="185"/>
    </row>
    <row r="444" spans="1:9" x14ac:dyDescent="0.25">
      <c r="A444" s="176"/>
      <c r="B444" s="182"/>
      <c r="C444" s="80"/>
      <c r="D444" s="80"/>
      <c r="E444" s="177"/>
      <c r="F444" s="183"/>
      <c r="G444" s="184"/>
      <c r="H444" s="185"/>
      <c r="I444" s="185"/>
    </row>
    <row r="445" spans="1:9" x14ac:dyDescent="0.25">
      <c r="A445" s="176"/>
      <c r="B445" s="182"/>
      <c r="C445" s="80"/>
      <c r="D445" s="80"/>
      <c r="E445" s="177"/>
      <c r="F445" s="183"/>
      <c r="G445" s="184"/>
      <c r="H445" s="185"/>
      <c r="I445" s="185"/>
    </row>
    <row r="446" spans="1:9" x14ac:dyDescent="0.25">
      <c r="A446" s="176"/>
      <c r="B446" s="182"/>
      <c r="C446" s="80"/>
      <c r="D446" s="80"/>
      <c r="E446" s="177"/>
      <c r="F446" s="183"/>
      <c r="G446" s="184"/>
      <c r="H446" s="185"/>
      <c r="I446" s="185"/>
    </row>
    <row r="447" spans="1:9" x14ac:dyDescent="0.25">
      <c r="A447" s="176"/>
      <c r="B447" s="182"/>
      <c r="C447" s="80"/>
      <c r="D447" s="80"/>
      <c r="E447" s="177"/>
      <c r="F447" s="183"/>
      <c r="G447" s="184"/>
      <c r="H447" s="185"/>
      <c r="I447" s="185"/>
    </row>
    <row r="448" spans="1:9" x14ac:dyDescent="0.25">
      <c r="A448" s="176"/>
      <c r="B448" s="182"/>
      <c r="C448" s="80"/>
      <c r="D448" s="80"/>
      <c r="E448" s="177"/>
      <c r="F448" s="183"/>
      <c r="G448" s="184"/>
      <c r="H448" s="185"/>
      <c r="I448" s="185"/>
    </row>
    <row r="449" spans="1:9" x14ac:dyDescent="0.25">
      <c r="A449" s="176"/>
      <c r="B449" s="182"/>
      <c r="C449" s="80"/>
      <c r="D449" s="80"/>
      <c r="E449" s="177"/>
      <c r="F449" s="183"/>
      <c r="G449" s="184"/>
      <c r="H449" s="185"/>
      <c r="I449" s="185"/>
    </row>
    <row r="450" spans="1:9" x14ac:dyDescent="0.25">
      <c r="A450" s="176"/>
      <c r="B450" s="182"/>
      <c r="C450" s="80"/>
      <c r="D450" s="80"/>
      <c r="E450" s="177"/>
      <c r="F450" s="183"/>
      <c r="G450" s="184"/>
      <c r="H450" s="185"/>
      <c r="I450" s="185"/>
    </row>
    <row r="451" spans="1:9" x14ac:dyDescent="0.25">
      <c r="A451" s="176"/>
      <c r="B451" s="182"/>
      <c r="C451" s="80"/>
      <c r="D451" s="80"/>
      <c r="E451" s="177"/>
      <c r="F451" s="183"/>
      <c r="G451" s="184"/>
      <c r="H451" s="185"/>
      <c r="I451" s="185"/>
    </row>
    <row r="452" spans="1:9" x14ac:dyDescent="0.25">
      <c r="A452" s="176"/>
      <c r="B452" s="182"/>
      <c r="C452" s="80"/>
      <c r="D452" s="80"/>
      <c r="E452" s="177"/>
      <c r="F452" s="183"/>
      <c r="G452" s="184"/>
      <c r="H452" s="185"/>
      <c r="I452" s="185"/>
    </row>
    <row r="453" spans="1:9" x14ac:dyDescent="0.25">
      <c r="A453" s="176"/>
      <c r="B453" s="182"/>
      <c r="C453" s="80"/>
      <c r="D453" s="80"/>
      <c r="E453" s="177"/>
      <c r="F453" s="183"/>
      <c r="G453" s="184"/>
      <c r="H453" s="185"/>
      <c r="I453" s="185"/>
    </row>
    <row r="454" spans="1:9" x14ac:dyDescent="0.25">
      <c r="A454" s="176"/>
      <c r="B454" s="182"/>
      <c r="C454" s="80"/>
      <c r="D454" s="80"/>
      <c r="E454" s="177"/>
      <c r="F454" s="183"/>
      <c r="G454" s="184"/>
      <c r="H454" s="185"/>
      <c r="I454" s="185"/>
    </row>
    <row r="455" spans="1:9" x14ac:dyDescent="0.25">
      <c r="A455" s="176"/>
      <c r="B455" s="182"/>
      <c r="C455" s="80"/>
      <c r="D455" s="80"/>
      <c r="E455" s="177"/>
      <c r="F455" s="183"/>
      <c r="G455" s="184"/>
      <c r="H455" s="185"/>
      <c r="I455" s="185"/>
    </row>
    <row r="456" spans="1:9" x14ac:dyDescent="0.25">
      <c r="A456" s="176"/>
      <c r="B456" s="182"/>
      <c r="C456" s="80"/>
      <c r="D456" s="80"/>
      <c r="E456" s="177"/>
      <c r="F456" s="183"/>
      <c r="G456" s="184"/>
      <c r="H456" s="185"/>
      <c r="I456" s="185"/>
    </row>
    <row r="457" spans="1:9" x14ac:dyDescent="0.25">
      <c r="A457" s="176"/>
      <c r="B457" s="182"/>
      <c r="C457" s="80"/>
      <c r="D457" s="80"/>
      <c r="E457" s="177"/>
      <c r="F457" s="183"/>
      <c r="G457" s="184"/>
      <c r="H457" s="185"/>
      <c r="I457" s="185"/>
    </row>
    <row r="458" spans="1:9" x14ac:dyDescent="0.25">
      <c r="A458" s="176"/>
      <c r="B458" s="182"/>
      <c r="C458" s="80"/>
      <c r="D458" s="80"/>
      <c r="E458" s="177"/>
      <c r="F458" s="183"/>
      <c r="G458" s="184"/>
      <c r="H458" s="185"/>
      <c r="I458" s="185"/>
    </row>
    <row r="459" spans="1:9" x14ac:dyDescent="0.25">
      <c r="A459" s="176"/>
      <c r="B459" s="182"/>
      <c r="C459" s="80"/>
      <c r="D459" s="80"/>
      <c r="E459" s="177"/>
      <c r="F459" s="183"/>
      <c r="G459" s="184"/>
      <c r="H459" s="185"/>
      <c r="I459" s="185"/>
    </row>
    <row r="460" spans="1:9" x14ac:dyDescent="0.25">
      <c r="A460" s="176"/>
      <c r="B460" s="182"/>
      <c r="C460" s="80"/>
      <c r="D460" s="80"/>
      <c r="E460" s="177"/>
      <c r="F460" s="183"/>
      <c r="G460" s="184"/>
      <c r="H460" s="185"/>
      <c r="I460" s="185"/>
    </row>
    <row r="461" spans="1:9" x14ac:dyDescent="0.25">
      <c r="A461" s="176"/>
      <c r="B461" s="182"/>
      <c r="C461" s="80"/>
      <c r="D461" s="80"/>
      <c r="E461" s="177"/>
      <c r="F461" s="183"/>
      <c r="G461" s="184"/>
      <c r="H461" s="185"/>
      <c r="I461" s="185"/>
    </row>
    <row r="462" spans="1:9" x14ac:dyDescent="0.25">
      <c r="A462" s="176"/>
      <c r="B462" s="182"/>
      <c r="C462" s="80"/>
      <c r="D462" s="80"/>
      <c r="E462" s="177"/>
      <c r="F462" s="183"/>
      <c r="G462" s="184"/>
      <c r="H462" s="185"/>
      <c r="I462" s="185"/>
    </row>
    <row r="463" spans="1:9" x14ac:dyDescent="0.25">
      <c r="A463" s="176"/>
      <c r="B463" s="182"/>
      <c r="C463" s="80"/>
      <c r="D463" s="80"/>
      <c r="E463" s="177"/>
      <c r="F463" s="183"/>
      <c r="G463" s="184"/>
      <c r="H463" s="185"/>
      <c r="I463" s="185"/>
    </row>
    <row r="464" spans="1:9" x14ac:dyDescent="0.25">
      <c r="A464" s="176"/>
      <c r="B464" s="182"/>
      <c r="C464" s="80"/>
      <c r="D464" s="80"/>
      <c r="E464" s="177"/>
      <c r="F464" s="183"/>
      <c r="G464" s="184"/>
      <c r="H464" s="185"/>
      <c r="I464" s="185"/>
    </row>
    <row r="465" spans="1:9" x14ac:dyDescent="0.25">
      <c r="A465" s="176"/>
      <c r="B465" s="182"/>
      <c r="C465" s="80"/>
      <c r="D465" s="80"/>
      <c r="E465" s="177"/>
      <c r="F465" s="183"/>
      <c r="G465" s="184"/>
      <c r="H465" s="185"/>
      <c r="I465" s="185"/>
    </row>
    <row r="466" spans="1:9" x14ac:dyDescent="0.25">
      <c r="A466" s="176"/>
      <c r="B466" s="182"/>
      <c r="C466" s="80"/>
      <c r="D466" s="80"/>
      <c r="E466" s="177"/>
      <c r="F466" s="183"/>
      <c r="G466" s="184"/>
      <c r="H466" s="185"/>
      <c r="I466" s="185"/>
    </row>
    <row r="467" spans="1:9" x14ac:dyDescent="0.25">
      <c r="A467" s="176"/>
      <c r="B467" s="182"/>
      <c r="C467" s="80"/>
      <c r="D467" s="80"/>
      <c r="E467" s="177"/>
      <c r="F467" s="183"/>
      <c r="G467" s="184"/>
      <c r="H467" s="185"/>
      <c r="I467" s="185"/>
    </row>
    <row r="468" spans="1:9" x14ac:dyDescent="0.25">
      <c r="A468" s="176"/>
      <c r="B468" s="182"/>
      <c r="C468" s="80"/>
      <c r="D468" s="80"/>
      <c r="E468" s="177"/>
      <c r="F468" s="183"/>
      <c r="G468" s="184"/>
      <c r="H468" s="185"/>
      <c r="I468" s="185"/>
    </row>
    <row r="469" spans="1:9" x14ac:dyDescent="0.25">
      <c r="A469" s="176"/>
      <c r="B469" s="182"/>
      <c r="C469" s="80"/>
      <c r="D469" s="80"/>
      <c r="E469" s="177"/>
      <c r="F469" s="183"/>
      <c r="G469" s="184"/>
      <c r="H469" s="185"/>
      <c r="I469" s="185"/>
    </row>
    <row r="470" spans="1:9" x14ac:dyDescent="0.25">
      <c r="A470" s="176"/>
      <c r="B470" s="182"/>
      <c r="C470" s="80"/>
      <c r="D470" s="80"/>
      <c r="E470" s="177"/>
      <c r="F470" s="183"/>
      <c r="G470" s="184"/>
      <c r="H470" s="185"/>
      <c r="I470" s="185"/>
    </row>
    <row r="471" spans="1:9" x14ac:dyDescent="0.25">
      <c r="A471" s="176"/>
      <c r="B471" s="182"/>
      <c r="C471" s="80"/>
      <c r="D471" s="80"/>
      <c r="E471" s="177"/>
      <c r="F471" s="183"/>
      <c r="G471" s="184"/>
      <c r="H471" s="185"/>
      <c r="I471" s="185"/>
    </row>
    <row r="472" spans="1:9" x14ac:dyDescent="0.25">
      <c r="A472" s="176"/>
      <c r="B472" s="182"/>
      <c r="C472" s="80"/>
      <c r="D472" s="80"/>
      <c r="E472" s="177"/>
      <c r="F472" s="183"/>
      <c r="G472" s="184"/>
      <c r="H472" s="185"/>
      <c r="I472" s="185"/>
    </row>
    <row r="473" spans="1:9" x14ac:dyDescent="0.25">
      <c r="A473" s="176"/>
      <c r="B473" s="182"/>
      <c r="C473" s="80"/>
      <c r="D473" s="80"/>
      <c r="E473" s="177"/>
      <c r="F473" s="183"/>
      <c r="G473" s="184"/>
      <c r="H473" s="185"/>
      <c r="I473" s="185"/>
    </row>
    <row r="474" spans="1:9" x14ac:dyDescent="0.25">
      <c r="A474" s="176"/>
      <c r="B474" s="182"/>
      <c r="C474" s="80"/>
      <c r="D474" s="80"/>
      <c r="E474" s="177"/>
      <c r="F474" s="183"/>
      <c r="G474" s="184"/>
      <c r="H474" s="185"/>
      <c r="I474" s="185"/>
    </row>
    <row r="475" spans="1:9" x14ac:dyDescent="0.25">
      <c r="A475" s="176"/>
      <c r="B475" s="182"/>
      <c r="C475" s="80"/>
      <c r="D475" s="80"/>
      <c r="E475" s="177"/>
      <c r="F475" s="183"/>
      <c r="G475" s="184"/>
      <c r="H475" s="185"/>
      <c r="I475" s="185"/>
    </row>
    <row r="476" spans="1:9" x14ac:dyDescent="0.25">
      <c r="A476" s="176"/>
      <c r="B476" s="182"/>
      <c r="C476" s="80"/>
      <c r="D476" s="80"/>
      <c r="E476" s="177"/>
      <c r="F476" s="183"/>
      <c r="G476" s="184"/>
      <c r="H476" s="185"/>
      <c r="I476" s="185"/>
    </row>
    <row r="477" spans="1:9" x14ac:dyDescent="0.25">
      <c r="A477" s="176"/>
      <c r="B477" s="182"/>
      <c r="C477" s="80"/>
      <c r="D477" s="80"/>
      <c r="E477" s="177"/>
      <c r="F477" s="183"/>
      <c r="G477" s="184"/>
      <c r="H477" s="185"/>
      <c r="I477" s="185"/>
    </row>
    <row r="478" spans="1:9" x14ac:dyDescent="0.25">
      <c r="A478" s="176"/>
      <c r="B478" s="182"/>
      <c r="C478" s="80"/>
      <c r="D478" s="80"/>
      <c r="E478" s="177"/>
      <c r="F478" s="183"/>
      <c r="G478" s="184"/>
      <c r="H478" s="185"/>
      <c r="I478" s="185"/>
    </row>
    <row r="479" spans="1:9" x14ac:dyDescent="0.25">
      <c r="A479" s="176"/>
      <c r="B479" s="182"/>
      <c r="C479" s="80"/>
      <c r="D479" s="80"/>
      <c r="E479" s="177"/>
      <c r="F479" s="183"/>
      <c r="G479" s="184"/>
      <c r="H479" s="185"/>
      <c r="I479" s="185"/>
    </row>
    <row r="480" spans="1:9" x14ac:dyDescent="0.25">
      <c r="A480" s="176"/>
      <c r="B480" s="182"/>
      <c r="C480" s="80"/>
      <c r="D480" s="80"/>
      <c r="E480" s="177"/>
      <c r="F480" s="183"/>
      <c r="G480" s="184"/>
      <c r="H480" s="185"/>
      <c r="I480" s="185"/>
    </row>
    <row r="481" spans="1:9" x14ac:dyDescent="0.25">
      <c r="A481" s="176"/>
      <c r="B481" s="182"/>
      <c r="C481" s="80"/>
      <c r="D481" s="80"/>
      <c r="E481" s="177"/>
      <c r="F481" s="183"/>
      <c r="G481" s="184"/>
      <c r="H481" s="185"/>
      <c r="I481" s="185"/>
    </row>
    <row r="482" spans="1:9" x14ac:dyDescent="0.25">
      <c r="A482" s="176"/>
      <c r="B482" s="182"/>
      <c r="C482" s="80"/>
      <c r="D482" s="80"/>
      <c r="E482" s="177"/>
      <c r="F482" s="183"/>
      <c r="G482" s="184"/>
      <c r="H482" s="185"/>
      <c r="I482" s="185"/>
    </row>
    <row r="483" spans="1:9" x14ac:dyDescent="0.25">
      <c r="A483" s="176"/>
      <c r="B483" s="182"/>
      <c r="C483" s="80"/>
      <c r="D483" s="80"/>
      <c r="E483" s="177"/>
      <c r="F483" s="183"/>
      <c r="G483" s="184"/>
      <c r="H483" s="185"/>
      <c r="I483" s="185"/>
    </row>
    <row r="484" spans="1:9" x14ac:dyDescent="0.25">
      <c r="A484" s="176"/>
      <c r="B484" s="182"/>
      <c r="C484" s="80"/>
      <c r="D484" s="80"/>
      <c r="E484" s="177"/>
      <c r="F484" s="183"/>
      <c r="G484" s="184"/>
      <c r="H484" s="185"/>
      <c r="I484" s="185"/>
    </row>
    <row r="485" spans="1:9" x14ac:dyDescent="0.25">
      <c r="A485" s="176"/>
      <c r="B485" s="182"/>
      <c r="C485" s="80"/>
      <c r="D485" s="80"/>
      <c r="E485" s="177"/>
      <c r="F485" s="183"/>
      <c r="G485" s="184"/>
      <c r="H485" s="185"/>
      <c r="I485" s="185"/>
    </row>
    <row r="486" spans="1:9" x14ac:dyDescent="0.25">
      <c r="A486" s="176"/>
      <c r="B486" s="182"/>
      <c r="C486" s="80"/>
      <c r="D486" s="80"/>
      <c r="E486" s="177"/>
      <c r="F486" s="183"/>
      <c r="G486" s="184"/>
      <c r="H486" s="185"/>
      <c r="I486" s="185"/>
    </row>
    <row r="487" spans="1:9" x14ac:dyDescent="0.25">
      <c r="A487" s="176"/>
      <c r="B487" s="182"/>
      <c r="C487" s="80"/>
      <c r="D487" s="80"/>
      <c r="E487" s="177"/>
      <c r="F487" s="183"/>
      <c r="G487" s="184"/>
      <c r="H487" s="185"/>
      <c r="I487" s="185"/>
    </row>
    <row r="488" spans="1:9" x14ac:dyDescent="0.25">
      <c r="A488" s="176"/>
      <c r="B488" s="182"/>
      <c r="C488" s="80"/>
      <c r="D488" s="80"/>
      <c r="E488" s="177"/>
      <c r="F488" s="183"/>
      <c r="G488" s="184"/>
      <c r="H488" s="185"/>
      <c r="I488" s="185"/>
    </row>
    <row r="489" spans="1:9" x14ac:dyDescent="0.25">
      <c r="A489" s="176"/>
      <c r="B489" s="182"/>
      <c r="C489" s="80"/>
      <c r="D489" s="80"/>
      <c r="E489" s="177"/>
      <c r="F489" s="183"/>
      <c r="G489" s="184"/>
      <c r="H489" s="185"/>
      <c r="I489" s="185"/>
    </row>
    <row r="490" spans="1:9" x14ac:dyDescent="0.25">
      <c r="A490" s="176"/>
      <c r="B490" s="182"/>
      <c r="C490" s="80"/>
      <c r="D490" s="80"/>
      <c r="E490" s="177"/>
      <c r="F490" s="183"/>
      <c r="G490" s="184"/>
      <c r="H490" s="185"/>
      <c r="I490" s="185"/>
    </row>
    <row r="491" spans="1:9" x14ac:dyDescent="0.25">
      <c r="A491" s="176"/>
      <c r="B491" s="182"/>
      <c r="C491" s="80"/>
      <c r="D491" s="80"/>
      <c r="E491" s="177"/>
      <c r="F491" s="183"/>
      <c r="G491" s="184"/>
      <c r="H491" s="185"/>
      <c r="I491" s="185"/>
    </row>
    <row r="492" spans="1:9" x14ac:dyDescent="0.25">
      <c r="A492" s="176"/>
      <c r="B492" s="182"/>
      <c r="C492" s="80"/>
      <c r="D492" s="80"/>
      <c r="E492" s="177"/>
      <c r="F492" s="183"/>
      <c r="G492" s="184"/>
      <c r="H492" s="185"/>
      <c r="I492" s="185"/>
    </row>
    <row r="493" spans="1:9" x14ac:dyDescent="0.25">
      <c r="A493" s="176"/>
      <c r="B493" s="182"/>
      <c r="C493" s="80"/>
      <c r="D493" s="80"/>
      <c r="E493" s="177"/>
      <c r="F493" s="183"/>
      <c r="G493" s="184"/>
      <c r="H493" s="185"/>
      <c r="I493" s="185"/>
    </row>
    <row r="494" spans="1:9" x14ac:dyDescent="0.25">
      <c r="A494" s="176"/>
      <c r="B494" s="182"/>
      <c r="C494" s="80"/>
      <c r="D494" s="80"/>
      <c r="E494" s="177"/>
      <c r="F494" s="183"/>
      <c r="G494" s="184"/>
      <c r="H494" s="185"/>
      <c r="I494" s="185"/>
    </row>
    <row r="495" spans="1:9" x14ac:dyDescent="0.25">
      <c r="A495" s="176"/>
      <c r="B495" s="182"/>
      <c r="C495" s="80"/>
      <c r="D495" s="80"/>
      <c r="E495" s="177"/>
      <c r="F495" s="183"/>
      <c r="G495" s="184"/>
      <c r="H495" s="185"/>
      <c r="I495" s="185"/>
    </row>
    <row r="496" spans="1:9" x14ac:dyDescent="0.25">
      <c r="A496" s="176"/>
      <c r="B496" s="182"/>
      <c r="C496" s="80"/>
      <c r="D496" s="80"/>
      <c r="E496" s="177"/>
      <c r="F496" s="183"/>
      <c r="G496" s="184"/>
      <c r="H496" s="185"/>
      <c r="I496" s="185"/>
    </row>
    <row r="497" spans="1:9" x14ac:dyDescent="0.25">
      <c r="A497" s="176"/>
      <c r="B497" s="182"/>
      <c r="C497" s="80"/>
      <c r="D497" s="80"/>
      <c r="E497" s="177"/>
      <c r="F497" s="183"/>
      <c r="G497" s="184"/>
      <c r="H497" s="185"/>
      <c r="I497" s="185"/>
    </row>
    <row r="498" spans="1:9" x14ac:dyDescent="0.25">
      <c r="A498" s="176"/>
      <c r="B498" s="182"/>
      <c r="C498" s="80"/>
      <c r="D498" s="80"/>
      <c r="E498" s="177"/>
      <c r="F498" s="183"/>
      <c r="G498" s="184"/>
      <c r="H498" s="185"/>
      <c r="I498" s="185"/>
    </row>
    <row r="499" spans="1:9" x14ac:dyDescent="0.25">
      <c r="A499" s="176"/>
      <c r="B499" s="182"/>
      <c r="C499" s="80"/>
      <c r="D499" s="80"/>
      <c r="E499" s="177"/>
      <c r="F499" s="183"/>
      <c r="G499" s="184"/>
      <c r="H499" s="185"/>
      <c r="I499" s="185"/>
    </row>
    <row r="500" spans="1:9" x14ac:dyDescent="0.25">
      <c r="A500" s="176"/>
      <c r="B500" s="182"/>
      <c r="C500" s="80"/>
      <c r="D500" s="80"/>
      <c r="E500" s="177"/>
      <c r="F500" s="183"/>
      <c r="G500" s="184"/>
      <c r="H500" s="185"/>
      <c r="I500" s="185"/>
    </row>
    <row r="501" spans="1:9" x14ac:dyDescent="0.25">
      <c r="A501" s="176"/>
      <c r="B501" s="182"/>
      <c r="C501" s="80"/>
      <c r="D501" s="80"/>
      <c r="E501" s="177"/>
      <c r="F501" s="183"/>
      <c r="G501" s="184"/>
      <c r="H501" s="185"/>
      <c r="I501" s="185"/>
    </row>
    <row r="502" spans="1:9" x14ac:dyDescent="0.25">
      <c r="A502" s="176"/>
      <c r="B502" s="182"/>
      <c r="C502" s="80"/>
      <c r="D502" s="80"/>
      <c r="E502" s="177"/>
      <c r="F502" s="183"/>
      <c r="G502" s="184"/>
      <c r="H502" s="185"/>
      <c r="I502" s="185"/>
    </row>
    <row r="503" spans="1:9" x14ac:dyDescent="0.25">
      <c r="A503" s="176"/>
      <c r="B503" s="182"/>
      <c r="C503" s="80"/>
      <c r="D503" s="80"/>
      <c r="E503" s="177"/>
      <c r="F503" s="183"/>
      <c r="G503" s="184"/>
      <c r="H503" s="185"/>
      <c r="I503" s="185"/>
    </row>
    <row r="504" spans="1:9" x14ac:dyDescent="0.25">
      <c r="A504" s="176"/>
      <c r="B504" s="182"/>
      <c r="C504" s="80"/>
      <c r="D504" s="80"/>
      <c r="E504" s="177"/>
      <c r="F504" s="183"/>
      <c r="G504" s="184"/>
      <c r="H504" s="185"/>
      <c r="I504" s="185"/>
    </row>
    <row r="505" spans="1:9" x14ac:dyDescent="0.25">
      <c r="A505" s="176"/>
      <c r="B505" s="182"/>
      <c r="C505" s="80"/>
      <c r="D505" s="80"/>
      <c r="E505" s="177"/>
      <c r="F505" s="183"/>
      <c r="G505" s="184"/>
      <c r="H505" s="185"/>
      <c r="I505" s="185"/>
    </row>
    <row r="506" spans="1:9" x14ac:dyDescent="0.25">
      <c r="A506" s="176"/>
      <c r="B506" s="182"/>
      <c r="C506" s="80"/>
      <c r="D506" s="80"/>
      <c r="E506" s="177"/>
      <c r="F506" s="183"/>
      <c r="G506" s="184"/>
      <c r="H506" s="185"/>
      <c r="I506" s="185"/>
    </row>
    <row r="507" spans="1:9" x14ac:dyDescent="0.25">
      <c r="A507" s="176"/>
      <c r="B507" s="182"/>
      <c r="C507" s="80"/>
      <c r="D507" s="80"/>
      <c r="E507" s="177"/>
      <c r="F507" s="183"/>
      <c r="G507" s="184"/>
      <c r="H507" s="185"/>
      <c r="I507" s="185"/>
    </row>
    <row r="508" spans="1:9" x14ac:dyDescent="0.25">
      <c r="A508" s="176"/>
      <c r="B508" s="182"/>
      <c r="C508" s="80"/>
      <c r="D508" s="80"/>
      <c r="E508" s="177"/>
      <c r="F508" s="183"/>
      <c r="G508" s="184"/>
      <c r="H508" s="185"/>
      <c r="I508" s="185"/>
    </row>
    <row r="509" spans="1:9" x14ac:dyDescent="0.25">
      <c r="A509" s="176"/>
      <c r="B509" s="182"/>
      <c r="C509" s="80"/>
      <c r="D509" s="80"/>
      <c r="E509" s="177"/>
      <c r="F509" s="183"/>
      <c r="G509" s="184"/>
      <c r="H509" s="185"/>
      <c r="I509" s="185"/>
    </row>
    <row r="510" spans="1:9" x14ac:dyDescent="0.25">
      <c r="A510" s="176"/>
      <c r="B510" s="182"/>
      <c r="C510" s="80"/>
      <c r="D510" s="80"/>
      <c r="E510" s="177"/>
      <c r="F510" s="183"/>
      <c r="G510" s="184"/>
      <c r="H510" s="185"/>
      <c r="I510" s="185"/>
    </row>
    <row r="511" spans="1:9" x14ac:dyDescent="0.25">
      <c r="A511" s="176"/>
      <c r="B511" s="182"/>
      <c r="C511" s="80"/>
      <c r="D511" s="80"/>
      <c r="E511" s="177"/>
      <c r="F511" s="183"/>
      <c r="G511" s="184"/>
      <c r="H511" s="185"/>
      <c r="I511" s="185"/>
    </row>
    <row r="512" spans="1:9" x14ac:dyDescent="0.25">
      <c r="A512" s="176"/>
      <c r="B512" s="182"/>
      <c r="C512" s="80"/>
      <c r="D512" s="80"/>
      <c r="E512" s="177"/>
      <c r="F512" s="183"/>
      <c r="G512" s="184"/>
      <c r="H512" s="185"/>
      <c r="I512" s="185"/>
    </row>
    <row r="513" spans="1:9" x14ac:dyDescent="0.25">
      <c r="A513" s="176"/>
      <c r="B513" s="182"/>
      <c r="C513" s="80"/>
      <c r="D513" s="80"/>
      <c r="E513" s="177"/>
      <c r="F513" s="183"/>
      <c r="G513" s="184"/>
      <c r="H513" s="185"/>
      <c r="I513" s="185"/>
    </row>
    <row r="514" spans="1:9" x14ac:dyDescent="0.25">
      <c r="A514" s="176"/>
      <c r="B514" s="182"/>
      <c r="C514" s="80"/>
      <c r="D514" s="80"/>
      <c r="E514" s="177"/>
      <c r="F514" s="183"/>
      <c r="G514" s="184"/>
      <c r="H514" s="185"/>
      <c r="I514" s="185"/>
    </row>
    <row r="515" spans="1:9" x14ac:dyDescent="0.25">
      <c r="A515" s="176"/>
      <c r="B515" s="182"/>
      <c r="C515" s="80"/>
      <c r="D515" s="80"/>
      <c r="E515" s="177"/>
      <c r="F515" s="183"/>
      <c r="G515" s="184"/>
      <c r="H515" s="185"/>
      <c r="I515" s="185"/>
    </row>
    <row r="516" spans="1:9" x14ac:dyDescent="0.25">
      <c r="A516" s="176"/>
      <c r="B516" s="182"/>
      <c r="C516" s="80"/>
      <c r="D516" s="80"/>
      <c r="E516" s="177"/>
      <c r="F516" s="183"/>
      <c r="G516" s="184"/>
      <c r="H516" s="185"/>
      <c r="I516" s="185"/>
    </row>
    <row r="517" spans="1:9" x14ac:dyDescent="0.25">
      <c r="A517" s="176"/>
      <c r="B517" s="182"/>
      <c r="C517" s="80"/>
      <c r="D517" s="80"/>
      <c r="E517" s="177"/>
      <c r="F517" s="183"/>
      <c r="G517" s="184"/>
      <c r="H517" s="185"/>
      <c r="I517" s="185"/>
    </row>
    <row r="518" spans="1:9" x14ac:dyDescent="0.25">
      <c r="A518" s="176"/>
      <c r="B518" s="182"/>
      <c r="C518" s="80"/>
      <c r="D518" s="80"/>
      <c r="E518" s="177"/>
      <c r="F518" s="183"/>
      <c r="G518" s="184"/>
      <c r="H518" s="185"/>
      <c r="I518" s="185"/>
    </row>
    <row r="519" spans="1:9" x14ac:dyDescent="0.25">
      <c r="A519" s="176"/>
      <c r="B519" s="182"/>
      <c r="C519" s="80"/>
      <c r="D519" s="80"/>
      <c r="E519" s="177"/>
      <c r="F519" s="183"/>
      <c r="G519" s="184"/>
      <c r="H519" s="185"/>
      <c r="I519" s="185"/>
    </row>
    <row r="520" spans="1:9" x14ac:dyDescent="0.25">
      <c r="A520" s="176"/>
      <c r="B520" s="182"/>
      <c r="C520" s="80"/>
      <c r="D520" s="80"/>
      <c r="E520" s="177"/>
      <c r="F520" s="183"/>
      <c r="G520" s="184"/>
      <c r="H520" s="185"/>
      <c r="I520" s="185"/>
    </row>
    <row r="521" spans="1:9" x14ac:dyDescent="0.25">
      <c r="A521" s="176"/>
      <c r="B521" s="182"/>
      <c r="C521" s="80"/>
      <c r="D521" s="80"/>
      <c r="E521" s="177"/>
      <c r="F521" s="183"/>
      <c r="G521" s="184"/>
      <c r="H521" s="185"/>
      <c r="I521" s="185"/>
    </row>
    <row r="522" spans="1:9" x14ac:dyDescent="0.25">
      <c r="A522" s="176"/>
      <c r="B522" s="182"/>
      <c r="C522" s="80"/>
      <c r="D522" s="80"/>
      <c r="E522" s="177"/>
      <c r="F522" s="183"/>
      <c r="G522" s="184"/>
      <c r="H522" s="185"/>
      <c r="I522" s="185"/>
    </row>
    <row r="523" spans="1:9" x14ac:dyDescent="0.25">
      <c r="A523" s="176"/>
      <c r="B523" s="182"/>
      <c r="C523" s="80"/>
      <c r="D523" s="80"/>
      <c r="E523" s="177"/>
      <c r="F523" s="183"/>
      <c r="G523" s="184"/>
      <c r="H523" s="185"/>
      <c r="I523" s="185"/>
    </row>
    <row r="524" spans="1:9" x14ac:dyDescent="0.25">
      <c r="A524" s="176"/>
      <c r="B524" s="182"/>
      <c r="C524" s="80"/>
      <c r="D524" s="80"/>
      <c r="E524" s="177"/>
      <c r="F524" s="183"/>
      <c r="G524" s="184"/>
      <c r="H524" s="185"/>
      <c r="I524" s="185"/>
    </row>
    <row r="525" spans="1:9" x14ac:dyDescent="0.25">
      <c r="A525" s="176"/>
      <c r="B525" s="182"/>
      <c r="C525" s="80"/>
      <c r="D525" s="80"/>
      <c r="E525" s="177"/>
      <c r="F525" s="183"/>
      <c r="G525" s="184"/>
      <c r="H525" s="185"/>
      <c r="I525" s="185"/>
    </row>
    <row r="526" spans="1:9" x14ac:dyDescent="0.25">
      <c r="A526" s="176"/>
      <c r="B526" s="182"/>
      <c r="C526" s="80"/>
      <c r="D526" s="80"/>
      <c r="E526" s="177"/>
      <c r="F526" s="183"/>
      <c r="G526" s="184"/>
      <c r="H526" s="185"/>
      <c r="I526" s="185"/>
    </row>
    <row r="527" spans="1:9" x14ac:dyDescent="0.25">
      <c r="A527" s="176"/>
      <c r="B527" s="182"/>
      <c r="C527" s="80"/>
      <c r="D527" s="80"/>
      <c r="E527" s="177"/>
      <c r="F527" s="183"/>
      <c r="G527" s="184"/>
      <c r="H527" s="185"/>
      <c r="I527" s="185"/>
    </row>
    <row r="528" spans="1:9" x14ac:dyDescent="0.25">
      <c r="A528" s="176"/>
      <c r="B528" s="182"/>
      <c r="C528" s="80"/>
      <c r="D528" s="80"/>
      <c r="E528" s="177"/>
      <c r="F528" s="183"/>
      <c r="G528" s="184"/>
      <c r="H528" s="185"/>
      <c r="I528" s="185"/>
    </row>
    <row r="529" spans="1:9" x14ac:dyDescent="0.25">
      <c r="A529" s="176"/>
      <c r="B529" s="182"/>
      <c r="C529" s="80"/>
      <c r="D529" s="80"/>
      <c r="E529" s="177"/>
      <c r="F529" s="183"/>
      <c r="G529" s="184"/>
      <c r="H529" s="185"/>
      <c r="I529" s="185"/>
    </row>
    <row r="530" spans="1:9" x14ac:dyDescent="0.25">
      <c r="A530" s="176"/>
      <c r="B530" s="182"/>
      <c r="C530" s="80"/>
      <c r="D530" s="80"/>
      <c r="E530" s="177"/>
      <c r="F530" s="183"/>
      <c r="G530" s="184"/>
      <c r="H530" s="185"/>
      <c r="I530" s="185"/>
    </row>
    <row r="531" spans="1:9" x14ac:dyDescent="0.25">
      <c r="A531" s="176"/>
      <c r="B531" s="182"/>
      <c r="C531" s="80"/>
      <c r="D531" s="80"/>
      <c r="E531" s="177"/>
      <c r="F531" s="183"/>
      <c r="G531" s="184"/>
      <c r="H531" s="185"/>
      <c r="I531" s="185"/>
    </row>
    <row r="532" spans="1:9" x14ac:dyDescent="0.25">
      <c r="A532" s="176"/>
      <c r="B532" s="182"/>
      <c r="C532" s="80"/>
      <c r="D532" s="80"/>
      <c r="E532" s="177"/>
      <c r="F532" s="183"/>
      <c r="G532" s="184"/>
      <c r="H532" s="185"/>
      <c r="I532" s="185"/>
    </row>
    <row r="533" spans="1:9" x14ac:dyDescent="0.25">
      <c r="A533" s="176"/>
      <c r="B533" s="182"/>
      <c r="C533" s="80"/>
      <c r="D533" s="80"/>
      <c r="E533" s="177"/>
      <c r="F533" s="183"/>
      <c r="G533" s="184"/>
      <c r="H533" s="185"/>
      <c r="I533" s="185"/>
    </row>
    <row r="534" spans="1:9" x14ac:dyDescent="0.25">
      <c r="A534" s="176"/>
      <c r="B534" s="182"/>
      <c r="C534" s="80"/>
      <c r="D534" s="80"/>
      <c r="E534" s="177"/>
      <c r="F534" s="183"/>
      <c r="G534" s="184"/>
      <c r="H534" s="185"/>
      <c r="I534" s="185"/>
    </row>
    <row r="535" spans="1:9" x14ac:dyDescent="0.25">
      <c r="A535" s="176"/>
      <c r="B535" s="182"/>
      <c r="C535" s="80"/>
      <c r="D535" s="80"/>
      <c r="E535" s="177"/>
      <c r="F535" s="183"/>
      <c r="G535" s="184"/>
      <c r="H535" s="185"/>
      <c r="I535" s="185"/>
    </row>
    <row r="536" spans="1:9" x14ac:dyDescent="0.25">
      <c r="A536" s="176"/>
      <c r="B536" s="182"/>
      <c r="C536" s="80"/>
      <c r="D536" s="80"/>
      <c r="E536" s="177"/>
      <c r="F536" s="183"/>
      <c r="G536" s="184"/>
      <c r="H536" s="185"/>
      <c r="I536" s="185"/>
    </row>
    <row r="537" spans="1:9" x14ac:dyDescent="0.25">
      <c r="A537" s="176"/>
      <c r="B537" s="182"/>
      <c r="C537" s="80"/>
      <c r="D537" s="80"/>
      <c r="E537" s="177"/>
      <c r="F537" s="183"/>
      <c r="G537" s="184"/>
      <c r="H537" s="185"/>
      <c r="I537" s="185"/>
    </row>
    <row r="538" spans="1:9" x14ac:dyDescent="0.25">
      <c r="A538" s="176"/>
      <c r="B538" s="182"/>
      <c r="C538" s="80"/>
      <c r="D538" s="80"/>
      <c r="E538" s="177"/>
      <c r="F538" s="183"/>
      <c r="G538" s="184"/>
      <c r="H538" s="185"/>
      <c r="I538" s="185"/>
    </row>
    <row r="539" spans="1:9" x14ac:dyDescent="0.25">
      <c r="A539" s="176"/>
      <c r="B539" s="182"/>
      <c r="C539" s="80"/>
      <c r="D539" s="80"/>
      <c r="E539" s="177"/>
      <c r="F539" s="183"/>
      <c r="G539" s="184"/>
      <c r="H539" s="185"/>
      <c r="I539" s="185"/>
    </row>
    <row r="540" spans="1:9" x14ac:dyDescent="0.25">
      <c r="A540" s="176"/>
      <c r="B540" s="182"/>
      <c r="C540" s="80"/>
      <c r="D540" s="80"/>
      <c r="E540" s="177"/>
      <c r="F540" s="183"/>
      <c r="G540" s="184"/>
      <c r="H540" s="185"/>
      <c r="I540" s="185"/>
    </row>
    <row r="541" spans="1:9" x14ac:dyDescent="0.25">
      <c r="A541" s="176"/>
      <c r="B541" s="182"/>
      <c r="C541" s="80"/>
      <c r="D541" s="80"/>
      <c r="E541" s="177"/>
      <c r="F541" s="183"/>
      <c r="G541" s="184"/>
      <c r="H541" s="185"/>
      <c r="I541" s="185"/>
    </row>
    <row r="542" spans="1:9" x14ac:dyDescent="0.25">
      <c r="A542" s="176"/>
      <c r="B542" s="182"/>
      <c r="C542" s="80"/>
      <c r="D542" s="80"/>
      <c r="E542" s="177"/>
      <c r="F542" s="183"/>
      <c r="G542" s="184"/>
      <c r="H542" s="185"/>
      <c r="I542" s="185"/>
    </row>
    <row r="543" spans="1:9" x14ac:dyDescent="0.25">
      <c r="A543" s="176"/>
      <c r="B543" s="182"/>
      <c r="C543" s="80"/>
      <c r="D543" s="80"/>
      <c r="E543" s="177"/>
      <c r="F543" s="183"/>
      <c r="G543" s="184"/>
      <c r="H543" s="185"/>
      <c r="I543" s="185"/>
    </row>
    <row r="544" spans="1:9" x14ac:dyDescent="0.25">
      <c r="A544" s="176"/>
      <c r="B544" s="182"/>
      <c r="C544" s="80"/>
      <c r="D544" s="80"/>
      <c r="E544" s="177"/>
      <c r="F544" s="183"/>
      <c r="G544" s="184"/>
      <c r="H544" s="185"/>
      <c r="I544" s="185"/>
    </row>
    <row r="545" spans="1:9" x14ac:dyDescent="0.25">
      <c r="A545" s="176"/>
      <c r="B545" s="182"/>
      <c r="C545" s="80"/>
      <c r="D545" s="80"/>
      <c r="E545" s="177"/>
      <c r="F545" s="183"/>
      <c r="G545" s="184"/>
      <c r="H545" s="185"/>
      <c r="I545" s="185"/>
    </row>
    <row r="546" spans="1:9" x14ac:dyDescent="0.25">
      <c r="A546" s="176"/>
      <c r="B546" s="182"/>
      <c r="C546" s="80"/>
      <c r="D546" s="80"/>
      <c r="E546" s="177"/>
      <c r="F546" s="183"/>
      <c r="G546" s="184"/>
      <c r="H546" s="185"/>
      <c r="I546" s="185"/>
    </row>
    <row r="547" spans="1:9" x14ac:dyDescent="0.25">
      <c r="A547" s="176"/>
      <c r="B547" s="182"/>
      <c r="C547" s="80"/>
      <c r="D547" s="80"/>
      <c r="E547" s="177"/>
      <c r="F547" s="183"/>
      <c r="G547" s="184"/>
      <c r="H547" s="185"/>
      <c r="I547" s="185"/>
    </row>
    <row r="548" spans="1:9" x14ac:dyDescent="0.25">
      <c r="A548" s="176"/>
      <c r="B548" s="182"/>
      <c r="C548" s="80"/>
      <c r="D548" s="80"/>
      <c r="E548" s="177"/>
      <c r="F548" s="183"/>
      <c r="G548" s="184"/>
      <c r="H548" s="185"/>
      <c r="I548" s="185"/>
    </row>
    <row r="549" spans="1:9" x14ac:dyDescent="0.25">
      <c r="A549" s="176"/>
      <c r="B549" s="182"/>
      <c r="C549" s="80"/>
      <c r="D549" s="80"/>
      <c r="E549" s="177"/>
      <c r="F549" s="183"/>
      <c r="G549" s="184"/>
      <c r="H549" s="185"/>
      <c r="I549" s="185"/>
    </row>
    <row r="550" spans="1:9" x14ac:dyDescent="0.25">
      <c r="A550" s="176"/>
      <c r="B550" s="182"/>
      <c r="C550" s="80"/>
      <c r="D550" s="80"/>
      <c r="E550" s="177"/>
      <c r="F550" s="183"/>
      <c r="G550" s="184"/>
      <c r="H550" s="185"/>
      <c r="I550" s="185"/>
    </row>
    <row r="551" spans="1:9" x14ac:dyDescent="0.25">
      <c r="A551" s="176"/>
      <c r="B551" s="182"/>
      <c r="C551" s="80"/>
      <c r="D551" s="80"/>
      <c r="E551" s="177"/>
      <c r="F551" s="183"/>
      <c r="G551" s="184"/>
      <c r="H551" s="185"/>
      <c r="I551" s="185"/>
    </row>
    <row r="552" spans="1:9" x14ac:dyDescent="0.25">
      <c r="A552" s="176"/>
      <c r="B552" s="182"/>
      <c r="C552" s="80"/>
      <c r="D552" s="80"/>
      <c r="E552" s="177"/>
      <c r="F552" s="183"/>
      <c r="G552" s="184"/>
      <c r="H552" s="185"/>
      <c r="I552" s="185"/>
    </row>
    <row r="553" spans="1:9" x14ac:dyDescent="0.25">
      <c r="A553" s="176"/>
      <c r="B553" s="182"/>
      <c r="C553" s="80"/>
      <c r="D553" s="80"/>
      <c r="E553" s="177"/>
      <c r="F553" s="183"/>
      <c r="G553" s="184"/>
      <c r="H553" s="185"/>
      <c r="I553" s="185"/>
    </row>
    <row r="554" spans="1:9" x14ac:dyDescent="0.25">
      <c r="A554" s="176"/>
      <c r="B554" s="182"/>
      <c r="C554" s="80"/>
      <c r="D554" s="80"/>
      <c r="E554" s="177"/>
      <c r="F554" s="183"/>
      <c r="G554" s="184"/>
      <c r="H554" s="185"/>
      <c r="I554" s="185"/>
    </row>
    <row r="555" spans="1:9" x14ac:dyDescent="0.25">
      <c r="A555" s="176"/>
      <c r="B555" s="182"/>
      <c r="C555" s="80"/>
      <c r="D555" s="80"/>
      <c r="E555" s="177"/>
      <c r="F555" s="183"/>
      <c r="G555" s="184"/>
      <c r="H555" s="185"/>
      <c r="I555" s="185"/>
    </row>
    <row r="556" spans="1:9" x14ac:dyDescent="0.25">
      <c r="A556" s="176"/>
      <c r="B556" s="182"/>
      <c r="C556" s="80"/>
      <c r="D556" s="80"/>
      <c r="E556" s="177"/>
      <c r="F556" s="183"/>
      <c r="G556" s="184"/>
      <c r="H556" s="185"/>
      <c r="I556" s="185"/>
    </row>
    <row r="557" spans="1:9" x14ac:dyDescent="0.25">
      <c r="A557" s="176"/>
      <c r="B557" s="182"/>
      <c r="C557" s="80"/>
      <c r="D557" s="80"/>
      <c r="E557" s="177"/>
      <c r="F557" s="183"/>
      <c r="G557" s="184"/>
      <c r="H557" s="185"/>
      <c r="I557" s="185"/>
    </row>
    <row r="558" spans="1:9" x14ac:dyDescent="0.25">
      <c r="A558" s="176"/>
      <c r="B558" s="182"/>
      <c r="C558" s="80"/>
      <c r="D558" s="80"/>
      <c r="E558" s="177"/>
      <c r="F558" s="183"/>
      <c r="G558" s="184"/>
      <c r="H558" s="185"/>
      <c r="I558" s="185"/>
    </row>
    <row r="559" spans="1:9" x14ac:dyDescent="0.25">
      <c r="A559" s="176"/>
      <c r="B559" s="182"/>
      <c r="C559" s="80"/>
      <c r="D559" s="80"/>
      <c r="E559" s="177"/>
      <c r="F559" s="183"/>
      <c r="G559" s="184"/>
      <c r="H559" s="185"/>
      <c r="I559" s="185"/>
    </row>
    <row r="560" spans="1:9" x14ac:dyDescent="0.25">
      <c r="A560" s="176"/>
      <c r="B560" s="182"/>
      <c r="C560" s="80"/>
      <c r="D560" s="80"/>
      <c r="E560" s="177"/>
      <c r="F560" s="183"/>
      <c r="G560" s="184"/>
      <c r="H560" s="185"/>
      <c r="I560" s="185"/>
    </row>
    <row r="561" spans="1:9" x14ac:dyDescent="0.25">
      <c r="A561" s="176"/>
      <c r="B561" s="182"/>
      <c r="C561" s="80"/>
      <c r="D561" s="80"/>
      <c r="E561" s="177"/>
      <c r="F561" s="183"/>
      <c r="G561" s="184"/>
      <c r="H561" s="185"/>
      <c r="I561" s="185"/>
    </row>
    <row r="562" spans="1:9" x14ac:dyDescent="0.25">
      <c r="A562" s="176"/>
      <c r="B562" s="182"/>
      <c r="C562" s="80"/>
      <c r="D562" s="80"/>
      <c r="E562" s="177"/>
      <c r="F562" s="183"/>
      <c r="G562" s="184"/>
      <c r="H562" s="185"/>
      <c r="I562" s="185"/>
    </row>
    <row r="563" spans="1:9" x14ac:dyDescent="0.25">
      <c r="A563" s="176"/>
      <c r="B563" s="182"/>
      <c r="C563" s="80"/>
      <c r="D563" s="80"/>
      <c r="E563" s="177"/>
      <c r="F563" s="183"/>
      <c r="G563" s="184"/>
      <c r="H563" s="185"/>
      <c r="I563" s="185"/>
    </row>
    <row r="564" spans="1:9" x14ac:dyDescent="0.25">
      <c r="A564" s="176"/>
      <c r="B564" s="182"/>
      <c r="C564" s="80"/>
      <c r="D564" s="80"/>
      <c r="E564" s="177"/>
      <c r="F564" s="183"/>
      <c r="G564" s="184"/>
      <c r="H564" s="185"/>
      <c r="I564" s="185"/>
    </row>
    <row r="565" spans="1:9" x14ac:dyDescent="0.25">
      <c r="A565" s="176"/>
      <c r="B565" s="182"/>
      <c r="C565" s="80"/>
      <c r="D565" s="80"/>
      <c r="E565" s="177"/>
      <c r="F565" s="183"/>
      <c r="G565" s="184"/>
      <c r="H565" s="185"/>
      <c r="I565" s="185"/>
    </row>
    <row r="566" spans="1:9" x14ac:dyDescent="0.25">
      <c r="A566" s="176"/>
      <c r="B566" s="182"/>
      <c r="C566" s="80"/>
      <c r="D566" s="80"/>
      <c r="E566" s="177"/>
      <c r="F566" s="183"/>
      <c r="G566" s="184"/>
      <c r="H566" s="185"/>
      <c r="I566" s="185"/>
    </row>
    <row r="567" spans="1:9" x14ac:dyDescent="0.25">
      <c r="A567" s="176"/>
      <c r="B567" s="182"/>
      <c r="C567" s="80"/>
      <c r="D567" s="80"/>
      <c r="E567" s="177"/>
      <c r="F567" s="183"/>
      <c r="G567" s="184"/>
      <c r="H567" s="185"/>
      <c r="I567" s="185"/>
    </row>
    <row r="568" spans="1:9" x14ac:dyDescent="0.25">
      <c r="A568" s="176"/>
      <c r="B568" s="182"/>
      <c r="C568" s="80"/>
      <c r="D568" s="80"/>
      <c r="E568" s="177"/>
      <c r="F568" s="183"/>
      <c r="G568" s="184"/>
      <c r="H568" s="185"/>
      <c r="I568" s="185"/>
    </row>
    <row r="569" spans="1:9" x14ac:dyDescent="0.25">
      <c r="A569" s="176"/>
      <c r="B569" s="182"/>
      <c r="C569" s="80"/>
      <c r="D569" s="80"/>
      <c r="E569" s="177"/>
      <c r="F569" s="183"/>
      <c r="G569" s="184"/>
      <c r="H569" s="185"/>
      <c r="I569" s="185"/>
    </row>
    <row r="570" spans="1:9" x14ac:dyDescent="0.25">
      <c r="A570" s="176"/>
      <c r="B570" s="182"/>
      <c r="C570" s="80"/>
      <c r="D570" s="80"/>
      <c r="E570" s="177"/>
      <c r="F570" s="183"/>
      <c r="G570" s="184"/>
      <c r="H570" s="185"/>
      <c r="I570" s="185"/>
    </row>
    <row r="571" spans="1:9" x14ac:dyDescent="0.25">
      <c r="A571" s="176"/>
      <c r="B571" s="182"/>
      <c r="C571" s="80"/>
      <c r="D571" s="80"/>
      <c r="E571" s="177"/>
      <c r="F571" s="183"/>
      <c r="G571" s="184"/>
      <c r="H571" s="185"/>
      <c r="I571" s="185"/>
    </row>
    <row r="572" spans="1:9" x14ac:dyDescent="0.25">
      <c r="A572" s="176"/>
      <c r="B572" s="182"/>
      <c r="C572" s="80"/>
      <c r="D572" s="80"/>
      <c r="E572" s="177"/>
      <c r="F572" s="183"/>
      <c r="G572" s="184"/>
      <c r="H572" s="185"/>
      <c r="I572" s="185"/>
    </row>
    <row r="573" spans="1:9" x14ac:dyDescent="0.25">
      <c r="A573" s="176"/>
      <c r="B573" s="182"/>
      <c r="C573" s="80"/>
      <c r="D573" s="80"/>
      <c r="E573" s="177"/>
      <c r="F573" s="183"/>
      <c r="G573" s="184"/>
      <c r="H573" s="185"/>
      <c r="I573" s="185"/>
    </row>
    <row r="574" spans="1:9" x14ac:dyDescent="0.25">
      <c r="A574" s="176"/>
      <c r="B574" s="182"/>
      <c r="C574" s="80"/>
      <c r="D574" s="80"/>
      <c r="E574" s="177"/>
      <c r="F574" s="183"/>
      <c r="G574" s="184"/>
      <c r="H574" s="185"/>
      <c r="I574" s="185"/>
    </row>
    <row r="575" spans="1:9" x14ac:dyDescent="0.25">
      <c r="A575" s="176"/>
      <c r="B575" s="182"/>
      <c r="C575" s="80"/>
      <c r="D575" s="80"/>
      <c r="E575" s="177"/>
      <c r="F575" s="183"/>
      <c r="G575" s="184"/>
      <c r="H575" s="185"/>
      <c r="I575" s="185"/>
    </row>
    <row r="576" spans="1:9" x14ac:dyDescent="0.25">
      <c r="A576" s="176"/>
      <c r="B576" s="182"/>
      <c r="C576" s="80"/>
      <c r="D576" s="80"/>
      <c r="E576" s="177"/>
      <c r="F576" s="183"/>
      <c r="G576" s="184"/>
      <c r="H576" s="185"/>
      <c r="I576" s="185"/>
    </row>
    <row r="577" spans="1:9" x14ac:dyDescent="0.25">
      <c r="A577" s="176"/>
      <c r="B577" s="182"/>
      <c r="C577" s="80"/>
      <c r="D577" s="80"/>
      <c r="E577" s="177"/>
      <c r="F577" s="183"/>
      <c r="G577" s="184"/>
      <c r="H577" s="185"/>
      <c r="I577" s="185"/>
    </row>
    <row r="578" spans="1:9" x14ac:dyDescent="0.25">
      <c r="A578" s="176"/>
      <c r="B578" s="182"/>
      <c r="C578" s="80"/>
      <c r="D578" s="80"/>
      <c r="E578" s="177"/>
      <c r="F578" s="183"/>
      <c r="G578" s="184"/>
      <c r="H578" s="185"/>
      <c r="I578" s="185"/>
    </row>
    <row r="579" spans="1:9" x14ac:dyDescent="0.25">
      <c r="A579" s="176"/>
      <c r="B579" s="182"/>
      <c r="C579" s="80"/>
      <c r="D579" s="80"/>
      <c r="E579" s="177"/>
      <c r="F579" s="183"/>
      <c r="G579" s="184"/>
      <c r="H579" s="185"/>
      <c r="I579" s="185"/>
    </row>
    <row r="580" spans="1:9" x14ac:dyDescent="0.25">
      <c r="A580" s="176"/>
      <c r="B580" s="182"/>
      <c r="C580" s="80"/>
      <c r="D580" s="80"/>
      <c r="E580" s="177"/>
      <c r="F580" s="183"/>
      <c r="G580" s="184"/>
      <c r="H580" s="185"/>
      <c r="I580" s="185"/>
    </row>
    <row r="581" spans="1:9" x14ac:dyDescent="0.25">
      <c r="A581" s="176"/>
      <c r="B581" s="182"/>
      <c r="C581" s="80"/>
      <c r="D581" s="80"/>
      <c r="E581" s="177"/>
      <c r="F581" s="183"/>
      <c r="G581" s="184"/>
      <c r="H581" s="185"/>
      <c r="I581" s="185"/>
    </row>
    <row r="582" spans="1:9" x14ac:dyDescent="0.25">
      <c r="A582" s="176"/>
      <c r="B582" s="182"/>
      <c r="C582" s="80"/>
      <c r="D582" s="80"/>
      <c r="E582" s="177"/>
      <c r="F582" s="183"/>
      <c r="G582" s="184"/>
      <c r="H582" s="185"/>
      <c r="I582" s="185"/>
    </row>
    <row r="583" spans="1:9" x14ac:dyDescent="0.25">
      <c r="A583" s="176"/>
      <c r="B583" s="182"/>
      <c r="C583" s="80"/>
      <c r="D583" s="80"/>
      <c r="E583" s="177"/>
      <c r="F583" s="183"/>
      <c r="G583" s="184"/>
      <c r="H583" s="185"/>
      <c r="I583" s="185"/>
    </row>
    <row r="584" spans="1:9" x14ac:dyDescent="0.25">
      <c r="A584" s="176"/>
      <c r="B584" s="182"/>
      <c r="C584" s="80"/>
      <c r="D584" s="80"/>
      <c r="E584" s="177"/>
      <c r="F584" s="183"/>
      <c r="G584" s="184"/>
      <c r="H584" s="185"/>
      <c r="I584" s="185"/>
    </row>
    <row r="585" spans="1:9" x14ac:dyDescent="0.25">
      <c r="A585" s="176"/>
      <c r="B585" s="182"/>
      <c r="C585" s="80"/>
      <c r="D585" s="80"/>
      <c r="E585" s="177"/>
      <c r="F585" s="183"/>
      <c r="G585" s="184"/>
      <c r="H585" s="185"/>
      <c r="I585" s="185"/>
    </row>
    <row r="586" spans="1:9" x14ac:dyDescent="0.25">
      <c r="A586" s="176"/>
      <c r="B586" s="182"/>
      <c r="C586" s="80"/>
      <c r="D586" s="80"/>
      <c r="E586" s="177"/>
      <c r="F586" s="183"/>
      <c r="G586" s="184"/>
      <c r="H586" s="185"/>
      <c r="I586" s="185"/>
    </row>
    <row r="587" spans="1:9" x14ac:dyDescent="0.25">
      <c r="A587" s="176"/>
      <c r="B587" s="182"/>
      <c r="C587" s="80"/>
      <c r="D587" s="80"/>
      <c r="E587" s="177"/>
      <c r="F587" s="183"/>
      <c r="G587" s="184"/>
      <c r="H587" s="185"/>
      <c r="I587" s="185"/>
    </row>
    <row r="588" spans="1:9" x14ac:dyDescent="0.25">
      <c r="A588" s="176"/>
      <c r="B588" s="182"/>
      <c r="C588" s="80"/>
      <c r="D588" s="80"/>
      <c r="E588" s="177"/>
      <c r="F588" s="183"/>
      <c r="G588" s="184"/>
      <c r="H588" s="185"/>
      <c r="I588" s="185"/>
    </row>
    <row r="589" spans="1:9" x14ac:dyDescent="0.25">
      <c r="A589" s="176"/>
      <c r="B589" s="182"/>
      <c r="C589" s="80"/>
      <c r="D589" s="80"/>
      <c r="E589" s="177"/>
      <c r="F589" s="183"/>
      <c r="G589" s="184"/>
      <c r="H589" s="185"/>
      <c r="I589" s="185"/>
    </row>
    <row r="590" spans="1:9" x14ac:dyDescent="0.25">
      <c r="A590" s="176"/>
      <c r="B590" s="182"/>
      <c r="C590" s="80"/>
      <c r="D590" s="80"/>
      <c r="E590" s="177"/>
      <c r="F590" s="183"/>
      <c r="G590" s="184"/>
      <c r="H590" s="185"/>
      <c r="I590" s="185"/>
    </row>
    <row r="591" spans="1:9" x14ac:dyDescent="0.25">
      <c r="A591" s="176"/>
      <c r="B591" s="182"/>
      <c r="C591" s="80"/>
      <c r="D591" s="80"/>
      <c r="E591" s="177"/>
      <c r="F591" s="183"/>
      <c r="G591" s="184"/>
      <c r="H591" s="185"/>
      <c r="I591" s="185"/>
    </row>
    <row r="592" spans="1:9" x14ac:dyDescent="0.25">
      <c r="A592" s="176"/>
      <c r="B592" s="182"/>
      <c r="C592" s="80"/>
      <c r="D592" s="80"/>
      <c r="E592" s="177"/>
      <c r="F592" s="183"/>
      <c r="G592" s="184"/>
      <c r="H592" s="185"/>
      <c r="I592" s="185"/>
    </row>
    <row r="593" spans="1:9" x14ac:dyDescent="0.25">
      <c r="A593" s="176"/>
      <c r="B593" s="182"/>
      <c r="C593" s="80"/>
      <c r="D593" s="80"/>
      <c r="E593" s="177"/>
      <c r="F593" s="183"/>
      <c r="G593" s="184"/>
      <c r="H593" s="185"/>
      <c r="I593" s="185"/>
    </row>
    <row r="594" spans="1:9" x14ac:dyDescent="0.25">
      <c r="A594" s="176"/>
      <c r="B594" s="182"/>
      <c r="C594" s="80"/>
      <c r="D594" s="80"/>
      <c r="E594" s="177"/>
      <c r="F594" s="183"/>
      <c r="G594" s="184"/>
      <c r="H594" s="185"/>
      <c r="I594" s="185"/>
    </row>
    <row r="595" spans="1:9" x14ac:dyDescent="0.25">
      <c r="A595" s="176"/>
      <c r="B595" s="182"/>
      <c r="C595" s="80"/>
      <c r="D595" s="80"/>
      <c r="E595" s="177"/>
      <c r="F595" s="183"/>
      <c r="G595" s="184"/>
      <c r="H595" s="185"/>
      <c r="I595" s="185"/>
    </row>
    <row r="596" spans="1:9" x14ac:dyDescent="0.25">
      <c r="A596" s="176"/>
      <c r="B596" s="182"/>
      <c r="C596" s="80"/>
      <c r="D596" s="80"/>
      <c r="E596" s="177"/>
      <c r="F596" s="183"/>
      <c r="G596" s="184"/>
      <c r="H596" s="185"/>
      <c r="I596" s="185"/>
    </row>
    <row r="597" spans="1:9" x14ac:dyDescent="0.25">
      <c r="A597" s="176"/>
      <c r="B597" s="182"/>
      <c r="C597" s="80"/>
      <c r="D597" s="80"/>
      <c r="E597" s="177"/>
      <c r="F597" s="183"/>
      <c r="G597" s="184"/>
      <c r="H597" s="185"/>
      <c r="I597" s="185"/>
    </row>
    <row r="598" spans="1:9" x14ac:dyDescent="0.25">
      <c r="A598" s="176"/>
      <c r="B598" s="182"/>
      <c r="C598" s="80"/>
      <c r="D598" s="80"/>
      <c r="E598" s="177"/>
      <c r="F598" s="183"/>
      <c r="G598" s="184"/>
      <c r="H598" s="185"/>
      <c r="I598" s="185"/>
    </row>
    <row r="599" spans="1:9" x14ac:dyDescent="0.25">
      <c r="A599" s="176"/>
      <c r="B599" s="182"/>
      <c r="C599" s="80"/>
      <c r="D599" s="80"/>
      <c r="E599" s="177"/>
      <c r="F599" s="183"/>
      <c r="G599" s="184"/>
      <c r="H599" s="185"/>
      <c r="I599" s="185"/>
    </row>
    <row r="600" spans="1:9" x14ac:dyDescent="0.25">
      <c r="A600" s="176"/>
      <c r="B600" s="182"/>
      <c r="C600" s="80"/>
      <c r="D600" s="80"/>
      <c r="E600" s="177"/>
      <c r="F600" s="183"/>
      <c r="G600" s="184"/>
      <c r="H600" s="185"/>
      <c r="I600" s="185"/>
    </row>
    <row r="601" spans="1:9" x14ac:dyDescent="0.25">
      <c r="A601" s="176"/>
      <c r="B601" s="182"/>
      <c r="C601" s="80"/>
      <c r="D601" s="80"/>
      <c r="E601" s="177"/>
      <c r="F601" s="183"/>
      <c r="G601" s="184"/>
      <c r="H601" s="185"/>
      <c r="I601" s="185"/>
    </row>
    <row r="602" spans="1:9" x14ac:dyDescent="0.25">
      <c r="A602" s="176"/>
      <c r="B602" s="182"/>
      <c r="C602" s="80"/>
      <c r="D602" s="80"/>
      <c r="E602" s="177"/>
      <c r="F602" s="183"/>
      <c r="G602" s="184"/>
      <c r="H602" s="185"/>
      <c r="I602" s="185"/>
    </row>
    <row r="603" spans="1:9" x14ac:dyDescent="0.25">
      <c r="A603" s="176"/>
      <c r="B603" s="182"/>
      <c r="C603" s="80"/>
      <c r="D603" s="80"/>
      <c r="E603" s="177"/>
      <c r="F603" s="183"/>
      <c r="G603" s="184"/>
      <c r="H603" s="185"/>
      <c r="I603" s="185"/>
    </row>
    <row r="604" spans="1:9" x14ac:dyDescent="0.25">
      <c r="A604" s="176"/>
      <c r="B604" s="182"/>
      <c r="C604" s="80"/>
      <c r="D604" s="80"/>
      <c r="E604" s="177"/>
      <c r="F604" s="183"/>
      <c r="G604" s="184"/>
      <c r="H604" s="185"/>
      <c r="I604" s="185"/>
    </row>
    <row r="605" spans="1:9" x14ac:dyDescent="0.25">
      <c r="A605" s="176"/>
      <c r="B605" s="182"/>
      <c r="C605" s="80"/>
      <c r="D605" s="80"/>
      <c r="E605" s="177"/>
      <c r="F605" s="183"/>
      <c r="G605" s="184"/>
      <c r="H605" s="185"/>
      <c r="I605" s="185"/>
    </row>
    <row r="606" spans="1:9" x14ac:dyDescent="0.25">
      <c r="A606" s="176"/>
      <c r="B606" s="182"/>
      <c r="C606" s="80"/>
      <c r="D606" s="80"/>
      <c r="E606" s="177"/>
      <c r="F606" s="183"/>
      <c r="G606" s="184"/>
      <c r="H606" s="185"/>
      <c r="I606" s="185"/>
    </row>
    <row r="607" spans="1:9" x14ac:dyDescent="0.25">
      <c r="A607" s="176"/>
      <c r="B607" s="182"/>
      <c r="C607" s="80"/>
      <c r="D607" s="80"/>
      <c r="E607" s="177"/>
      <c r="F607" s="183"/>
      <c r="G607" s="184"/>
      <c r="H607" s="185"/>
      <c r="I607" s="185"/>
    </row>
    <row r="608" spans="1:9" x14ac:dyDescent="0.25">
      <c r="A608" s="176"/>
      <c r="B608" s="182"/>
      <c r="C608" s="80"/>
      <c r="D608" s="80"/>
      <c r="E608" s="177"/>
      <c r="F608" s="183"/>
      <c r="G608" s="184"/>
      <c r="H608" s="185"/>
      <c r="I608" s="185"/>
    </row>
    <row r="609" spans="1:9" x14ac:dyDescent="0.25">
      <c r="A609" s="176"/>
      <c r="B609" s="182"/>
      <c r="C609" s="80"/>
      <c r="D609" s="80"/>
      <c r="E609" s="177"/>
      <c r="F609" s="183"/>
      <c r="G609" s="184"/>
      <c r="H609" s="185"/>
      <c r="I609" s="185"/>
    </row>
    <row r="610" spans="1:9" x14ac:dyDescent="0.25">
      <c r="A610" s="176"/>
      <c r="B610" s="182"/>
      <c r="C610" s="80"/>
      <c r="D610" s="80"/>
      <c r="E610" s="177"/>
      <c r="F610" s="183"/>
      <c r="G610" s="184"/>
      <c r="H610" s="185"/>
      <c r="I610" s="185"/>
    </row>
    <row r="611" spans="1:9" x14ac:dyDescent="0.25">
      <c r="A611" s="176"/>
      <c r="B611" s="182"/>
      <c r="C611" s="80"/>
      <c r="D611" s="80"/>
      <c r="E611" s="177"/>
      <c r="F611" s="183"/>
      <c r="G611" s="184"/>
      <c r="H611" s="185"/>
      <c r="I611" s="185"/>
    </row>
    <row r="612" spans="1:9" x14ac:dyDescent="0.25">
      <c r="A612" s="176"/>
      <c r="B612" s="182"/>
      <c r="C612" s="80"/>
      <c r="D612" s="80"/>
      <c r="E612" s="177"/>
      <c r="F612" s="183"/>
      <c r="G612" s="184"/>
      <c r="H612" s="185"/>
      <c r="I612" s="185"/>
    </row>
    <row r="613" spans="1:9" x14ac:dyDescent="0.25">
      <c r="A613" s="176"/>
      <c r="B613" s="182"/>
      <c r="C613" s="80"/>
      <c r="D613" s="80"/>
      <c r="E613" s="177"/>
      <c r="F613" s="183"/>
      <c r="G613" s="184"/>
      <c r="H613" s="185"/>
      <c r="I613" s="185"/>
    </row>
    <row r="614" spans="1:9" x14ac:dyDescent="0.25">
      <c r="A614" s="176"/>
      <c r="B614" s="182"/>
      <c r="C614" s="80"/>
      <c r="D614" s="80"/>
      <c r="E614" s="177"/>
      <c r="F614" s="183"/>
      <c r="G614" s="184"/>
      <c r="H614" s="185"/>
      <c r="I614" s="185"/>
    </row>
    <row r="615" spans="1:9" x14ac:dyDescent="0.25">
      <c r="A615" s="176"/>
      <c r="B615" s="182"/>
      <c r="C615" s="80"/>
      <c r="D615" s="80"/>
      <c r="E615" s="177"/>
      <c r="F615" s="183"/>
      <c r="G615" s="184"/>
      <c r="H615" s="185"/>
      <c r="I615" s="185"/>
    </row>
    <row r="616" spans="1:9" x14ac:dyDescent="0.25">
      <c r="A616" s="176"/>
      <c r="B616" s="182"/>
      <c r="C616" s="80"/>
      <c r="D616" s="80"/>
      <c r="E616" s="177"/>
      <c r="F616" s="183"/>
      <c r="G616" s="184"/>
      <c r="H616" s="185"/>
      <c r="I616" s="185"/>
    </row>
    <row r="617" spans="1:9" x14ac:dyDescent="0.25">
      <c r="A617" s="176"/>
      <c r="B617" s="182"/>
      <c r="C617" s="80"/>
      <c r="D617" s="80"/>
      <c r="E617" s="177"/>
      <c r="F617" s="183"/>
      <c r="G617" s="184"/>
      <c r="H617" s="185"/>
      <c r="I617" s="185"/>
    </row>
    <row r="618" spans="1:9" x14ac:dyDescent="0.25">
      <c r="A618" s="176"/>
      <c r="B618" s="182"/>
      <c r="C618" s="80"/>
      <c r="D618" s="80"/>
      <c r="E618" s="177"/>
      <c r="F618" s="183"/>
      <c r="G618" s="184"/>
      <c r="H618" s="185"/>
      <c r="I618" s="185"/>
    </row>
    <row r="619" spans="1:9" x14ac:dyDescent="0.25">
      <c r="A619" s="176"/>
      <c r="B619" s="182"/>
      <c r="C619" s="80"/>
      <c r="D619" s="80"/>
      <c r="E619" s="177"/>
      <c r="F619" s="183"/>
      <c r="G619" s="184"/>
      <c r="H619" s="185"/>
      <c r="I619" s="185"/>
    </row>
    <row r="620" spans="1:9" x14ac:dyDescent="0.25">
      <c r="A620" s="176"/>
      <c r="B620" s="182"/>
      <c r="C620" s="80"/>
      <c r="D620" s="80"/>
      <c r="E620" s="177"/>
      <c r="F620" s="183"/>
      <c r="G620" s="184"/>
      <c r="H620" s="185"/>
      <c r="I620" s="185"/>
    </row>
    <row r="621" spans="1:9" x14ac:dyDescent="0.25">
      <c r="A621" s="176"/>
      <c r="B621" s="182"/>
      <c r="C621" s="80"/>
      <c r="D621" s="80"/>
      <c r="E621" s="177"/>
      <c r="F621" s="183"/>
      <c r="G621" s="184"/>
      <c r="H621" s="185"/>
      <c r="I621" s="185"/>
    </row>
    <row r="622" spans="1:9" x14ac:dyDescent="0.25">
      <c r="A622" s="176"/>
      <c r="B622" s="182"/>
      <c r="C622" s="80"/>
      <c r="D622" s="80"/>
      <c r="E622" s="177"/>
      <c r="F622" s="183"/>
      <c r="G622" s="184"/>
      <c r="H622" s="185"/>
      <c r="I622" s="185"/>
    </row>
    <row r="623" spans="1:9" x14ac:dyDescent="0.25">
      <c r="A623" s="176"/>
      <c r="B623" s="182"/>
      <c r="C623" s="80"/>
      <c r="D623" s="80"/>
      <c r="E623" s="177"/>
      <c r="F623" s="183"/>
      <c r="G623" s="184"/>
      <c r="H623" s="185"/>
      <c r="I623" s="185"/>
    </row>
    <row r="624" spans="1:9" x14ac:dyDescent="0.25">
      <c r="A624" s="176"/>
      <c r="B624" s="182"/>
      <c r="C624" s="80"/>
      <c r="D624" s="80"/>
      <c r="E624" s="177"/>
      <c r="F624" s="183"/>
      <c r="G624" s="184"/>
      <c r="H624" s="185"/>
      <c r="I624" s="185"/>
    </row>
    <row r="625" spans="1:9" x14ac:dyDescent="0.25">
      <c r="A625" s="176"/>
      <c r="B625" s="182"/>
      <c r="C625" s="80"/>
      <c r="D625" s="80"/>
      <c r="E625" s="177"/>
      <c r="F625" s="183"/>
      <c r="G625" s="184"/>
      <c r="H625" s="185"/>
      <c r="I625" s="185"/>
    </row>
    <row r="626" spans="1:9" x14ac:dyDescent="0.25">
      <c r="A626" s="176"/>
      <c r="B626" s="182"/>
      <c r="C626" s="80"/>
      <c r="D626" s="80"/>
      <c r="E626" s="177"/>
      <c r="F626" s="183"/>
      <c r="G626" s="184"/>
      <c r="H626" s="185"/>
      <c r="I626" s="185"/>
    </row>
    <row r="627" spans="1:9" x14ac:dyDescent="0.25">
      <c r="A627" s="176"/>
      <c r="B627" s="182"/>
      <c r="C627" s="80"/>
      <c r="D627" s="80"/>
      <c r="E627" s="177"/>
      <c r="F627" s="183"/>
      <c r="G627" s="184"/>
      <c r="H627" s="185"/>
      <c r="I627" s="185"/>
    </row>
    <row r="628" spans="1:9" x14ac:dyDescent="0.25">
      <c r="A628" s="176"/>
      <c r="B628" s="182"/>
      <c r="C628" s="80"/>
      <c r="D628" s="80"/>
      <c r="E628" s="177"/>
      <c r="F628" s="183"/>
      <c r="G628" s="184"/>
      <c r="H628" s="185"/>
      <c r="I628" s="185"/>
    </row>
    <row r="629" spans="1:9" x14ac:dyDescent="0.25">
      <c r="A629" s="176"/>
      <c r="B629" s="182"/>
      <c r="C629" s="80"/>
      <c r="D629" s="80"/>
      <c r="E629" s="177"/>
      <c r="F629" s="183"/>
      <c r="G629" s="184"/>
      <c r="H629" s="185"/>
      <c r="I629" s="185"/>
    </row>
    <row r="630" spans="1:9" x14ac:dyDescent="0.25">
      <c r="A630" s="176"/>
      <c r="B630" s="182"/>
      <c r="C630" s="80"/>
      <c r="D630" s="80"/>
      <c r="E630" s="177"/>
      <c r="F630" s="183"/>
      <c r="G630" s="184"/>
      <c r="H630" s="185"/>
      <c r="I630" s="185"/>
    </row>
    <row r="631" spans="1:9" x14ac:dyDescent="0.25">
      <c r="A631" s="176"/>
      <c r="B631" s="182"/>
      <c r="C631" s="80"/>
      <c r="D631" s="80"/>
      <c r="E631" s="177"/>
      <c r="F631" s="183"/>
      <c r="G631" s="184"/>
      <c r="H631" s="185"/>
      <c r="I631" s="185"/>
    </row>
    <row r="632" spans="1:9" x14ac:dyDescent="0.25">
      <c r="A632" s="176"/>
      <c r="B632" s="182"/>
      <c r="C632" s="80"/>
      <c r="D632" s="80"/>
      <c r="E632" s="177"/>
      <c r="F632" s="183"/>
      <c r="G632" s="184"/>
      <c r="H632" s="185"/>
      <c r="I632" s="185"/>
    </row>
    <row r="633" spans="1:9" x14ac:dyDescent="0.25">
      <c r="A633" s="176"/>
      <c r="B633" s="182"/>
      <c r="C633" s="80"/>
      <c r="D633" s="80"/>
      <c r="E633" s="177"/>
      <c r="F633" s="183"/>
      <c r="G633" s="184"/>
      <c r="H633" s="185"/>
      <c r="I633" s="185"/>
    </row>
    <row r="634" spans="1:9" x14ac:dyDescent="0.25">
      <c r="A634" s="176"/>
      <c r="B634" s="182"/>
      <c r="C634" s="80"/>
      <c r="D634" s="80"/>
      <c r="E634" s="177"/>
      <c r="F634" s="183"/>
      <c r="G634" s="184"/>
      <c r="H634" s="185"/>
      <c r="I634" s="185"/>
    </row>
    <row r="635" spans="1:9" x14ac:dyDescent="0.25">
      <c r="A635" s="176"/>
      <c r="B635" s="182"/>
      <c r="C635" s="80"/>
      <c r="D635" s="80"/>
      <c r="E635" s="177"/>
      <c r="F635" s="183"/>
      <c r="G635" s="184"/>
      <c r="H635" s="185"/>
      <c r="I635" s="185"/>
    </row>
    <row r="636" spans="1:9" x14ac:dyDescent="0.25">
      <c r="A636" s="176"/>
      <c r="B636" s="182"/>
      <c r="C636" s="80"/>
      <c r="D636" s="80"/>
      <c r="E636" s="177"/>
      <c r="F636" s="183"/>
      <c r="G636" s="184"/>
      <c r="H636" s="185"/>
      <c r="I636" s="185"/>
    </row>
    <row r="637" spans="1:9" x14ac:dyDescent="0.25">
      <c r="A637" s="176"/>
      <c r="B637" s="182"/>
      <c r="C637" s="80"/>
      <c r="D637" s="80"/>
      <c r="E637" s="177"/>
      <c r="F637" s="183"/>
      <c r="G637" s="184"/>
      <c r="H637" s="185"/>
      <c r="I637" s="185"/>
    </row>
    <row r="638" spans="1:9" x14ac:dyDescent="0.25">
      <c r="A638" s="176"/>
      <c r="B638" s="182"/>
      <c r="C638" s="80"/>
      <c r="D638" s="80"/>
      <c r="E638" s="177"/>
      <c r="F638" s="183"/>
      <c r="G638" s="184"/>
      <c r="H638" s="185"/>
      <c r="I638" s="185"/>
    </row>
    <row r="639" spans="1:9" x14ac:dyDescent="0.25">
      <c r="A639" s="176"/>
      <c r="B639" s="182"/>
      <c r="C639" s="80"/>
      <c r="D639" s="80"/>
      <c r="E639" s="177"/>
      <c r="F639" s="183"/>
      <c r="G639" s="184"/>
      <c r="H639" s="185"/>
      <c r="I639" s="185"/>
    </row>
    <row r="640" spans="1:9" x14ac:dyDescent="0.25">
      <c r="A640" s="176"/>
      <c r="B640" s="182"/>
      <c r="C640" s="80"/>
      <c r="D640" s="80"/>
      <c r="E640" s="177"/>
      <c r="F640" s="183"/>
      <c r="G640" s="184"/>
      <c r="H640" s="185"/>
      <c r="I640" s="185"/>
    </row>
    <row r="641" spans="1:9" x14ac:dyDescent="0.25">
      <c r="A641" s="176"/>
      <c r="B641" s="182"/>
      <c r="C641" s="80"/>
      <c r="D641" s="80"/>
      <c r="E641" s="177"/>
      <c r="F641" s="183"/>
      <c r="G641" s="184"/>
      <c r="H641" s="185"/>
      <c r="I641" s="185"/>
    </row>
    <row r="642" spans="1:9" x14ac:dyDescent="0.25">
      <c r="A642" s="176"/>
      <c r="B642" s="182"/>
      <c r="C642" s="80"/>
      <c r="D642" s="80"/>
      <c r="E642" s="177"/>
      <c r="F642" s="183"/>
      <c r="G642" s="184"/>
      <c r="H642" s="185"/>
      <c r="I642" s="185"/>
    </row>
    <row r="643" spans="1:9" x14ac:dyDescent="0.25">
      <c r="A643" s="176"/>
      <c r="B643" s="182"/>
      <c r="C643" s="80"/>
      <c r="D643" s="80"/>
      <c r="E643" s="177"/>
      <c r="F643" s="183"/>
      <c r="G643" s="184"/>
      <c r="H643" s="185"/>
      <c r="I643" s="185"/>
    </row>
    <row r="644" spans="1:9" x14ac:dyDescent="0.25">
      <c r="A644" s="176"/>
      <c r="B644" s="182"/>
      <c r="C644" s="80"/>
      <c r="D644" s="80"/>
      <c r="E644" s="177"/>
      <c r="F644" s="183"/>
      <c r="G644" s="184"/>
      <c r="H644" s="185"/>
      <c r="I644" s="185"/>
    </row>
    <row r="645" spans="1:9" x14ac:dyDescent="0.25">
      <c r="A645" s="176"/>
      <c r="B645" s="182"/>
      <c r="C645" s="80"/>
      <c r="D645" s="80"/>
      <c r="E645" s="177"/>
      <c r="F645" s="183"/>
      <c r="G645" s="184"/>
      <c r="H645" s="185"/>
      <c r="I645" s="185"/>
    </row>
    <row r="646" spans="1:9" x14ac:dyDescent="0.25">
      <c r="A646" s="176"/>
      <c r="B646" s="182"/>
      <c r="C646" s="80"/>
      <c r="D646" s="80"/>
      <c r="E646" s="177"/>
      <c r="F646" s="183"/>
      <c r="G646" s="184"/>
      <c r="H646" s="185"/>
      <c r="I646" s="185"/>
    </row>
    <row r="647" spans="1:9" x14ac:dyDescent="0.25">
      <c r="A647" s="176"/>
      <c r="B647" s="182"/>
      <c r="C647" s="80"/>
      <c r="D647" s="80"/>
      <c r="E647" s="177"/>
      <c r="F647" s="183"/>
      <c r="G647" s="184"/>
      <c r="H647" s="185"/>
      <c r="I647" s="185"/>
    </row>
    <row r="648" spans="1:9" x14ac:dyDescent="0.25">
      <c r="A648" s="176"/>
      <c r="B648" s="182"/>
      <c r="C648" s="80"/>
      <c r="D648" s="80"/>
      <c r="E648" s="177"/>
      <c r="F648" s="183"/>
      <c r="G648" s="184"/>
      <c r="H648" s="185"/>
      <c r="I648" s="185"/>
    </row>
    <row r="649" spans="1:9" x14ac:dyDescent="0.25">
      <c r="A649" s="176"/>
      <c r="B649" s="182"/>
      <c r="C649" s="80"/>
      <c r="D649" s="80"/>
      <c r="E649" s="177"/>
      <c r="F649" s="183"/>
      <c r="G649" s="184"/>
      <c r="H649" s="185"/>
      <c r="I649" s="185"/>
    </row>
    <row r="650" spans="1:9" x14ac:dyDescent="0.25">
      <c r="A650" s="176"/>
      <c r="B650" s="182"/>
      <c r="C650" s="80"/>
      <c r="D650" s="80"/>
      <c r="E650" s="177"/>
      <c r="F650" s="183"/>
      <c r="G650" s="184"/>
      <c r="H650" s="185"/>
      <c r="I650" s="185"/>
    </row>
    <row r="651" spans="1:9" x14ac:dyDescent="0.25">
      <c r="A651" s="176"/>
      <c r="B651" s="182"/>
      <c r="C651" s="80"/>
      <c r="D651" s="80"/>
      <c r="E651" s="177"/>
      <c r="F651" s="183"/>
      <c r="G651" s="184"/>
      <c r="H651" s="185"/>
      <c r="I651" s="185"/>
    </row>
    <row r="652" spans="1:9" x14ac:dyDescent="0.25">
      <c r="A652" s="176"/>
      <c r="B652" s="182"/>
      <c r="C652" s="80"/>
      <c r="D652" s="80"/>
      <c r="E652" s="177"/>
      <c r="F652" s="183"/>
      <c r="G652" s="184"/>
      <c r="H652" s="185"/>
      <c r="I652" s="185"/>
    </row>
    <row r="653" spans="1:9" x14ac:dyDescent="0.25">
      <c r="A653" s="176"/>
      <c r="B653" s="182"/>
      <c r="C653" s="80"/>
      <c r="D653" s="80"/>
      <c r="E653" s="177"/>
      <c r="F653" s="183"/>
      <c r="G653" s="184"/>
      <c r="H653" s="185"/>
      <c r="I653" s="185"/>
    </row>
    <row r="654" spans="1:9" x14ac:dyDescent="0.25">
      <c r="A654" s="176"/>
      <c r="B654" s="182"/>
      <c r="C654" s="80"/>
      <c r="D654" s="80"/>
      <c r="E654" s="177"/>
      <c r="F654" s="183"/>
      <c r="G654" s="184"/>
      <c r="H654" s="185"/>
      <c r="I654" s="185"/>
    </row>
    <row r="655" spans="1:9" x14ac:dyDescent="0.25">
      <c r="A655" s="176"/>
      <c r="B655" s="182"/>
      <c r="C655" s="80"/>
      <c r="D655" s="80"/>
      <c r="E655" s="177"/>
      <c r="F655" s="183"/>
      <c r="G655" s="184"/>
      <c r="H655" s="185"/>
      <c r="I655" s="185"/>
    </row>
    <row r="656" spans="1:9" x14ac:dyDescent="0.25">
      <c r="A656" s="176"/>
      <c r="B656" s="182"/>
      <c r="C656" s="80"/>
      <c r="D656" s="80"/>
      <c r="E656" s="177"/>
      <c r="F656" s="183"/>
      <c r="G656" s="184"/>
      <c r="H656" s="185"/>
      <c r="I656" s="185"/>
    </row>
    <row r="657" spans="1:9" x14ac:dyDescent="0.25">
      <c r="A657" s="176"/>
      <c r="B657" s="182"/>
      <c r="C657" s="80"/>
      <c r="D657" s="80"/>
      <c r="E657" s="177"/>
      <c r="F657" s="183"/>
      <c r="G657" s="184"/>
      <c r="H657" s="185"/>
      <c r="I657" s="185"/>
    </row>
    <row r="658" spans="1:9" x14ac:dyDescent="0.25">
      <c r="A658" s="176"/>
      <c r="B658" s="182"/>
      <c r="C658" s="80"/>
      <c r="D658" s="80"/>
      <c r="E658" s="177"/>
      <c r="F658" s="183"/>
      <c r="G658" s="184"/>
      <c r="H658" s="185"/>
      <c r="I658" s="185"/>
    </row>
    <row r="659" spans="1:9" x14ac:dyDescent="0.25">
      <c r="A659" s="176"/>
      <c r="B659" s="182"/>
      <c r="C659" s="80"/>
      <c r="D659" s="80"/>
      <c r="E659" s="177"/>
      <c r="F659" s="183"/>
      <c r="G659" s="184"/>
      <c r="H659" s="185"/>
      <c r="I659" s="185"/>
    </row>
    <row r="660" spans="1:9" x14ac:dyDescent="0.25">
      <c r="A660" s="176"/>
      <c r="B660" s="182"/>
      <c r="C660" s="80"/>
      <c r="D660" s="80"/>
      <c r="E660" s="177"/>
      <c r="F660" s="183"/>
      <c r="G660" s="184"/>
      <c r="H660" s="185"/>
      <c r="I660" s="185"/>
    </row>
    <row r="661" spans="1:9" x14ac:dyDescent="0.25">
      <c r="A661" s="176"/>
      <c r="B661" s="182"/>
      <c r="C661" s="80"/>
      <c r="D661" s="80"/>
      <c r="E661" s="177"/>
      <c r="F661" s="183"/>
      <c r="G661" s="184"/>
      <c r="H661" s="185"/>
      <c r="I661" s="185"/>
    </row>
    <row r="662" spans="1:9" x14ac:dyDescent="0.25">
      <c r="A662" s="176"/>
      <c r="B662" s="182"/>
      <c r="C662" s="80"/>
      <c r="D662" s="80"/>
      <c r="E662" s="177"/>
      <c r="F662" s="183"/>
      <c r="G662" s="184"/>
      <c r="H662" s="185"/>
      <c r="I662" s="185"/>
    </row>
    <row r="663" spans="1:9" x14ac:dyDescent="0.25">
      <c r="A663" s="176"/>
      <c r="B663" s="182"/>
      <c r="C663" s="80"/>
      <c r="D663" s="80"/>
      <c r="E663" s="177"/>
      <c r="F663" s="183"/>
      <c r="G663" s="184"/>
      <c r="H663" s="185"/>
      <c r="I663" s="185"/>
    </row>
    <row r="664" spans="1:9" x14ac:dyDescent="0.25">
      <c r="A664" s="176"/>
      <c r="B664" s="182"/>
      <c r="C664" s="80"/>
      <c r="D664" s="80"/>
      <c r="E664" s="177"/>
      <c r="F664" s="183"/>
      <c r="G664" s="184"/>
      <c r="H664" s="185"/>
      <c r="I664" s="185"/>
    </row>
    <row r="665" spans="1:9" x14ac:dyDescent="0.25">
      <c r="A665" s="176"/>
      <c r="B665" s="182"/>
      <c r="C665" s="80"/>
      <c r="D665" s="80"/>
      <c r="E665" s="177"/>
      <c r="F665" s="183"/>
      <c r="G665" s="184"/>
      <c r="H665" s="185"/>
      <c r="I665" s="185"/>
    </row>
    <row r="666" spans="1:9" x14ac:dyDescent="0.25">
      <c r="A666" s="176"/>
      <c r="B666" s="182"/>
      <c r="C666" s="80"/>
      <c r="D666" s="80"/>
      <c r="E666" s="177"/>
      <c r="F666" s="183"/>
      <c r="G666" s="184"/>
      <c r="H666" s="185"/>
      <c r="I666" s="185"/>
    </row>
    <row r="667" spans="1:9" x14ac:dyDescent="0.25">
      <c r="A667" s="176"/>
      <c r="B667" s="182"/>
      <c r="C667" s="80"/>
      <c r="D667" s="80"/>
      <c r="E667" s="177"/>
      <c r="F667" s="183"/>
      <c r="G667" s="184"/>
      <c r="H667" s="185"/>
      <c r="I667" s="185"/>
    </row>
    <row r="668" spans="1:9" x14ac:dyDescent="0.25">
      <c r="A668" s="176"/>
      <c r="B668" s="182"/>
      <c r="C668" s="80"/>
      <c r="D668" s="80"/>
      <c r="E668" s="177"/>
      <c r="F668" s="183"/>
      <c r="G668" s="184"/>
      <c r="H668" s="185"/>
      <c r="I668" s="185"/>
    </row>
    <row r="669" spans="1:9" x14ac:dyDescent="0.25">
      <c r="A669" s="176"/>
      <c r="B669" s="182"/>
      <c r="C669" s="80"/>
      <c r="D669" s="80"/>
      <c r="E669" s="177"/>
      <c r="F669" s="183"/>
      <c r="G669" s="184"/>
      <c r="H669" s="185"/>
      <c r="I669" s="185"/>
    </row>
    <row r="670" spans="1:9" x14ac:dyDescent="0.25">
      <c r="A670" s="176"/>
      <c r="B670" s="182"/>
      <c r="C670" s="80"/>
      <c r="D670" s="80"/>
      <c r="E670" s="177"/>
      <c r="F670" s="183"/>
      <c r="G670" s="184"/>
      <c r="H670" s="185"/>
      <c r="I670" s="185"/>
    </row>
    <row r="671" spans="1:9" x14ac:dyDescent="0.25">
      <c r="A671" s="176"/>
      <c r="B671" s="182"/>
      <c r="C671" s="80"/>
      <c r="D671" s="80"/>
      <c r="E671" s="177"/>
      <c r="F671" s="183"/>
      <c r="G671" s="184"/>
      <c r="H671" s="185"/>
      <c r="I671" s="185"/>
    </row>
    <row r="672" spans="1:9" x14ac:dyDescent="0.25">
      <c r="A672" s="176"/>
      <c r="B672" s="182"/>
      <c r="C672" s="80"/>
      <c r="D672" s="80"/>
      <c r="E672" s="177"/>
      <c r="F672" s="183"/>
      <c r="G672" s="184"/>
      <c r="H672" s="185"/>
      <c r="I672" s="185"/>
    </row>
    <row r="673" spans="1:9" x14ac:dyDescent="0.25">
      <c r="A673" s="176"/>
      <c r="B673" s="182"/>
      <c r="C673" s="80"/>
      <c r="D673" s="80"/>
      <c r="E673" s="177"/>
      <c r="F673" s="183"/>
      <c r="G673" s="184"/>
      <c r="H673" s="185"/>
      <c r="I673" s="185"/>
    </row>
    <row r="674" spans="1:9" x14ac:dyDescent="0.25">
      <c r="A674" s="176"/>
      <c r="B674" s="182"/>
      <c r="C674" s="80"/>
      <c r="D674" s="80"/>
      <c r="E674" s="177"/>
      <c r="F674" s="183"/>
      <c r="G674" s="184"/>
      <c r="H674" s="185"/>
      <c r="I674" s="185"/>
    </row>
    <row r="675" spans="1:9" x14ac:dyDescent="0.25">
      <c r="A675" s="176"/>
      <c r="B675" s="182"/>
      <c r="C675" s="80"/>
      <c r="D675" s="80"/>
      <c r="E675" s="177"/>
      <c r="F675" s="183"/>
      <c r="G675" s="184"/>
      <c r="H675" s="185"/>
      <c r="I675" s="185"/>
    </row>
    <row r="676" spans="1:9" x14ac:dyDescent="0.25">
      <c r="A676" s="176"/>
      <c r="B676" s="182"/>
      <c r="C676" s="80"/>
      <c r="D676" s="80"/>
      <c r="E676" s="177"/>
      <c r="F676" s="183"/>
      <c r="G676" s="184"/>
      <c r="H676" s="185"/>
      <c r="I676" s="185"/>
    </row>
    <row r="677" spans="1:9" x14ac:dyDescent="0.25">
      <c r="A677" s="176"/>
      <c r="B677" s="182"/>
      <c r="C677" s="80"/>
      <c r="D677" s="80"/>
      <c r="E677" s="177"/>
      <c r="F677" s="183"/>
      <c r="G677" s="184"/>
      <c r="H677" s="185"/>
      <c r="I677" s="185"/>
    </row>
    <row r="678" spans="1:9" x14ac:dyDescent="0.25">
      <c r="A678" s="176"/>
      <c r="B678" s="182"/>
      <c r="C678" s="80"/>
      <c r="D678" s="80"/>
      <c r="E678" s="177"/>
      <c r="F678" s="183"/>
      <c r="G678" s="184"/>
      <c r="H678" s="185"/>
      <c r="I678" s="185"/>
    </row>
    <row r="679" spans="1:9" x14ac:dyDescent="0.25">
      <c r="A679" s="176"/>
      <c r="B679" s="182"/>
      <c r="C679" s="80"/>
      <c r="D679" s="80"/>
      <c r="E679" s="177"/>
      <c r="F679" s="183"/>
      <c r="G679" s="184"/>
      <c r="H679" s="185"/>
      <c r="I679" s="185"/>
    </row>
    <row r="680" spans="1:9" x14ac:dyDescent="0.25">
      <c r="A680" s="176"/>
      <c r="B680" s="182"/>
      <c r="C680" s="80"/>
      <c r="D680" s="80"/>
      <c r="E680" s="177"/>
      <c r="F680" s="183"/>
      <c r="G680" s="184"/>
      <c r="H680" s="185"/>
      <c r="I680" s="185"/>
    </row>
    <row r="681" spans="1:9" x14ac:dyDescent="0.25">
      <c r="A681" s="176"/>
      <c r="B681" s="182"/>
      <c r="C681" s="80"/>
      <c r="D681" s="80"/>
      <c r="E681" s="177"/>
      <c r="F681" s="183"/>
      <c r="G681" s="184"/>
      <c r="H681" s="185"/>
      <c r="I681" s="185"/>
    </row>
    <row r="682" spans="1:9" x14ac:dyDescent="0.25">
      <c r="A682" s="176"/>
      <c r="B682" s="182"/>
      <c r="C682" s="80"/>
      <c r="D682" s="80"/>
      <c r="E682" s="177"/>
      <c r="F682" s="183"/>
      <c r="G682" s="184"/>
      <c r="H682" s="185"/>
      <c r="I682" s="185"/>
    </row>
    <row r="683" spans="1:9" x14ac:dyDescent="0.25">
      <c r="A683" s="176"/>
      <c r="B683" s="182"/>
      <c r="C683" s="80"/>
      <c r="D683" s="80"/>
      <c r="E683" s="177"/>
      <c r="F683" s="183"/>
      <c r="G683" s="184"/>
      <c r="H683" s="185"/>
      <c r="I683" s="185"/>
    </row>
    <row r="684" spans="1:9" x14ac:dyDescent="0.25">
      <c r="A684" s="176"/>
      <c r="B684" s="182"/>
      <c r="C684" s="80"/>
      <c r="D684" s="80"/>
      <c r="E684" s="177"/>
      <c r="F684" s="183"/>
      <c r="G684" s="184"/>
      <c r="H684" s="185"/>
      <c r="I684" s="185"/>
    </row>
    <row r="685" spans="1:9" x14ac:dyDescent="0.25">
      <c r="A685" s="176"/>
      <c r="B685" s="182"/>
      <c r="C685" s="80"/>
      <c r="D685" s="80"/>
      <c r="E685" s="177"/>
      <c r="F685" s="183"/>
      <c r="G685" s="184"/>
      <c r="H685" s="185"/>
      <c r="I685" s="185"/>
    </row>
    <row r="686" spans="1:9" x14ac:dyDescent="0.25">
      <c r="A686" s="176"/>
      <c r="B686" s="182"/>
      <c r="C686" s="80"/>
      <c r="D686" s="80"/>
      <c r="E686" s="177"/>
      <c r="F686" s="183"/>
      <c r="G686" s="184"/>
      <c r="H686" s="185"/>
      <c r="I686" s="185"/>
    </row>
    <row r="687" spans="1:9" x14ac:dyDescent="0.25">
      <c r="A687" s="176"/>
      <c r="B687" s="182"/>
      <c r="C687" s="80"/>
      <c r="D687" s="80"/>
      <c r="E687" s="177"/>
      <c r="F687" s="183"/>
      <c r="G687" s="184"/>
      <c r="H687" s="185"/>
      <c r="I687" s="185"/>
    </row>
    <row r="688" spans="1:9" x14ac:dyDescent="0.25">
      <c r="A688" s="176"/>
      <c r="B688" s="182"/>
      <c r="C688" s="80"/>
      <c r="D688" s="80"/>
      <c r="E688" s="177"/>
      <c r="F688" s="183"/>
      <c r="G688" s="184"/>
      <c r="H688" s="185"/>
      <c r="I688" s="185"/>
    </row>
    <row r="689" spans="1:9" x14ac:dyDescent="0.25">
      <c r="A689" s="176"/>
      <c r="B689" s="182"/>
      <c r="C689" s="80"/>
      <c r="D689" s="80"/>
      <c r="E689" s="177"/>
      <c r="F689" s="183"/>
      <c r="G689" s="184"/>
      <c r="H689" s="185"/>
      <c r="I689" s="185"/>
    </row>
    <row r="690" spans="1:9" x14ac:dyDescent="0.25">
      <c r="A690" s="176"/>
      <c r="B690" s="182"/>
      <c r="C690" s="80"/>
      <c r="D690" s="80"/>
      <c r="E690" s="177"/>
      <c r="F690" s="183"/>
      <c r="G690" s="184"/>
      <c r="H690" s="185"/>
      <c r="I690" s="185"/>
    </row>
    <row r="691" spans="1:9" x14ac:dyDescent="0.25">
      <c r="A691" s="176"/>
      <c r="B691" s="182"/>
      <c r="C691" s="80"/>
      <c r="D691" s="80"/>
      <c r="E691" s="177"/>
      <c r="F691" s="183"/>
      <c r="G691" s="184"/>
      <c r="H691" s="185"/>
      <c r="I691" s="185"/>
    </row>
    <row r="692" spans="1:9" x14ac:dyDescent="0.25">
      <c r="A692" s="176"/>
      <c r="B692" s="182"/>
      <c r="C692" s="80"/>
      <c r="D692" s="80"/>
      <c r="E692" s="177"/>
      <c r="F692" s="183"/>
      <c r="G692" s="184"/>
      <c r="H692" s="185"/>
      <c r="I692" s="185"/>
    </row>
    <row r="693" spans="1:9" x14ac:dyDescent="0.25">
      <c r="A693" s="176"/>
      <c r="B693" s="182"/>
      <c r="C693" s="80"/>
      <c r="D693" s="80"/>
      <c r="E693" s="177"/>
      <c r="F693" s="183"/>
      <c r="G693" s="184"/>
      <c r="H693" s="185"/>
      <c r="I693" s="185"/>
    </row>
    <row r="694" spans="1:9" x14ac:dyDescent="0.25">
      <c r="A694" s="176"/>
      <c r="B694" s="182"/>
      <c r="C694" s="80"/>
      <c r="D694" s="80"/>
      <c r="E694" s="177"/>
      <c r="F694" s="183"/>
      <c r="G694" s="184"/>
      <c r="H694" s="185"/>
      <c r="I694" s="185"/>
    </row>
    <row r="695" spans="1:9" x14ac:dyDescent="0.25">
      <c r="A695" s="176"/>
      <c r="B695" s="182"/>
      <c r="C695" s="80"/>
      <c r="D695" s="80"/>
      <c r="E695" s="177"/>
      <c r="F695" s="183"/>
      <c r="G695" s="184"/>
      <c r="H695" s="185"/>
      <c r="I695" s="185"/>
    </row>
    <row r="696" spans="1:9" x14ac:dyDescent="0.25">
      <c r="A696" s="176"/>
      <c r="B696" s="182"/>
      <c r="C696" s="80"/>
      <c r="D696" s="80"/>
      <c r="E696" s="177"/>
      <c r="F696" s="183"/>
      <c r="G696" s="184"/>
      <c r="H696" s="185"/>
      <c r="I696" s="185"/>
    </row>
    <row r="697" spans="1:9" x14ac:dyDescent="0.25">
      <c r="A697" s="176"/>
      <c r="B697" s="182"/>
      <c r="C697" s="80"/>
      <c r="D697" s="80"/>
      <c r="E697" s="177"/>
      <c r="F697" s="183"/>
      <c r="G697" s="184"/>
      <c r="H697" s="185"/>
      <c r="I697" s="185"/>
    </row>
    <row r="698" spans="1:9" x14ac:dyDescent="0.25">
      <c r="A698" s="176"/>
      <c r="B698" s="182"/>
      <c r="C698" s="80"/>
      <c r="D698" s="80"/>
      <c r="E698" s="177"/>
      <c r="F698" s="183"/>
      <c r="G698" s="184"/>
      <c r="H698" s="185"/>
      <c r="I698" s="185"/>
    </row>
    <row r="699" spans="1:9" x14ac:dyDescent="0.25">
      <c r="A699" s="176"/>
      <c r="B699" s="182"/>
      <c r="C699" s="80"/>
      <c r="D699" s="80"/>
      <c r="E699" s="177"/>
      <c r="F699" s="183"/>
      <c r="G699" s="184"/>
      <c r="H699" s="185"/>
      <c r="I699" s="185"/>
    </row>
    <row r="700" spans="1:9" x14ac:dyDescent="0.25">
      <c r="A700" s="176"/>
      <c r="B700" s="182"/>
      <c r="C700" s="80"/>
      <c r="D700" s="80"/>
      <c r="E700" s="177"/>
      <c r="F700" s="183"/>
      <c r="G700" s="184"/>
      <c r="H700" s="185"/>
      <c r="I700" s="185"/>
    </row>
    <row r="701" spans="1:9" x14ac:dyDescent="0.25">
      <c r="A701" s="176"/>
      <c r="B701" s="182"/>
      <c r="C701" s="80"/>
      <c r="D701" s="80"/>
      <c r="E701" s="177"/>
      <c r="F701" s="183"/>
      <c r="G701" s="184"/>
      <c r="H701" s="185"/>
      <c r="I701" s="185"/>
    </row>
    <row r="702" spans="1:9" x14ac:dyDescent="0.25">
      <c r="A702" s="176"/>
      <c r="B702" s="182"/>
      <c r="C702" s="80"/>
      <c r="D702" s="80"/>
      <c r="E702" s="177"/>
      <c r="F702" s="183"/>
      <c r="G702" s="184"/>
      <c r="H702" s="185"/>
      <c r="I702" s="185"/>
    </row>
    <row r="703" spans="1:9" x14ac:dyDescent="0.25">
      <c r="A703" s="176"/>
      <c r="B703" s="182"/>
      <c r="C703" s="80"/>
      <c r="D703" s="80"/>
      <c r="E703" s="177"/>
      <c r="F703" s="183"/>
      <c r="G703" s="184"/>
      <c r="H703" s="185"/>
      <c r="I703" s="185"/>
    </row>
    <row r="704" spans="1:9" x14ac:dyDescent="0.25">
      <c r="A704" s="176"/>
      <c r="B704" s="182"/>
      <c r="C704" s="80"/>
      <c r="D704" s="80"/>
      <c r="E704" s="177"/>
      <c r="F704" s="183"/>
      <c r="G704" s="184"/>
      <c r="H704" s="185"/>
      <c r="I704" s="185"/>
    </row>
    <row r="705" spans="1:9" x14ac:dyDescent="0.25">
      <c r="A705" s="176"/>
      <c r="B705" s="182"/>
      <c r="C705" s="80"/>
      <c r="D705" s="80"/>
      <c r="E705" s="177"/>
      <c r="F705" s="183"/>
      <c r="G705" s="184"/>
      <c r="H705" s="185"/>
      <c r="I705" s="185"/>
    </row>
    <row r="706" spans="1:9" x14ac:dyDescent="0.25">
      <c r="A706" s="176"/>
      <c r="B706" s="182"/>
      <c r="C706" s="80"/>
      <c r="D706" s="80"/>
      <c r="E706" s="177"/>
      <c r="F706" s="183"/>
      <c r="G706" s="184"/>
      <c r="H706" s="185"/>
      <c r="I706" s="185"/>
    </row>
    <row r="707" spans="1:9" x14ac:dyDescent="0.25">
      <c r="A707" s="176"/>
      <c r="B707" s="182"/>
      <c r="C707" s="80"/>
      <c r="D707" s="80"/>
      <c r="E707" s="177"/>
      <c r="F707" s="183"/>
      <c r="G707" s="184"/>
      <c r="H707" s="185"/>
      <c r="I707" s="185"/>
    </row>
    <row r="708" spans="1:9" x14ac:dyDescent="0.25">
      <c r="A708" s="176"/>
      <c r="B708" s="182"/>
      <c r="C708" s="80"/>
      <c r="D708" s="80"/>
      <c r="E708" s="177"/>
      <c r="F708" s="183"/>
      <c r="G708" s="184"/>
      <c r="H708" s="185"/>
      <c r="I708" s="185"/>
    </row>
    <row r="709" spans="1:9" x14ac:dyDescent="0.25">
      <c r="A709" s="176"/>
      <c r="B709" s="182"/>
      <c r="C709" s="80"/>
      <c r="D709" s="80"/>
      <c r="E709" s="177"/>
      <c r="F709" s="183"/>
      <c r="G709" s="184"/>
      <c r="H709" s="185"/>
      <c r="I709" s="185"/>
    </row>
    <row r="710" spans="1:9" x14ac:dyDescent="0.25">
      <c r="A710" s="176"/>
      <c r="B710" s="182"/>
      <c r="C710" s="80"/>
      <c r="D710" s="80"/>
      <c r="E710" s="177"/>
      <c r="F710" s="183"/>
      <c r="G710" s="184"/>
      <c r="H710" s="185"/>
      <c r="I710" s="185"/>
    </row>
    <row r="711" spans="1:9" x14ac:dyDescent="0.25">
      <c r="A711" s="176"/>
      <c r="B711" s="182"/>
      <c r="C711" s="80"/>
      <c r="D711" s="80"/>
      <c r="E711" s="177"/>
      <c r="F711" s="183"/>
      <c r="G711" s="184"/>
      <c r="H711" s="185"/>
      <c r="I711" s="185"/>
    </row>
    <row r="712" spans="1:9" x14ac:dyDescent="0.25">
      <c r="A712" s="176"/>
      <c r="B712" s="182"/>
      <c r="C712" s="80"/>
      <c r="D712" s="80"/>
      <c r="E712" s="177"/>
      <c r="F712" s="183"/>
      <c r="G712" s="184"/>
      <c r="H712" s="185"/>
      <c r="I712" s="185"/>
    </row>
    <row r="713" spans="1:9" x14ac:dyDescent="0.25">
      <c r="A713" s="176"/>
      <c r="B713" s="182"/>
      <c r="C713" s="80"/>
      <c r="D713" s="80"/>
      <c r="E713" s="177"/>
      <c r="F713" s="183"/>
      <c r="G713" s="184"/>
      <c r="H713" s="185"/>
      <c r="I713" s="185"/>
    </row>
    <row r="714" spans="1:9" x14ac:dyDescent="0.25">
      <c r="A714" s="176"/>
      <c r="B714" s="182"/>
      <c r="C714" s="80"/>
      <c r="D714" s="80"/>
      <c r="E714" s="177"/>
      <c r="F714" s="183"/>
      <c r="G714" s="184"/>
      <c r="H714" s="185"/>
      <c r="I714" s="185"/>
    </row>
    <row r="715" spans="1:9" x14ac:dyDescent="0.25">
      <c r="A715" s="176"/>
      <c r="B715" s="182"/>
      <c r="C715" s="80"/>
      <c r="D715" s="80"/>
      <c r="E715" s="177"/>
      <c r="F715" s="183"/>
      <c r="G715" s="184"/>
      <c r="H715" s="185"/>
      <c r="I715" s="185"/>
    </row>
    <row r="716" spans="1:9" x14ac:dyDescent="0.25">
      <c r="A716" s="176"/>
      <c r="B716" s="182"/>
      <c r="C716" s="80"/>
      <c r="D716" s="80"/>
      <c r="E716" s="177"/>
      <c r="F716" s="183"/>
      <c r="G716" s="184"/>
      <c r="H716" s="185"/>
      <c r="I716" s="185"/>
    </row>
    <row r="717" spans="1:9" x14ac:dyDescent="0.25">
      <c r="A717" s="176"/>
      <c r="B717" s="182"/>
      <c r="C717" s="80"/>
      <c r="D717" s="80"/>
      <c r="E717" s="177"/>
      <c r="F717" s="183"/>
      <c r="G717" s="184"/>
      <c r="H717" s="185"/>
      <c r="I717" s="185"/>
    </row>
    <row r="718" spans="1:9" x14ac:dyDescent="0.25">
      <c r="A718" s="176"/>
      <c r="B718" s="182"/>
      <c r="C718" s="80"/>
      <c r="D718" s="80"/>
      <c r="E718" s="177"/>
      <c r="F718" s="183"/>
      <c r="G718" s="184"/>
      <c r="H718" s="185"/>
      <c r="I718" s="185"/>
    </row>
    <row r="719" spans="1:9" x14ac:dyDescent="0.25">
      <c r="A719" s="176"/>
      <c r="B719" s="182"/>
      <c r="C719" s="80"/>
      <c r="D719" s="80"/>
      <c r="E719" s="177"/>
      <c r="F719" s="183"/>
      <c r="G719" s="184"/>
      <c r="H719" s="185"/>
      <c r="I719" s="185"/>
    </row>
    <row r="720" spans="1:9" x14ac:dyDescent="0.25">
      <c r="A720" s="176"/>
      <c r="B720" s="182"/>
      <c r="C720" s="80"/>
      <c r="D720" s="80"/>
      <c r="E720" s="177"/>
      <c r="F720" s="183"/>
      <c r="G720" s="184"/>
      <c r="H720" s="185"/>
      <c r="I720" s="185"/>
    </row>
    <row r="721" spans="1:9" x14ac:dyDescent="0.25">
      <c r="A721" s="176"/>
      <c r="B721" s="182"/>
      <c r="C721" s="80"/>
      <c r="D721" s="80"/>
      <c r="E721" s="177"/>
      <c r="F721" s="183"/>
      <c r="G721" s="184"/>
      <c r="H721" s="185"/>
      <c r="I721" s="185"/>
    </row>
    <row r="722" spans="1:9" x14ac:dyDescent="0.25">
      <c r="A722" s="176"/>
      <c r="B722" s="182"/>
      <c r="C722" s="80"/>
      <c r="D722" s="80"/>
      <c r="E722" s="177"/>
      <c r="F722" s="183"/>
      <c r="G722" s="184"/>
      <c r="H722" s="185"/>
      <c r="I722" s="185"/>
    </row>
    <row r="723" spans="1:9" x14ac:dyDescent="0.25">
      <c r="A723" s="176"/>
      <c r="B723" s="182"/>
      <c r="C723" s="80"/>
      <c r="D723" s="80"/>
      <c r="E723" s="177"/>
      <c r="F723" s="183"/>
      <c r="G723" s="184"/>
      <c r="H723" s="185"/>
      <c r="I723" s="185"/>
    </row>
    <row r="724" spans="1:9" x14ac:dyDescent="0.25">
      <c r="A724" s="176"/>
      <c r="B724" s="182"/>
      <c r="C724" s="80"/>
      <c r="D724" s="80"/>
      <c r="E724" s="177"/>
      <c r="F724" s="183"/>
      <c r="G724" s="184"/>
      <c r="H724" s="185"/>
      <c r="I724" s="185"/>
    </row>
    <row r="725" spans="1:9" x14ac:dyDescent="0.25">
      <c r="A725" s="176"/>
      <c r="B725" s="182"/>
      <c r="C725" s="80"/>
      <c r="D725" s="80"/>
      <c r="E725" s="177"/>
      <c r="F725" s="183"/>
      <c r="G725" s="184"/>
      <c r="H725" s="185"/>
      <c r="I725" s="185"/>
    </row>
    <row r="726" spans="1:9" x14ac:dyDescent="0.25">
      <c r="A726" s="176"/>
      <c r="B726" s="182"/>
      <c r="C726" s="80"/>
      <c r="D726" s="80"/>
      <c r="E726" s="177"/>
      <c r="F726" s="183"/>
      <c r="G726" s="184"/>
      <c r="H726" s="185"/>
      <c r="I726" s="185"/>
    </row>
    <row r="727" spans="1:9" x14ac:dyDescent="0.25">
      <c r="A727" s="176"/>
      <c r="B727" s="182"/>
      <c r="C727" s="80"/>
      <c r="D727" s="80"/>
      <c r="E727" s="177"/>
      <c r="F727" s="183"/>
      <c r="G727" s="184"/>
      <c r="H727" s="185"/>
      <c r="I727" s="185"/>
    </row>
    <row r="728" spans="1:9" x14ac:dyDescent="0.25">
      <c r="A728" s="176"/>
      <c r="B728" s="182"/>
      <c r="C728" s="80"/>
      <c r="D728" s="80"/>
      <c r="E728" s="177"/>
      <c r="F728" s="183"/>
      <c r="G728" s="184"/>
      <c r="H728" s="185"/>
      <c r="I728" s="185"/>
    </row>
    <row r="729" spans="1:9" x14ac:dyDescent="0.25">
      <c r="A729" s="176"/>
      <c r="B729" s="182"/>
      <c r="C729" s="80"/>
      <c r="D729" s="80"/>
      <c r="E729" s="177"/>
      <c r="F729" s="183"/>
      <c r="G729" s="184"/>
      <c r="H729" s="185"/>
      <c r="I729" s="185"/>
    </row>
    <row r="730" spans="1:9" x14ac:dyDescent="0.25">
      <c r="A730" s="176"/>
      <c r="B730" s="182"/>
      <c r="C730" s="80"/>
      <c r="D730" s="80"/>
      <c r="E730" s="177"/>
      <c r="F730" s="183"/>
      <c r="G730" s="184"/>
      <c r="H730" s="185"/>
      <c r="I730" s="185"/>
    </row>
    <row r="731" spans="1:9" x14ac:dyDescent="0.25">
      <c r="A731" s="176"/>
      <c r="B731" s="182"/>
      <c r="C731" s="80"/>
      <c r="D731" s="80"/>
      <c r="E731" s="177"/>
      <c r="F731" s="183"/>
      <c r="G731" s="184"/>
      <c r="H731" s="185"/>
      <c r="I731" s="185"/>
    </row>
    <row r="732" spans="1:9" x14ac:dyDescent="0.25">
      <c r="A732" s="176"/>
      <c r="B732" s="182"/>
      <c r="C732" s="80"/>
      <c r="D732" s="80"/>
      <c r="E732" s="177"/>
      <c r="F732" s="183"/>
      <c r="G732" s="184"/>
      <c r="H732" s="185"/>
      <c r="I732" s="185"/>
    </row>
    <row r="733" spans="1:9" x14ac:dyDescent="0.25">
      <c r="A733" s="176"/>
      <c r="B733" s="182"/>
      <c r="C733" s="80"/>
      <c r="D733" s="80"/>
      <c r="E733" s="177"/>
      <c r="F733" s="183"/>
      <c r="G733" s="184"/>
      <c r="H733" s="185"/>
      <c r="I733" s="185"/>
    </row>
    <row r="734" spans="1:9" x14ac:dyDescent="0.25">
      <c r="A734" s="176"/>
      <c r="B734" s="182"/>
      <c r="C734" s="80"/>
      <c r="D734" s="80"/>
      <c r="E734" s="177"/>
      <c r="F734" s="183"/>
      <c r="G734" s="184"/>
      <c r="H734" s="185"/>
      <c r="I734" s="185"/>
    </row>
    <row r="735" spans="1:9" x14ac:dyDescent="0.25">
      <c r="A735" s="176"/>
      <c r="B735" s="182"/>
      <c r="C735" s="80"/>
      <c r="D735" s="80"/>
      <c r="E735" s="177"/>
      <c r="F735" s="183"/>
      <c r="G735" s="184"/>
      <c r="H735" s="185"/>
      <c r="I735" s="185"/>
    </row>
    <row r="736" spans="1:9" x14ac:dyDescent="0.25">
      <c r="A736" s="176"/>
      <c r="B736" s="182"/>
      <c r="C736" s="80"/>
      <c r="D736" s="80"/>
      <c r="E736" s="177"/>
      <c r="F736" s="183"/>
      <c r="G736" s="184"/>
      <c r="H736" s="185"/>
      <c r="I736" s="185"/>
    </row>
    <row r="737" spans="1:9" x14ac:dyDescent="0.25">
      <c r="A737" s="176"/>
      <c r="B737" s="182"/>
      <c r="C737" s="80"/>
      <c r="D737" s="80"/>
      <c r="E737" s="177"/>
      <c r="F737" s="183"/>
      <c r="G737" s="184"/>
      <c r="H737" s="185"/>
      <c r="I737" s="185"/>
    </row>
    <row r="738" spans="1:9" x14ac:dyDescent="0.25">
      <c r="A738" s="176"/>
      <c r="B738" s="182"/>
      <c r="C738" s="80"/>
      <c r="D738" s="80"/>
      <c r="E738" s="177"/>
      <c r="F738" s="183"/>
      <c r="G738" s="184"/>
      <c r="H738" s="185"/>
      <c r="I738" s="185"/>
    </row>
    <row r="739" spans="1:9" x14ac:dyDescent="0.25">
      <c r="A739" s="176"/>
      <c r="B739" s="182"/>
      <c r="C739" s="80"/>
      <c r="D739" s="80"/>
      <c r="E739" s="177"/>
      <c r="F739" s="183"/>
      <c r="G739" s="184"/>
      <c r="H739" s="185"/>
      <c r="I739" s="185"/>
    </row>
    <row r="740" spans="1:9" x14ac:dyDescent="0.25">
      <c r="A740" s="176"/>
      <c r="B740" s="182"/>
      <c r="C740" s="80"/>
      <c r="D740" s="80"/>
      <c r="E740" s="177"/>
      <c r="F740" s="183"/>
      <c r="G740" s="184"/>
      <c r="H740" s="185"/>
      <c r="I740" s="185"/>
    </row>
    <row r="741" spans="1:9" x14ac:dyDescent="0.25">
      <c r="A741" s="176"/>
      <c r="B741" s="182"/>
      <c r="C741" s="80"/>
      <c r="D741" s="80"/>
      <c r="E741" s="177"/>
      <c r="F741" s="183"/>
      <c r="G741" s="184"/>
      <c r="H741" s="185"/>
      <c r="I741" s="185"/>
    </row>
    <row r="742" spans="1:9" x14ac:dyDescent="0.25">
      <c r="A742" s="176"/>
      <c r="B742" s="182"/>
      <c r="C742" s="80"/>
      <c r="D742" s="80"/>
      <c r="E742" s="177"/>
      <c r="F742" s="183"/>
      <c r="G742" s="184"/>
      <c r="H742" s="185"/>
      <c r="I742" s="185"/>
    </row>
    <row r="743" spans="1:9" x14ac:dyDescent="0.25">
      <c r="A743" s="176"/>
      <c r="B743" s="182"/>
      <c r="C743" s="80"/>
      <c r="D743" s="80"/>
      <c r="E743" s="177"/>
      <c r="F743" s="183"/>
      <c r="G743" s="184"/>
      <c r="H743" s="185"/>
      <c r="I743" s="185"/>
    </row>
    <row r="744" spans="1:9" x14ac:dyDescent="0.25">
      <c r="A744" s="176"/>
      <c r="B744" s="182"/>
      <c r="C744" s="80"/>
      <c r="D744" s="80"/>
      <c r="E744" s="177"/>
      <c r="F744" s="183"/>
      <c r="G744" s="184"/>
      <c r="H744" s="185"/>
      <c r="I744" s="185"/>
    </row>
    <row r="745" spans="1:9" x14ac:dyDescent="0.25">
      <c r="A745" s="176"/>
      <c r="B745" s="182"/>
      <c r="C745" s="80"/>
      <c r="D745" s="80"/>
      <c r="E745" s="177"/>
      <c r="F745" s="183"/>
      <c r="G745" s="184"/>
      <c r="H745" s="185"/>
      <c r="I745" s="185"/>
    </row>
    <row r="746" spans="1:9" x14ac:dyDescent="0.25">
      <c r="A746" s="176"/>
      <c r="B746" s="182"/>
      <c r="C746" s="80"/>
      <c r="D746" s="80"/>
      <c r="E746" s="177"/>
      <c r="F746" s="183"/>
      <c r="G746" s="184"/>
      <c r="H746" s="185"/>
      <c r="I746" s="185"/>
    </row>
    <row r="747" spans="1:9" x14ac:dyDescent="0.25">
      <c r="A747" s="176"/>
      <c r="B747" s="182"/>
      <c r="C747" s="80"/>
      <c r="D747" s="80"/>
      <c r="E747" s="177"/>
      <c r="F747" s="183"/>
      <c r="G747" s="184"/>
      <c r="H747" s="185"/>
      <c r="I747" s="185"/>
    </row>
    <row r="748" spans="1:9" x14ac:dyDescent="0.25">
      <c r="A748" s="176"/>
      <c r="B748" s="182"/>
      <c r="C748" s="80"/>
      <c r="D748" s="80"/>
      <c r="E748" s="177"/>
      <c r="F748" s="183"/>
      <c r="G748" s="184"/>
      <c r="H748" s="185"/>
      <c r="I748" s="185"/>
    </row>
    <row r="749" spans="1:9" x14ac:dyDescent="0.25">
      <c r="A749" s="176"/>
      <c r="B749" s="182"/>
      <c r="C749" s="80"/>
      <c r="D749" s="80"/>
      <c r="E749" s="177"/>
      <c r="F749" s="183"/>
      <c r="G749" s="184"/>
      <c r="H749" s="185"/>
      <c r="I749" s="185"/>
    </row>
    <row r="750" spans="1:9" x14ac:dyDescent="0.25">
      <c r="A750" s="176"/>
      <c r="B750" s="182"/>
      <c r="C750" s="80"/>
      <c r="D750" s="80"/>
      <c r="E750" s="177"/>
      <c r="F750" s="183"/>
      <c r="G750" s="184"/>
      <c r="H750" s="185"/>
      <c r="I750" s="185"/>
    </row>
    <row r="751" spans="1:9" x14ac:dyDescent="0.25">
      <c r="A751" s="176"/>
      <c r="B751" s="182"/>
      <c r="C751" s="80"/>
      <c r="D751" s="80"/>
      <c r="E751" s="177"/>
      <c r="F751" s="183"/>
      <c r="G751" s="184"/>
      <c r="H751" s="185"/>
      <c r="I751" s="185"/>
    </row>
    <row r="752" spans="1:9" x14ac:dyDescent="0.25">
      <c r="A752" s="176"/>
      <c r="B752" s="182"/>
      <c r="C752" s="80"/>
      <c r="D752" s="80"/>
      <c r="E752" s="177"/>
      <c r="F752" s="183"/>
      <c r="G752" s="184"/>
      <c r="H752" s="185"/>
      <c r="I752" s="185"/>
    </row>
    <row r="753" spans="1:9" x14ac:dyDescent="0.25">
      <c r="A753" s="176"/>
      <c r="B753" s="182"/>
      <c r="C753" s="80"/>
      <c r="D753" s="80"/>
      <c r="E753" s="177"/>
      <c r="F753" s="183"/>
      <c r="G753" s="184"/>
      <c r="H753" s="185"/>
      <c r="I753" s="185"/>
    </row>
    <row r="754" spans="1:9" x14ac:dyDescent="0.25">
      <c r="A754" s="176"/>
      <c r="B754" s="182"/>
      <c r="C754" s="80"/>
      <c r="D754" s="80"/>
      <c r="E754" s="177"/>
      <c r="F754" s="183"/>
      <c r="G754" s="184"/>
      <c r="H754" s="185"/>
      <c r="I754" s="185"/>
    </row>
    <row r="755" spans="1:9" x14ac:dyDescent="0.25">
      <c r="A755" s="176"/>
      <c r="B755" s="182"/>
      <c r="C755" s="80"/>
      <c r="D755" s="80"/>
      <c r="E755" s="177"/>
      <c r="F755" s="183"/>
      <c r="G755" s="184"/>
      <c r="H755" s="185"/>
      <c r="I755" s="185"/>
    </row>
    <row r="756" spans="1:9" x14ac:dyDescent="0.25">
      <c r="A756" s="176"/>
      <c r="B756" s="182"/>
      <c r="C756" s="80"/>
      <c r="D756" s="80"/>
      <c r="E756" s="177"/>
      <c r="F756" s="183"/>
      <c r="G756" s="184"/>
      <c r="H756" s="185"/>
      <c r="I756" s="185"/>
    </row>
    <row r="757" spans="1:9" x14ac:dyDescent="0.25">
      <c r="A757" s="176"/>
      <c r="B757" s="182"/>
      <c r="C757" s="80"/>
      <c r="D757" s="80"/>
      <c r="E757" s="177"/>
      <c r="F757" s="183"/>
      <c r="G757" s="184"/>
      <c r="H757" s="185"/>
      <c r="I757" s="185"/>
    </row>
    <row r="758" spans="1:9" x14ac:dyDescent="0.25">
      <c r="A758" s="176"/>
      <c r="B758" s="182"/>
      <c r="C758" s="80"/>
      <c r="D758" s="80"/>
      <c r="E758" s="177"/>
      <c r="F758" s="183"/>
      <c r="G758" s="184"/>
      <c r="H758" s="185"/>
      <c r="I758" s="185"/>
    </row>
    <row r="759" spans="1:9" x14ac:dyDescent="0.25">
      <c r="A759" s="176"/>
      <c r="B759" s="182"/>
      <c r="C759" s="80"/>
      <c r="D759" s="80"/>
      <c r="E759" s="177"/>
      <c r="F759" s="183"/>
      <c r="G759" s="184"/>
      <c r="H759" s="185"/>
      <c r="I759" s="185"/>
    </row>
    <row r="760" spans="1:9" x14ac:dyDescent="0.25">
      <c r="A760" s="176"/>
      <c r="B760" s="182"/>
      <c r="C760" s="80"/>
      <c r="D760" s="80"/>
      <c r="E760" s="177"/>
      <c r="F760" s="183"/>
      <c r="G760" s="184"/>
      <c r="H760" s="185"/>
      <c r="I760" s="185"/>
    </row>
    <row r="761" spans="1:9" x14ac:dyDescent="0.25">
      <c r="A761" s="176"/>
      <c r="B761" s="182"/>
      <c r="C761" s="80"/>
      <c r="D761" s="80"/>
      <c r="E761" s="177"/>
      <c r="F761" s="183"/>
      <c r="G761" s="184"/>
      <c r="H761" s="185"/>
      <c r="I761" s="185"/>
    </row>
    <row r="762" spans="1:9" x14ac:dyDescent="0.25">
      <c r="A762" s="176"/>
      <c r="B762" s="182"/>
      <c r="C762" s="80"/>
      <c r="D762" s="80"/>
      <c r="E762" s="177"/>
      <c r="F762" s="183"/>
      <c r="G762" s="184"/>
      <c r="H762" s="185"/>
      <c r="I762" s="185"/>
    </row>
    <row r="763" spans="1:9" x14ac:dyDescent="0.25">
      <c r="A763" s="176"/>
      <c r="B763" s="182"/>
      <c r="C763" s="80"/>
      <c r="D763" s="80"/>
      <c r="E763" s="177"/>
      <c r="F763" s="183"/>
      <c r="G763" s="184"/>
      <c r="H763" s="185"/>
      <c r="I763" s="185"/>
    </row>
    <row r="764" spans="1:9" x14ac:dyDescent="0.25">
      <c r="A764" s="176"/>
      <c r="B764" s="182"/>
      <c r="C764" s="80"/>
      <c r="D764" s="80"/>
      <c r="E764" s="177"/>
      <c r="F764" s="183"/>
      <c r="G764" s="184"/>
      <c r="H764" s="185"/>
      <c r="I764" s="185"/>
    </row>
    <row r="765" spans="1:9" x14ac:dyDescent="0.25">
      <c r="A765" s="176"/>
      <c r="B765" s="182"/>
      <c r="C765" s="80"/>
      <c r="D765" s="80"/>
      <c r="E765" s="177"/>
      <c r="F765" s="183"/>
      <c r="G765" s="184"/>
      <c r="H765" s="185"/>
      <c r="I765" s="185"/>
    </row>
    <row r="766" spans="1:9" x14ac:dyDescent="0.25">
      <c r="A766" s="176"/>
      <c r="B766" s="182"/>
      <c r="C766" s="80"/>
      <c r="D766" s="80"/>
      <c r="E766" s="177"/>
      <c r="F766" s="183"/>
      <c r="G766" s="184"/>
      <c r="H766" s="185"/>
      <c r="I766" s="185"/>
    </row>
    <row r="767" spans="1:9" x14ac:dyDescent="0.25">
      <c r="A767" s="176"/>
      <c r="B767" s="182"/>
      <c r="C767" s="80"/>
      <c r="D767" s="80"/>
      <c r="E767" s="177"/>
      <c r="F767" s="183"/>
      <c r="G767" s="184"/>
      <c r="H767" s="185"/>
      <c r="I767" s="185"/>
    </row>
    <row r="768" spans="1:9" x14ac:dyDescent="0.25">
      <c r="A768" s="176"/>
      <c r="B768" s="182"/>
      <c r="C768" s="80"/>
      <c r="D768" s="80"/>
      <c r="E768" s="177"/>
      <c r="F768" s="183"/>
      <c r="G768" s="184"/>
      <c r="H768" s="185"/>
      <c r="I768" s="185"/>
    </row>
    <row r="769" spans="1:9" x14ac:dyDescent="0.25">
      <c r="A769" s="176"/>
      <c r="B769" s="182"/>
      <c r="C769" s="80"/>
      <c r="D769" s="80"/>
      <c r="E769" s="177"/>
      <c r="F769" s="183"/>
      <c r="G769" s="184"/>
      <c r="H769" s="185"/>
      <c r="I769" s="185"/>
    </row>
    <row r="770" spans="1:9" x14ac:dyDescent="0.25">
      <c r="A770" s="176"/>
      <c r="B770" s="182"/>
      <c r="C770" s="80"/>
      <c r="D770" s="80"/>
      <c r="E770" s="177"/>
      <c r="F770" s="183"/>
      <c r="G770" s="184"/>
      <c r="H770" s="185"/>
      <c r="I770" s="185"/>
    </row>
    <row r="771" spans="1:9" x14ac:dyDescent="0.25">
      <c r="A771" s="176"/>
      <c r="B771" s="182"/>
      <c r="C771" s="80"/>
      <c r="D771" s="80"/>
      <c r="E771" s="177"/>
      <c r="F771" s="183"/>
      <c r="G771" s="184"/>
      <c r="H771" s="185"/>
      <c r="I771" s="185"/>
    </row>
    <row r="772" spans="1:9" x14ac:dyDescent="0.25">
      <c r="A772" s="176"/>
      <c r="B772" s="182"/>
      <c r="C772" s="80"/>
      <c r="D772" s="80"/>
      <c r="E772" s="177"/>
      <c r="F772" s="183"/>
      <c r="G772" s="184"/>
      <c r="H772" s="185"/>
      <c r="I772" s="185"/>
    </row>
    <row r="773" spans="1:9" x14ac:dyDescent="0.25">
      <c r="A773" s="176"/>
      <c r="B773" s="182"/>
      <c r="C773" s="80"/>
      <c r="D773" s="80"/>
      <c r="E773" s="177"/>
      <c r="F773" s="183"/>
      <c r="G773" s="184"/>
      <c r="H773" s="185"/>
      <c r="I773" s="185"/>
    </row>
    <row r="774" spans="1:9" x14ac:dyDescent="0.25">
      <c r="A774" s="176"/>
      <c r="B774" s="182"/>
      <c r="C774" s="80"/>
      <c r="D774" s="80"/>
      <c r="E774" s="177"/>
      <c r="F774" s="183"/>
      <c r="G774" s="184"/>
      <c r="H774" s="185"/>
      <c r="I774" s="185"/>
    </row>
    <row r="775" spans="1:9" x14ac:dyDescent="0.25">
      <c r="A775" s="176"/>
      <c r="B775" s="182"/>
      <c r="C775" s="80"/>
      <c r="D775" s="80"/>
      <c r="E775" s="177"/>
      <c r="F775" s="183"/>
      <c r="G775" s="184"/>
      <c r="H775" s="185"/>
      <c r="I775" s="185"/>
    </row>
    <row r="776" spans="1:9" x14ac:dyDescent="0.25">
      <c r="A776" s="176"/>
      <c r="B776" s="182"/>
      <c r="C776" s="80"/>
      <c r="D776" s="80"/>
      <c r="E776" s="177"/>
      <c r="F776" s="183"/>
      <c r="G776" s="184"/>
      <c r="H776" s="185"/>
      <c r="I776" s="185"/>
    </row>
    <row r="777" spans="1:9" x14ac:dyDescent="0.25">
      <c r="A777" s="176"/>
      <c r="B777" s="182"/>
      <c r="C777" s="80"/>
      <c r="D777" s="80"/>
      <c r="E777" s="177"/>
      <c r="F777" s="183"/>
      <c r="G777" s="184"/>
      <c r="H777" s="185"/>
      <c r="I777" s="185"/>
    </row>
    <row r="778" spans="1:9" x14ac:dyDescent="0.25">
      <c r="A778" s="176"/>
      <c r="B778" s="182"/>
      <c r="C778" s="80"/>
      <c r="D778" s="80"/>
      <c r="E778" s="177"/>
      <c r="F778" s="183"/>
      <c r="G778" s="184"/>
      <c r="H778" s="185"/>
      <c r="I778" s="185"/>
    </row>
    <row r="779" spans="1:9" x14ac:dyDescent="0.25">
      <c r="A779" s="176"/>
      <c r="B779" s="182"/>
      <c r="C779" s="80"/>
      <c r="D779" s="80"/>
      <c r="E779" s="177"/>
      <c r="F779" s="183"/>
      <c r="G779" s="184"/>
      <c r="H779" s="185"/>
      <c r="I779" s="185"/>
    </row>
    <row r="780" spans="1:9" x14ac:dyDescent="0.25">
      <c r="A780" s="176"/>
      <c r="B780" s="182"/>
      <c r="C780" s="80"/>
      <c r="D780" s="80"/>
      <c r="E780" s="177"/>
      <c r="F780" s="183"/>
      <c r="G780" s="184"/>
      <c r="H780" s="185"/>
      <c r="I780" s="185"/>
    </row>
    <row r="781" spans="1:9" x14ac:dyDescent="0.25">
      <c r="A781" s="176"/>
      <c r="B781" s="182"/>
      <c r="C781" s="80"/>
      <c r="D781" s="80"/>
      <c r="E781" s="177"/>
      <c r="F781" s="183"/>
      <c r="G781" s="184"/>
      <c r="H781" s="185"/>
      <c r="I781" s="185"/>
    </row>
    <row r="782" spans="1:9" x14ac:dyDescent="0.25">
      <c r="A782" s="176"/>
      <c r="B782" s="182"/>
      <c r="C782" s="80"/>
      <c r="D782" s="80"/>
      <c r="E782" s="177"/>
      <c r="F782" s="183"/>
      <c r="G782" s="184"/>
      <c r="H782" s="185"/>
      <c r="I782" s="185"/>
    </row>
    <row r="783" spans="1:9" x14ac:dyDescent="0.25">
      <c r="A783" s="176"/>
      <c r="B783" s="182"/>
      <c r="C783" s="80"/>
      <c r="D783" s="80"/>
      <c r="E783" s="177"/>
      <c r="F783" s="183"/>
      <c r="G783" s="184"/>
      <c r="H783" s="185"/>
      <c r="I783" s="185"/>
    </row>
    <row r="784" spans="1:9" x14ac:dyDescent="0.25">
      <c r="A784" s="176"/>
      <c r="B784" s="182"/>
      <c r="C784" s="80"/>
      <c r="D784" s="80"/>
      <c r="E784" s="177"/>
      <c r="F784" s="183"/>
      <c r="G784" s="184"/>
      <c r="H784" s="185"/>
      <c r="I784" s="185"/>
    </row>
    <row r="785" spans="1:9" x14ac:dyDescent="0.25">
      <c r="A785" s="176"/>
      <c r="B785" s="182"/>
      <c r="C785" s="80"/>
      <c r="D785" s="80"/>
      <c r="E785" s="177"/>
      <c r="F785" s="183"/>
      <c r="G785" s="184"/>
      <c r="H785" s="185"/>
      <c r="I785" s="185"/>
    </row>
    <row r="786" spans="1:9" x14ac:dyDescent="0.25">
      <c r="A786" s="176"/>
      <c r="B786" s="182"/>
      <c r="C786" s="80"/>
      <c r="D786" s="80"/>
      <c r="E786" s="177"/>
      <c r="F786" s="183"/>
      <c r="G786" s="184"/>
      <c r="H786" s="185"/>
      <c r="I786" s="185"/>
    </row>
    <row r="787" spans="1:9" x14ac:dyDescent="0.25">
      <c r="A787" s="176"/>
      <c r="B787" s="182"/>
      <c r="C787" s="80"/>
      <c r="D787" s="80"/>
      <c r="E787" s="177"/>
      <c r="F787" s="183"/>
      <c r="G787" s="184"/>
      <c r="H787" s="185"/>
      <c r="I787" s="185"/>
    </row>
    <row r="788" spans="1:9" x14ac:dyDescent="0.25">
      <c r="A788" s="176"/>
      <c r="B788" s="182"/>
      <c r="C788" s="80"/>
      <c r="D788" s="80"/>
      <c r="E788" s="177"/>
      <c r="F788" s="183"/>
      <c r="G788" s="184"/>
      <c r="H788" s="185"/>
      <c r="I788" s="185"/>
    </row>
    <row r="789" spans="1:9" x14ac:dyDescent="0.25">
      <c r="A789" s="176"/>
      <c r="B789" s="182"/>
      <c r="C789" s="80"/>
      <c r="D789" s="80"/>
      <c r="E789" s="177"/>
      <c r="F789" s="183"/>
      <c r="G789" s="184"/>
      <c r="H789" s="185"/>
      <c r="I789" s="185"/>
    </row>
    <row r="790" spans="1:9" x14ac:dyDescent="0.25">
      <c r="A790" s="176"/>
      <c r="B790" s="182"/>
      <c r="C790" s="80"/>
      <c r="D790" s="80"/>
      <c r="E790" s="177"/>
      <c r="F790" s="183"/>
      <c r="G790" s="184"/>
      <c r="H790" s="185"/>
      <c r="I790" s="185"/>
    </row>
    <row r="791" spans="1:9" x14ac:dyDescent="0.25">
      <c r="A791" s="176"/>
      <c r="B791" s="182"/>
      <c r="C791" s="80"/>
      <c r="D791" s="80"/>
      <c r="E791" s="177"/>
      <c r="F791" s="183"/>
      <c r="G791" s="184"/>
      <c r="H791" s="185"/>
      <c r="I791" s="185"/>
    </row>
    <row r="792" spans="1:9" x14ac:dyDescent="0.25">
      <c r="A792" s="176"/>
      <c r="B792" s="182"/>
      <c r="C792" s="80"/>
      <c r="D792" s="80"/>
      <c r="E792" s="177"/>
      <c r="F792" s="183"/>
      <c r="G792" s="184"/>
      <c r="H792" s="185"/>
      <c r="I792" s="185"/>
    </row>
    <row r="793" spans="1:9" x14ac:dyDescent="0.25">
      <c r="A793" s="176"/>
      <c r="B793" s="182"/>
      <c r="C793" s="80"/>
      <c r="D793" s="80"/>
      <c r="E793" s="177"/>
      <c r="F793" s="183"/>
      <c r="G793" s="184"/>
      <c r="H793" s="185"/>
      <c r="I793" s="185"/>
    </row>
    <row r="794" spans="1:9" x14ac:dyDescent="0.25">
      <c r="A794" s="176"/>
      <c r="B794" s="182"/>
      <c r="C794" s="80"/>
      <c r="D794" s="80"/>
      <c r="E794" s="177"/>
      <c r="F794" s="183"/>
      <c r="G794" s="184"/>
      <c r="H794" s="185"/>
      <c r="I794" s="185"/>
    </row>
    <row r="795" spans="1:9" x14ac:dyDescent="0.25">
      <c r="A795" s="176"/>
      <c r="B795" s="182"/>
      <c r="C795" s="80"/>
      <c r="D795" s="80"/>
      <c r="E795" s="177"/>
      <c r="F795" s="183"/>
      <c r="G795" s="184"/>
      <c r="H795" s="185"/>
      <c r="I795" s="185"/>
    </row>
    <row r="796" spans="1:9" x14ac:dyDescent="0.25">
      <c r="A796" s="176"/>
      <c r="B796" s="182"/>
      <c r="C796" s="80"/>
      <c r="D796" s="80"/>
      <c r="E796" s="177"/>
      <c r="F796" s="183"/>
      <c r="G796" s="184"/>
      <c r="H796" s="185"/>
      <c r="I796" s="185"/>
    </row>
    <row r="797" spans="1:9" x14ac:dyDescent="0.25">
      <c r="A797" s="176"/>
      <c r="B797" s="182"/>
      <c r="C797" s="80"/>
      <c r="D797" s="80"/>
      <c r="E797" s="177"/>
      <c r="F797" s="183"/>
      <c r="G797" s="184"/>
      <c r="H797" s="185"/>
      <c r="I797" s="185"/>
    </row>
    <row r="798" spans="1:9" x14ac:dyDescent="0.25">
      <c r="A798" s="176"/>
      <c r="B798" s="182"/>
      <c r="C798" s="80"/>
      <c r="D798" s="80"/>
      <c r="E798" s="177"/>
      <c r="F798" s="183"/>
      <c r="G798" s="184"/>
      <c r="H798" s="185"/>
      <c r="I798" s="185"/>
    </row>
    <row r="799" spans="1:9" x14ac:dyDescent="0.25">
      <c r="A799" s="176"/>
      <c r="B799" s="182"/>
      <c r="C799" s="80"/>
      <c r="D799" s="80"/>
      <c r="E799" s="177"/>
      <c r="F799" s="183"/>
      <c r="G799" s="184"/>
      <c r="H799" s="185"/>
      <c r="I799" s="185"/>
    </row>
    <row r="800" spans="1:9" x14ac:dyDescent="0.25">
      <c r="A800" s="176"/>
      <c r="B800" s="182"/>
      <c r="C800" s="80"/>
      <c r="D800" s="80"/>
      <c r="E800" s="177"/>
      <c r="F800" s="183"/>
      <c r="G800" s="184"/>
      <c r="H800" s="185"/>
      <c r="I800" s="185"/>
    </row>
    <row r="801" spans="1:9" x14ac:dyDescent="0.25">
      <c r="A801" s="176"/>
      <c r="B801" s="182"/>
      <c r="C801" s="80"/>
      <c r="D801" s="80"/>
      <c r="E801" s="177"/>
      <c r="F801" s="183"/>
      <c r="G801" s="184"/>
      <c r="H801" s="185"/>
      <c r="I801" s="185"/>
    </row>
    <row r="802" spans="1:9" x14ac:dyDescent="0.25">
      <c r="A802" s="176"/>
      <c r="B802" s="182"/>
      <c r="C802" s="80"/>
      <c r="D802" s="80"/>
      <c r="E802" s="177"/>
      <c r="F802" s="183"/>
      <c r="G802" s="184"/>
      <c r="H802" s="185"/>
      <c r="I802" s="185"/>
    </row>
    <row r="803" spans="1:9" x14ac:dyDescent="0.25">
      <c r="A803" s="176"/>
      <c r="B803" s="182"/>
      <c r="C803" s="80"/>
      <c r="D803" s="80"/>
      <c r="E803" s="177"/>
      <c r="F803" s="183"/>
      <c r="G803" s="184"/>
      <c r="H803" s="185"/>
      <c r="I803" s="185"/>
    </row>
    <row r="804" spans="1:9" x14ac:dyDescent="0.25">
      <c r="A804" s="176"/>
      <c r="B804" s="182"/>
      <c r="C804" s="80"/>
      <c r="D804" s="80"/>
      <c r="E804" s="177"/>
      <c r="F804" s="183"/>
      <c r="G804" s="184"/>
      <c r="H804" s="185"/>
      <c r="I804" s="185"/>
    </row>
    <row r="805" spans="1:9" x14ac:dyDescent="0.25">
      <c r="A805" s="176"/>
      <c r="B805" s="182"/>
      <c r="C805" s="80"/>
      <c r="D805" s="80"/>
      <c r="E805" s="177"/>
      <c r="F805" s="183"/>
      <c r="G805" s="184"/>
      <c r="H805" s="185"/>
      <c r="I805" s="185"/>
    </row>
    <row r="806" spans="1:9" x14ac:dyDescent="0.25">
      <c r="A806" s="176"/>
      <c r="B806" s="182"/>
      <c r="C806" s="80"/>
      <c r="D806" s="80"/>
      <c r="E806" s="177"/>
      <c r="F806" s="183"/>
      <c r="G806" s="184"/>
      <c r="H806" s="185"/>
      <c r="I806" s="185"/>
    </row>
    <row r="807" spans="1:9" x14ac:dyDescent="0.25">
      <c r="A807" s="176"/>
      <c r="B807" s="182"/>
      <c r="C807" s="80"/>
      <c r="D807" s="80"/>
      <c r="E807" s="177"/>
      <c r="F807" s="183"/>
      <c r="G807" s="184"/>
      <c r="H807" s="185"/>
      <c r="I807" s="185"/>
    </row>
    <row r="808" spans="1:9" x14ac:dyDescent="0.25">
      <c r="A808" s="176"/>
      <c r="B808" s="182"/>
      <c r="C808" s="80"/>
      <c r="D808" s="80"/>
      <c r="E808" s="177"/>
      <c r="F808" s="183"/>
      <c r="G808" s="184"/>
      <c r="H808" s="185"/>
      <c r="I808" s="185"/>
    </row>
    <row r="809" spans="1:9" x14ac:dyDescent="0.25">
      <c r="A809" s="176"/>
      <c r="B809" s="182"/>
      <c r="C809" s="80"/>
      <c r="D809" s="80"/>
      <c r="E809" s="177"/>
      <c r="F809" s="183"/>
      <c r="G809" s="184"/>
      <c r="H809" s="185"/>
      <c r="I809" s="185"/>
    </row>
    <row r="810" spans="1:9" x14ac:dyDescent="0.25">
      <c r="A810" s="176"/>
      <c r="B810" s="182"/>
      <c r="C810" s="80"/>
      <c r="D810" s="80"/>
      <c r="E810" s="177"/>
      <c r="F810" s="183"/>
      <c r="G810" s="184"/>
      <c r="H810" s="185"/>
      <c r="I810" s="185"/>
    </row>
    <row r="811" spans="1:9" x14ac:dyDescent="0.25">
      <c r="A811" s="176"/>
      <c r="B811" s="182"/>
      <c r="C811" s="80"/>
      <c r="D811" s="80"/>
      <c r="E811" s="177"/>
      <c r="F811" s="183"/>
      <c r="G811" s="184"/>
      <c r="H811" s="185"/>
      <c r="I811" s="185"/>
    </row>
    <row r="812" spans="1:9" x14ac:dyDescent="0.25">
      <c r="A812" s="176"/>
      <c r="B812" s="182"/>
      <c r="C812" s="80"/>
      <c r="D812" s="80"/>
      <c r="E812" s="177"/>
      <c r="F812" s="183"/>
      <c r="G812" s="184"/>
      <c r="H812" s="185"/>
      <c r="I812" s="185"/>
    </row>
    <row r="813" spans="1:9" x14ac:dyDescent="0.25">
      <c r="A813" s="176"/>
      <c r="B813" s="182"/>
      <c r="C813" s="80"/>
      <c r="D813" s="80"/>
      <c r="E813" s="177"/>
      <c r="F813" s="183"/>
      <c r="G813" s="184"/>
      <c r="H813" s="185"/>
      <c r="I813" s="185"/>
    </row>
    <row r="814" spans="1:9" x14ac:dyDescent="0.25">
      <c r="A814" s="176"/>
      <c r="B814" s="182"/>
      <c r="C814" s="80"/>
      <c r="D814" s="80"/>
      <c r="E814" s="177"/>
      <c r="F814" s="183"/>
      <c r="G814" s="184"/>
      <c r="H814" s="185"/>
      <c r="I814" s="185"/>
    </row>
    <row r="815" spans="1:9" x14ac:dyDescent="0.25">
      <c r="A815" s="176"/>
      <c r="B815" s="182"/>
      <c r="C815" s="80"/>
      <c r="D815" s="80"/>
      <c r="E815" s="177"/>
      <c r="F815" s="183"/>
      <c r="G815" s="184"/>
      <c r="H815" s="185"/>
      <c r="I815" s="185"/>
    </row>
    <row r="816" spans="1:9" x14ac:dyDescent="0.25">
      <c r="A816" s="176"/>
      <c r="B816" s="182"/>
      <c r="C816" s="80"/>
      <c r="D816" s="80"/>
      <c r="E816" s="177"/>
      <c r="F816" s="183"/>
      <c r="G816" s="184"/>
      <c r="H816" s="185"/>
      <c r="I816" s="185"/>
    </row>
    <row r="817" spans="1:9" x14ac:dyDescent="0.25">
      <c r="A817" s="176"/>
      <c r="B817" s="182"/>
      <c r="C817" s="80"/>
      <c r="D817" s="80"/>
      <c r="E817" s="177"/>
      <c r="F817" s="183"/>
      <c r="G817" s="184"/>
      <c r="H817" s="185"/>
      <c r="I817" s="185"/>
    </row>
    <row r="818" spans="1:9" x14ac:dyDescent="0.25">
      <c r="A818" s="176"/>
      <c r="B818" s="182"/>
      <c r="C818" s="80"/>
      <c r="D818" s="80"/>
      <c r="E818" s="177"/>
      <c r="F818" s="183"/>
      <c r="G818" s="184"/>
      <c r="H818" s="185"/>
      <c r="I818" s="185"/>
    </row>
    <row r="819" spans="1:9" x14ac:dyDescent="0.25">
      <c r="A819" s="176"/>
      <c r="B819" s="182"/>
      <c r="C819" s="80"/>
      <c r="D819" s="80"/>
      <c r="E819" s="177"/>
      <c r="F819" s="183"/>
      <c r="G819" s="184"/>
      <c r="H819" s="185"/>
      <c r="I819" s="185"/>
    </row>
    <row r="820" spans="1:9" x14ac:dyDescent="0.25">
      <c r="A820" s="176"/>
      <c r="B820" s="182"/>
      <c r="C820" s="80"/>
      <c r="D820" s="80"/>
      <c r="E820" s="177"/>
      <c r="F820" s="183"/>
      <c r="G820" s="184"/>
      <c r="H820" s="185"/>
      <c r="I820" s="185"/>
    </row>
    <row r="821" spans="1:9" x14ac:dyDescent="0.25">
      <c r="A821" s="176"/>
      <c r="B821" s="182"/>
      <c r="C821" s="80"/>
      <c r="D821" s="80"/>
      <c r="E821" s="177"/>
      <c r="F821" s="183"/>
      <c r="G821" s="184"/>
      <c r="H821" s="185"/>
      <c r="I821" s="185"/>
    </row>
    <row r="822" spans="1:9" x14ac:dyDescent="0.25">
      <c r="A822" s="176"/>
      <c r="B822" s="182"/>
      <c r="C822" s="80"/>
      <c r="D822" s="80"/>
      <c r="E822" s="177"/>
      <c r="F822" s="183"/>
      <c r="G822" s="184"/>
      <c r="H822" s="185"/>
      <c r="I822" s="185"/>
    </row>
    <row r="823" spans="1:9" x14ac:dyDescent="0.25">
      <c r="A823" s="176"/>
      <c r="B823" s="182"/>
      <c r="C823" s="80"/>
      <c r="D823" s="80"/>
      <c r="E823" s="177"/>
      <c r="F823" s="183"/>
      <c r="G823" s="184"/>
      <c r="H823" s="185"/>
      <c r="I823" s="185"/>
    </row>
    <row r="824" spans="1:9" x14ac:dyDescent="0.25">
      <c r="A824" s="176"/>
      <c r="B824" s="182"/>
      <c r="C824" s="80"/>
      <c r="D824" s="80"/>
      <c r="E824" s="177"/>
      <c r="F824" s="183"/>
      <c r="G824" s="184"/>
      <c r="H824" s="185"/>
      <c r="I824" s="185"/>
    </row>
    <row r="825" spans="1:9" x14ac:dyDescent="0.25">
      <c r="A825" s="176"/>
      <c r="B825" s="182"/>
      <c r="C825" s="80"/>
      <c r="D825" s="80"/>
      <c r="E825" s="177"/>
      <c r="F825" s="183"/>
      <c r="G825" s="184"/>
      <c r="H825" s="185"/>
      <c r="I825" s="185"/>
    </row>
    <row r="826" spans="1:9" x14ac:dyDescent="0.25">
      <c r="A826" s="176"/>
      <c r="B826" s="182"/>
      <c r="C826" s="80"/>
      <c r="D826" s="80"/>
      <c r="E826" s="177"/>
      <c r="F826" s="183"/>
      <c r="G826" s="184"/>
      <c r="H826" s="185"/>
      <c r="I826" s="185"/>
    </row>
    <row r="827" spans="1:9" x14ac:dyDescent="0.25">
      <c r="A827" s="176"/>
      <c r="B827" s="182"/>
      <c r="C827" s="80"/>
      <c r="D827" s="80"/>
      <c r="E827" s="177"/>
      <c r="F827" s="183"/>
      <c r="G827" s="184"/>
      <c r="H827" s="185"/>
      <c r="I827" s="185"/>
    </row>
    <row r="828" spans="1:9" x14ac:dyDescent="0.25">
      <c r="A828" s="176"/>
      <c r="B828" s="182"/>
      <c r="C828" s="80"/>
      <c r="D828" s="80"/>
      <c r="E828" s="177"/>
      <c r="F828" s="183"/>
      <c r="G828" s="184"/>
      <c r="H828" s="185"/>
      <c r="I828" s="185"/>
    </row>
    <row r="829" spans="1:9" x14ac:dyDescent="0.25">
      <c r="A829" s="176"/>
      <c r="B829" s="182"/>
      <c r="C829" s="80"/>
      <c r="D829" s="80"/>
      <c r="E829" s="177"/>
      <c r="F829" s="183"/>
      <c r="G829" s="184"/>
      <c r="H829" s="185"/>
      <c r="I829" s="185"/>
    </row>
    <row r="830" spans="1:9" x14ac:dyDescent="0.25">
      <c r="A830" s="176"/>
      <c r="B830" s="182"/>
      <c r="C830" s="80"/>
      <c r="D830" s="80"/>
      <c r="E830" s="177"/>
      <c r="F830" s="183"/>
      <c r="G830" s="184"/>
      <c r="H830" s="185"/>
      <c r="I830" s="185"/>
    </row>
    <row r="831" spans="1:9" x14ac:dyDescent="0.25">
      <c r="A831" s="176"/>
      <c r="B831" s="182"/>
      <c r="C831" s="80"/>
      <c r="D831" s="80"/>
      <c r="E831" s="177"/>
      <c r="F831" s="183"/>
      <c r="G831" s="184"/>
      <c r="H831" s="185"/>
      <c r="I831" s="185"/>
    </row>
    <row r="832" spans="1:9" x14ac:dyDescent="0.25">
      <c r="A832" s="176"/>
      <c r="B832" s="182"/>
      <c r="C832" s="80"/>
      <c r="D832" s="80"/>
      <c r="E832" s="177"/>
      <c r="F832" s="183"/>
      <c r="G832" s="184"/>
      <c r="H832" s="185"/>
      <c r="I832" s="185"/>
    </row>
    <row r="833" spans="1:9" x14ac:dyDescent="0.25">
      <c r="A833" s="176"/>
      <c r="B833" s="182"/>
      <c r="C833" s="80"/>
      <c r="D833" s="80"/>
      <c r="E833" s="177"/>
      <c r="F833" s="183"/>
      <c r="G833" s="184"/>
      <c r="H833" s="185"/>
      <c r="I833" s="185"/>
    </row>
    <row r="834" spans="1:9" x14ac:dyDescent="0.25">
      <c r="A834" s="176"/>
      <c r="B834" s="182"/>
      <c r="C834" s="80"/>
      <c r="D834" s="80"/>
      <c r="E834" s="177"/>
      <c r="F834" s="183"/>
      <c r="G834" s="184"/>
      <c r="H834" s="185"/>
      <c r="I834" s="185"/>
    </row>
    <row r="835" spans="1:9" x14ac:dyDescent="0.25">
      <c r="A835" s="176"/>
      <c r="B835" s="182"/>
      <c r="C835" s="80"/>
      <c r="D835" s="80"/>
      <c r="E835" s="177"/>
      <c r="F835" s="183"/>
      <c r="G835" s="184"/>
      <c r="H835" s="185"/>
      <c r="I835" s="185"/>
    </row>
    <row r="836" spans="1:9" x14ac:dyDescent="0.25">
      <c r="A836" s="176"/>
      <c r="B836" s="182"/>
      <c r="C836" s="80"/>
      <c r="D836" s="80"/>
      <c r="E836" s="177"/>
      <c r="F836" s="183"/>
      <c r="G836" s="184"/>
      <c r="H836" s="185"/>
      <c r="I836" s="185"/>
    </row>
    <row r="837" spans="1:9" x14ac:dyDescent="0.25">
      <c r="A837" s="176"/>
      <c r="B837" s="182"/>
      <c r="C837" s="80"/>
      <c r="D837" s="80"/>
      <c r="E837" s="177"/>
      <c r="F837" s="183"/>
      <c r="G837" s="184"/>
      <c r="H837" s="185"/>
      <c r="I837" s="185"/>
    </row>
    <row r="838" spans="1:9" x14ac:dyDescent="0.25">
      <c r="A838" s="176"/>
      <c r="B838" s="182"/>
      <c r="C838" s="80"/>
      <c r="D838" s="80"/>
      <c r="E838" s="177"/>
      <c r="F838" s="183"/>
      <c r="G838" s="184"/>
      <c r="H838" s="185"/>
      <c r="I838" s="185"/>
    </row>
    <row r="839" spans="1:9" x14ac:dyDescent="0.25">
      <c r="A839" s="176"/>
      <c r="B839" s="182"/>
      <c r="C839" s="80"/>
      <c r="D839" s="80"/>
      <c r="E839" s="177"/>
      <c r="F839" s="183"/>
      <c r="G839" s="184"/>
      <c r="H839" s="185"/>
      <c r="I839" s="185"/>
    </row>
    <row r="840" spans="1:9" x14ac:dyDescent="0.25">
      <c r="A840" s="176"/>
      <c r="B840" s="182"/>
      <c r="C840" s="80"/>
      <c r="D840" s="80"/>
      <c r="E840" s="177"/>
      <c r="F840" s="183"/>
      <c r="G840" s="184"/>
      <c r="H840" s="185"/>
      <c r="I840" s="185"/>
    </row>
    <row r="841" spans="1:9" x14ac:dyDescent="0.25">
      <c r="A841" s="176"/>
      <c r="B841" s="182"/>
      <c r="C841" s="80"/>
      <c r="D841" s="80"/>
      <c r="E841" s="177"/>
      <c r="F841" s="183"/>
      <c r="G841" s="184"/>
      <c r="H841" s="185"/>
      <c r="I841" s="185"/>
    </row>
    <row r="842" spans="1:9" x14ac:dyDescent="0.25">
      <c r="A842" s="176"/>
      <c r="B842" s="182"/>
      <c r="C842" s="80"/>
      <c r="D842" s="80"/>
      <c r="E842" s="177"/>
      <c r="F842" s="183"/>
      <c r="G842" s="184"/>
      <c r="H842" s="185"/>
      <c r="I842" s="185"/>
    </row>
    <row r="843" spans="1:9" x14ac:dyDescent="0.25">
      <c r="A843" s="176"/>
      <c r="B843" s="182"/>
      <c r="C843" s="80"/>
      <c r="D843" s="80"/>
      <c r="E843" s="177"/>
      <c r="F843" s="183"/>
      <c r="G843" s="184"/>
      <c r="H843" s="185"/>
      <c r="I843" s="185"/>
    </row>
    <row r="844" spans="1:9" x14ac:dyDescent="0.25">
      <c r="A844" s="176"/>
      <c r="B844" s="182"/>
      <c r="C844" s="80"/>
      <c r="D844" s="80"/>
      <c r="E844" s="177"/>
      <c r="F844" s="183"/>
      <c r="G844" s="184"/>
      <c r="H844" s="185"/>
      <c r="I844" s="185"/>
    </row>
    <row r="845" spans="1:9" x14ac:dyDescent="0.25">
      <c r="A845" s="176"/>
      <c r="B845" s="182"/>
      <c r="C845" s="80"/>
      <c r="D845" s="80"/>
      <c r="E845" s="177"/>
      <c r="F845" s="183"/>
      <c r="G845" s="184"/>
      <c r="H845" s="185"/>
      <c r="I845" s="185"/>
    </row>
    <row r="846" spans="1:9" x14ac:dyDescent="0.25">
      <c r="A846" s="176"/>
      <c r="B846" s="182"/>
      <c r="C846" s="80"/>
      <c r="D846" s="80"/>
      <c r="E846" s="177"/>
      <c r="F846" s="183"/>
      <c r="G846" s="184"/>
      <c r="H846" s="185"/>
      <c r="I846" s="185"/>
    </row>
    <row r="847" spans="1:9" x14ac:dyDescent="0.25">
      <c r="A847" s="176"/>
      <c r="B847" s="182"/>
      <c r="C847" s="80"/>
      <c r="D847" s="80"/>
      <c r="E847" s="177"/>
      <c r="F847" s="183"/>
      <c r="G847" s="184"/>
      <c r="H847" s="185"/>
      <c r="I847" s="185"/>
    </row>
    <row r="848" spans="1:9" x14ac:dyDescent="0.25">
      <c r="A848" s="176"/>
      <c r="B848" s="182"/>
      <c r="C848" s="80"/>
      <c r="D848" s="80"/>
      <c r="E848" s="177"/>
      <c r="F848" s="183"/>
      <c r="G848" s="184"/>
      <c r="H848" s="185"/>
      <c r="I848" s="185"/>
    </row>
    <row r="849" spans="1:9" x14ac:dyDescent="0.25">
      <c r="A849" s="176"/>
      <c r="B849" s="182"/>
      <c r="C849" s="80"/>
      <c r="D849" s="80"/>
      <c r="E849" s="177"/>
      <c r="F849" s="183"/>
      <c r="G849" s="184"/>
      <c r="H849" s="185"/>
      <c r="I849" s="185"/>
    </row>
    <row r="850" spans="1:9" x14ac:dyDescent="0.25">
      <c r="A850" s="176"/>
      <c r="B850" s="182"/>
      <c r="C850" s="80"/>
      <c r="D850" s="80"/>
      <c r="E850" s="177"/>
      <c r="F850" s="183"/>
      <c r="G850" s="184"/>
      <c r="H850" s="185"/>
      <c r="I850" s="185"/>
    </row>
    <row r="851" spans="1:9" x14ac:dyDescent="0.25">
      <c r="A851" s="176"/>
      <c r="B851" s="182"/>
      <c r="C851" s="80"/>
      <c r="D851" s="80"/>
      <c r="E851" s="177"/>
      <c r="F851" s="183"/>
      <c r="G851" s="184"/>
      <c r="H851" s="185"/>
      <c r="I851" s="185"/>
    </row>
    <row r="852" spans="1:9" x14ac:dyDescent="0.25">
      <c r="A852" s="176"/>
      <c r="B852" s="182"/>
      <c r="C852" s="80"/>
      <c r="D852" s="80"/>
      <c r="E852" s="177"/>
      <c r="F852" s="183"/>
      <c r="G852" s="184"/>
      <c r="H852" s="185"/>
      <c r="I852" s="185"/>
    </row>
    <row r="853" spans="1:9" x14ac:dyDescent="0.25">
      <c r="A853" s="176"/>
      <c r="B853" s="182"/>
      <c r="C853" s="80"/>
      <c r="D853" s="80"/>
      <c r="E853" s="177"/>
      <c r="F853" s="183"/>
      <c r="G853" s="184"/>
      <c r="H853" s="185"/>
      <c r="I853" s="185"/>
    </row>
    <row r="854" spans="1:9" x14ac:dyDescent="0.25">
      <c r="A854" s="176"/>
      <c r="B854" s="182"/>
      <c r="C854" s="80"/>
      <c r="D854" s="80"/>
      <c r="E854" s="177"/>
      <c r="F854" s="183"/>
      <c r="G854" s="184"/>
      <c r="H854" s="185"/>
      <c r="I854" s="185"/>
    </row>
    <row r="855" spans="1:9" x14ac:dyDescent="0.25">
      <c r="A855" s="176"/>
      <c r="B855" s="182"/>
      <c r="C855" s="80"/>
      <c r="D855" s="80"/>
      <c r="E855" s="177"/>
      <c r="F855" s="183"/>
      <c r="G855" s="184"/>
      <c r="H855" s="185"/>
      <c r="I855" s="185"/>
    </row>
    <row r="856" spans="1:9" x14ac:dyDescent="0.25">
      <c r="A856" s="176"/>
      <c r="B856" s="182"/>
      <c r="C856" s="80"/>
      <c r="D856" s="80"/>
      <c r="E856" s="177"/>
      <c r="F856" s="183"/>
      <c r="G856" s="184"/>
      <c r="H856" s="185"/>
      <c r="I856" s="185"/>
    </row>
    <row r="857" spans="1:9" x14ac:dyDescent="0.25">
      <c r="A857" s="176"/>
      <c r="B857" s="182"/>
      <c r="C857" s="80"/>
      <c r="D857" s="80"/>
      <c r="E857" s="177"/>
      <c r="F857" s="183"/>
      <c r="G857" s="184"/>
      <c r="H857" s="185"/>
      <c r="I857" s="185"/>
    </row>
    <row r="858" spans="1:9" x14ac:dyDescent="0.25">
      <c r="A858" s="176"/>
      <c r="B858" s="182"/>
      <c r="C858" s="80"/>
      <c r="D858" s="80"/>
      <c r="E858" s="177"/>
      <c r="F858" s="183"/>
      <c r="G858" s="184"/>
      <c r="H858" s="185"/>
      <c r="I858" s="185"/>
    </row>
    <row r="859" spans="1:9" x14ac:dyDescent="0.25">
      <c r="A859" s="176"/>
      <c r="B859" s="182"/>
      <c r="C859" s="80"/>
      <c r="D859" s="80"/>
      <c r="E859" s="177"/>
      <c r="F859" s="183"/>
      <c r="G859" s="184"/>
      <c r="H859" s="185"/>
      <c r="I859" s="185"/>
    </row>
    <row r="860" spans="1:9" x14ac:dyDescent="0.25">
      <c r="A860" s="176"/>
      <c r="B860" s="182"/>
      <c r="C860" s="80"/>
      <c r="D860" s="80"/>
      <c r="E860" s="177"/>
      <c r="F860" s="183"/>
      <c r="G860" s="184"/>
      <c r="H860" s="185"/>
      <c r="I860" s="185"/>
    </row>
    <row r="861" spans="1:9" x14ac:dyDescent="0.25">
      <c r="A861" s="176"/>
      <c r="B861" s="182"/>
      <c r="C861" s="80"/>
      <c r="D861" s="80"/>
      <c r="E861" s="177"/>
      <c r="F861" s="183"/>
      <c r="G861" s="184"/>
      <c r="H861" s="185"/>
      <c r="I861" s="185"/>
    </row>
    <row r="862" spans="1:9" x14ac:dyDescent="0.25">
      <c r="A862" s="176"/>
      <c r="B862" s="182"/>
      <c r="C862" s="80"/>
      <c r="D862" s="80"/>
      <c r="E862" s="177"/>
      <c r="F862" s="183"/>
      <c r="G862" s="184"/>
      <c r="H862" s="185"/>
      <c r="I862" s="185"/>
    </row>
    <row r="863" spans="1:9" x14ac:dyDescent="0.25">
      <c r="A863" s="176"/>
      <c r="B863" s="182"/>
      <c r="C863" s="80"/>
      <c r="D863" s="80"/>
      <c r="E863" s="177"/>
      <c r="F863" s="183"/>
      <c r="G863" s="184"/>
      <c r="H863" s="185"/>
      <c r="I863" s="185"/>
    </row>
    <row r="864" spans="1:9" x14ac:dyDescent="0.25">
      <c r="A864" s="176"/>
      <c r="B864" s="182"/>
      <c r="C864" s="80"/>
      <c r="D864" s="80"/>
      <c r="E864" s="177"/>
      <c r="F864" s="183"/>
      <c r="G864" s="184"/>
      <c r="H864" s="185"/>
      <c r="I864" s="185"/>
    </row>
    <row r="865" spans="1:9" x14ac:dyDescent="0.25">
      <c r="A865" s="176"/>
      <c r="B865" s="182"/>
      <c r="C865" s="80"/>
      <c r="D865" s="80"/>
      <c r="E865" s="177"/>
      <c r="F865" s="183"/>
      <c r="G865" s="184"/>
      <c r="H865" s="185"/>
      <c r="I865" s="185"/>
    </row>
    <row r="866" spans="1:9" x14ac:dyDescent="0.25">
      <c r="A866" s="176"/>
      <c r="B866" s="182"/>
      <c r="C866" s="80"/>
      <c r="D866" s="80"/>
      <c r="E866" s="177"/>
      <c r="F866" s="183"/>
      <c r="G866" s="184"/>
      <c r="H866" s="185"/>
      <c r="I866" s="185"/>
    </row>
    <row r="867" spans="1:9" x14ac:dyDescent="0.25">
      <c r="A867" s="176"/>
      <c r="B867" s="182"/>
      <c r="C867" s="80"/>
      <c r="D867" s="80"/>
      <c r="E867" s="177"/>
      <c r="F867" s="183"/>
      <c r="G867" s="184"/>
      <c r="H867" s="185"/>
      <c r="I867" s="185"/>
    </row>
    <row r="868" spans="1:9" x14ac:dyDescent="0.25">
      <c r="A868" s="176"/>
      <c r="B868" s="182"/>
      <c r="C868" s="80"/>
      <c r="D868" s="80"/>
      <c r="E868" s="177"/>
      <c r="F868" s="183"/>
      <c r="G868" s="184"/>
      <c r="H868" s="185"/>
      <c r="I868" s="185"/>
    </row>
    <row r="869" spans="1:9" x14ac:dyDescent="0.25">
      <c r="A869" s="176"/>
      <c r="B869" s="182"/>
      <c r="C869" s="80"/>
      <c r="D869" s="80"/>
      <c r="E869" s="177"/>
      <c r="F869" s="183"/>
      <c r="G869" s="184"/>
      <c r="H869" s="185"/>
      <c r="I869" s="185"/>
    </row>
    <row r="870" spans="1:9" x14ac:dyDescent="0.25">
      <c r="A870" s="176"/>
      <c r="B870" s="182"/>
      <c r="C870" s="80"/>
      <c r="D870" s="80"/>
      <c r="E870" s="177"/>
      <c r="F870" s="183"/>
      <c r="G870" s="184"/>
      <c r="H870" s="185"/>
      <c r="I870" s="185"/>
    </row>
    <row r="871" spans="1:9" x14ac:dyDescent="0.25">
      <c r="A871" s="176"/>
      <c r="B871" s="182"/>
      <c r="C871" s="80"/>
      <c r="D871" s="80"/>
      <c r="E871" s="177"/>
      <c r="F871" s="183"/>
      <c r="G871" s="184"/>
      <c r="H871" s="185"/>
      <c r="I871" s="185"/>
    </row>
    <row r="872" spans="1:9" x14ac:dyDescent="0.25">
      <c r="A872" s="176"/>
      <c r="B872" s="182"/>
      <c r="C872" s="80"/>
      <c r="D872" s="80"/>
      <c r="E872" s="177"/>
      <c r="F872" s="183"/>
      <c r="G872" s="184"/>
      <c r="H872" s="185"/>
      <c r="I872" s="185"/>
    </row>
    <row r="873" spans="1:9" x14ac:dyDescent="0.25">
      <c r="A873" s="176"/>
      <c r="B873" s="182"/>
      <c r="C873" s="80"/>
      <c r="D873" s="80"/>
      <c r="E873" s="177"/>
      <c r="F873" s="183"/>
      <c r="G873" s="184"/>
      <c r="H873" s="185"/>
      <c r="I873" s="185"/>
    </row>
    <row r="874" spans="1:9" x14ac:dyDescent="0.25">
      <c r="A874" s="176"/>
      <c r="B874" s="182"/>
      <c r="C874" s="80"/>
      <c r="D874" s="80"/>
      <c r="E874" s="177"/>
      <c r="F874" s="183"/>
      <c r="G874" s="184"/>
      <c r="H874" s="185"/>
      <c r="I874" s="185"/>
    </row>
    <row r="875" spans="1:9" x14ac:dyDescent="0.25">
      <c r="A875" s="176"/>
      <c r="B875" s="182"/>
      <c r="C875" s="80"/>
      <c r="D875" s="80"/>
      <c r="E875" s="177"/>
      <c r="F875" s="183"/>
      <c r="G875" s="184"/>
      <c r="H875" s="185"/>
      <c r="I875" s="185"/>
    </row>
    <row r="876" spans="1:9" x14ac:dyDescent="0.25">
      <c r="A876" s="176"/>
      <c r="B876" s="182"/>
      <c r="C876" s="80"/>
      <c r="D876" s="80"/>
      <c r="E876" s="177"/>
      <c r="F876" s="183"/>
      <c r="G876" s="184"/>
      <c r="H876" s="185"/>
      <c r="I876" s="185"/>
    </row>
    <row r="877" spans="1:9" x14ac:dyDescent="0.25">
      <c r="A877" s="176"/>
      <c r="B877" s="182"/>
      <c r="C877" s="80"/>
      <c r="D877" s="80"/>
      <c r="E877" s="177"/>
      <c r="F877" s="183"/>
      <c r="G877" s="184"/>
      <c r="H877" s="185"/>
      <c r="I877" s="185"/>
    </row>
    <row r="878" spans="1:9" x14ac:dyDescent="0.25">
      <c r="A878" s="176"/>
      <c r="B878" s="182"/>
      <c r="C878" s="80"/>
      <c r="D878" s="80"/>
      <c r="E878" s="177"/>
      <c r="F878" s="183"/>
      <c r="G878" s="184"/>
      <c r="H878" s="185"/>
      <c r="I878" s="185"/>
    </row>
    <row r="879" spans="1:9" x14ac:dyDescent="0.25">
      <c r="A879" s="176"/>
      <c r="B879" s="182"/>
      <c r="C879" s="80"/>
      <c r="D879" s="80"/>
      <c r="E879" s="177"/>
      <c r="F879" s="183"/>
      <c r="G879" s="184"/>
      <c r="H879" s="185"/>
      <c r="I879" s="185"/>
    </row>
    <row r="880" spans="1:9" x14ac:dyDescent="0.25">
      <c r="A880" s="176"/>
      <c r="B880" s="182"/>
      <c r="C880" s="80"/>
      <c r="D880" s="80"/>
      <c r="E880" s="177"/>
      <c r="F880" s="183"/>
      <c r="G880" s="184"/>
      <c r="H880" s="185"/>
      <c r="I880" s="185"/>
    </row>
    <row r="881" spans="1:9" x14ac:dyDescent="0.25">
      <c r="A881" s="176"/>
      <c r="B881" s="182"/>
      <c r="C881" s="80"/>
      <c r="D881" s="80"/>
      <c r="E881" s="177"/>
      <c r="F881" s="183"/>
      <c r="G881" s="184"/>
      <c r="H881" s="185"/>
      <c r="I881" s="185"/>
    </row>
    <row r="882" spans="1:9" x14ac:dyDescent="0.25">
      <c r="A882" s="176"/>
      <c r="B882" s="182"/>
      <c r="C882" s="80"/>
      <c r="D882" s="80"/>
      <c r="E882" s="177"/>
      <c r="F882" s="183"/>
      <c r="G882" s="184"/>
      <c r="H882" s="185"/>
      <c r="I882" s="185"/>
    </row>
    <row r="883" spans="1:9" x14ac:dyDescent="0.25">
      <c r="A883" s="176"/>
      <c r="B883" s="182"/>
      <c r="C883" s="80"/>
      <c r="D883" s="80"/>
      <c r="E883" s="177"/>
      <c r="F883" s="183"/>
      <c r="G883" s="184"/>
      <c r="H883" s="185"/>
      <c r="I883" s="185"/>
    </row>
    <row r="884" spans="1:9" x14ac:dyDescent="0.25">
      <c r="A884" s="176"/>
      <c r="B884" s="182"/>
      <c r="C884" s="80"/>
      <c r="D884" s="80"/>
      <c r="E884" s="177"/>
      <c r="F884" s="183"/>
      <c r="G884" s="184"/>
      <c r="H884" s="185"/>
      <c r="I884" s="185"/>
    </row>
    <row r="885" spans="1:9" x14ac:dyDescent="0.25">
      <c r="A885" s="176"/>
      <c r="B885" s="182"/>
      <c r="C885" s="80"/>
      <c r="D885" s="80"/>
      <c r="E885" s="177"/>
      <c r="F885" s="183"/>
      <c r="G885" s="184"/>
      <c r="H885" s="185"/>
      <c r="I885" s="185"/>
    </row>
    <row r="886" spans="1:9" x14ac:dyDescent="0.25">
      <c r="A886" s="176"/>
      <c r="B886" s="182"/>
      <c r="C886" s="80"/>
      <c r="D886" s="80"/>
      <c r="E886" s="177"/>
      <c r="F886" s="183"/>
      <c r="G886" s="184"/>
      <c r="H886" s="185"/>
      <c r="I886" s="185"/>
    </row>
    <row r="887" spans="1:9" x14ac:dyDescent="0.25">
      <c r="A887" s="176"/>
      <c r="B887" s="182"/>
      <c r="C887" s="80"/>
      <c r="D887" s="80"/>
      <c r="E887" s="177"/>
      <c r="F887" s="183"/>
      <c r="G887" s="184"/>
      <c r="H887" s="185"/>
      <c r="I887" s="185"/>
    </row>
    <row r="888" spans="1:9" x14ac:dyDescent="0.25">
      <c r="A888" s="176"/>
      <c r="B888" s="182"/>
      <c r="C888" s="80"/>
      <c r="D888" s="80"/>
      <c r="E888" s="177"/>
      <c r="F888" s="183"/>
      <c r="G888" s="184"/>
      <c r="H888" s="185"/>
      <c r="I888" s="185"/>
    </row>
    <row r="889" spans="1:9" x14ac:dyDescent="0.25">
      <c r="A889" s="176"/>
      <c r="B889" s="182"/>
      <c r="C889" s="80"/>
      <c r="D889" s="80"/>
      <c r="E889" s="177"/>
      <c r="F889" s="183"/>
      <c r="G889" s="184"/>
      <c r="H889" s="185"/>
      <c r="I889" s="185"/>
    </row>
    <row r="890" spans="1:9" x14ac:dyDescent="0.25">
      <c r="A890" s="176"/>
      <c r="B890" s="182"/>
      <c r="C890" s="80"/>
      <c r="D890" s="80"/>
      <c r="E890" s="177"/>
      <c r="F890" s="183"/>
      <c r="G890" s="184"/>
      <c r="H890" s="185"/>
      <c r="I890" s="185"/>
    </row>
    <row r="891" spans="1:9" x14ac:dyDescent="0.25">
      <c r="A891" s="176"/>
      <c r="B891" s="182"/>
      <c r="C891" s="80"/>
      <c r="D891" s="80"/>
      <c r="E891" s="177"/>
      <c r="F891" s="183"/>
      <c r="G891" s="184"/>
      <c r="H891" s="185"/>
      <c r="I891" s="185"/>
    </row>
    <row r="892" spans="1:9" x14ac:dyDescent="0.25">
      <c r="A892" s="176"/>
      <c r="B892" s="182"/>
      <c r="C892" s="80"/>
      <c r="D892" s="80"/>
      <c r="E892" s="177"/>
      <c r="F892" s="183"/>
      <c r="G892" s="184"/>
      <c r="H892" s="185"/>
      <c r="I892" s="185"/>
    </row>
    <row r="893" spans="1:9" x14ac:dyDescent="0.25">
      <c r="A893" s="176"/>
      <c r="B893" s="182"/>
      <c r="C893" s="80"/>
      <c r="D893" s="80"/>
      <c r="E893" s="177"/>
      <c r="F893" s="183"/>
      <c r="G893" s="184"/>
      <c r="H893" s="185"/>
      <c r="I893" s="185"/>
    </row>
    <row r="894" spans="1:9" x14ac:dyDescent="0.25">
      <c r="A894" s="176"/>
      <c r="B894" s="182"/>
      <c r="C894" s="80"/>
      <c r="D894" s="80"/>
      <c r="E894" s="177"/>
      <c r="F894" s="183"/>
      <c r="G894" s="184"/>
      <c r="H894" s="185"/>
      <c r="I894" s="185"/>
    </row>
    <row r="895" spans="1:9" x14ac:dyDescent="0.25">
      <c r="A895" s="176"/>
      <c r="B895" s="182"/>
      <c r="C895" s="80"/>
      <c r="D895" s="80"/>
      <c r="E895" s="177"/>
      <c r="F895" s="183"/>
      <c r="G895" s="184"/>
      <c r="H895" s="185"/>
      <c r="I895" s="185"/>
    </row>
    <row r="896" spans="1:9" x14ac:dyDescent="0.25">
      <c r="A896" s="176"/>
      <c r="B896" s="182"/>
      <c r="C896" s="80"/>
      <c r="D896" s="80"/>
      <c r="E896" s="177"/>
      <c r="F896" s="183"/>
      <c r="G896" s="184"/>
      <c r="H896" s="185"/>
      <c r="I896" s="185"/>
    </row>
    <row r="897" spans="1:9" x14ac:dyDescent="0.25">
      <c r="A897" s="176"/>
      <c r="B897" s="182"/>
      <c r="C897" s="80"/>
      <c r="D897" s="80"/>
      <c r="E897" s="177"/>
      <c r="F897" s="183"/>
      <c r="G897" s="184"/>
      <c r="H897" s="185"/>
      <c r="I897" s="185"/>
    </row>
    <row r="898" spans="1:9" x14ac:dyDescent="0.25">
      <c r="A898" s="176"/>
      <c r="B898" s="182"/>
      <c r="C898" s="80"/>
      <c r="D898" s="80"/>
      <c r="E898" s="177"/>
      <c r="F898" s="183"/>
      <c r="G898" s="184"/>
      <c r="H898" s="185"/>
      <c r="I898" s="185"/>
    </row>
    <row r="899" spans="1:9" x14ac:dyDescent="0.25">
      <c r="A899" s="176"/>
      <c r="B899" s="182"/>
      <c r="C899" s="80"/>
      <c r="D899" s="80"/>
      <c r="E899" s="177"/>
      <c r="F899" s="183"/>
      <c r="G899" s="184"/>
      <c r="H899" s="185"/>
      <c r="I899" s="185"/>
    </row>
    <row r="900" spans="1:9" x14ac:dyDescent="0.25">
      <c r="A900" s="176"/>
      <c r="B900" s="182"/>
      <c r="C900" s="80"/>
      <c r="D900" s="80"/>
      <c r="E900" s="177"/>
      <c r="F900" s="183"/>
      <c r="G900" s="184"/>
      <c r="H900" s="185"/>
      <c r="I900" s="185"/>
    </row>
    <row r="901" spans="1:9" x14ac:dyDescent="0.25">
      <c r="A901" s="176"/>
      <c r="B901" s="182"/>
      <c r="C901" s="80"/>
      <c r="D901" s="80"/>
      <c r="E901" s="177"/>
      <c r="F901" s="183"/>
      <c r="G901" s="184"/>
      <c r="H901" s="185"/>
      <c r="I901" s="185"/>
    </row>
    <row r="902" spans="1:9" x14ac:dyDescent="0.25">
      <c r="A902" s="176"/>
      <c r="B902" s="182"/>
      <c r="C902" s="80"/>
      <c r="D902" s="80"/>
      <c r="E902" s="177"/>
      <c r="F902" s="183"/>
      <c r="G902" s="184"/>
      <c r="H902" s="185"/>
      <c r="I902" s="185"/>
    </row>
    <row r="903" spans="1:9" x14ac:dyDescent="0.25">
      <c r="A903" s="176"/>
      <c r="B903" s="182"/>
      <c r="C903" s="80"/>
      <c r="D903" s="80"/>
      <c r="E903" s="177"/>
      <c r="F903" s="183"/>
      <c r="G903" s="184"/>
      <c r="H903" s="185"/>
      <c r="I903" s="185"/>
    </row>
    <row r="904" spans="1:9" x14ac:dyDescent="0.25">
      <c r="A904" s="176"/>
      <c r="B904" s="182"/>
      <c r="C904" s="80"/>
      <c r="D904" s="80"/>
      <c r="E904" s="177"/>
      <c r="F904" s="183"/>
      <c r="G904" s="184"/>
      <c r="H904" s="185"/>
      <c r="I904" s="185"/>
    </row>
    <row r="905" spans="1:9" x14ac:dyDescent="0.25">
      <c r="A905" s="176"/>
      <c r="B905" s="182"/>
      <c r="C905" s="80"/>
      <c r="D905" s="80"/>
      <c r="E905" s="177"/>
      <c r="F905" s="183"/>
      <c r="G905" s="184"/>
      <c r="H905" s="185"/>
      <c r="I905" s="185"/>
    </row>
    <row r="906" spans="1:9" x14ac:dyDescent="0.25">
      <c r="A906" s="176"/>
      <c r="B906" s="182"/>
      <c r="C906" s="80"/>
      <c r="D906" s="80"/>
      <c r="E906" s="177"/>
      <c r="F906" s="183"/>
      <c r="G906" s="184"/>
      <c r="H906" s="185"/>
      <c r="I906" s="185"/>
    </row>
    <row r="907" spans="1:9" x14ac:dyDescent="0.25">
      <c r="A907" s="176"/>
      <c r="B907" s="182"/>
      <c r="C907" s="80"/>
      <c r="D907" s="80"/>
      <c r="E907" s="177"/>
      <c r="F907" s="183"/>
      <c r="G907" s="184"/>
      <c r="H907" s="185"/>
      <c r="I907" s="185"/>
    </row>
    <row r="908" spans="1:9" x14ac:dyDescent="0.25">
      <c r="A908" s="176"/>
      <c r="B908" s="182"/>
      <c r="C908" s="80"/>
      <c r="D908" s="80"/>
      <c r="E908" s="177"/>
      <c r="F908" s="183"/>
      <c r="G908" s="184"/>
      <c r="H908" s="185"/>
      <c r="I908" s="185"/>
    </row>
    <row r="909" spans="1:9" x14ac:dyDescent="0.25">
      <c r="A909" s="176"/>
      <c r="B909" s="182"/>
      <c r="C909" s="80"/>
      <c r="D909" s="80"/>
      <c r="E909" s="177"/>
      <c r="F909" s="183"/>
      <c r="G909" s="184"/>
      <c r="H909" s="185"/>
      <c r="I909" s="185"/>
    </row>
    <row r="910" spans="1:9" x14ac:dyDescent="0.25">
      <c r="A910" s="176"/>
      <c r="B910" s="182"/>
      <c r="C910" s="80"/>
      <c r="D910" s="80"/>
      <c r="E910" s="177"/>
      <c r="F910" s="183"/>
      <c r="G910" s="184"/>
      <c r="H910" s="185"/>
      <c r="I910" s="185"/>
    </row>
    <row r="911" spans="1:9" x14ac:dyDescent="0.25">
      <c r="A911" s="176"/>
      <c r="B911" s="182"/>
      <c r="C911" s="80"/>
      <c r="D911" s="80"/>
      <c r="E911" s="177"/>
      <c r="F911" s="183"/>
      <c r="G911" s="184"/>
      <c r="H911" s="185"/>
      <c r="I911" s="185"/>
    </row>
    <row r="912" spans="1:9" x14ac:dyDescent="0.25">
      <c r="A912" s="176"/>
      <c r="B912" s="182"/>
      <c r="C912" s="80"/>
      <c r="D912" s="80"/>
      <c r="E912" s="177"/>
      <c r="F912" s="183"/>
      <c r="G912" s="184"/>
      <c r="H912" s="185"/>
      <c r="I912" s="185"/>
    </row>
    <row r="913" spans="1:9" x14ac:dyDescent="0.25">
      <c r="A913" s="176"/>
      <c r="B913" s="182"/>
      <c r="C913" s="80"/>
      <c r="D913" s="80"/>
      <c r="E913" s="177"/>
      <c r="F913" s="183"/>
      <c r="G913" s="184"/>
      <c r="H913" s="185"/>
      <c r="I913" s="185"/>
    </row>
    <row r="914" spans="1:9" x14ac:dyDescent="0.25">
      <c r="A914" s="176"/>
      <c r="B914" s="182"/>
      <c r="C914" s="80"/>
      <c r="D914" s="80"/>
      <c r="E914" s="177"/>
      <c r="F914" s="183"/>
      <c r="G914" s="184"/>
      <c r="H914" s="185"/>
      <c r="I914" s="185"/>
    </row>
    <row r="915" spans="1:9" x14ac:dyDescent="0.25">
      <c r="A915" s="176"/>
      <c r="B915" s="182"/>
      <c r="C915" s="80"/>
      <c r="D915" s="80"/>
      <c r="E915" s="177"/>
      <c r="F915" s="183"/>
      <c r="G915" s="184"/>
      <c r="H915" s="185"/>
      <c r="I915" s="185"/>
    </row>
    <row r="916" spans="1:9" x14ac:dyDescent="0.25">
      <c r="A916" s="176"/>
      <c r="B916" s="182"/>
      <c r="C916" s="80"/>
      <c r="D916" s="80"/>
      <c r="E916" s="177"/>
      <c r="F916" s="183"/>
      <c r="G916" s="184"/>
      <c r="H916" s="185"/>
      <c r="I916" s="185"/>
    </row>
    <row r="917" spans="1:9" x14ac:dyDescent="0.25">
      <c r="A917" s="176"/>
      <c r="B917" s="182"/>
      <c r="C917" s="80"/>
      <c r="D917" s="80"/>
      <c r="E917" s="177"/>
      <c r="F917" s="183"/>
      <c r="G917" s="184"/>
      <c r="H917" s="185"/>
      <c r="I917" s="185"/>
    </row>
    <row r="918" spans="1:9" x14ac:dyDescent="0.25">
      <c r="A918" s="176"/>
      <c r="B918" s="182"/>
      <c r="C918" s="80"/>
      <c r="D918" s="80"/>
      <c r="E918" s="177"/>
      <c r="F918" s="183"/>
      <c r="G918" s="184"/>
      <c r="H918" s="185"/>
      <c r="I918" s="185"/>
    </row>
    <row r="919" spans="1:9" x14ac:dyDescent="0.25">
      <c r="A919" s="176"/>
      <c r="B919" s="182"/>
      <c r="C919" s="80"/>
      <c r="D919" s="80"/>
      <c r="E919" s="177"/>
      <c r="F919" s="183"/>
      <c r="G919" s="184"/>
      <c r="H919" s="185"/>
      <c r="I919" s="185"/>
    </row>
    <row r="920" spans="1:9" x14ac:dyDescent="0.25">
      <c r="A920" s="176"/>
      <c r="B920" s="182"/>
      <c r="C920" s="80"/>
      <c r="D920" s="80"/>
      <c r="E920" s="177"/>
      <c r="F920" s="183"/>
      <c r="G920" s="184"/>
      <c r="H920" s="185"/>
      <c r="I920" s="185"/>
    </row>
    <row r="921" spans="1:9" x14ac:dyDescent="0.25">
      <c r="A921" s="176"/>
      <c r="B921" s="182"/>
      <c r="C921" s="80"/>
      <c r="D921" s="80"/>
      <c r="E921" s="177"/>
      <c r="F921" s="183"/>
      <c r="G921" s="184"/>
      <c r="H921" s="185"/>
      <c r="I921" s="185"/>
    </row>
    <row r="922" spans="1:9" x14ac:dyDescent="0.25">
      <c r="A922" s="176"/>
      <c r="B922" s="182"/>
      <c r="C922" s="80"/>
      <c r="D922" s="80"/>
      <c r="E922" s="177"/>
      <c r="F922" s="183"/>
      <c r="G922" s="184"/>
      <c r="H922" s="185"/>
      <c r="I922" s="185"/>
    </row>
    <row r="923" spans="1:9" x14ac:dyDescent="0.25">
      <c r="A923" s="176"/>
      <c r="B923" s="182"/>
      <c r="C923" s="80"/>
      <c r="D923" s="80"/>
      <c r="E923" s="177"/>
      <c r="F923" s="183"/>
      <c r="G923" s="184"/>
      <c r="H923" s="185"/>
      <c r="I923" s="185"/>
    </row>
    <row r="924" spans="1:9" x14ac:dyDescent="0.25">
      <c r="A924" s="176"/>
      <c r="B924" s="182"/>
      <c r="C924" s="80"/>
      <c r="D924" s="80"/>
      <c r="E924" s="177"/>
      <c r="F924" s="183"/>
      <c r="G924" s="184"/>
      <c r="H924" s="185"/>
      <c r="I924" s="185"/>
    </row>
    <row r="925" spans="1:9" x14ac:dyDescent="0.25">
      <c r="A925" s="176"/>
      <c r="B925" s="182"/>
      <c r="C925" s="80"/>
      <c r="D925" s="80"/>
      <c r="E925" s="177"/>
      <c r="F925" s="183"/>
      <c r="G925" s="184"/>
      <c r="H925" s="185"/>
      <c r="I925" s="185"/>
    </row>
    <row r="926" spans="1:9" x14ac:dyDescent="0.25">
      <c r="A926" s="176"/>
      <c r="B926" s="182"/>
      <c r="C926" s="80"/>
      <c r="D926" s="80"/>
      <c r="E926" s="177"/>
      <c r="F926" s="183"/>
      <c r="G926" s="184"/>
      <c r="H926" s="185"/>
      <c r="I926" s="185"/>
    </row>
    <row r="927" spans="1:9" x14ac:dyDescent="0.25">
      <c r="A927" s="176"/>
      <c r="B927" s="182"/>
      <c r="C927" s="80"/>
      <c r="D927" s="80"/>
      <c r="E927" s="177"/>
      <c r="F927" s="183"/>
      <c r="G927" s="184"/>
      <c r="H927" s="185"/>
      <c r="I927" s="185"/>
    </row>
    <row r="928" spans="1:9" x14ac:dyDescent="0.25">
      <c r="A928" s="176"/>
      <c r="B928" s="182"/>
      <c r="C928" s="80"/>
      <c r="D928" s="80"/>
      <c r="E928" s="177"/>
      <c r="F928" s="183"/>
      <c r="G928" s="184"/>
      <c r="H928" s="185"/>
      <c r="I928" s="185"/>
    </row>
    <row r="929" spans="1:9" x14ac:dyDescent="0.25">
      <c r="A929" s="176"/>
      <c r="B929" s="182"/>
      <c r="C929" s="80"/>
      <c r="D929" s="80"/>
      <c r="E929" s="177"/>
      <c r="F929" s="183"/>
      <c r="G929" s="184"/>
      <c r="H929" s="185"/>
      <c r="I929" s="185"/>
    </row>
    <row r="930" spans="1:9" x14ac:dyDescent="0.25">
      <c r="A930" s="176"/>
      <c r="B930" s="182"/>
      <c r="C930" s="80"/>
      <c r="D930" s="80"/>
      <c r="E930" s="177"/>
      <c r="F930" s="183"/>
      <c r="G930" s="184"/>
      <c r="H930" s="185"/>
      <c r="I930" s="185"/>
    </row>
    <row r="931" spans="1:9" x14ac:dyDescent="0.25">
      <c r="A931" s="176"/>
      <c r="B931" s="182"/>
      <c r="C931" s="80"/>
      <c r="D931" s="80"/>
      <c r="E931" s="177"/>
      <c r="F931" s="183"/>
      <c r="G931" s="184"/>
      <c r="H931" s="185"/>
      <c r="I931" s="185"/>
    </row>
    <row r="932" spans="1:9" x14ac:dyDescent="0.25">
      <c r="A932" s="176"/>
      <c r="B932" s="182"/>
      <c r="C932" s="80"/>
      <c r="D932" s="80"/>
      <c r="E932" s="177"/>
      <c r="F932" s="183"/>
      <c r="G932" s="184"/>
      <c r="H932" s="185"/>
      <c r="I932" s="185"/>
    </row>
    <row r="933" spans="1:9" x14ac:dyDescent="0.25">
      <c r="A933" s="176"/>
      <c r="B933" s="182"/>
      <c r="C933" s="80"/>
      <c r="D933" s="80"/>
      <c r="E933" s="177"/>
      <c r="F933" s="183"/>
      <c r="G933" s="184"/>
      <c r="H933" s="185"/>
      <c r="I933" s="185"/>
    </row>
    <row r="934" spans="1:9" x14ac:dyDescent="0.25">
      <c r="A934" s="176"/>
      <c r="B934" s="182"/>
      <c r="C934" s="80"/>
      <c r="D934" s="80"/>
      <c r="E934" s="177"/>
      <c r="F934" s="183"/>
      <c r="G934" s="184"/>
      <c r="H934" s="185"/>
      <c r="I934" s="185"/>
    </row>
    <row r="935" spans="1:9" x14ac:dyDescent="0.25">
      <c r="A935" s="176"/>
      <c r="B935" s="182"/>
      <c r="C935" s="80"/>
      <c r="D935" s="80"/>
      <c r="E935" s="177"/>
      <c r="F935" s="183"/>
      <c r="G935" s="184"/>
      <c r="H935" s="185"/>
      <c r="I935" s="185"/>
    </row>
    <row r="936" spans="1:9" x14ac:dyDescent="0.25">
      <c r="A936" s="176"/>
      <c r="B936" s="182"/>
      <c r="C936" s="80"/>
      <c r="D936" s="80"/>
      <c r="E936" s="177"/>
      <c r="F936" s="183"/>
      <c r="G936" s="184"/>
      <c r="H936" s="185"/>
      <c r="I936" s="185"/>
    </row>
    <row r="937" spans="1:9" x14ac:dyDescent="0.25">
      <c r="A937" s="176"/>
      <c r="B937" s="182"/>
      <c r="C937" s="80"/>
      <c r="D937" s="80"/>
      <c r="E937" s="177"/>
      <c r="F937" s="183"/>
      <c r="G937" s="184"/>
      <c r="H937" s="185"/>
      <c r="I937" s="185"/>
    </row>
    <row r="938" spans="1:9" x14ac:dyDescent="0.25">
      <c r="A938" s="176"/>
      <c r="B938" s="182"/>
      <c r="C938" s="80"/>
      <c r="D938" s="80"/>
      <c r="E938" s="177"/>
      <c r="F938" s="183"/>
      <c r="G938" s="184"/>
      <c r="H938" s="185"/>
      <c r="I938" s="185"/>
    </row>
    <row r="939" spans="1:9" x14ac:dyDescent="0.25">
      <c r="A939" s="176"/>
      <c r="B939" s="182"/>
      <c r="C939" s="80"/>
      <c r="D939" s="80"/>
      <c r="E939" s="177"/>
      <c r="F939" s="183"/>
      <c r="G939" s="184"/>
      <c r="H939" s="185"/>
      <c r="I939" s="185"/>
    </row>
    <row r="940" spans="1:9" x14ac:dyDescent="0.25">
      <c r="A940" s="176"/>
      <c r="B940" s="182"/>
      <c r="C940" s="80"/>
      <c r="D940" s="80"/>
      <c r="E940" s="177"/>
      <c r="F940" s="183"/>
      <c r="G940" s="184"/>
      <c r="H940" s="185"/>
      <c r="I940" s="185"/>
    </row>
    <row r="941" spans="1:9" x14ac:dyDescent="0.25">
      <c r="A941" s="176"/>
      <c r="B941" s="182"/>
      <c r="C941" s="80"/>
      <c r="D941" s="80"/>
      <c r="E941" s="177"/>
      <c r="F941" s="183"/>
      <c r="G941" s="184"/>
      <c r="H941" s="185"/>
      <c r="I941" s="185"/>
    </row>
    <row r="942" spans="1:9" x14ac:dyDescent="0.25">
      <c r="A942" s="176"/>
      <c r="B942" s="182"/>
      <c r="C942" s="80"/>
      <c r="D942" s="80"/>
      <c r="E942" s="177"/>
      <c r="F942" s="183"/>
      <c r="G942" s="184"/>
      <c r="H942" s="185"/>
      <c r="I942" s="185"/>
    </row>
    <row r="943" spans="1:9" x14ac:dyDescent="0.25">
      <c r="A943" s="176"/>
      <c r="B943" s="182"/>
      <c r="C943" s="80"/>
      <c r="D943" s="80"/>
      <c r="E943" s="177"/>
      <c r="F943" s="183"/>
      <c r="G943" s="184"/>
      <c r="H943" s="185"/>
      <c r="I943" s="185"/>
    </row>
    <row r="944" spans="1:9" x14ac:dyDescent="0.25">
      <c r="A944" s="176"/>
      <c r="B944" s="182"/>
      <c r="C944" s="80"/>
      <c r="D944" s="80"/>
      <c r="E944" s="177"/>
      <c r="F944" s="183"/>
      <c r="G944" s="184"/>
      <c r="H944" s="185"/>
      <c r="I944" s="185"/>
    </row>
    <row r="945" spans="1:9" x14ac:dyDescent="0.25">
      <c r="A945" s="176"/>
      <c r="B945" s="182"/>
      <c r="C945" s="80"/>
      <c r="D945" s="80"/>
      <c r="E945" s="177"/>
      <c r="F945" s="183"/>
      <c r="G945" s="184"/>
      <c r="H945" s="185"/>
      <c r="I945" s="185"/>
    </row>
    <row r="946" spans="1:9" x14ac:dyDescent="0.25">
      <c r="A946" s="176"/>
      <c r="B946" s="182"/>
      <c r="C946" s="80"/>
      <c r="D946" s="80"/>
      <c r="E946" s="177"/>
      <c r="F946" s="183"/>
      <c r="G946" s="184"/>
      <c r="H946" s="185"/>
      <c r="I946" s="185"/>
    </row>
    <row r="947" spans="1:9" x14ac:dyDescent="0.25">
      <c r="A947" s="176"/>
      <c r="B947" s="182"/>
      <c r="C947" s="80"/>
      <c r="D947" s="80"/>
      <c r="E947" s="177"/>
      <c r="F947" s="183"/>
      <c r="G947" s="184"/>
      <c r="H947" s="185"/>
      <c r="I947" s="185"/>
    </row>
    <row r="948" spans="1:9" x14ac:dyDescent="0.25">
      <c r="A948" s="176"/>
      <c r="B948" s="182"/>
      <c r="C948" s="80"/>
      <c r="D948" s="80"/>
      <c r="E948" s="177"/>
      <c r="F948" s="183"/>
      <c r="G948" s="184"/>
      <c r="H948" s="185"/>
      <c r="I948" s="185"/>
    </row>
    <row r="949" spans="1:9" x14ac:dyDescent="0.25">
      <c r="A949" s="176"/>
      <c r="B949" s="182"/>
      <c r="C949" s="80"/>
      <c r="D949" s="80"/>
      <c r="E949" s="177"/>
      <c r="F949" s="183"/>
      <c r="G949" s="184"/>
      <c r="H949" s="185"/>
      <c r="I949" s="185"/>
    </row>
    <row r="950" spans="1:9" x14ac:dyDescent="0.25">
      <c r="A950" s="176"/>
      <c r="B950" s="182"/>
      <c r="C950" s="80"/>
      <c r="D950" s="80"/>
      <c r="E950" s="177"/>
      <c r="F950" s="183"/>
      <c r="G950" s="184"/>
      <c r="H950" s="185"/>
      <c r="I950" s="185"/>
    </row>
    <row r="951" spans="1:9" x14ac:dyDescent="0.25">
      <c r="A951" s="176"/>
      <c r="B951" s="182"/>
      <c r="C951" s="80"/>
      <c r="D951" s="80"/>
      <c r="E951" s="177"/>
      <c r="F951" s="183"/>
      <c r="G951" s="184"/>
      <c r="H951" s="185"/>
      <c r="I951" s="185"/>
    </row>
    <row r="952" spans="1:9" x14ac:dyDescent="0.25">
      <c r="A952" s="176"/>
      <c r="B952" s="182"/>
      <c r="C952" s="80"/>
      <c r="D952" s="80"/>
      <c r="E952" s="177"/>
      <c r="F952" s="183"/>
      <c r="G952" s="184"/>
      <c r="H952" s="185"/>
      <c r="I952" s="185"/>
    </row>
    <row r="953" spans="1:9" x14ac:dyDescent="0.25">
      <c r="A953" s="176"/>
      <c r="B953" s="182"/>
      <c r="C953" s="80"/>
      <c r="D953" s="80"/>
      <c r="E953" s="177"/>
      <c r="F953" s="183"/>
      <c r="G953" s="184"/>
      <c r="H953" s="185"/>
      <c r="I953" s="185"/>
    </row>
    <row r="954" spans="1:9" x14ac:dyDescent="0.25">
      <c r="A954" s="176"/>
      <c r="B954" s="182"/>
      <c r="C954" s="80"/>
      <c r="D954" s="80"/>
      <c r="E954" s="177"/>
      <c r="F954" s="183"/>
      <c r="G954" s="184"/>
      <c r="H954" s="185"/>
      <c r="I954" s="185"/>
    </row>
    <row r="955" spans="1:9" x14ac:dyDescent="0.25">
      <c r="A955" s="176"/>
      <c r="B955" s="182"/>
      <c r="C955" s="80"/>
      <c r="D955" s="80"/>
      <c r="E955" s="177"/>
      <c r="F955" s="183"/>
      <c r="G955" s="184"/>
      <c r="H955" s="185"/>
      <c r="I955" s="185"/>
    </row>
    <row r="956" spans="1:9" x14ac:dyDescent="0.25">
      <c r="A956" s="176"/>
      <c r="B956" s="182"/>
      <c r="C956" s="80"/>
      <c r="D956" s="80"/>
      <c r="E956" s="177"/>
      <c r="F956" s="183"/>
      <c r="G956" s="184"/>
      <c r="H956" s="185"/>
      <c r="I956" s="185"/>
    </row>
    <row r="957" spans="1:9" x14ac:dyDescent="0.25">
      <c r="A957" s="176"/>
      <c r="B957" s="182"/>
      <c r="C957" s="80"/>
      <c r="D957" s="80"/>
      <c r="E957" s="177"/>
      <c r="F957" s="183"/>
      <c r="G957" s="184"/>
      <c r="H957" s="185"/>
      <c r="I957" s="185"/>
    </row>
    <row r="958" spans="1:9" x14ac:dyDescent="0.25">
      <c r="A958" s="176"/>
      <c r="B958" s="182"/>
      <c r="C958" s="80"/>
      <c r="D958" s="80"/>
      <c r="E958" s="177"/>
      <c r="F958" s="183"/>
      <c r="G958" s="184"/>
      <c r="H958" s="185"/>
      <c r="I958" s="185"/>
    </row>
    <row r="959" spans="1:9" x14ac:dyDescent="0.25">
      <c r="A959" s="176"/>
      <c r="B959" s="182"/>
      <c r="C959" s="80"/>
      <c r="D959" s="80"/>
      <c r="E959" s="177"/>
      <c r="F959" s="183"/>
      <c r="G959" s="184"/>
      <c r="H959" s="185"/>
      <c r="I959" s="185"/>
    </row>
    <row r="960" spans="1:9" x14ac:dyDescent="0.25">
      <c r="A960" s="176"/>
      <c r="B960" s="182"/>
      <c r="C960" s="80"/>
      <c r="D960" s="80"/>
      <c r="E960" s="177"/>
      <c r="F960" s="183"/>
      <c r="G960" s="184"/>
      <c r="H960" s="185"/>
      <c r="I960" s="185"/>
    </row>
    <row r="961" spans="1:9" x14ac:dyDescent="0.25">
      <c r="A961" s="176"/>
      <c r="B961" s="182"/>
      <c r="C961" s="80"/>
      <c r="D961" s="80"/>
      <c r="E961" s="177"/>
      <c r="F961" s="183"/>
      <c r="G961" s="184"/>
      <c r="H961" s="185"/>
      <c r="I961" s="185"/>
    </row>
    <row r="962" spans="1:9" x14ac:dyDescent="0.25">
      <c r="A962" s="176"/>
      <c r="B962" s="182"/>
      <c r="C962" s="80"/>
      <c r="D962" s="80"/>
      <c r="E962" s="177"/>
      <c r="F962" s="183"/>
      <c r="G962" s="184"/>
      <c r="H962" s="185"/>
      <c r="I962" s="185"/>
    </row>
    <row r="963" spans="1:9" x14ac:dyDescent="0.25">
      <c r="A963" s="176"/>
      <c r="B963" s="182"/>
      <c r="C963" s="80"/>
      <c r="D963" s="80"/>
      <c r="E963" s="177"/>
      <c r="F963" s="183"/>
      <c r="G963" s="184"/>
      <c r="H963" s="185"/>
      <c r="I963" s="185"/>
    </row>
    <row r="964" spans="1:9" x14ac:dyDescent="0.25">
      <c r="A964" s="176"/>
      <c r="B964" s="182"/>
      <c r="C964" s="80"/>
      <c r="D964" s="80"/>
      <c r="E964" s="177"/>
      <c r="F964" s="183"/>
      <c r="G964" s="184"/>
      <c r="H964" s="185"/>
      <c r="I964" s="185"/>
    </row>
    <row r="965" spans="1:9" x14ac:dyDescent="0.25">
      <c r="A965" s="176"/>
      <c r="B965" s="182"/>
      <c r="C965" s="80"/>
      <c r="D965" s="80"/>
      <c r="E965" s="177"/>
      <c r="F965" s="183"/>
      <c r="G965" s="184"/>
      <c r="H965" s="185"/>
      <c r="I965" s="185"/>
    </row>
    <row r="966" spans="1:9" x14ac:dyDescent="0.25">
      <c r="A966" s="176"/>
      <c r="B966" s="182"/>
      <c r="C966" s="80"/>
      <c r="D966" s="80"/>
      <c r="E966" s="177"/>
      <c r="F966" s="183"/>
      <c r="G966" s="184"/>
      <c r="H966" s="185"/>
      <c r="I966" s="185"/>
    </row>
    <row r="967" spans="1:9" x14ac:dyDescent="0.25">
      <c r="A967" s="176"/>
      <c r="B967" s="182"/>
      <c r="C967" s="80"/>
      <c r="D967" s="80"/>
      <c r="E967" s="177"/>
      <c r="F967" s="183"/>
      <c r="G967" s="184"/>
      <c r="H967" s="185"/>
      <c r="I967" s="185"/>
    </row>
    <row r="968" spans="1:9" x14ac:dyDescent="0.25">
      <c r="A968" s="176"/>
      <c r="B968" s="182"/>
      <c r="C968" s="80"/>
      <c r="D968" s="80"/>
      <c r="E968" s="177"/>
      <c r="F968" s="183"/>
      <c r="G968" s="184"/>
      <c r="H968" s="185"/>
      <c r="I968" s="185"/>
    </row>
    <row r="969" spans="1:9" x14ac:dyDescent="0.25">
      <c r="A969" s="176"/>
      <c r="B969" s="182"/>
      <c r="C969" s="80"/>
      <c r="D969" s="80"/>
      <c r="E969" s="177"/>
      <c r="F969" s="183"/>
      <c r="G969" s="184"/>
      <c r="H969" s="185"/>
      <c r="I969" s="185"/>
    </row>
    <row r="970" spans="1:9" x14ac:dyDescent="0.25">
      <c r="A970" s="176"/>
      <c r="B970" s="182"/>
      <c r="C970" s="80"/>
      <c r="D970" s="80"/>
      <c r="E970" s="177"/>
      <c r="F970" s="183"/>
      <c r="G970" s="184"/>
      <c r="H970" s="185"/>
      <c r="I970" s="185"/>
    </row>
    <row r="971" spans="1:9" x14ac:dyDescent="0.25">
      <c r="A971" s="176"/>
      <c r="B971" s="182"/>
      <c r="C971" s="80"/>
      <c r="D971" s="80"/>
      <c r="E971" s="177"/>
      <c r="F971" s="183"/>
      <c r="G971" s="184"/>
      <c r="H971" s="185"/>
      <c r="I971" s="185"/>
    </row>
    <row r="972" spans="1:9" x14ac:dyDescent="0.25">
      <c r="A972" s="176"/>
      <c r="B972" s="182"/>
      <c r="C972" s="80"/>
      <c r="D972" s="80"/>
      <c r="E972" s="177"/>
      <c r="F972" s="183"/>
      <c r="G972" s="184"/>
      <c r="H972" s="185"/>
      <c r="I972" s="185"/>
    </row>
    <row r="973" spans="1:9" x14ac:dyDescent="0.25">
      <c r="A973" s="176"/>
      <c r="B973" s="182"/>
      <c r="C973" s="80"/>
      <c r="D973" s="80"/>
      <c r="E973" s="177"/>
      <c r="F973" s="183"/>
      <c r="G973" s="184"/>
      <c r="H973" s="185"/>
      <c r="I973" s="185"/>
    </row>
    <row r="974" spans="1:9" x14ac:dyDescent="0.25">
      <c r="A974" s="176"/>
      <c r="B974" s="182"/>
      <c r="C974" s="80"/>
      <c r="D974" s="80"/>
      <c r="E974" s="177"/>
      <c r="F974" s="183"/>
      <c r="G974" s="184"/>
      <c r="H974" s="185"/>
      <c r="I974" s="185"/>
    </row>
    <row r="975" spans="1:9" x14ac:dyDescent="0.25">
      <c r="A975" s="176"/>
      <c r="B975" s="182"/>
      <c r="C975" s="80"/>
      <c r="D975" s="80"/>
      <c r="E975" s="177"/>
      <c r="F975" s="183"/>
      <c r="G975" s="184"/>
      <c r="H975" s="185"/>
      <c r="I975" s="185"/>
    </row>
    <row r="976" spans="1:9" x14ac:dyDescent="0.25">
      <c r="A976" s="176"/>
      <c r="B976" s="182"/>
      <c r="C976" s="80"/>
      <c r="D976" s="80"/>
      <c r="E976" s="177"/>
      <c r="F976" s="183"/>
      <c r="G976" s="184"/>
      <c r="H976" s="185"/>
      <c r="I976" s="185"/>
    </row>
    <row r="977" spans="1:9" x14ac:dyDescent="0.25">
      <c r="A977" s="176"/>
      <c r="B977" s="182"/>
      <c r="C977" s="80"/>
      <c r="D977" s="80"/>
      <c r="E977" s="177"/>
      <c r="F977" s="183"/>
      <c r="G977" s="184"/>
      <c r="H977" s="185"/>
      <c r="I977" s="185"/>
    </row>
    <row r="978" spans="1:9" x14ac:dyDescent="0.25">
      <c r="A978" s="176"/>
      <c r="B978" s="182"/>
      <c r="C978" s="80"/>
      <c r="D978" s="80"/>
      <c r="E978" s="177"/>
      <c r="F978" s="183"/>
      <c r="G978" s="184"/>
      <c r="H978" s="185"/>
      <c r="I978" s="185"/>
    </row>
    <row r="979" spans="1:9" x14ac:dyDescent="0.25">
      <c r="A979" s="176"/>
      <c r="B979" s="182"/>
      <c r="C979" s="80"/>
      <c r="D979" s="80"/>
      <c r="E979" s="177"/>
      <c r="F979" s="183"/>
      <c r="G979" s="184"/>
      <c r="H979" s="185"/>
      <c r="I979" s="185"/>
    </row>
    <row r="980" spans="1:9" x14ac:dyDescent="0.25">
      <c r="A980" s="176"/>
      <c r="B980" s="182"/>
      <c r="C980" s="80"/>
      <c r="D980" s="80"/>
      <c r="E980" s="177"/>
      <c r="F980" s="183"/>
      <c r="G980" s="184"/>
      <c r="H980" s="185"/>
      <c r="I980" s="185"/>
    </row>
    <row r="981" spans="1:9" x14ac:dyDescent="0.25">
      <c r="A981" s="176"/>
      <c r="B981" s="182"/>
      <c r="C981" s="80"/>
      <c r="D981" s="80"/>
      <c r="E981" s="177"/>
      <c r="F981" s="183"/>
      <c r="G981" s="184"/>
      <c r="H981" s="185"/>
      <c r="I981" s="185"/>
    </row>
    <row r="982" spans="1:9" x14ac:dyDescent="0.25">
      <c r="A982" s="176"/>
      <c r="B982" s="182"/>
      <c r="C982" s="80"/>
      <c r="D982" s="80"/>
      <c r="E982" s="177"/>
      <c r="F982" s="183"/>
      <c r="G982" s="184"/>
      <c r="H982" s="185"/>
      <c r="I982" s="185"/>
    </row>
    <row r="983" spans="1:9" x14ac:dyDescent="0.25">
      <c r="A983" s="176"/>
      <c r="B983" s="182"/>
      <c r="C983" s="80"/>
      <c r="D983" s="80"/>
      <c r="E983" s="177"/>
      <c r="F983" s="183"/>
      <c r="G983" s="184"/>
      <c r="H983" s="185"/>
      <c r="I983" s="185"/>
    </row>
    <row r="984" spans="1:9" x14ac:dyDescent="0.25">
      <c r="A984" s="176"/>
      <c r="B984" s="182"/>
      <c r="C984" s="80"/>
      <c r="D984" s="80"/>
      <c r="E984" s="177"/>
      <c r="F984" s="183"/>
      <c r="G984" s="184"/>
      <c r="H984" s="185"/>
      <c r="I984" s="185"/>
    </row>
    <row r="985" spans="1:9" x14ac:dyDescent="0.25">
      <c r="A985" s="176"/>
      <c r="B985" s="182"/>
      <c r="C985" s="80"/>
      <c r="D985" s="80"/>
      <c r="E985" s="177"/>
      <c r="F985" s="183"/>
      <c r="G985" s="184"/>
      <c r="H985" s="185"/>
      <c r="I985" s="185"/>
    </row>
    <row r="986" spans="1:9" x14ac:dyDescent="0.25">
      <c r="A986" s="176"/>
      <c r="B986" s="182"/>
      <c r="C986" s="80"/>
      <c r="D986" s="80"/>
      <c r="E986" s="177"/>
      <c r="F986" s="183"/>
      <c r="G986" s="184"/>
      <c r="H986" s="185"/>
      <c r="I986" s="185"/>
    </row>
    <row r="987" spans="1:9" x14ac:dyDescent="0.25">
      <c r="A987" s="176"/>
      <c r="B987" s="182"/>
      <c r="C987" s="80"/>
      <c r="D987" s="80"/>
      <c r="E987" s="177"/>
      <c r="F987" s="183"/>
      <c r="G987" s="184"/>
      <c r="H987" s="185"/>
      <c r="I987" s="185"/>
    </row>
    <row r="988" spans="1:9" x14ac:dyDescent="0.25">
      <c r="A988" s="176"/>
      <c r="B988" s="182"/>
      <c r="C988" s="80"/>
      <c r="D988" s="80"/>
      <c r="E988" s="177"/>
      <c r="F988" s="183"/>
      <c r="G988" s="184"/>
      <c r="H988" s="185"/>
      <c r="I988" s="185"/>
    </row>
    <row r="989" spans="1:9" x14ac:dyDescent="0.25">
      <c r="A989" s="176"/>
      <c r="B989" s="182"/>
      <c r="C989" s="80"/>
      <c r="D989" s="80"/>
      <c r="E989" s="177"/>
      <c r="F989" s="183"/>
      <c r="G989" s="184"/>
      <c r="H989" s="185"/>
      <c r="I989" s="185"/>
    </row>
    <row r="990" spans="1:9" x14ac:dyDescent="0.25">
      <c r="A990" s="176"/>
      <c r="B990" s="182"/>
      <c r="C990" s="80"/>
      <c r="D990" s="80"/>
      <c r="E990" s="177"/>
      <c r="F990" s="183"/>
      <c r="G990" s="184"/>
      <c r="H990" s="185"/>
      <c r="I990" s="185"/>
    </row>
    <row r="991" spans="1:9" x14ac:dyDescent="0.25">
      <c r="A991" s="176"/>
      <c r="B991" s="182"/>
      <c r="C991" s="80"/>
      <c r="D991" s="80"/>
      <c r="E991" s="177"/>
      <c r="F991" s="183"/>
      <c r="G991" s="184"/>
      <c r="H991" s="185"/>
      <c r="I991" s="185"/>
    </row>
    <row r="992" spans="1:9" x14ac:dyDescent="0.25">
      <c r="A992" s="176"/>
      <c r="B992" s="182"/>
      <c r="C992" s="80"/>
      <c r="D992" s="80"/>
      <c r="E992" s="177"/>
      <c r="F992" s="183"/>
      <c r="G992" s="184"/>
      <c r="H992" s="185"/>
      <c r="I992" s="185"/>
    </row>
    <row r="993" spans="1:9" x14ac:dyDescent="0.25">
      <c r="A993" s="176"/>
      <c r="B993" s="182"/>
      <c r="C993" s="80"/>
      <c r="D993" s="80"/>
      <c r="E993" s="177"/>
      <c r="F993" s="183"/>
      <c r="G993" s="184"/>
      <c r="H993" s="185"/>
      <c r="I993" s="185"/>
    </row>
    <row r="994" spans="1:9" x14ac:dyDescent="0.25">
      <c r="A994" s="176"/>
      <c r="B994" s="182"/>
      <c r="C994" s="80"/>
      <c r="D994" s="80"/>
      <c r="E994" s="177"/>
      <c r="F994" s="183"/>
      <c r="G994" s="184"/>
      <c r="H994" s="185"/>
      <c r="I994" s="185"/>
    </row>
    <row r="995" spans="1:9" x14ac:dyDescent="0.25">
      <c r="A995" s="176"/>
      <c r="B995" s="182"/>
      <c r="C995" s="80"/>
      <c r="D995" s="80"/>
      <c r="E995" s="177"/>
      <c r="F995" s="183"/>
      <c r="G995" s="184"/>
      <c r="H995" s="185"/>
      <c r="I995" s="185"/>
    </row>
    <row r="996" spans="1:9" x14ac:dyDescent="0.25">
      <c r="A996" s="176"/>
      <c r="B996" s="182"/>
      <c r="C996" s="80"/>
      <c r="D996" s="80"/>
      <c r="E996" s="177"/>
      <c r="F996" s="183"/>
      <c r="G996" s="184"/>
      <c r="H996" s="185"/>
      <c r="I996" s="185"/>
    </row>
    <row r="997" spans="1:9" x14ac:dyDescent="0.25">
      <c r="A997" s="176"/>
      <c r="B997" s="182"/>
      <c r="C997" s="80"/>
      <c r="D997" s="80"/>
      <c r="E997" s="177"/>
      <c r="F997" s="183"/>
      <c r="G997" s="184"/>
      <c r="H997" s="185"/>
      <c r="I997" s="185"/>
    </row>
    <row r="998" spans="1:9" x14ac:dyDescent="0.25">
      <c r="A998" s="176"/>
      <c r="B998" s="182"/>
      <c r="C998" s="80"/>
      <c r="D998" s="80"/>
      <c r="E998" s="177"/>
      <c r="F998" s="183"/>
      <c r="G998" s="184"/>
      <c r="H998" s="185"/>
      <c r="I998" s="185"/>
    </row>
    <row r="999" spans="1:9" x14ac:dyDescent="0.25">
      <c r="A999" s="176"/>
      <c r="B999" s="182"/>
      <c r="C999" s="80"/>
      <c r="D999" s="80"/>
      <c r="E999" s="177"/>
      <c r="F999" s="183"/>
      <c r="G999" s="184"/>
      <c r="H999" s="185"/>
      <c r="I999" s="185"/>
    </row>
    <row r="1000" spans="1:9" x14ac:dyDescent="0.25">
      <c r="A1000" s="176"/>
      <c r="B1000" s="182"/>
      <c r="C1000" s="80"/>
      <c r="D1000" s="80"/>
      <c r="E1000" s="177"/>
      <c r="F1000" s="183"/>
      <c r="G1000" s="184"/>
      <c r="H1000" s="185"/>
      <c r="I1000" s="185"/>
    </row>
    <row r="1001" spans="1:9" x14ac:dyDescent="0.25">
      <c r="A1001" s="176"/>
      <c r="B1001" s="182"/>
      <c r="C1001" s="80"/>
      <c r="D1001" s="80"/>
      <c r="E1001" s="177"/>
      <c r="F1001" s="183"/>
      <c r="G1001" s="184"/>
      <c r="H1001" s="185"/>
      <c r="I1001" s="185"/>
    </row>
    <row r="1002" spans="1:9" x14ac:dyDescent="0.25">
      <c r="A1002" s="176"/>
      <c r="B1002" s="182"/>
      <c r="C1002" s="80"/>
      <c r="D1002" s="80"/>
      <c r="E1002" s="177"/>
      <c r="F1002" s="183"/>
      <c r="G1002" s="184"/>
      <c r="H1002" s="185"/>
      <c r="I1002" s="185"/>
    </row>
    <row r="1003" spans="1:9" x14ac:dyDescent="0.25">
      <c r="A1003" s="176"/>
      <c r="B1003" s="182"/>
      <c r="C1003" s="80"/>
      <c r="D1003" s="80"/>
      <c r="E1003" s="177"/>
      <c r="F1003" s="183"/>
      <c r="G1003" s="184"/>
      <c r="H1003" s="185"/>
      <c r="I1003" s="185"/>
    </row>
    <row r="1004" spans="1:9" x14ac:dyDescent="0.25">
      <c r="A1004" s="176"/>
      <c r="B1004" s="182"/>
      <c r="C1004" s="80"/>
      <c r="D1004" s="80"/>
      <c r="E1004" s="177"/>
      <c r="F1004" s="183"/>
      <c r="G1004" s="184"/>
      <c r="H1004" s="185"/>
      <c r="I1004" s="185"/>
    </row>
    <row r="1005" spans="1:9" x14ac:dyDescent="0.25">
      <c r="A1005" s="176"/>
      <c r="B1005" s="182"/>
      <c r="C1005" s="80"/>
      <c r="D1005" s="80"/>
      <c r="E1005" s="177"/>
      <c r="F1005" s="183"/>
      <c r="G1005" s="184"/>
      <c r="H1005" s="185"/>
      <c r="I1005" s="185"/>
    </row>
    <row r="1006" spans="1:9" x14ac:dyDescent="0.25">
      <c r="A1006" s="176"/>
      <c r="B1006" s="182"/>
      <c r="C1006" s="80"/>
      <c r="D1006" s="80"/>
      <c r="E1006" s="177"/>
      <c r="F1006" s="183"/>
      <c r="G1006" s="184"/>
      <c r="H1006" s="185"/>
      <c r="I1006" s="185"/>
    </row>
    <row r="1007" spans="1:9" x14ac:dyDescent="0.25">
      <c r="A1007" s="176"/>
      <c r="B1007" s="182"/>
      <c r="C1007" s="80"/>
      <c r="D1007" s="80"/>
      <c r="E1007" s="177"/>
      <c r="F1007" s="183"/>
      <c r="G1007" s="184"/>
      <c r="H1007" s="185"/>
      <c r="I1007" s="185"/>
    </row>
    <row r="1008" spans="1:9" x14ac:dyDescent="0.25">
      <c r="A1008" s="176"/>
      <c r="B1008" s="182"/>
      <c r="C1008" s="80"/>
      <c r="D1008" s="80"/>
      <c r="E1008" s="177"/>
      <c r="F1008" s="183"/>
      <c r="G1008" s="184"/>
      <c r="H1008" s="185"/>
      <c r="I1008" s="185"/>
    </row>
    <row r="1009" spans="1:9" x14ac:dyDescent="0.25">
      <c r="A1009" s="176"/>
      <c r="B1009" s="182"/>
      <c r="C1009" s="80"/>
      <c r="D1009" s="80"/>
      <c r="E1009" s="177"/>
      <c r="F1009" s="183"/>
      <c r="G1009" s="184"/>
      <c r="H1009" s="185"/>
      <c r="I1009" s="185"/>
    </row>
    <row r="1010" spans="1:9" x14ac:dyDescent="0.25">
      <c r="A1010" s="176"/>
      <c r="B1010" s="182"/>
      <c r="C1010" s="80"/>
      <c r="D1010" s="80"/>
      <c r="E1010" s="177"/>
      <c r="F1010" s="183"/>
      <c r="G1010" s="184"/>
      <c r="H1010" s="185"/>
      <c r="I1010" s="185"/>
    </row>
    <row r="1011" spans="1:9" x14ac:dyDescent="0.25">
      <c r="A1011" s="176"/>
      <c r="B1011" s="182"/>
      <c r="C1011" s="80"/>
      <c r="D1011" s="80"/>
      <c r="E1011" s="177"/>
      <c r="F1011" s="183"/>
      <c r="G1011" s="184"/>
      <c r="H1011" s="185"/>
      <c r="I1011" s="185"/>
    </row>
    <row r="1012" spans="1:9" x14ac:dyDescent="0.25">
      <c r="A1012" s="176"/>
      <c r="B1012" s="182"/>
      <c r="C1012" s="80"/>
      <c r="D1012" s="80"/>
      <c r="E1012" s="177"/>
      <c r="F1012" s="183"/>
      <c r="G1012" s="184"/>
      <c r="H1012" s="185"/>
      <c r="I1012" s="185"/>
    </row>
    <row r="1013" spans="1:9" x14ac:dyDescent="0.25">
      <c r="A1013" s="176"/>
      <c r="B1013" s="182"/>
      <c r="C1013" s="80"/>
      <c r="D1013" s="80"/>
      <c r="E1013" s="177"/>
      <c r="F1013" s="183"/>
      <c r="G1013" s="184"/>
      <c r="H1013" s="185"/>
      <c r="I1013" s="185"/>
    </row>
    <row r="1014" spans="1:9" x14ac:dyDescent="0.25">
      <c r="A1014" s="176"/>
      <c r="B1014" s="182"/>
      <c r="C1014" s="80"/>
      <c r="D1014" s="80"/>
      <c r="E1014" s="177"/>
      <c r="F1014" s="183"/>
      <c r="G1014" s="184"/>
      <c r="H1014" s="185"/>
      <c r="I1014" s="185"/>
    </row>
    <row r="1015" spans="1:9" x14ac:dyDescent="0.25">
      <c r="A1015" s="176"/>
      <c r="B1015" s="182"/>
      <c r="C1015" s="80"/>
      <c r="D1015" s="80"/>
      <c r="E1015" s="177"/>
      <c r="F1015" s="183"/>
      <c r="G1015" s="184"/>
      <c r="H1015" s="185"/>
      <c r="I1015" s="185"/>
    </row>
    <row r="1016" spans="1:9" x14ac:dyDescent="0.25">
      <c r="A1016" s="176"/>
      <c r="B1016" s="182"/>
      <c r="C1016" s="80"/>
      <c r="D1016" s="80"/>
      <c r="E1016" s="177"/>
      <c r="F1016" s="183"/>
      <c r="G1016" s="184"/>
      <c r="H1016" s="185"/>
      <c r="I1016" s="185"/>
    </row>
    <row r="1017" spans="1:9" x14ac:dyDescent="0.25">
      <c r="A1017" s="176"/>
      <c r="B1017" s="182"/>
      <c r="C1017" s="80"/>
      <c r="D1017" s="80"/>
      <c r="E1017" s="177"/>
      <c r="F1017" s="183"/>
      <c r="G1017" s="184"/>
      <c r="H1017" s="185"/>
      <c r="I1017" s="185"/>
    </row>
    <row r="1018" spans="1:9" x14ac:dyDescent="0.25">
      <c r="A1018" s="176"/>
      <c r="B1018" s="182"/>
      <c r="C1018" s="80"/>
      <c r="D1018" s="80"/>
      <c r="E1018" s="177"/>
      <c r="F1018" s="183"/>
      <c r="G1018" s="184"/>
      <c r="H1018" s="185"/>
      <c r="I1018" s="185"/>
    </row>
    <row r="1019" spans="1:9" x14ac:dyDescent="0.25">
      <c r="A1019" s="176"/>
      <c r="B1019" s="182"/>
      <c r="C1019" s="80"/>
      <c r="D1019" s="80"/>
      <c r="E1019" s="177"/>
      <c r="F1019" s="183"/>
      <c r="G1019" s="184"/>
      <c r="H1019" s="185"/>
      <c r="I1019" s="185"/>
    </row>
    <row r="1020" spans="1:9" x14ac:dyDescent="0.25">
      <c r="A1020" s="176"/>
      <c r="B1020" s="182"/>
      <c r="C1020" s="80"/>
      <c r="D1020" s="80"/>
      <c r="E1020" s="177"/>
      <c r="F1020" s="183"/>
      <c r="G1020" s="184"/>
      <c r="H1020" s="185"/>
      <c r="I1020" s="185"/>
    </row>
    <row r="1021" spans="1:9" x14ac:dyDescent="0.25">
      <c r="A1021" s="176"/>
      <c r="B1021" s="182"/>
      <c r="C1021" s="80"/>
      <c r="D1021" s="80"/>
      <c r="E1021" s="177"/>
      <c r="F1021" s="183"/>
      <c r="G1021" s="184"/>
      <c r="H1021" s="185"/>
      <c r="I1021" s="185"/>
    </row>
    <row r="1022" spans="1:9" x14ac:dyDescent="0.25">
      <c r="A1022" s="176"/>
      <c r="B1022" s="182"/>
      <c r="C1022" s="80"/>
      <c r="D1022" s="80"/>
      <c r="E1022" s="177"/>
      <c r="F1022" s="183"/>
      <c r="G1022" s="184"/>
      <c r="H1022" s="185"/>
      <c r="I1022" s="185"/>
    </row>
    <row r="1023" spans="1:9" x14ac:dyDescent="0.25">
      <c r="A1023" s="176"/>
      <c r="B1023" s="182"/>
      <c r="C1023" s="80"/>
      <c r="D1023" s="80"/>
      <c r="E1023" s="177"/>
      <c r="F1023" s="183"/>
      <c r="G1023" s="184"/>
      <c r="H1023" s="185"/>
      <c r="I1023" s="185"/>
    </row>
    <row r="1024" spans="1:9" x14ac:dyDescent="0.25">
      <c r="A1024" s="176"/>
      <c r="B1024" s="182"/>
      <c r="C1024" s="80"/>
      <c r="D1024" s="80"/>
      <c r="E1024" s="177"/>
      <c r="F1024" s="183"/>
      <c r="G1024" s="184"/>
      <c r="H1024" s="185"/>
      <c r="I1024" s="185"/>
    </row>
    <row r="1025" spans="1:9" x14ac:dyDescent="0.25">
      <c r="A1025" s="176"/>
      <c r="B1025" s="182"/>
      <c r="C1025" s="80"/>
      <c r="D1025" s="80"/>
      <c r="E1025" s="177"/>
      <c r="F1025" s="183"/>
      <c r="G1025" s="184"/>
      <c r="H1025" s="185"/>
      <c r="I1025" s="185"/>
    </row>
    <row r="1026" spans="1:9" x14ac:dyDescent="0.25">
      <c r="A1026" s="176"/>
      <c r="B1026" s="182"/>
      <c r="C1026" s="80"/>
      <c r="D1026" s="80"/>
      <c r="E1026" s="177"/>
      <c r="F1026" s="183"/>
      <c r="G1026" s="184"/>
      <c r="H1026" s="185"/>
      <c r="I1026" s="185"/>
    </row>
    <row r="1027" spans="1:9" x14ac:dyDescent="0.25">
      <c r="A1027" s="176"/>
      <c r="B1027" s="182"/>
      <c r="C1027" s="80"/>
      <c r="D1027" s="80"/>
      <c r="E1027" s="177"/>
      <c r="F1027" s="183"/>
      <c r="G1027" s="184"/>
      <c r="H1027" s="185"/>
      <c r="I1027" s="185"/>
    </row>
    <row r="1028" spans="1:9" x14ac:dyDescent="0.25">
      <c r="A1028" s="176"/>
      <c r="B1028" s="182"/>
      <c r="C1028" s="80"/>
      <c r="D1028" s="80"/>
      <c r="E1028" s="177"/>
      <c r="F1028" s="183"/>
      <c r="G1028" s="184"/>
      <c r="H1028" s="185"/>
      <c r="I1028" s="185"/>
    </row>
    <row r="1029" spans="1:9" x14ac:dyDescent="0.25">
      <c r="A1029" s="176"/>
      <c r="B1029" s="182"/>
      <c r="C1029" s="80"/>
      <c r="D1029" s="80"/>
      <c r="E1029" s="177"/>
      <c r="F1029" s="183"/>
      <c r="G1029" s="184"/>
      <c r="H1029" s="185"/>
      <c r="I1029" s="185"/>
    </row>
    <row r="1030" spans="1:9" x14ac:dyDescent="0.25">
      <c r="A1030" s="176"/>
      <c r="B1030" s="182"/>
      <c r="C1030" s="80"/>
      <c r="D1030" s="80"/>
      <c r="E1030" s="177"/>
      <c r="F1030" s="183"/>
      <c r="G1030" s="184"/>
      <c r="H1030" s="185"/>
      <c r="I1030" s="185"/>
    </row>
    <row r="1031" spans="1:9" x14ac:dyDescent="0.25">
      <c r="A1031" s="176"/>
      <c r="B1031" s="182"/>
      <c r="C1031" s="80"/>
      <c r="D1031" s="80"/>
      <c r="E1031" s="177"/>
      <c r="F1031" s="183"/>
      <c r="G1031" s="184"/>
      <c r="H1031" s="185"/>
      <c r="I1031" s="185"/>
    </row>
    <row r="1032" spans="1:9" x14ac:dyDescent="0.25">
      <c r="A1032" s="176"/>
      <c r="B1032" s="182"/>
      <c r="C1032" s="80"/>
      <c r="D1032" s="80"/>
      <c r="E1032" s="177"/>
      <c r="F1032" s="183"/>
      <c r="G1032" s="184"/>
      <c r="H1032" s="185"/>
      <c r="I1032" s="185"/>
    </row>
    <row r="1033" spans="1:9" x14ac:dyDescent="0.25">
      <c r="A1033" s="176"/>
      <c r="B1033" s="182"/>
      <c r="C1033" s="80"/>
      <c r="D1033" s="80"/>
      <c r="E1033" s="177"/>
      <c r="F1033" s="183"/>
      <c r="G1033" s="184"/>
      <c r="H1033" s="185"/>
      <c r="I1033" s="185"/>
    </row>
    <row r="1034" spans="1:9" x14ac:dyDescent="0.25">
      <c r="A1034" s="176"/>
      <c r="B1034" s="182"/>
      <c r="C1034" s="80"/>
      <c r="D1034" s="80"/>
      <c r="E1034" s="177"/>
      <c r="F1034" s="183"/>
      <c r="G1034" s="184"/>
      <c r="H1034" s="185"/>
      <c r="I1034" s="185"/>
    </row>
    <row r="1035" spans="1:9" x14ac:dyDescent="0.25">
      <c r="A1035" s="176"/>
      <c r="B1035" s="182"/>
      <c r="C1035" s="80"/>
      <c r="D1035" s="80"/>
      <c r="E1035" s="177"/>
      <c r="F1035" s="183"/>
      <c r="G1035" s="184"/>
      <c r="H1035" s="185"/>
      <c r="I1035" s="185"/>
    </row>
    <row r="1036" spans="1:9" x14ac:dyDescent="0.25">
      <c r="A1036" s="176"/>
      <c r="B1036" s="182"/>
      <c r="C1036" s="80"/>
      <c r="D1036" s="80"/>
      <c r="E1036" s="177"/>
      <c r="F1036" s="183"/>
      <c r="G1036" s="184"/>
      <c r="H1036" s="185"/>
      <c r="I1036" s="185"/>
    </row>
    <row r="1037" spans="1:9" x14ac:dyDescent="0.25">
      <c r="A1037" s="176"/>
      <c r="B1037" s="182"/>
      <c r="C1037" s="80"/>
      <c r="D1037" s="80"/>
      <c r="E1037" s="177"/>
      <c r="F1037" s="183"/>
      <c r="G1037" s="184"/>
      <c r="H1037" s="185"/>
      <c r="I1037" s="185"/>
    </row>
    <row r="1038" spans="1:9" x14ac:dyDescent="0.25">
      <c r="A1038" s="176"/>
      <c r="B1038" s="182"/>
      <c r="C1038" s="80"/>
      <c r="D1038" s="80"/>
      <c r="E1038" s="177"/>
      <c r="F1038" s="183"/>
      <c r="G1038" s="184"/>
      <c r="H1038" s="185"/>
      <c r="I1038" s="185"/>
    </row>
    <row r="1039" spans="1:9" x14ac:dyDescent="0.25">
      <c r="A1039" s="176"/>
      <c r="B1039" s="182"/>
      <c r="C1039" s="80"/>
      <c r="D1039" s="80"/>
      <c r="E1039" s="177"/>
      <c r="F1039" s="183"/>
      <c r="G1039" s="184"/>
      <c r="H1039" s="185"/>
      <c r="I1039" s="185"/>
    </row>
    <row r="1040" spans="1:9" x14ac:dyDescent="0.25">
      <c r="A1040" s="176"/>
      <c r="B1040" s="182"/>
      <c r="C1040" s="80"/>
      <c r="D1040" s="80"/>
      <c r="E1040" s="177"/>
      <c r="F1040" s="183"/>
      <c r="G1040" s="184"/>
      <c r="H1040" s="185"/>
      <c r="I1040" s="185"/>
    </row>
    <row r="1041" spans="1:9" x14ac:dyDescent="0.25">
      <c r="A1041" s="176"/>
      <c r="B1041" s="182"/>
      <c r="C1041" s="80"/>
      <c r="D1041" s="80"/>
      <c r="E1041" s="177"/>
      <c r="F1041" s="183"/>
      <c r="G1041" s="184"/>
      <c r="H1041" s="185"/>
      <c r="I1041" s="185"/>
    </row>
    <row r="1042" spans="1:9" x14ac:dyDescent="0.25">
      <c r="A1042" s="176"/>
      <c r="B1042" s="182"/>
      <c r="C1042" s="80"/>
      <c r="D1042" s="80"/>
      <c r="E1042" s="177"/>
      <c r="F1042" s="183"/>
      <c r="G1042" s="184"/>
      <c r="H1042" s="185"/>
      <c r="I1042" s="185"/>
    </row>
    <row r="1043" spans="1:9" x14ac:dyDescent="0.25">
      <c r="A1043" s="176"/>
      <c r="B1043" s="182"/>
      <c r="C1043" s="80"/>
      <c r="D1043" s="80"/>
      <c r="E1043" s="177"/>
      <c r="F1043" s="183"/>
      <c r="G1043" s="184"/>
      <c r="H1043" s="185"/>
      <c r="I1043" s="185"/>
    </row>
    <row r="1044" spans="1:9" x14ac:dyDescent="0.25">
      <c r="A1044" s="176"/>
      <c r="B1044" s="182"/>
      <c r="C1044" s="80"/>
      <c r="D1044" s="80"/>
      <c r="E1044" s="177"/>
      <c r="F1044" s="183"/>
      <c r="G1044" s="184"/>
      <c r="H1044" s="185"/>
      <c r="I1044" s="185"/>
    </row>
    <row r="1045" spans="1:9" x14ac:dyDescent="0.25">
      <c r="A1045" s="176"/>
      <c r="B1045" s="182"/>
      <c r="C1045" s="80"/>
      <c r="D1045" s="80"/>
      <c r="E1045" s="177"/>
      <c r="F1045" s="183"/>
      <c r="G1045" s="184"/>
      <c r="H1045" s="185"/>
      <c r="I1045" s="185"/>
    </row>
    <row r="1046" spans="1:9" x14ac:dyDescent="0.25">
      <c r="A1046" s="176"/>
      <c r="B1046" s="182"/>
      <c r="C1046" s="80"/>
      <c r="D1046" s="80"/>
      <c r="E1046" s="177"/>
      <c r="F1046" s="183"/>
      <c r="G1046" s="184"/>
      <c r="H1046" s="185"/>
      <c r="I1046" s="185"/>
    </row>
    <row r="1047" spans="1:9" x14ac:dyDescent="0.25">
      <c r="A1047" s="176"/>
      <c r="B1047" s="182"/>
      <c r="C1047" s="80"/>
      <c r="D1047" s="80"/>
      <c r="E1047" s="177"/>
      <c r="F1047" s="183"/>
      <c r="G1047" s="184"/>
      <c r="H1047" s="185"/>
      <c r="I1047" s="185"/>
    </row>
    <row r="1048" spans="1:9" x14ac:dyDescent="0.25">
      <c r="A1048" s="176"/>
      <c r="B1048" s="182"/>
      <c r="C1048" s="80"/>
      <c r="D1048" s="80"/>
      <c r="E1048" s="177"/>
      <c r="F1048" s="183"/>
      <c r="G1048" s="184"/>
      <c r="H1048" s="185"/>
      <c r="I1048" s="185"/>
    </row>
    <row r="1049" spans="1:9" x14ac:dyDescent="0.25">
      <c r="A1049" s="176"/>
      <c r="B1049" s="182"/>
      <c r="C1049" s="80"/>
      <c r="D1049" s="80"/>
      <c r="E1049" s="177"/>
      <c r="F1049" s="183"/>
      <c r="G1049" s="184"/>
      <c r="H1049" s="185"/>
      <c r="I1049" s="185"/>
    </row>
    <row r="1050" spans="1:9" x14ac:dyDescent="0.25">
      <c r="A1050" s="176"/>
      <c r="B1050" s="182"/>
      <c r="C1050" s="80"/>
      <c r="D1050" s="80"/>
      <c r="E1050" s="177"/>
      <c r="F1050" s="183"/>
      <c r="G1050" s="184"/>
      <c r="H1050" s="185"/>
      <c r="I1050" s="185"/>
    </row>
    <row r="1051" spans="1:9" x14ac:dyDescent="0.25">
      <c r="A1051" s="176"/>
      <c r="B1051" s="182"/>
      <c r="C1051" s="80"/>
      <c r="D1051" s="80"/>
      <c r="E1051" s="177"/>
      <c r="F1051" s="183"/>
      <c r="G1051" s="184"/>
      <c r="H1051" s="185"/>
      <c r="I1051" s="185"/>
    </row>
    <row r="1052" spans="1:9" x14ac:dyDescent="0.25">
      <c r="A1052" s="176"/>
      <c r="B1052" s="182"/>
      <c r="C1052" s="80"/>
      <c r="D1052" s="80"/>
      <c r="E1052" s="177"/>
      <c r="F1052" s="183"/>
      <c r="G1052" s="184"/>
      <c r="H1052" s="185"/>
      <c r="I1052" s="185"/>
    </row>
    <row r="1053" spans="1:9" x14ac:dyDescent="0.25">
      <c r="A1053" s="176"/>
      <c r="B1053" s="182"/>
      <c r="C1053" s="80"/>
      <c r="D1053" s="80"/>
      <c r="E1053" s="177"/>
      <c r="F1053" s="183"/>
      <c r="G1053" s="184"/>
      <c r="H1053" s="185"/>
      <c r="I1053" s="185"/>
    </row>
    <row r="1054" spans="1:9" x14ac:dyDescent="0.25">
      <c r="A1054" s="176"/>
      <c r="B1054" s="182"/>
      <c r="C1054" s="80"/>
      <c r="D1054" s="80"/>
      <c r="E1054" s="177"/>
      <c r="F1054" s="183"/>
      <c r="G1054" s="184"/>
      <c r="H1054" s="185"/>
      <c r="I1054" s="185"/>
    </row>
    <row r="1055" spans="1:9" x14ac:dyDescent="0.25">
      <c r="A1055" s="176"/>
      <c r="B1055" s="182"/>
      <c r="C1055" s="80"/>
      <c r="D1055" s="80"/>
      <c r="E1055" s="177"/>
      <c r="F1055" s="183"/>
      <c r="G1055" s="184"/>
      <c r="H1055" s="185"/>
      <c r="I1055" s="185"/>
    </row>
    <row r="1056" spans="1:9" x14ac:dyDescent="0.25">
      <c r="A1056" s="176"/>
      <c r="B1056" s="182"/>
      <c r="C1056" s="80"/>
      <c r="D1056" s="80"/>
      <c r="E1056" s="177"/>
      <c r="F1056" s="183"/>
      <c r="G1056" s="184"/>
      <c r="H1056" s="185"/>
      <c r="I1056" s="185"/>
    </row>
    <row r="1057" spans="1:9" x14ac:dyDescent="0.25">
      <c r="A1057" s="176"/>
      <c r="B1057" s="182"/>
      <c r="C1057" s="80"/>
      <c r="D1057" s="80"/>
      <c r="E1057" s="177"/>
      <c r="F1057" s="183"/>
      <c r="G1057" s="184"/>
      <c r="H1057" s="185"/>
      <c r="I1057" s="185"/>
    </row>
    <row r="1058" spans="1:9" x14ac:dyDescent="0.25">
      <c r="A1058" s="176"/>
      <c r="B1058" s="182"/>
      <c r="C1058" s="80"/>
      <c r="D1058" s="80"/>
      <c r="E1058" s="177"/>
      <c r="F1058" s="183"/>
      <c r="G1058" s="184"/>
      <c r="H1058" s="185"/>
      <c r="I1058" s="185"/>
    </row>
    <row r="1059" spans="1:9" x14ac:dyDescent="0.25">
      <c r="A1059" s="176"/>
      <c r="B1059" s="182"/>
      <c r="C1059" s="80"/>
      <c r="D1059" s="80"/>
      <c r="E1059" s="177"/>
      <c r="F1059" s="183"/>
      <c r="G1059" s="184"/>
      <c r="H1059" s="185"/>
      <c r="I1059" s="185"/>
    </row>
    <row r="1060" spans="1:9" x14ac:dyDescent="0.25">
      <c r="A1060" s="176"/>
      <c r="B1060" s="182"/>
      <c r="C1060" s="80"/>
      <c r="D1060" s="80"/>
      <c r="E1060" s="177"/>
      <c r="F1060" s="183"/>
      <c r="G1060" s="184"/>
      <c r="H1060" s="185"/>
      <c r="I1060" s="185"/>
    </row>
    <row r="1061" spans="1:9" x14ac:dyDescent="0.25">
      <c r="A1061" s="176"/>
      <c r="B1061" s="182"/>
      <c r="C1061" s="80"/>
      <c r="D1061" s="80"/>
      <c r="E1061" s="177"/>
      <c r="F1061" s="183"/>
      <c r="G1061" s="184"/>
      <c r="H1061" s="185"/>
      <c r="I1061" s="185"/>
    </row>
    <row r="1062" spans="1:9" x14ac:dyDescent="0.25">
      <c r="A1062" s="176"/>
      <c r="B1062" s="182"/>
      <c r="C1062" s="80"/>
      <c r="D1062" s="80"/>
      <c r="E1062" s="177"/>
      <c r="F1062" s="183"/>
      <c r="G1062" s="184"/>
      <c r="H1062" s="185"/>
      <c r="I1062" s="185"/>
    </row>
    <row r="1063" spans="1:9" x14ac:dyDescent="0.25">
      <c r="A1063" s="176"/>
      <c r="B1063" s="182"/>
      <c r="C1063" s="80"/>
      <c r="D1063" s="80"/>
      <c r="E1063" s="177"/>
      <c r="F1063" s="183"/>
      <c r="G1063" s="184"/>
      <c r="H1063" s="185"/>
      <c r="I1063" s="185"/>
    </row>
    <row r="1064" spans="1:9" x14ac:dyDescent="0.25">
      <c r="A1064" s="176"/>
      <c r="B1064" s="182"/>
      <c r="C1064" s="80"/>
      <c r="D1064" s="80"/>
      <c r="E1064" s="177"/>
      <c r="F1064" s="183"/>
      <c r="G1064" s="184"/>
      <c r="H1064" s="185"/>
      <c r="I1064" s="185"/>
    </row>
    <row r="1065" spans="1:9" x14ac:dyDescent="0.25">
      <c r="A1065" s="176"/>
      <c r="B1065" s="182"/>
      <c r="C1065" s="80"/>
      <c r="D1065" s="80"/>
      <c r="E1065" s="177"/>
      <c r="F1065" s="183"/>
      <c r="G1065" s="184"/>
      <c r="H1065" s="185"/>
      <c r="I1065" s="185"/>
    </row>
    <row r="1066" spans="1:9" x14ac:dyDescent="0.25">
      <c r="A1066" s="176"/>
      <c r="B1066" s="182"/>
      <c r="C1066" s="80"/>
      <c r="D1066" s="80"/>
      <c r="E1066" s="177"/>
      <c r="F1066" s="183"/>
      <c r="G1066" s="184"/>
      <c r="H1066" s="185"/>
      <c r="I1066" s="185"/>
    </row>
    <row r="1067" spans="1:9" x14ac:dyDescent="0.25">
      <c r="A1067" s="176"/>
      <c r="B1067" s="182"/>
      <c r="C1067" s="80"/>
      <c r="D1067" s="80"/>
      <c r="E1067" s="177"/>
      <c r="F1067" s="183"/>
      <c r="G1067" s="184"/>
      <c r="H1067" s="185"/>
      <c r="I1067" s="185"/>
    </row>
    <row r="1068" spans="1:9" x14ac:dyDescent="0.25">
      <c r="A1068" s="176"/>
      <c r="B1068" s="182"/>
      <c r="C1068" s="80"/>
      <c r="D1068" s="80"/>
      <c r="E1068" s="177"/>
      <c r="F1068" s="183"/>
      <c r="G1068" s="184"/>
      <c r="H1068" s="185"/>
      <c r="I1068" s="185"/>
    </row>
    <row r="1069" spans="1:9" x14ac:dyDescent="0.25">
      <c r="A1069" s="176"/>
      <c r="B1069" s="182"/>
      <c r="C1069" s="80"/>
      <c r="D1069" s="80"/>
      <c r="E1069" s="177"/>
      <c r="F1069" s="183"/>
      <c r="G1069" s="184"/>
      <c r="H1069" s="185"/>
      <c r="I1069" s="185"/>
    </row>
    <row r="1070" spans="1:9" x14ac:dyDescent="0.25">
      <c r="A1070" s="176"/>
      <c r="B1070" s="182"/>
      <c r="C1070" s="80"/>
      <c r="D1070" s="80"/>
      <c r="E1070" s="177"/>
      <c r="F1070" s="183"/>
      <c r="G1070" s="184"/>
      <c r="H1070" s="185"/>
      <c r="I1070" s="185"/>
    </row>
    <row r="1071" spans="1:9" x14ac:dyDescent="0.25">
      <c r="A1071" s="176"/>
      <c r="B1071" s="182"/>
      <c r="C1071" s="80"/>
      <c r="D1071" s="80"/>
      <c r="E1071" s="177"/>
      <c r="F1071" s="183"/>
      <c r="G1071" s="184"/>
      <c r="H1071" s="185"/>
      <c r="I1071" s="185"/>
    </row>
    <row r="1072" spans="1:9" x14ac:dyDescent="0.25">
      <c r="A1072" s="176"/>
      <c r="B1072" s="182"/>
      <c r="C1072" s="80"/>
      <c r="D1072" s="80"/>
      <c r="E1072" s="177"/>
      <c r="F1072" s="183"/>
      <c r="G1072" s="184"/>
      <c r="H1072" s="185"/>
      <c r="I1072" s="185"/>
    </row>
    <row r="1073" spans="1:9" x14ac:dyDescent="0.25">
      <c r="A1073" s="176"/>
      <c r="B1073" s="182"/>
      <c r="C1073" s="80"/>
      <c r="D1073" s="80"/>
      <c r="E1073" s="177"/>
      <c r="F1073" s="183"/>
      <c r="G1073" s="184"/>
      <c r="H1073" s="185"/>
      <c r="I1073" s="185"/>
    </row>
    <row r="1074" spans="1:9" x14ac:dyDescent="0.25">
      <c r="A1074" s="176"/>
      <c r="B1074" s="182"/>
      <c r="C1074" s="80"/>
      <c r="D1074" s="80"/>
      <c r="E1074" s="177"/>
      <c r="F1074" s="183"/>
      <c r="G1074" s="184"/>
      <c r="H1074" s="185"/>
      <c r="I1074" s="185"/>
    </row>
    <row r="1075" spans="1:9" x14ac:dyDescent="0.25">
      <c r="A1075" s="176"/>
      <c r="B1075" s="182"/>
      <c r="C1075" s="80"/>
      <c r="D1075" s="80"/>
      <c r="E1075" s="177"/>
      <c r="F1075" s="183"/>
      <c r="G1075" s="184"/>
      <c r="H1075" s="185"/>
      <c r="I1075" s="185"/>
    </row>
    <row r="1076" spans="1:9" x14ac:dyDescent="0.25">
      <c r="A1076" s="176"/>
      <c r="B1076" s="182"/>
      <c r="C1076" s="80"/>
      <c r="D1076" s="80"/>
      <c r="E1076" s="177"/>
      <c r="F1076" s="183"/>
      <c r="G1076" s="184"/>
      <c r="H1076" s="185"/>
      <c r="I1076" s="185"/>
    </row>
    <row r="1077" spans="1:9" x14ac:dyDescent="0.25">
      <c r="A1077" s="176"/>
      <c r="B1077" s="182"/>
      <c r="C1077" s="80"/>
      <c r="D1077" s="80"/>
      <c r="E1077" s="177"/>
      <c r="F1077" s="183"/>
      <c r="G1077" s="184"/>
      <c r="H1077" s="185"/>
      <c r="I1077" s="185"/>
    </row>
    <row r="1078" spans="1:9" x14ac:dyDescent="0.25">
      <c r="A1078" s="176"/>
      <c r="B1078" s="182"/>
      <c r="C1078" s="80"/>
      <c r="D1078" s="80"/>
      <c r="E1078" s="177"/>
      <c r="F1078" s="183"/>
      <c r="G1078" s="184"/>
      <c r="H1078" s="185"/>
      <c r="I1078" s="185"/>
    </row>
    <row r="1079" spans="1:9" x14ac:dyDescent="0.25">
      <c r="A1079" s="176"/>
      <c r="B1079" s="182"/>
      <c r="C1079" s="80"/>
      <c r="D1079" s="80"/>
      <c r="E1079" s="177"/>
      <c r="F1079" s="183"/>
      <c r="G1079" s="184"/>
      <c r="H1079" s="185"/>
      <c r="I1079" s="185"/>
    </row>
    <row r="1080" spans="1:9" x14ac:dyDescent="0.25">
      <c r="A1080" s="176"/>
      <c r="B1080" s="182"/>
      <c r="C1080" s="80"/>
      <c r="D1080" s="80"/>
      <c r="E1080" s="177"/>
      <c r="F1080" s="183"/>
      <c r="G1080" s="184"/>
      <c r="H1080" s="185"/>
      <c r="I1080" s="185"/>
    </row>
    <row r="1081" spans="1:9" x14ac:dyDescent="0.25">
      <c r="A1081" s="176"/>
      <c r="B1081" s="182"/>
      <c r="C1081" s="80"/>
      <c r="D1081" s="80"/>
      <c r="E1081" s="177"/>
      <c r="F1081" s="183"/>
      <c r="G1081" s="184"/>
      <c r="H1081" s="185"/>
      <c r="I1081" s="185"/>
    </row>
    <row r="1082" spans="1:9" x14ac:dyDescent="0.25">
      <c r="A1082" s="176"/>
      <c r="B1082" s="182"/>
      <c r="C1082" s="80"/>
      <c r="D1082" s="80"/>
      <c r="E1082" s="177"/>
      <c r="F1082" s="183"/>
      <c r="G1082" s="184"/>
      <c r="H1082" s="185"/>
      <c r="I1082" s="185"/>
    </row>
    <row r="1083" spans="1:9" x14ac:dyDescent="0.25">
      <c r="A1083" s="176"/>
      <c r="B1083" s="182"/>
      <c r="C1083" s="80"/>
      <c r="D1083" s="80"/>
      <c r="E1083" s="177"/>
      <c r="F1083" s="183"/>
      <c r="G1083" s="184"/>
      <c r="H1083" s="185"/>
      <c r="I1083" s="185"/>
    </row>
    <row r="1084" spans="1:9" x14ac:dyDescent="0.25">
      <c r="A1084" s="176"/>
      <c r="B1084" s="182"/>
      <c r="C1084" s="80"/>
      <c r="D1084" s="80"/>
      <c r="E1084" s="177"/>
      <c r="F1084" s="183"/>
      <c r="G1084" s="184"/>
      <c r="H1084" s="185"/>
      <c r="I1084" s="185"/>
    </row>
    <row r="1085" spans="1:9" x14ac:dyDescent="0.25">
      <c r="A1085" s="176"/>
      <c r="B1085" s="182"/>
      <c r="C1085" s="80"/>
      <c r="D1085" s="80"/>
      <c r="E1085" s="177"/>
      <c r="F1085" s="183"/>
      <c r="G1085" s="184"/>
      <c r="H1085" s="185"/>
      <c r="I1085" s="185"/>
    </row>
    <row r="1086" spans="1:9" x14ac:dyDescent="0.25">
      <c r="A1086" s="176"/>
      <c r="B1086" s="182"/>
      <c r="C1086" s="80"/>
      <c r="D1086" s="80"/>
      <c r="E1086" s="177"/>
      <c r="F1086" s="183"/>
      <c r="G1086" s="184"/>
      <c r="H1086" s="185"/>
      <c r="I1086" s="185"/>
    </row>
    <row r="1087" spans="1:9" x14ac:dyDescent="0.25">
      <c r="A1087" s="176"/>
      <c r="B1087" s="182"/>
      <c r="C1087" s="80"/>
      <c r="D1087" s="80"/>
      <c r="E1087" s="177"/>
      <c r="F1087" s="183"/>
      <c r="G1087" s="184"/>
      <c r="H1087" s="185"/>
      <c r="I1087" s="185"/>
    </row>
    <row r="1088" spans="1:9" x14ac:dyDescent="0.25">
      <c r="A1088" s="176"/>
      <c r="B1088" s="182"/>
      <c r="C1088" s="80"/>
      <c r="D1088" s="80"/>
      <c r="E1088" s="177"/>
      <c r="F1088" s="183"/>
      <c r="G1088" s="184"/>
      <c r="H1088" s="185"/>
      <c r="I1088" s="185"/>
    </row>
    <row r="1089" spans="1:9" x14ac:dyDescent="0.25">
      <c r="A1089" s="176"/>
      <c r="B1089" s="182"/>
      <c r="C1089" s="80"/>
      <c r="D1089" s="80"/>
      <c r="E1089" s="177"/>
      <c r="F1089" s="183"/>
      <c r="G1089" s="184"/>
      <c r="H1089" s="185"/>
      <c r="I1089" s="185"/>
    </row>
    <row r="1090" spans="1:9" x14ac:dyDescent="0.25">
      <c r="A1090" s="176"/>
      <c r="B1090" s="182"/>
      <c r="C1090" s="80"/>
      <c r="D1090" s="80"/>
      <c r="E1090" s="177"/>
      <c r="F1090" s="183"/>
      <c r="G1090" s="184"/>
      <c r="H1090" s="185"/>
      <c r="I1090" s="185"/>
    </row>
    <row r="1091" spans="1:9" x14ac:dyDescent="0.25">
      <c r="A1091" s="176"/>
      <c r="B1091" s="182"/>
      <c r="C1091" s="80"/>
      <c r="D1091" s="80"/>
      <c r="E1091" s="177"/>
      <c r="F1091" s="183"/>
      <c r="G1091" s="184"/>
      <c r="H1091" s="185"/>
      <c r="I1091" s="185"/>
    </row>
    <row r="1092" spans="1:9" x14ac:dyDescent="0.25">
      <c r="A1092" s="176"/>
      <c r="B1092" s="182"/>
      <c r="C1092" s="80"/>
      <c r="D1092" s="80"/>
      <c r="E1092" s="177"/>
      <c r="F1092" s="183"/>
      <c r="G1092" s="184"/>
      <c r="H1092" s="185"/>
      <c r="I1092" s="185"/>
    </row>
    <row r="1093" spans="1:9" x14ac:dyDescent="0.25">
      <c r="A1093" s="176"/>
      <c r="B1093" s="182"/>
      <c r="C1093" s="80"/>
      <c r="D1093" s="80"/>
      <c r="E1093" s="177"/>
      <c r="F1093" s="183"/>
      <c r="G1093" s="184"/>
      <c r="H1093" s="185"/>
      <c r="I1093" s="185"/>
    </row>
    <row r="1094" spans="1:9" x14ac:dyDescent="0.25">
      <c r="A1094" s="176"/>
      <c r="B1094" s="182"/>
      <c r="C1094" s="80"/>
      <c r="D1094" s="80"/>
      <c r="E1094" s="177"/>
      <c r="F1094" s="183"/>
      <c r="G1094" s="184"/>
      <c r="H1094" s="185"/>
      <c r="I1094" s="185"/>
    </row>
    <row r="1095" spans="1:9" x14ac:dyDescent="0.25">
      <c r="A1095" s="176"/>
      <c r="B1095" s="182"/>
      <c r="C1095" s="80"/>
      <c r="D1095" s="80"/>
      <c r="E1095" s="177"/>
      <c r="F1095" s="183"/>
      <c r="G1095" s="184"/>
      <c r="H1095" s="185"/>
      <c r="I1095" s="185"/>
    </row>
    <row r="1096" spans="1:9" x14ac:dyDescent="0.25">
      <c r="A1096" s="176"/>
      <c r="B1096" s="182"/>
      <c r="C1096" s="80"/>
      <c r="D1096" s="80"/>
      <c r="E1096" s="177"/>
      <c r="F1096" s="183"/>
      <c r="G1096" s="184"/>
      <c r="H1096" s="185"/>
      <c r="I1096" s="185"/>
    </row>
    <row r="1097" spans="1:9" x14ac:dyDescent="0.25">
      <c r="A1097" s="176"/>
      <c r="B1097" s="182"/>
      <c r="C1097" s="80"/>
      <c r="D1097" s="80"/>
      <c r="E1097" s="177"/>
      <c r="F1097" s="183"/>
      <c r="G1097" s="184"/>
      <c r="H1097" s="185"/>
      <c r="I1097" s="185"/>
    </row>
    <row r="1098" spans="1:9" x14ac:dyDescent="0.25">
      <c r="A1098" s="176"/>
      <c r="B1098" s="182"/>
      <c r="C1098" s="80"/>
      <c r="D1098" s="80"/>
      <c r="E1098" s="177"/>
      <c r="F1098" s="183"/>
      <c r="G1098" s="184"/>
      <c r="H1098" s="185"/>
      <c r="I1098" s="185"/>
    </row>
    <row r="1099" spans="1:9" x14ac:dyDescent="0.25">
      <c r="A1099" s="176"/>
      <c r="B1099" s="182"/>
      <c r="C1099" s="80"/>
      <c r="D1099" s="80"/>
      <c r="E1099" s="177"/>
      <c r="F1099" s="183"/>
      <c r="G1099" s="184"/>
      <c r="H1099" s="185"/>
      <c r="I1099" s="185"/>
    </row>
    <row r="1100" spans="1:9" x14ac:dyDescent="0.25">
      <c r="A1100" s="176"/>
      <c r="B1100" s="182"/>
      <c r="C1100" s="80"/>
      <c r="D1100" s="80"/>
      <c r="E1100" s="177"/>
      <c r="F1100" s="183"/>
      <c r="G1100" s="184"/>
      <c r="H1100" s="185"/>
      <c r="I1100" s="185"/>
    </row>
    <row r="1101" spans="1:9" x14ac:dyDescent="0.25">
      <c r="A1101" s="176"/>
      <c r="B1101" s="182"/>
      <c r="C1101" s="80"/>
      <c r="D1101" s="80"/>
      <c r="E1101" s="177"/>
      <c r="F1101" s="183"/>
      <c r="G1101" s="184"/>
      <c r="H1101" s="185"/>
      <c r="I1101" s="185"/>
    </row>
    <row r="1102" spans="1:9" x14ac:dyDescent="0.25">
      <c r="A1102" s="176"/>
      <c r="B1102" s="182"/>
      <c r="C1102" s="80"/>
      <c r="D1102" s="80"/>
      <c r="E1102" s="177"/>
      <c r="F1102" s="183"/>
      <c r="G1102" s="184"/>
      <c r="H1102" s="185"/>
      <c r="I1102" s="185"/>
    </row>
    <row r="1103" spans="1:9" x14ac:dyDescent="0.25">
      <c r="A1103" s="176"/>
      <c r="B1103" s="182"/>
      <c r="C1103" s="80"/>
      <c r="D1103" s="80"/>
      <c r="E1103" s="177"/>
      <c r="F1103" s="183"/>
      <c r="G1103" s="184"/>
      <c r="H1103" s="185"/>
      <c r="I1103" s="185"/>
    </row>
    <row r="1104" spans="1:9" x14ac:dyDescent="0.25">
      <c r="A1104" s="176"/>
      <c r="B1104" s="182"/>
      <c r="C1104" s="80"/>
      <c r="D1104" s="80"/>
      <c r="E1104" s="177"/>
      <c r="F1104" s="183"/>
      <c r="G1104" s="184"/>
      <c r="H1104" s="185"/>
      <c r="I1104" s="185"/>
    </row>
    <row r="1105" spans="1:9" x14ac:dyDescent="0.25">
      <c r="A1105" s="176"/>
      <c r="B1105" s="182"/>
      <c r="C1105" s="80"/>
      <c r="D1105" s="80"/>
      <c r="E1105" s="177"/>
      <c r="F1105" s="183"/>
      <c r="G1105" s="184"/>
      <c r="H1105" s="185"/>
      <c r="I1105" s="185"/>
    </row>
    <row r="1106" spans="1:9" x14ac:dyDescent="0.25">
      <c r="A1106" s="176"/>
      <c r="B1106" s="182"/>
      <c r="C1106" s="80"/>
      <c r="D1106" s="80"/>
      <c r="E1106" s="177"/>
      <c r="F1106" s="183"/>
      <c r="G1106" s="184"/>
      <c r="H1106" s="185"/>
      <c r="I1106" s="185"/>
    </row>
    <row r="1107" spans="1:9" x14ac:dyDescent="0.25">
      <c r="A1107" s="176"/>
      <c r="B1107" s="182"/>
      <c r="C1107" s="80"/>
      <c r="D1107" s="80"/>
      <c r="E1107" s="177"/>
      <c r="F1107" s="183"/>
      <c r="G1107" s="184"/>
      <c r="H1107" s="185"/>
      <c r="I1107" s="185"/>
    </row>
    <row r="1108" spans="1:9" x14ac:dyDescent="0.25">
      <c r="A1108" s="176"/>
      <c r="B1108" s="182"/>
      <c r="C1108" s="80"/>
      <c r="D1108" s="80"/>
      <c r="E1108" s="177"/>
      <c r="F1108" s="183"/>
      <c r="G1108" s="184"/>
      <c r="H1108" s="185"/>
      <c r="I1108" s="185"/>
    </row>
    <row r="1109" spans="1:9" x14ac:dyDescent="0.25">
      <c r="A1109" s="176"/>
      <c r="B1109" s="182"/>
      <c r="C1109" s="80"/>
      <c r="D1109" s="80"/>
      <c r="E1109" s="177"/>
      <c r="F1109" s="183"/>
      <c r="G1109" s="184"/>
      <c r="H1109" s="185"/>
      <c r="I1109" s="185"/>
    </row>
    <row r="1110" spans="1:9" x14ac:dyDescent="0.25">
      <c r="A1110" s="176"/>
      <c r="B1110" s="182"/>
      <c r="C1110" s="80"/>
      <c r="D1110" s="80"/>
      <c r="E1110" s="177"/>
      <c r="F1110" s="183"/>
      <c r="G1110" s="184"/>
      <c r="H1110" s="185"/>
      <c r="I1110" s="185"/>
    </row>
    <row r="1111" spans="1:9" x14ac:dyDescent="0.25">
      <c r="A1111" s="176"/>
      <c r="B1111" s="182"/>
      <c r="C1111" s="80"/>
      <c r="D1111" s="80"/>
      <c r="E1111" s="177"/>
      <c r="F1111" s="183"/>
      <c r="G1111" s="184"/>
      <c r="H1111" s="185"/>
      <c r="I1111" s="185"/>
    </row>
    <row r="1112" spans="1:9" x14ac:dyDescent="0.25">
      <c r="A1112" s="176"/>
      <c r="B1112" s="182"/>
      <c r="C1112" s="80"/>
      <c r="D1112" s="80"/>
      <c r="E1112" s="177"/>
      <c r="F1112" s="183"/>
      <c r="G1112" s="184"/>
      <c r="H1112" s="185"/>
      <c r="I1112" s="185"/>
    </row>
    <row r="1113" spans="1:9" x14ac:dyDescent="0.25">
      <c r="A1113" s="176"/>
      <c r="B1113" s="182"/>
      <c r="C1113" s="80"/>
      <c r="D1113" s="80"/>
      <c r="E1113" s="177"/>
      <c r="F1113" s="183"/>
      <c r="G1113" s="184"/>
      <c r="H1113" s="185"/>
      <c r="I1113" s="185"/>
    </row>
    <row r="1114" spans="1:9" x14ac:dyDescent="0.25">
      <c r="A1114" s="176"/>
      <c r="B1114" s="182"/>
      <c r="C1114" s="80"/>
      <c r="D1114" s="80"/>
      <c r="E1114" s="177"/>
      <c r="F1114" s="183"/>
      <c r="G1114" s="184"/>
      <c r="H1114" s="185"/>
      <c r="I1114" s="185"/>
    </row>
    <row r="1115" spans="1:9" x14ac:dyDescent="0.25">
      <c r="A1115" s="176"/>
      <c r="B1115" s="182"/>
      <c r="C1115" s="80"/>
      <c r="D1115" s="80"/>
      <c r="E1115" s="177"/>
      <c r="F1115" s="183"/>
      <c r="G1115" s="184"/>
      <c r="H1115" s="185"/>
      <c r="I1115" s="185"/>
    </row>
    <row r="1116" spans="1:9" x14ac:dyDescent="0.25">
      <c r="A1116" s="176"/>
      <c r="B1116" s="182"/>
      <c r="C1116" s="80"/>
      <c r="D1116" s="80"/>
      <c r="E1116" s="177"/>
      <c r="F1116" s="183"/>
      <c r="G1116" s="184"/>
      <c r="H1116" s="185"/>
      <c r="I1116" s="185"/>
    </row>
    <row r="1117" spans="1:9" x14ac:dyDescent="0.25">
      <c r="A1117" s="176"/>
      <c r="B1117" s="182"/>
      <c r="C1117" s="80"/>
      <c r="D1117" s="80"/>
      <c r="E1117" s="177"/>
      <c r="F1117" s="183"/>
      <c r="G1117" s="184"/>
      <c r="H1117" s="185"/>
      <c r="I1117" s="185"/>
    </row>
    <row r="1118" spans="1:9" x14ac:dyDescent="0.25">
      <c r="A1118" s="176"/>
      <c r="B1118" s="182"/>
      <c r="C1118" s="80"/>
      <c r="D1118" s="80"/>
      <c r="E1118" s="177"/>
      <c r="F1118" s="183"/>
      <c r="G1118" s="184"/>
      <c r="H1118" s="185"/>
      <c r="I1118" s="185"/>
    </row>
    <row r="1119" spans="1:9" x14ac:dyDescent="0.25">
      <c r="A1119" s="176"/>
      <c r="B1119" s="182"/>
      <c r="C1119" s="80"/>
      <c r="D1119" s="80"/>
      <c r="E1119" s="177"/>
      <c r="F1119" s="183"/>
      <c r="G1119" s="184"/>
      <c r="H1119" s="185"/>
      <c r="I1119" s="185"/>
    </row>
    <row r="1120" spans="1:9" x14ac:dyDescent="0.25">
      <c r="A1120" s="176"/>
      <c r="B1120" s="182"/>
      <c r="C1120" s="80"/>
      <c r="D1120" s="80"/>
      <c r="E1120" s="177"/>
      <c r="F1120" s="183"/>
      <c r="G1120" s="184"/>
      <c r="H1120" s="185"/>
      <c r="I1120" s="185"/>
    </row>
    <row r="1121" spans="1:9" x14ac:dyDescent="0.25">
      <c r="A1121" s="176"/>
      <c r="B1121" s="182"/>
      <c r="C1121" s="80"/>
      <c r="D1121" s="80"/>
      <c r="E1121" s="177"/>
      <c r="F1121" s="183"/>
      <c r="G1121" s="184"/>
      <c r="H1121" s="185"/>
      <c r="I1121" s="185"/>
    </row>
    <row r="1122" spans="1:9" x14ac:dyDescent="0.25">
      <c r="A1122" s="176"/>
      <c r="B1122" s="182"/>
      <c r="C1122" s="80"/>
      <c r="D1122" s="80"/>
      <c r="E1122" s="177"/>
      <c r="F1122" s="183"/>
      <c r="G1122" s="184"/>
      <c r="H1122" s="185"/>
      <c r="I1122" s="185"/>
    </row>
    <row r="1123" spans="1:9" x14ac:dyDescent="0.25">
      <c r="A1123" s="176"/>
      <c r="B1123" s="182"/>
      <c r="C1123" s="80"/>
      <c r="D1123" s="80"/>
      <c r="E1123" s="177"/>
      <c r="F1123" s="183"/>
      <c r="G1123" s="184"/>
      <c r="H1123" s="185"/>
      <c r="I1123" s="185"/>
    </row>
    <row r="1124" spans="1:9" x14ac:dyDescent="0.25">
      <c r="A1124" s="176"/>
      <c r="B1124" s="182"/>
      <c r="C1124" s="80"/>
      <c r="D1124" s="80"/>
      <c r="E1124" s="177"/>
      <c r="F1124" s="183"/>
      <c r="G1124" s="184"/>
      <c r="H1124" s="185"/>
      <c r="I1124" s="185"/>
    </row>
    <row r="1125" spans="1:9" x14ac:dyDescent="0.25">
      <c r="A1125" s="176"/>
      <c r="B1125" s="182"/>
      <c r="C1125" s="80"/>
      <c r="D1125" s="80"/>
      <c r="E1125" s="177"/>
      <c r="F1125" s="183"/>
      <c r="G1125" s="184"/>
      <c r="H1125" s="185"/>
      <c r="I1125" s="185"/>
    </row>
    <row r="1126" spans="1:9" x14ac:dyDescent="0.25">
      <c r="A1126" s="176"/>
      <c r="B1126" s="182"/>
      <c r="C1126" s="80"/>
      <c r="D1126" s="80"/>
      <c r="E1126" s="177"/>
      <c r="F1126" s="183"/>
      <c r="G1126" s="184"/>
      <c r="H1126" s="185"/>
      <c r="I1126" s="185"/>
    </row>
    <row r="1127" spans="1:9" x14ac:dyDescent="0.25">
      <c r="A1127" s="176"/>
      <c r="B1127" s="182"/>
      <c r="C1127" s="80"/>
      <c r="D1127" s="80"/>
      <c r="E1127" s="177"/>
      <c r="F1127" s="183"/>
      <c r="G1127" s="184"/>
      <c r="H1127" s="185"/>
      <c r="I1127" s="185"/>
    </row>
    <row r="1128" spans="1:9" x14ac:dyDescent="0.25">
      <c r="A1128" s="176"/>
      <c r="B1128" s="182"/>
      <c r="C1128" s="80"/>
      <c r="D1128" s="80"/>
      <c r="E1128" s="177"/>
      <c r="F1128" s="183"/>
      <c r="G1128" s="184"/>
      <c r="H1128" s="185"/>
      <c r="I1128" s="185"/>
    </row>
    <row r="1129" spans="1:9" x14ac:dyDescent="0.25">
      <c r="A1129" s="176"/>
      <c r="B1129" s="182"/>
      <c r="C1129" s="80"/>
      <c r="D1129" s="80"/>
      <c r="E1129" s="177"/>
      <c r="F1129" s="183"/>
      <c r="G1129" s="184"/>
      <c r="H1129" s="185"/>
      <c r="I1129" s="185"/>
    </row>
    <row r="1130" spans="1:9" x14ac:dyDescent="0.25">
      <c r="A1130" s="176"/>
      <c r="B1130" s="182"/>
      <c r="C1130" s="80"/>
      <c r="D1130" s="80"/>
      <c r="E1130" s="177"/>
      <c r="F1130" s="183"/>
      <c r="G1130" s="184"/>
      <c r="H1130" s="185"/>
      <c r="I1130" s="185"/>
    </row>
    <row r="1131" spans="1:9" x14ac:dyDescent="0.25">
      <c r="A1131" s="176"/>
      <c r="B1131" s="182"/>
      <c r="C1131" s="80"/>
      <c r="D1131" s="80"/>
      <c r="E1131" s="177"/>
      <c r="F1131" s="183"/>
      <c r="G1131" s="184"/>
      <c r="H1131" s="185"/>
      <c r="I1131" s="185"/>
    </row>
    <row r="1132" spans="1:9" x14ac:dyDescent="0.25">
      <c r="A1132" s="176"/>
      <c r="B1132" s="182"/>
      <c r="C1132" s="80"/>
      <c r="D1132" s="80"/>
      <c r="E1132" s="177"/>
      <c r="F1132" s="183"/>
      <c r="G1132" s="184"/>
      <c r="H1132" s="185"/>
      <c r="I1132" s="185"/>
    </row>
    <row r="1133" spans="1:9" x14ac:dyDescent="0.25">
      <c r="A1133" s="176"/>
      <c r="B1133" s="182"/>
      <c r="C1133" s="80"/>
      <c r="D1133" s="80"/>
      <c r="E1133" s="177"/>
      <c r="F1133" s="183"/>
      <c r="G1133" s="184"/>
      <c r="H1133" s="185"/>
      <c r="I1133" s="185"/>
    </row>
    <row r="1134" spans="1:9" x14ac:dyDescent="0.25">
      <c r="A1134" s="176"/>
      <c r="B1134" s="182"/>
      <c r="C1134" s="80"/>
      <c r="D1134" s="80"/>
      <c r="E1134" s="177"/>
      <c r="F1134" s="183"/>
      <c r="G1134" s="184"/>
      <c r="H1134" s="185"/>
      <c r="I1134" s="185"/>
    </row>
    <row r="1135" spans="1:9" x14ac:dyDescent="0.25">
      <c r="A1135" s="176"/>
      <c r="B1135" s="182"/>
      <c r="C1135" s="80"/>
      <c r="D1135" s="80"/>
      <c r="E1135" s="177"/>
      <c r="F1135" s="183"/>
      <c r="G1135" s="184"/>
      <c r="H1135" s="185"/>
      <c r="I1135" s="185"/>
    </row>
    <row r="1136" spans="1:9" x14ac:dyDescent="0.25">
      <c r="A1136" s="176"/>
      <c r="B1136" s="182"/>
      <c r="C1136" s="80"/>
      <c r="D1136" s="80"/>
      <c r="E1136" s="177"/>
      <c r="F1136" s="183"/>
      <c r="G1136" s="184"/>
      <c r="H1136" s="185"/>
      <c r="I1136" s="185"/>
    </row>
    <row r="1137" spans="1:9" x14ac:dyDescent="0.25">
      <c r="A1137" s="176"/>
      <c r="B1137" s="182"/>
      <c r="C1137" s="80"/>
      <c r="D1137" s="80"/>
      <c r="E1137" s="177"/>
      <c r="F1137" s="183"/>
      <c r="G1137" s="184"/>
      <c r="H1137" s="185"/>
      <c r="I1137" s="185"/>
    </row>
    <row r="1138" spans="1:9" x14ac:dyDescent="0.25">
      <c r="A1138" s="176"/>
      <c r="B1138" s="182"/>
      <c r="C1138" s="80"/>
      <c r="D1138" s="80"/>
      <c r="E1138" s="177"/>
      <c r="F1138" s="183"/>
      <c r="G1138" s="184"/>
      <c r="H1138" s="185"/>
      <c r="I1138" s="185"/>
    </row>
    <row r="1139" spans="1:9" x14ac:dyDescent="0.25">
      <c r="A1139" s="176"/>
      <c r="B1139" s="182"/>
      <c r="C1139" s="80"/>
      <c r="D1139" s="80"/>
      <c r="E1139" s="177"/>
      <c r="F1139" s="183"/>
      <c r="G1139" s="184"/>
      <c r="H1139" s="185"/>
      <c r="I1139" s="185"/>
    </row>
    <row r="1140" spans="1:9" x14ac:dyDescent="0.25">
      <c r="A1140" s="176"/>
      <c r="B1140" s="182"/>
      <c r="C1140" s="80"/>
      <c r="D1140" s="80"/>
      <c r="E1140" s="177"/>
      <c r="F1140" s="183"/>
      <c r="G1140" s="184"/>
      <c r="H1140" s="185"/>
      <c r="I1140" s="185"/>
    </row>
    <row r="1141" spans="1:9" x14ac:dyDescent="0.25">
      <c r="A1141" s="176"/>
      <c r="B1141" s="182"/>
      <c r="C1141" s="80"/>
      <c r="D1141" s="80"/>
      <c r="E1141" s="177"/>
      <c r="F1141" s="183"/>
      <c r="G1141" s="184"/>
      <c r="H1141" s="185"/>
      <c r="I1141" s="185"/>
    </row>
    <row r="1142" spans="1:9" x14ac:dyDescent="0.25">
      <c r="A1142" s="176"/>
      <c r="B1142" s="182"/>
      <c r="C1142" s="80"/>
      <c r="D1142" s="80"/>
      <c r="E1142" s="177"/>
      <c r="F1142" s="183"/>
      <c r="G1142" s="184"/>
      <c r="H1142" s="185"/>
      <c r="I1142" s="185"/>
    </row>
    <row r="1143" spans="1:9" x14ac:dyDescent="0.25">
      <c r="A1143" s="176"/>
      <c r="B1143" s="182"/>
      <c r="C1143" s="80"/>
      <c r="D1143" s="80"/>
      <c r="E1143" s="177"/>
      <c r="F1143" s="183"/>
      <c r="G1143" s="184"/>
      <c r="H1143" s="185"/>
      <c r="I1143" s="185"/>
    </row>
    <row r="1144" spans="1:9" x14ac:dyDescent="0.25">
      <c r="A1144" s="176"/>
      <c r="B1144" s="182"/>
      <c r="C1144" s="80"/>
      <c r="D1144" s="80"/>
      <c r="E1144" s="177"/>
      <c r="F1144" s="183"/>
      <c r="G1144" s="184"/>
      <c r="H1144" s="185"/>
      <c r="I1144" s="185"/>
    </row>
    <row r="1145" spans="1:9" x14ac:dyDescent="0.25">
      <c r="A1145" s="176"/>
      <c r="B1145" s="182"/>
      <c r="C1145" s="80"/>
      <c r="D1145" s="80"/>
      <c r="E1145" s="177"/>
      <c r="F1145" s="183"/>
      <c r="G1145" s="184"/>
      <c r="H1145" s="185"/>
      <c r="I1145" s="185"/>
    </row>
    <row r="1146" spans="1:9" x14ac:dyDescent="0.25">
      <c r="A1146" s="176"/>
      <c r="B1146" s="182"/>
      <c r="C1146" s="80"/>
      <c r="D1146" s="80"/>
      <c r="E1146" s="177"/>
      <c r="F1146" s="183"/>
      <c r="G1146" s="184"/>
      <c r="H1146" s="185"/>
      <c r="I1146" s="185"/>
    </row>
    <row r="1147" spans="1:9" x14ac:dyDescent="0.25">
      <c r="A1147" s="176"/>
      <c r="B1147" s="182"/>
      <c r="C1147" s="80"/>
      <c r="D1147" s="80"/>
      <c r="E1147" s="177"/>
      <c r="F1147" s="183"/>
      <c r="G1147" s="184"/>
      <c r="H1147" s="185"/>
      <c r="I1147" s="185"/>
    </row>
    <row r="1148" spans="1:9" x14ac:dyDescent="0.25">
      <c r="A1148" s="176"/>
      <c r="B1148" s="182"/>
      <c r="C1148" s="80"/>
      <c r="D1148" s="80"/>
      <c r="E1148" s="177"/>
      <c r="F1148" s="183"/>
      <c r="G1148" s="184"/>
      <c r="H1148" s="185"/>
      <c r="I1148" s="185"/>
    </row>
    <row r="1149" spans="1:9" x14ac:dyDescent="0.25">
      <c r="A1149" s="176"/>
      <c r="B1149" s="182"/>
      <c r="C1149" s="80"/>
      <c r="D1149" s="80"/>
      <c r="E1149" s="177"/>
      <c r="F1149" s="183"/>
      <c r="G1149" s="184"/>
      <c r="H1149" s="185"/>
      <c r="I1149" s="185"/>
    </row>
    <row r="1150" spans="1:9" x14ac:dyDescent="0.25">
      <c r="A1150" s="176"/>
      <c r="B1150" s="182"/>
      <c r="C1150" s="80"/>
      <c r="D1150" s="80"/>
      <c r="E1150" s="177"/>
      <c r="F1150" s="183"/>
      <c r="G1150" s="184"/>
      <c r="H1150" s="185"/>
      <c r="I1150" s="185"/>
    </row>
    <row r="1151" spans="1:9" x14ac:dyDescent="0.25">
      <c r="A1151" s="176"/>
      <c r="B1151" s="182"/>
      <c r="C1151" s="80"/>
      <c r="D1151" s="80"/>
      <c r="E1151" s="177"/>
      <c r="F1151" s="183"/>
      <c r="G1151" s="184"/>
      <c r="H1151" s="185"/>
      <c r="I1151" s="185"/>
    </row>
    <row r="1152" spans="1:9" x14ac:dyDescent="0.25">
      <c r="A1152" s="176"/>
      <c r="B1152" s="182"/>
      <c r="C1152" s="80"/>
      <c r="D1152" s="80"/>
      <c r="E1152" s="177"/>
      <c r="F1152" s="183"/>
      <c r="G1152" s="184"/>
      <c r="H1152" s="185"/>
      <c r="I1152" s="185"/>
    </row>
    <row r="1153" spans="1:9" x14ac:dyDescent="0.25">
      <c r="A1153" s="176"/>
      <c r="B1153" s="182"/>
      <c r="C1153" s="80"/>
      <c r="D1153" s="80"/>
      <c r="E1153" s="177"/>
      <c r="F1153" s="183"/>
      <c r="G1153" s="184"/>
      <c r="H1153" s="185"/>
      <c r="I1153" s="185"/>
    </row>
    <row r="1154" spans="1:9" x14ac:dyDescent="0.25">
      <c r="A1154" s="176"/>
      <c r="B1154" s="182"/>
      <c r="C1154" s="80"/>
      <c r="D1154" s="80"/>
      <c r="E1154" s="177"/>
      <c r="F1154" s="183"/>
      <c r="G1154" s="184"/>
      <c r="H1154" s="185"/>
      <c r="I1154" s="185"/>
    </row>
    <row r="1155" spans="1:9" x14ac:dyDescent="0.25">
      <c r="A1155" s="176"/>
      <c r="B1155" s="182"/>
      <c r="C1155" s="80"/>
      <c r="D1155" s="80"/>
      <c r="E1155" s="177"/>
      <c r="F1155" s="183"/>
      <c r="G1155" s="184"/>
      <c r="H1155" s="185"/>
      <c r="I1155" s="185"/>
    </row>
    <row r="1156" spans="1:9" x14ac:dyDescent="0.25">
      <c r="A1156" s="176"/>
      <c r="B1156" s="182"/>
      <c r="C1156" s="80"/>
      <c r="D1156" s="80"/>
      <c r="E1156" s="177"/>
      <c r="F1156" s="183"/>
      <c r="G1156" s="184"/>
      <c r="H1156" s="185"/>
      <c r="I1156" s="185"/>
    </row>
    <row r="1157" spans="1:9" x14ac:dyDescent="0.25">
      <c r="A1157" s="176"/>
      <c r="B1157" s="182"/>
      <c r="C1157" s="80"/>
      <c r="D1157" s="80"/>
      <c r="E1157" s="177"/>
      <c r="F1157" s="183"/>
      <c r="G1157" s="184"/>
      <c r="H1157" s="185"/>
      <c r="I1157" s="185"/>
    </row>
    <row r="1158" spans="1:9" x14ac:dyDescent="0.25">
      <c r="A1158" s="176"/>
      <c r="B1158" s="182"/>
      <c r="C1158" s="80"/>
      <c r="D1158" s="80"/>
      <c r="E1158" s="177"/>
      <c r="F1158" s="183"/>
      <c r="G1158" s="184"/>
      <c r="H1158" s="185"/>
      <c r="I1158" s="185"/>
    </row>
    <row r="1159" spans="1:9" x14ac:dyDescent="0.25">
      <c r="A1159" s="176"/>
      <c r="B1159" s="182"/>
      <c r="C1159" s="80"/>
      <c r="D1159" s="80"/>
      <c r="E1159" s="177"/>
      <c r="F1159" s="183"/>
      <c r="G1159" s="184"/>
      <c r="H1159" s="185"/>
      <c r="I1159" s="185"/>
    </row>
    <row r="1160" spans="1:9" x14ac:dyDescent="0.25">
      <c r="A1160" s="176"/>
      <c r="B1160" s="182"/>
      <c r="C1160" s="80"/>
      <c r="D1160" s="80"/>
      <c r="E1160" s="177"/>
      <c r="F1160" s="183"/>
      <c r="G1160" s="184"/>
      <c r="H1160" s="185"/>
      <c r="I1160" s="185"/>
    </row>
    <row r="1161" spans="1:9" x14ac:dyDescent="0.25">
      <c r="A1161" s="176"/>
      <c r="B1161" s="182"/>
      <c r="C1161" s="80"/>
      <c r="D1161" s="80"/>
      <c r="E1161" s="177"/>
      <c r="F1161" s="183"/>
      <c r="G1161" s="184"/>
      <c r="H1161" s="185"/>
      <c r="I1161" s="185"/>
    </row>
    <row r="1162" spans="1:9" x14ac:dyDescent="0.25">
      <c r="A1162" s="176"/>
      <c r="B1162" s="182"/>
      <c r="C1162" s="80"/>
      <c r="D1162" s="80"/>
      <c r="E1162" s="177"/>
      <c r="F1162" s="183"/>
      <c r="G1162" s="184"/>
      <c r="H1162" s="185"/>
      <c r="I1162" s="185"/>
    </row>
    <row r="1163" spans="1:9" x14ac:dyDescent="0.25">
      <c r="A1163" s="176"/>
      <c r="B1163" s="182"/>
      <c r="C1163" s="80"/>
      <c r="D1163" s="80"/>
      <c r="E1163" s="177"/>
      <c r="F1163" s="183"/>
      <c r="G1163" s="184"/>
      <c r="H1163" s="185"/>
      <c r="I1163" s="185"/>
    </row>
    <row r="1164" spans="1:9" x14ac:dyDescent="0.25">
      <c r="A1164" s="176"/>
      <c r="B1164" s="182"/>
      <c r="C1164" s="80"/>
      <c r="D1164" s="80"/>
      <c r="E1164" s="177"/>
      <c r="F1164" s="183"/>
      <c r="G1164" s="184"/>
      <c r="H1164" s="185"/>
      <c r="I1164" s="185"/>
    </row>
    <row r="1165" spans="1:9" x14ac:dyDescent="0.25">
      <c r="A1165" s="176"/>
      <c r="B1165" s="182"/>
      <c r="C1165" s="80"/>
      <c r="D1165" s="80"/>
      <c r="E1165" s="177"/>
      <c r="F1165" s="183"/>
      <c r="G1165" s="184"/>
      <c r="H1165" s="185"/>
      <c r="I1165" s="185"/>
    </row>
    <row r="1166" spans="1:9" x14ac:dyDescent="0.25">
      <c r="A1166" s="176"/>
      <c r="B1166" s="182"/>
      <c r="C1166" s="80"/>
      <c r="D1166" s="80"/>
      <c r="E1166" s="177"/>
      <c r="F1166" s="183"/>
      <c r="G1166" s="184"/>
      <c r="H1166" s="185"/>
      <c r="I1166" s="185"/>
    </row>
    <row r="1167" spans="1:9" x14ac:dyDescent="0.25">
      <c r="A1167" s="176"/>
      <c r="B1167" s="182"/>
      <c r="C1167" s="80"/>
      <c r="D1167" s="80"/>
      <c r="E1167" s="177"/>
      <c r="F1167" s="183"/>
      <c r="G1167" s="184"/>
      <c r="H1167" s="185"/>
      <c r="I1167" s="185"/>
    </row>
    <row r="1168" spans="1:9" x14ac:dyDescent="0.25">
      <c r="A1168" s="176"/>
      <c r="B1168" s="182"/>
      <c r="C1168" s="80"/>
      <c r="D1168" s="80"/>
      <c r="E1168" s="177"/>
      <c r="F1168" s="183"/>
      <c r="G1168" s="184"/>
      <c r="H1168" s="185"/>
      <c r="I1168" s="185"/>
    </row>
    <row r="1169" spans="1:9" x14ac:dyDescent="0.25">
      <c r="A1169" s="176"/>
      <c r="B1169" s="182"/>
      <c r="C1169" s="80"/>
      <c r="D1169" s="80"/>
      <c r="E1169" s="177"/>
      <c r="F1169" s="183"/>
      <c r="G1169" s="184"/>
      <c r="H1169" s="185"/>
      <c r="I1169" s="185"/>
    </row>
    <row r="1170" spans="1:9" x14ac:dyDescent="0.25">
      <c r="A1170" s="176"/>
      <c r="B1170" s="182"/>
      <c r="C1170" s="80"/>
      <c r="D1170" s="80"/>
      <c r="E1170" s="177"/>
      <c r="F1170" s="183"/>
      <c r="G1170" s="184"/>
      <c r="H1170" s="185"/>
      <c r="I1170" s="185"/>
    </row>
    <row r="1171" spans="1:9" x14ac:dyDescent="0.25">
      <c r="A1171" s="176"/>
      <c r="B1171" s="182"/>
      <c r="C1171" s="80"/>
      <c r="D1171" s="80"/>
      <c r="E1171" s="177"/>
      <c r="F1171" s="183"/>
      <c r="G1171" s="184"/>
      <c r="H1171" s="185"/>
      <c r="I1171" s="185"/>
    </row>
    <row r="1172" spans="1:9" x14ac:dyDescent="0.25">
      <c r="A1172" s="176"/>
      <c r="B1172" s="182"/>
      <c r="C1172" s="80"/>
      <c r="D1172" s="80"/>
      <c r="E1172" s="177"/>
      <c r="F1172" s="183"/>
      <c r="G1172" s="184"/>
      <c r="H1172" s="185"/>
      <c r="I1172" s="185"/>
    </row>
    <row r="1173" spans="1:9" x14ac:dyDescent="0.25">
      <c r="A1173" s="176"/>
      <c r="B1173" s="182"/>
      <c r="C1173" s="80"/>
      <c r="D1173" s="80"/>
      <c r="E1173" s="177"/>
      <c r="F1173" s="183"/>
      <c r="G1173" s="184"/>
      <c r="H1173" s="185"/>
      <c r="I1173" s="185"/>
    </row>
    <row r="1174" spans="1:9" x14ac:dyDescent="0.25">
      <c r="A1174" s="176"/>
      <c r="B1174" s="182"/>
      <c r="C1174" s="80"/>
      <c r="D1174" s="80"/>
      <c r="E1174" s="177"/>
      <c r="F1174" s="183"/>
      <c r="G1174" s="184"/>
      <c r="H1174" s="185"/>
      <c r="I1174" s="185"/>
    </row>
    <row r="1175" spans="1:9" x14ac:dyDescent="0.25">
      <c r="A1175" s="176"/>
      <c r="B1175" s="182"/>
      <c r="C1175" s="80"/>
      <c r="D1175" s="80"/>
      <c r="E1175" s="177"/>
      <c r="F1175" s="183"/>
      <c r="G1175" s="184"/>
      <c r="H1175" s="185"/>
      <c r="I1175" s="185"/>
    </row>
    <row r="1176" spans="1:9" x14ac:dyDescent="0.25">
      <c r="A1176" s="176"/>
      <c r="B1176" s="182"/>
      <c r="C1176" s="80"/>
      <c r="D1176" s="80"/>
      <c r="E1176" s="177"/>
      <c r="F1176" s="183"/>
      <c r="G1176" s="184"/>
      <c r="H1176" s="185"/>
      <c r="I1176" s="185"/>
    </row>
    <row r="1177" spans="1:9" x14ac:dyDescent="0.25">
      <c r="A1177" s="176"/>
      <c r="B1177" s="182"/>
      <c r="C1177" s="80"/>
      <c r="D1177" s="80"/>
      <c r="E1177" s="177"/>
      <c r="F1177" s="183"/>
      <c r="G1177" s="184"/>
      <c r="H1177" s="185"/>
      <c r="I1177" s="185"/>
    </row>
    <row r="1178" spans="1:9" x14ac:dyDescent="0.25">
      <c r="A1178" s="176"/>
      <c r="B1178" s="182"/>
      <c r="C1178" s="80"/>
      <c r="D1178" s="80"/>
      <c r="E1178" s="177"/>
      <c r="F1178" s="183"/>
      <c r="G1178" s="184"/>
      <c r="H1178" s="185"/>
      <c r="I1178" s="185"/>
    </row>
    <row r="1179" spans="1:9" x14ac:dyDescent="0.25">
      <c r="A1179" s="176"/>
      <c r="B1179" s="182"/>
      <c r="C1179" s="80"/>
      <c r="D1179" s="80"/>
      <c r="E1179" s="177"/>
      <c r="F1179" s="183"/>
      <c r="G1179" s="184"/>
      <c r="H1179" s="185"/>
      <c r="I1179" s="185"/>
    </row>
    <row r="1180" spans="1:9" x14ac:dyDescent="0.25">
      <c r="A1180" s="176"/>
      <c r="B1180" s="182"/>
      <c r="C1180" s="80"/>
      <c r="D1180" s="80"/>
      <c r="E1180" s="177"/>
      <c r="F1180" s="183"/>
      <c r="G1180" s="184"/>
      <c r="H1180" s="185"/>
      <c r="I1180" s="185"/>
    </row>
    <row r="1181" spans="1:9" x14ac:dyDescent="0.25">
      <c r="A1181" s="176"/>
      <c r="B1181" s="182"/>
      <c r="C1181" s="80"/>
      <c r="D1181" s="80"/>
      <c r="E1181" s="177"/>
      <c r="F1181" s="183"/>
      <c r="G1181" s="184"/>
      <c r="H1181" s="185"/>
      <c r="I1181" s="185"/>
    </row>
    <row r="1182" spans="1:9" x14ac:dyDescent="0.25">
      <c r="A1182" s="176"/>
      <c r="B1182" s="182"/>
      <c r="C1182" s="80"/>
      <c r="D1182" s="80"/>
      <c r="E1182" s="177"/>
      <c r="F1182" s="183"/>
      <c r="G1182" s="184"/>
      <c r="H1182" s="185"/>
      <c r="I1182" s="185"/>
    </row>
    <row r="1183" spans="1:9" x14ac:dyDescent="0.25">
      <c r="A1183" s="176"/>
      <c r="B1183" s="182"/>
      <c r="C1183" s="80"/>
      <c r="D1183" s="80"/>
      <c r="E1183" s="177"/>
      <c r="F1183" s="183"/>
      <c r="G1183" s="184"/>
      <c r="H1183" s="185"/>
      <c r="I1183" s="185"/>
    </row>
    <row r="1184" spans="1:9" x14ac:dyDescent="0.25">
      <c r="A1184" s="176"/>
      <c r="B1184" s="182"/>
      <c r="C1184" s="80"/>
      <c r="D1184" s="80"/>
      <c r="E1184" s="177"/>
      <c r="F1184" s="183"/>
      <c r="G1184" s="184"/>
      <c r="H1184" s="185"/>
      <c r="I1184" s="185"/>
    </row>
    <row r="1185" spans="1:9" x14ac:dyDescent="0.25">
      <c r="A1185" s="176"/>
      <c r="B1185" s="182"/>
      <c r="C1185" s="80"/>
      <c r="D1185" s="80"/>
      <c r="E1185" s="177"/>
      <c r="F1185" s="183"/>
      <c r="G1185" s="184"/>
      <c r="H1185" s="185"/>
      <c r="I1185" s="185"/>
    </row>
    <row r="1186" spans="1:9" x14ac:dyDescent="0.25">
      <c r="A1186" s="176"/>
      <c r="B1186" s="182"/>
      <c r="C1186" s="80"/>
      <c r="D1186" s="80"/>
      <c r="E1186" s="177"/>
      <c r="F1186" s="183"/>
      <c r="G1186" s="184"/>
      <c r="H1186" s="185"/>
      <c r="I1186" s="185"/>
    </row>
    <row r="1187" spans="1:9" x14ac:dyDescent="0.25">
      <c r="A1187" s="176"/>
      <c r="B1187" s="182"/>
      <c r="C1187" s="80"/>
      <c r="D1187" s="80"/>
      <c r="E1187" s="177"/>
      <c r="F1187" s="183"/>
      <c r="G1187" s="184"/>
      <c r="H1187" s="185"/>
      <c r="I1187" s="185"/>
    </row>
    <row r="1188" spans="1:9" x14ac:dyDescent="0.25">
      <c r="A1188" s="176"/>
      <c r="B1188" s="182"/>
      <c r="C1188" s="80"/>
      <c r="D1188" s="80"/>
      <c r="E1188" s="177"/>
      <c r="F1188" s="183"/>
      <c r="G1188" s="184"/>
      <c r="H1188" s="185"/>
      <c r="I1188" s="185"/>
    </row>
    <row r="1189" spans="1:9" x14ac:dyDescent="0.25">
      <c r="A1189" s="176"/>
      <c r="B1189" s="182"/>
      <c r="C1189" s="80"/>
      <c r="D1189" s="80"/>
      <c r="E1189" s="177"/>
      <c r="F1189" s="183"/>
      <c r="G1189" s="184"/>
      <c r="H1189" s="185"/>
      <c r="I1189" s="185"/>
    </row>
    <row r="1190" spans="1:9" x14ac:dyDescent="0.25">
      <c r="A1190" s="176"/>
      <c r="B1190" s="182"/>
      <c r="C1190" s="80"/>
      <c r="D1190" s="80"/>
      <c r="E1190" s="177"/>
      <c r="F1190" s="183"/>
      <c r="G1190" s="184"/>
      <c r="H1190" s="185"/>
      <c r="I1190" s="185"/>
    </row>
    <row r="1191" spans="1:9" x14ac:dyDescent="0.25">
      <c r="A1191" s="176"/>
      <c r="B1191" s="182"/>
      <c r="C1191" s="80"/>
      <c r="D1191" s="80"/>
      <c r="E1191" s="177"/>
      <c r="F1191" s="183"/>
      <c r="G1191" s="184"/>
      <c r="H1191" s="185"/>
      <c r="I1191" s="185"/>
    </row>
    <row r="1192" spans="1:9" x14ac:dyDescent="0.25">
      <c r="A1192" s="176"/>
      <c r="B1192" s="182"/>
      <c r="C1192" s="80"/>
      <c r="D1192" s="80"/>
      <c r="E1192" s="177"/>
      <c r="F1192" s="183"/>
      <c r="G1192" s="184"/>
      <c r="H1192" s="185"/>
      <c r="I1192" s="185"/>
    </row>
    <row r="1193" spans="1:9" x14ac:dyDescent="0.25">
      <c r="A1193" s="176"/>
      <c r="B1193" s="182"/>
      <c r="C1193" s="80"/>
      <c r="D1193" s="80"/>
      <c r="E1193" s="177"/>
      <c r="F1193" s="183"/>
      <c r="G1193" s="184"/>
      <c r="H1193" s="185"/>
      <c r="I1193" s="185"/>
    </row>
    <row r="1194" spans="1:9" x14ac:dyDescent="0.25">
      <c r="A1194" s="176"/>
      <c r="B1194" s="182"/>
      <c r="C1194" s="80"/>
      <c r="D1194" s="80"/>
      <c r="E1194" s="177"/>
      <c r="F1194" s="183"/>
      <c r="G1194" s="184"/>
      <c r="H1194" s="185"/>
      <c r="I1194" s="185"/>
    </row>
    <row r="1195" spans="1:9" x14ac:dyDescent="0.25">
      <c r="A1195" s="176"/>
      <c r="B1195" s="182"/>
      <c r="C1195" s="80"/>
      <c r="D1195" s="80"/>
      <c r="E1195" s="177"/>
      <c r="F1195" s="183"/>
      <c r="G1195" s="184"/>
      <c r="H1195" s="185"/>
      <c r="I1195" s="185"/>
    </row>
    <row r="1196" spans="1:9" x14ac:dyDescent="0.25">
      <c r="A1196" s="176"/>
      <c r="B1196" s="182"/>
      <c r="C1196" s="80"/>
      <c r="D1196" s="80"/>
      <c r="E1196" s="177"/>
      <c r="F1196" s="183"/>
      <c r="G1196" s="184"/>
      <c r="H1196" s="185"/>
      <c r="I1196" s="185"/>
    </row>
    <row r="1197" spans="1:9" x14ac:dyDescent="0.25">
      <c r="A1197" s="176"/>
      <c r="B1197" s="182"/>
      <c r="C1197" s="80"/>
      <c r="D1197" s="80"/>
      <c r="E1197" s="177"/>
      <c r="F1197" s="183"/>
      <c r="G1197" s="184"/>
      <c r="H1197" s="185"/>
      <c r="I1197" s="185"/>
    </row>
    <row r="1198" spans="1:9" x14ac:dyDescent="0.25">
      <c r="A1198" s="176"/>
      <c r="B1198" s="182"/>
      <c r="C1198" s="80"/>
      <c r="D1198" s="80"/>
      <c r="E1198" s="177"/>
      <c r="F1198" s="183"/>
      <c r="G1198" s="184"/>
      <c r="H1198" s="185"/>
      <c r="I1198" s="185"/>
    </row>
    <row r="1199" spans="1:9" x14ac:dyDescent="0.25">
      <c r="A1199" s="176"/>
      <c r="B1199" s="182"/>
      <c r="C1199" s="80"/>
      <c r="D1199" s="80"/>
      <c r="E1199" s="177"/>
      <c r="F1199" s="183"/>
      <c r="G1199" s="184"/>
      <c r="H1199" s="185"/>
      <c r="I1199" s="185"/>
    </row>
    <row r="1200" spans="1:9" x14ac:dyDescent="0.25">
      <c r="A1200" s="176"/>
      <c r="B1200" s="182"/>
      <c r="C1200" s="80"/>
      <c r="D1200" s="80"/>
      <c r="E1200" s="177"/>
      <c r="F1200" s="183"/>
      <c r="G1200" s="184"/>
      <c r="H1200" s="185"/>
      <c r="I1200" s="185"/>
    </row>
    <row r="1201" spans="1:9" x14ac:dyDescent="0.25">
      <c r="A1201" s="176"/>
      <c r="B1201" s="182"/>
      <c r="C1201" s="80"/>
      <c r="D1201" s="80"/>
      <c r="E1201" s="177"/>
      <c r="F1201" s="183"/>
      <c r="G1201" s="184"/>
      <c r="H1201" s="185"/>
      <c r="I1201" s="185"/>
    </row>
    <row r="1202" spans="1:9" x14ac:dyDescent="0.25">
      <c r="A1202" s="176"/>
      <c r="B1202" s="182"/>
      <c r="C1202" s="80"/>
      <c r="D1202" s="80"/>
      <c r="E1202" s="177"/>
      <c r="F1202" s="183"/>
      <c r="G1202" s="184"/>
      <c r="H1202" s="185"/>
      <c r="I1202" s="185"/>
    </row>
    <row r="1203" spans="1:9" x14ac:dyDescent="0.25">
      <c r="A1203" s="176"/>
      <c r="B1203" s="182"/>
      <c r="C1203" s="80"/>
      <c r="D1203" s="80"/>
      <c r="E1203" s="177"/>
      <c r="F1203" s="183"/>
      <c r="G1203" s="184"/>
      <c r="H1203" s="185"/>
      <c r="I1203" s="185"/>
    </row>
    <row r="1204" spans="1:9" x14ac:dyDescent="0.25">
      <c r="A1204" s="176"/>
      <c r="B1204" s="182"/>
      <c r="C1204" s="80"/>
      <c r="D1204" s="80"/>
      <c r="E1204" s="177"/>
      <c r="F1204" s="183"/>
      <c r="G1204" s="184"/>
      <c r="H1204" s="185"/>
      <c r="I1204" s="185"/>
    </row>
    <row r="1205" spans="1:9" x14ac:dyDescent="0.25">
      <c r="A1205" s="176"/>
      <c r="B1205" s="182"/>
      <c r="C1205" s="80"/>
      <c r="D1205" s="80"/>
      <c r="E1205" s="177"/>
      <c r="F1205" s="183"/>
      <c r="G1205" s="184"/>
      <c r="H1205" s="185"/>
      <c r="I1205" s="185"/>
    </row>
    <row r="1206" spans="1:9" x14ac:dyDescent="0.25">
      <c r="A1206" s="176"/>
      <c r="B1206" s="182"/>
      <c r="C1206" s="80"/>
      <c r="D1206" s="80"/>
      <c r="E1206" s="177"/>
      <c r="F1206" s="183"/>
      <c r="G1206" s="184"/>
      <c r="H1206" s="185"/>
      <c r="I1206" s="185"/>
    </row>
    <row r="1207" spans="1:9" x14ac:dyDescent="0.25">
      <c r="A1207" s="176"/>
      <c r="B1207" s="182"/>
      <c r="C1207" s="80"/>
      <c r="D1207" s="80"/>
      <c r="E1207" s="177"/>
      <c r="F1207" s="183"/>
      <c r="G1207" s="184"/>
      <c r="H1207" s="185"/>
      <c r="I1207" s="185"/>
    </row>
    <row r="1208" spans="1:9" x14ac:dyDescent="0.25">
      <c r="A1208" s="176"/>
      <c r="B1208" s="182"/>
      <c r="C1208" s="80"/>
      <c r="D1208" s="80"/>
      <c r="E1208" s="177"/>
      <c r="F1208" s="183"/>
      <c r="G1208" s="184"/>
      <c r="H1208" s="185"/>
      <c r="I1208" s="185"/>
    </row>
    <row r="1209" spans="1:9" x14ac:dyDescent="0.25">
      <c r="A1209" s="176"/>
      <c r="B1209" s="182"/>
      <c r="C1209" s="80"/>
      <c r="D1209" s="80"/>
      <c r="E1209" s="177"/>
      <c r="F1209" s="183"/>
      <c r="G1209" s="184"/>
      <c r="H1209" s="185"/>
      <c r="I1209" s="185"/>
    </row>
    <row r="1210" spans="1:9" x14ac:dyDescent="0.25">
      <c r="A1210" s="176"/>
      <c r="B1210" s="182"/>
      <c r="C1210" s="80"/>
      <c r="D1210" s="80"/>
      <c r="E1210" s="177"/>
      <c r="F1210" s="183"/>
      <c r="G1210" s="184"/>
      <c r="H1210" s="185"/>
      <c r="I1210" s="185"/>
    </row>
    <row r="1211" spans="1:9" x14ac:dyDescent="0.25">
      <c r="A1211" s="176"/>
      <c r="B1211" s="182"/>
      <c r="C1211" s="80"/>
      <c r="D1211" s="80"/>
      <c r="E1211" s="177"/>
      <c r="F1211" s="183"/>
      <c r="G1211" s="184"/>
      <c r="H1211" s="185"/>
      <c r="I1211" s="185"/>
    </row>
    <row r="1212" spans="1:9" x14ac:dyDescent="0.25">
      <c r="A1212" s="176"/>
      <c r="B1212" s="182"/>
      <c r="C1212" s="80"/>
      <c r="D1212" s="80"/>
      <c r="E1212" s="177"/>
      <c r="F1212" s="183"/>
      <c r="G1212" s="184"/>
      <c r="H1212" s="185"/>
      <c r="I1212" s="185"/>
    </row>
    <row r="1213" spans="1:9" x14ac:dyDescent="0.25">
      <c r="A1213" s="176"/>
      <c r="B1213" s="182"/>
      <c r="C1213" s="80"/>
      <c r="D1213" s="80"/>
      <c r="E1213" s="177"/>
      <c r="F1213" s="183"/>
      <c r="G1213" s="184"/>
      <c r="H1213" s="185"/>
      <c r="I1213" s="185"/>
    </row>
    <row r="1214" spans="1:9" x14ac:dyDescent="0.25">
      <c r="A1214" s="176"/>
      <c r="B1214" s="182"/>
      <c r="C1214" s="80"/>
      <c r="D1214" s="80"/>
      <c r="E1214" s="177"/>
      <c r="F1214" s="183"/>
      <c r="G1214" s="184"/>
      <c r="H1214" s="185"/>
      <c r="I1214" s="185"/>
    </row>
    <row r="1215" spans="1:9" x14ac:dyDescent="0.25">
      <c r="A1215" s="176"/>
      <c r="B1215" s="182"/>
      <c r="C1215" s="80"/>
      <c r="D1215" s="80"/>
      <c r="E1215" s="177"/>
      <c r="F1215" s="183"/>
      <c r="G1215" s="184"/>
      <c r="H1215" s="185"/>
      <c r="I1215" s="185"/>
    </row>
    <row r="1216" spans="1:9" x14ac:dyDescent="0.25">
      <c r="A1216" s="176"/>
      <c r="B1216" s="182"/>
      <c r="C1216" s="80"/>
      <c r="D1216" s="80"/>
      <c r="E1216" s="177"/>
      <c r="F1216" s="183"/>
      <c r="G1216" s="184"/>
      <c r="H1216" s="185"/>
      <c r="I1216" s="185"/>
    </row>
    <row r="1217" spans="1:9" x14ac:dyDescent="0.25">
      <c r="A1217" s="176"/>
      <c r="B1217" s="182"/>
      <c r="C1217" s="80"/>
      <c r="D1217" s="80"/>
      <c r="E1217" s="177"/>
      <c r="F1217" s="183"/>
      <c r="G1217" s="184"/>
      <c r="H1217" s="185"/>
      <c r="I1217" s="185"/>
    </row>
    <row r="1218" spans="1:9" x14ac:dyDescent="0.25">
      <c r="A1218" s="176"/>
      <c r="B1218" s="182"/>
      <c r="C1218" s="80"/>
      <c r="D1218" s="80"/>
      <c r="E1218" s="177"/>
      <c r="F1218" s="183"/>
      <c r="G1218" s="184"/>
      <c r="H1218" s="185"/>
      <c r="I1218" s="185"/>
    </row>
    <row r="1219" spans="1:9" x14ac:dyDescent="0.25">
      <c r="A1219" s="176"/>
      <c r="B1219" s="182"/>
      <c r="C1219" s="80"/>
      <c r="D1219" s="80"/>
      <c r="E1219" s="177"/>
      <c r="F1219" s="183"/>
      <c r="G1219" s="184"/>
      <c r="H1219" s="185"/>
      <c r="I1219" s="185"/>
    </row>
    <row r="1220" spans="1:9" x14ac:dyDescent="0.25">
      <c r="A1220" s="176"/>
      <c r="B1220" s="182"/>
      <c r="C1220" s="80"/>
      <c r="D1220" s="80"/>
      <c r="E1220" s="177"/>
      <c r="F1220" s="183"/>
      <c r="G1220" s="184"/>
      <c r="H1220" s="185"/>
      <c r="I1220" s="185"/>
    </row>
    <row r="1221" spans="1:9" x14ac:dyDescent="0.25">
      <c r="A1221" s="176"/>
      <c r="B1221" s="182"/>
      <c r="C1221" s="80"/>
      <c r="D1221" s="80"/>
      <c r="E1221" s="177"/>
      <c r="F1221" s="183"/>
      <c r="G1221" s="184"/>
      <c r="H1221" s="185"/>
      <c r="I1221" s="185"/>
    </row>
    <row r="1222" spans="1:9" x14ac:dyDescent="0.25">
      <c r="A1222" s="176"/>
      <c r="B1222" s="182"/>
      <c r="C1222" s="80"/>
      <c r="D1222" s="80"/>
      <c r="E1222" s="177"/>
      <c r="F1222" s="183"/>
      <c r="G1222" s="184"/>
      <c r="H1222" s="185"/>
      <c r="I1222" s="185"/>
    </row>
    <row r="1223" spans="1:9" x14ac:dyDescent="0.25">
      <c r="A1223" s="176"/>
      <c r="B1223" s="182"/>
      <c r="C1223" s="80"/>
      <c r="D1223" s="80"/>
      <c r="E1223" s="177"/>
      <c r="F1223" s="183"/>
      <c r="G1223" s="184"/>
      <c r="H1223" s="185"/>
      <c r="I1223" s="185"/>
    </row>
    <row r="1224" spans="1:9" x14ac:dyDescent="0.25">
      <c r="A1224" s="176"/>
      <c r="B1224" s="182"/>
      <c r="C1224" s="80"/>
      <c r="D1224" s="80"/>
      <c r="E1224" s="177"/>
      <c r="F1224" s="183"/>
      <c r="G1224" s="184"/>
      <c r="H1224" s="185"/>
      <c r="I1224" s="185"/>
    </row>
    <row r="1225" spans="1:9" x14ac:dyDescent="0.25">
      <c r="A1225" s="176"/>
      <c r="B1225" s="182"/>
      <c r="C1225" s="80"/>
      <c r="D1225" s="80"/>
      <c r="E1225" s="177"/>
      <c r="F1225" s="183"/>
      <c r="G1225" s="184"/>
      <c r="H1225" s="185"/>
      <c r="I1225" s="185"/>
    </row>
    <row r="1226" spans="1:9" x14ac:dyDescent="0.25">
      <c r="A1226" s="176"/>
      <c r="B1226" s="182"/>
      <c r="C1226" s="80"/>
      <c r="D1226" s="80"/>
      <c r="E1226" s="177"/>
      <c r="F1226" s="183"/>
      <c r="G1226" s="184"/>
      <c r="H1226" s="185"/>
      <c r="I1226" s="185"/>
    </row>
    <row r="1227" spans="1:9" x14ac:dyDescent="0.25">
      <c r="A1227" s="176"/>
      <c r="B1227" s="182"/>
      <c r="C1227" s="80"/>
      <c r="D1227" s="80"/>
      <c r="E1227" s="177"/>
      <c r="F1227" s="183"/>
      <c r="G1227" s="184"/>
      <c r="H1227" s="185"/>
      <c r="I1227" s="185"/>
    </row>
    <row r="1228" spans="1:9" x14ac:dyDescent="0.25">
      <c r="A1228" s="176"/>
      <c r="B1228" s="182"/>
      <c r="C1228" s="80"/>
      <c r="D1228" s="80"/>
      <c r="E1228" s="177"/>
      <c r="F1228" s="183"/>
      <c r="G1228" s="184"/>
      <c r="H1228" s="185"/>
      <c r="I1228" s="185"/>
    </row>
    <row r="1229" spans="1:9" x14ac:dyDescent="0.25">
      <c r="A1229" s="176"/>
      <c r="B1229" s="182"/>
      <c r="C1229" s="80"/>
      <c r="D1229" s="80"/>
      <c r="E1229" s="177"/>
      <c r="F1229" s="183"/>
      <c r="G1229" s="184"/>
      <c r="H1229" s="185"/>
      <c r="I1229" s="185"/>
    </row>
    <row r="1230" spans="1:9" x14ac:dyDescent="0.25">
      <c r="A1230" s="176"/>
      <c r="B1230" s="182"/>
      <c r="C1230" s="80"/>
      <c r="D1230" s="80"/>
      <c r="E1230" s="177"/>
      <c r="F1230" s="183"/>
      <c r="G1230" s="184"/>
      <c r="H1230" s="185"/>
      <c r="I1230" s="185"/>
    </row>
    <row r="1231" spans="1:9" x14ac:dyDescent="0.25">
      <c r="A1231" s="176"/>
      <c r="B1231" s="182"/>
      <c r="C1231" s="80"/>
      <c r="D1231" s="80"/>
      <c r="E1231" s="177"/>
      <c r="F1231" s="183"/>
      <c r="G1231" s="184"/>
      <c r="H1231" s="185"/>
      <c r="I1231" s="185"/>
    </row>
    <row r="1232" spans="1:9" x14ac:dyDescent="0.25">
      <c r="A1232" s="176"/>
      <c r="B1232" s="182"/>
      <c r="C1232" s="80"/>
      <c r="D1232" s="80"/>
      <c r="E1232" s="177"/>
      <c r="F1232" s="183"/>
      <c r="G1232" s="184"/>
      <c r="H1232" s="185"/>
      <c r="I1232" s="185"/>
    </row>
    <row r="1233" spans="1:9" x14ac:dyDescent="0.25">
      <c r="A1233" s="176"/>
      <c r="B1233" s="182"/>
      <c r="C1233" s="80"/>
      <c r="D1233" s="80"/>
      <c r="E1233" s="177"/>
      <c r="F1233" s="183"/>
      <c r="G1233" s="184"/>
      <c r="H1233" s="185"/>
      <c r="I1233" s="185"/>
    </row>
    <row r="1234" spans="1:9" x14ac:dyDescent="0.25">
      <c r="A1234" s="176"/>
      <c r="B1234" s="182"/>
      <c r="C1234" s="80"/>
      <c r="D1234" s="80"/>
      <c r="E1234" s="177"/>
      <c r="F1234" s="183"/>
      <c r="G1234" s="184"/>
      <c r="H1234" s="185"/>
      <c r="I1234" s="185"/>
    </row>
    <row r="1235" spans="1:9" x14ac:dyDescent="0.25">
      <c r="A1235" s="176"/>
      <c r="B1235" s="182"/>
      <c r="C1235" s="80"/>
      <c r="D1235" s="80"/>
      <c r="E1235" s="177"/>
      <c r="F1235" s="183"/>
      <c r="G1235" s="184"/>
      <c r="H1235" s="185"/>
      <c r="I1235" s="185"/>
    </row>
    <row r="1236" spans="1:9" x14ac:dyDescent="0.25">
      <c r="A1236" s="176"/>
      <c r="B1236" s="182"/>
      <c r="C1236" s="80"/>
      <c r="D1236" s="80"/>
      <c r="E1236" s="177"/>
      <c r="F1236" s="183"/>
      <c r="G1236" s="184"/>
      <c r="H1236" s="185"/>
      <c r="I1236" s="185"/>
    </row>
    <row r="1237" spans="1:9" x14ac:dyDescent="0.25">
      <c r="A1237" s="176"/>
      <c r="B1237" s="182"/>
      <c r="C1237" s="80"/>
      <c r="D1237" s="80"/>
      <c r="E1237" s="177"/>
      <c r="F1237" s="183"/>
      <c r="G1237" s="184"/>
      <c r="H1237" s="185"/>
      <c r="I1237" s="185"/>
    </row>
    <row r="1238" spans="1:9" x14ac:dyDescent="0.25">
      <c r="A1238" s="176"/>
      <c r="B1238" s="182"/>
      <c r="C1238" s="80"/>
      <c r="D1238" s="80"/>
      <c r="E1238" s="177"/>
      <c r="F1238" s="183"/>
      <c r="G1238" s="184"/>
      <c r="H1238" s="185"/>
      <c r="I1238" s="185"/>
    </row>
    <row r="1239" spans="1:9" x14ac:dyDescent="0.25">
      <c r="A1239" s="176"/>
      <c r="B1239" s="182"/>
      <c r="C1239" s="80"/>
      <c r="D1239" s="80"/>
      <c r="E1239" s="177"/>
      <c r="F1239" s="183"/>
      <c r="G1239" s="184"/>
      <c r="H1239" s="185"/>
      <c r="I1239" s="185"/>
    </row>
    <row r="1240" spans="1:9" x14ac:dyDescent="0.25">
      <c r="A1240" s="176"/>
      <c r="B1240" s="182"/>
      <c r="C1240" s="80"/>
      <c r="D1240" s="80"/>
      <c r="E1240" s="177"/>
      <c r="F1240" s="183"/>
      <c r="G1240" s="184"/>
      <c r="H1240" s="185"/>
      <c r="I1240" s="185"/>
    </row>
    <row r="1241" spans="1:9" x14ac:dyDescent="0.25">
      <c r="A1241" s="176"/>
      <c r="B1241" s="182"/>
      <c r="C1241" s="80"/>
      <c r="D1241" s="80"/>
      <c r="E1241" s="177"/>
      <c r="F1241" s="183"/>
      <c r="G1241" s="184"/>
      <c r="H1241" s="185"/>
      <c r="I1241" s="185"/>
    </row>
    <row r="1242" spans="1:9" x14ac:dyDescent="0.25">
      <c r="A1242" s="176"/>
      <c r="B1242" s="182"/>
      <c r="C1242" s="80"/>
      <c r="D1242" s="80"/>
      <c r="E1242" s="177"/>
      <c r="F1242" s="183"/>
      <c r="G1242" s="184"/>
      <c r="H1242" s="185"/>
      <c r="I1242" s="185"/>
    </row>
    <row r="1243" spans="1:9" x14ac:dyDescent="0.25">
      <c r="A1243" s="176"/>
      <c r="B1243" s="182"/>
      <c r="C1243" s="80"/>
      <c r="D1243" s="80"/>
      <c r="E1243" s="177"/>
      <c r="F1243" s="183"/>
      <c r="G1243" s="184"/>
      <c r="H1243" s="185"/>
      <c r="I1243" s="185"/>
    </row>
    <row r="1244" spans="1:9" x14ac:dyDescent="0.25">
      <c r="A1244" s="176"/>
      <c r="B1244" s="182"/>
      <c r="C1244" s="80"/>
      <c r="D1244" s="80"/>
      <c r="E1244" s="177"/>
      <c r="F1244" s="183"/>
      <c r="G1244" s="184"/>
      <c r="H1244" s="185"/>
      <c r="I1244" s="185"/>
    </row>
    <row r="1245" spans="1:9" x14ac:dyDescent="0.25">
      <c r="A1245" s="176"/>
      <c r="B1245" s="182"/>
      <c r="C1245" s="80"/>
      <c r="D1245" s="80"/>
      <c r="E1245" s="177"/>
      <c r="F1245" s="183"/>
      <c r="G1245" s="184"/>
      <c r="H1245" s="185"/>
      <c r="I1245" s="185"/>
    </row>
    <row r="1246" spans="1:9" x14ac:dyDescent="0.25">
      <c r="A1246" s="176"/>
      <c r="B1246" s="182"/>
      <c r="C1246" s="80"/>
      <c r="D1246" s="80"/>
      <c r="E1246" s="177"/>
      <c r="F1246" s="183"/>
      <c r="G1246" s="184"/>
      <c r="H1246" s="185"/>
      <c r="I1246" s="185"/>
    </row>
    <row r="1247" spans="1:9" x14ac:dyDescent="0.25">
      <c r="A1247" s="176"/>
      <c r="B1247" s="182"/>
      <c r="C1247" s="80"/>
      <c r="D1247" s="80"/>
      <c r="E1247" s="177"/>
      <c r="F1247" s="183"/>
      <c r="G1247" s="184"/>
      <c r="H1247" s="185"/>
      <c r="I1247" s="185"/>
    </row>
    <row r="1248" spans="1:9" x14ac:dyDescent="0.25">
      <c r="A1248" s="176"/>
      <c r="B1248" s="182"/>
      <c r="C1248" s="80"/>
      <c r="D1248" s="80"/>
      <c r="E1248" s="177"/>
      <c r="F1248" s="183"/>
      <c r="G1248" s="184"/>
      <c r="H1248" s="185"/>
      <c r="I1248" s="185"/>
    </row>
    <row r="1249" spans="1:9" x14ac:dyDescent="0.25">
      <c r="A1249" s="176"/>
      <c r="B1249" s="182"/>
      <c r="C1249" s="80"/>
      <c r="D1249" s="80"/>
      <c r="E1249" s="177"/>
      <c r="F1249" s="183"/>
      <c r="G1249" s="184"/>
      <c r="H1249" s="185"/>
      <c r="I1249" s="185"/>
    </row>
    <row r="1250" spans="1:9" x14ac:dyDescent="0.25">
      <c r="A1250" s="176"/>
      <c r="B1250" s="182"/>
      <c r="C1250" s="80"/>
      <c r="D1250" s="80"/>
      <c r="E1250" s="177"/>
      <c r="F1250" s="183"/>
      <c r="G1250" s="184"/>
      <c r="H1250" s="185"/>
      <c r="I1250" s="185"/>
    </row>
    <row r="1251" spans="1:9" x14ac:dyDescent="0.25">
      <c r="A1251" s="176"/>
      <c r="B1251" s="182"/>
      <c r="C1251" s="80"/>
      <c r="D1251" s="80"/>
      <c r="E1251" s="177"/>
      <c r="F1251" s="183"/>
      <c r="G1251" s="184"/>
      <c r="H1251" s="185"/>
      <c r="I1251" s="185"/>
    </row>
    <row r="1252" spans="1:9" x14ac:dyDescent="0.25">
      <c r="A1252" s="176"/>
      <c r="B1252" s="182"/>
      <c r="C1252" s="80"/>
      <c r="D1252" s="80"/>
      <c r="E1252" s="177"/>
      <c r="F1252" s="183"/>
      <c r="G1252" s="184"/>
      <c r="H1252" s="185"/>
      <c r="I1252" s="185"/>
    </row>
    <row r="1253" spans="1:9" x14ac:dyDescent="0.25">
      <c r="A1253" s="176"/>
      <c r="B1253" s="182"/>
      <c r="C1253" s="80"/>
      <c r="D1253" s="80"/>
      <c r="E1253" s="177"/>
      <c r="F1253" s="183"/>
      <c r="G1253" s="184"/>
      <c r="H1253" s="185"/>
      <c r="I1253" s="185"/>
    </row>
    <row r="1254" spans="1:9" x14ac:dyDescent="0.25">
      <c r="A1254" s="176"/>
      <c r="B1254" s="182"/>
      <c r="C1254" s="80"/>
      <c r="D1254" s="80"/>
      <c r="E1254" s="177"/>
      <c r="F1254" s="183"/>
      <c r="G1254" s="184"/>
      <c r="H1254" s="185"/>
      <c r="I1254" s="185"/>
    </row>
    <row r="1255" spans="1:9" x14ac:dyDescent="0.25">
      <c r="A1255" s="176"/>
      <c r="B1255" s="182"/>
      <c r="C1255" s="80"/>
      <c r="D1255" s="80"/>
      <c r="E1255" s="177"/>
      <c r="F1255" s="183"/>
      <c r="G1255" s="184"/>
      <c r="H1255" s="185"/>
      <c r="I1255" s="185"/>
    </row>
    <row r="1256" spans="1:9" x14ac:dyDescent="0.25">
      <c r="A1256" s="176"/>
      <c r="B1256" s="182"/>
      <c r="C1256" s="80"/>
      <c r="D1256" s="80"/>
      <c r="E1256" s="177"/>
      <c r="F1256" s="183"/>
      <c r="G1256" s="184"/>
      <c r="H1256" s="185"/>
      <c r="I1256" s="185"/>
    </row>
    <row r="1257" spans="1:9" x14ac:dyDescent="0.25">
      <c r="A1257" s="176"/>
      <c r="B1257" s="182"/>
      <c r="C1257" s="80"/>
      <c r="D1257" s="80"/>
      <c r="E1257" s="177"/>
      <c r="F1257" s="183"/>
      <c r="G1257" s="184"/>
      <c r="H1257" s="185"/>
      <c r="I1257" s="185"/>
    </row>
    <row r="1258" spans="1:9" x14ac:dyDescent="0.25">
      <c r="A1258" s="176"/>
      <c r="B1258" s="182"/>
      <c r="C1258" s="80"/>
      <c r="D1258" s="80"/>
      <c r="E1258" s="177"/>
      <c r="F1258" s="183"/>
      <c r="G1258" s="184"/>
      <c r="H1258" s="185"/>
      <c r="I1258" s="185"/>
    </row>
    <row r="1259" spans="1:9" x14ac:dyDescent="0.25">
      <c r="A1259" s="176"/>
      <c r="B1259" s="182"/>
      <c r="C1259" s="80"/>
      <c r="D1259" s="80"/>
      <c r="E1259" s="177"/>
      <c r="F1259" s="183"/>
      <c r="G1259" s="184"/>
      <c r="H1259" s="185"/>
      <c r="I1259" s="185"/>
    </row>
    <row r="1260" spans="1:9" x14ac:dyDescent="0.25">
      <c r="A1260" s="176"/>
      <c r="B1260" s="182"/>
      <c r="C1260" s="80"/>
      <c r="D1260" s="80"/>
      <c r="E1260" s="177"/>
      <c r="F1260" s="183"/>
      <c r="G1260" s="184"/>
      <c r="H1260" s="185"/>
      <c r="I1260" s="185"/>
    </row>
    <row r="1261" spans="1:9" x14ac:dyDescent="0.25">
      <c r="A1261" s="176"/>
      <c r="B1261" s="182"/>
      <c r="C1261" s="80"/>
      <c r="D1261" s="80"/>
      <c r="E1261" s="177"/>
      <c r="F1261" s="183"/>
      <c r="G1261" s="184"/>
      <c r="H1261" s="185"/>
      <c r="I1261" s="185"/>
    </row>
    <row r="1262" spans="1:9" x14ac:dyDescent="0.25">
      <c r="A1262" s="176"/>
      <c r="B1262" s="182"/>
      <c r="C1262" s="80"/>
      <c r="D1262" s="80"/>
      <c r="E1262" s="177"/>
      <c r="F1262" s="183"/>
      <c r="G1262" s="184"/>
      <c r="H1262" s="185"/>
      <c r="I1262" s="185"/>
    </row>
    <row r="1263" spans="1:9" x14ac:dyDescent="0.25">
      <c r="A1263" s="176"/>
      <c r="B1263" s="182"/>
      <c r="C1263" s="80"/>
      <c r="D1263" s="80"/>
      <c r="E1263" s="177"/>
      <c r="F1263" s="183"/>
      <c r="G1263" s="184"/>
      <c r="H1263" s="185"/>
      <c r="I1263" s="185"/>
    </row>
    <row r="1264" spans="1:9" x14ac:dyDescent="0.25">
      <c r="A1264" s="176"/>
      <c r="B1264" s="182"/>
      <c r="C1264" s="80"/>
      <c r="D1264" s="80"/>
      <c r="E1264" s="177"/>
      <c r="F1264" s="183"/>
      <c r="G1264" s="184"/>
      <c r="H1264" s="185"/>
      <c r="I1264" s="185"/>
    </row>
    <row r="1265" spans="1:9" x14ac:dyDescent="0.25">
      <c r="A1265" s="176"/>
      <c r="B1265" s="182"/>
      <c r="C1265" s="80"/>
      <c r="D1265" s="80"/>
      <c r="E1265" s="177"/>
      <c r="F1265" s="183"/>
      <c r="G1265" s="184"/>
      <c r="H1265" s="185"/>
      <c r="I1265" s="185"/>
    </row>
    <row r="1266" spans="1:9" x14ac:dyDescent="0.25">
      <c r="A1266" s="176"/>
      <c r="B1266" s="182"/>
      <c r="C1266" s="80"/>
      <c r="D1266" s="80"/>
      <c r="E1266" s="177"/>
      <c r="F1266" s="183"/>
      <c r="G1266" s="184"/>
      <c r="H1266" s="185"/>
      <c r="I1266" s="185"/>
    </row>
    <row r="1267" spans="1:9" x14ac:dyDescent="0.25">
      <c r="A1267" s="176"/>
      <c r="B1267" s="182"/>
      <c r="C1267" s="80"/>
      <c r="D1267" s="80"/>
      <c r="E1267" s="177"/>
      <c r="F1267" s="183"/>
      <c r="G1267" s="184"/>
      <c r="H1267" s="185"/>
      <c r="I1267" s="185"/>
    </row>
    <row r="1268" spans="1:9" x14ac:dyDescent="0.25">
      <c r="A1268" s="176"/>
      <c r="B1268" s="182"/>
      <c r="C1268" s="80"/>
      <c r="D1268" s="80"/>
      <c r="E1268" s="177"/>
      <c r="F1268" s="183"/>
      <c r="G1268" s="184"/>
      <c r="H1268" s="185"/>
      <c r="I1268" s="185"/>
    </row>
    <row r="1269" spans="1:9" x14ac:dyDescent="0.25">
      <c r="A1269" s="176"/>
      <c r="B1269" s="182"/>
      <c r="C1269" s="80"/>
      <c r="D1269" s="80"/>
      <c r="E1269" s="177"/>
      <c r="F1269" s="183"/>
      <c r="G1269" s="184"/>
      <c r="H1269" s="185"/>
      <c r="I1269" s="185"/>
    </row>
    <row r="1270" spans="1:9" x14ac:dyDescent="0.25">
      <c r="A1270" s="176"/>
      <c r="B1270" s="182"/>
      <c r="C1270" s="80"/>
      <c r="D1270" s="80"/>
      <c r="E1270" s="177"/>
      <c r="F1270" s="183"/>
      <c r="G1270" s="184"/>
      <c r="H1270" s="185"/>
      <c r="I1270" s="185"/>
    </row>
    <row r="1271" spans="1:9" x14ac:dyDescent="0.25">
      <c r="A1271" s="176"/>
      <c r="B1271" s="182"/>
      <c r="C1271" s="80"/>
      <c r="D1271" s="80"/>
      <c r="E1271" s="177"/>
      <c r="F1271" s="183"/>
      <c r="G1271" s="184"/>
      <c r="H1271" s="185"/>
      <c r="I1271" s="185"/>
    </row>
    <row r="1272" spans="1:9" x14ac:dyDescent="0.25">
      <c r="A1272" s="176"/>
      <c r="B1272" s="182"/>
      <c r="C1272" s="80"/>
      <c r="D1272" s="80"/>
      <c r="E1272" s="177"/>
      <c r="F1272" s="183"/>
      <c r="G1272" s="184"/>
      <c r="H1272" s="185"/>
      <c r="I1272" s="185"/>
    </row>
    <row r="1273" spans="1:9" x14ac:dyDescent="0.25">
      <c r="A1273" s="176"/>
      <c r="B1273" s="182"/>
      <c r="C1273" s="80"/>
      <c r="D1273" s="80"/>
      <c r="E1273" s="177"/>
      <c r="F1273" s="183"/>
      <c r="G1273" s="184"/>
      <c r="H1273" s="185"/>
      <c r="I1273" s="185"/>
    </row>
    <row r="1274" spans="1:9" x14ac:dyDescent="0.25">
      <c r="A1274" s="176"/>
      <c r="B1274" s="182"/>
      <c r="C1274" s="80"/>
      <c r="D1274" s="80"/>
      <c r="E1274" s="177"/>
      <c r="F1274" s="183"/>
      <c r="G1274" s="184"/>
      <c r="H1274" s="185"/>
      <c r="I1274" s="185"/>
    </row>
    <row r="1275" spans="1:9" x14ac:dyDescent="0.25">
      <c r="A1275" s="176"/>
      <c r="B1275" s="182"/>
      <c r="C1275" s="80"/>
      <c r="D1275" s="80"/>
      <c r="E1275" s="177"/>
      <c r="F1275" s="183"/>
      <c r="G1275" s="184"/>
      <c r="H1275" s="185"/>
      <c r="I1275" s="185"/>
    </row>
    <row r="1276" spans="1:9" x14ac:dyDescent="0.25">
      <c r="A1276" s="176"/>
      <c r="B1276" s="182"/>
      <c r="C1276" s="80"/>
      <c r="D1276" s="80"/>
      <c r="E1276" s="177"/>
      <c r="F1276" s="183"/>
      <c r="G1276" s="184"/>
      <c r="H1276" s="185"/>
      <c r="I1276" s="185"/>
    </row>
    <row r="1277" spans="1:9" x14ac:dyDescent="0.25">
      <c r="A1277" s="176"/>
      <c r="B1277" s="182"/>
      <c r="C1277" s="80"/>
      <c r="D1277" s="80"/>
      <c r="E1277" s="177"/>
      <c r="F1277" s="183"/>
      <c r="G1277" s="184"/>
      <c r="H1277" s="185"/>
      <c r="I1277" s="185"/>
    </row>
    <row r="1278" spans="1:9" x14ac:dyDescent="0.25">
      <c r="A1278" s="176"/>
      <c r="B1278" s="182"/>
      <c r="C1278" s="80"/>
      <c r="D1278" s="80"/>
      <c r="E1278" s="177"/>
      <c r="F1278" s="183"/>
      <c r="G1278" s="184"/>
      <c r="H1278" s="185"/>
      <c r="I1278" s="185"/>
    </row>
    <row r="1279" spans="1:9" x14ac:dyDescent="0.25">
      <c r="A1279" s="176"/>
      <c r="B1279" s="182"/>
      <c r="C1279" s="80"/>
      <c r="D1279" s="80"/>
      <c r="E1279" s="177"/>
      <c r="F1279" s="183"/>
      <c r="G1279" s="184"/>
      <c r="H1279" s="185"/>
      <c r="I1279" s="185"/>
    </row>
    <row r="1280" spans="1:9" x14ac:dyDescent="0.25">
      <c r="A1280" s="176"/>
      <c r="B1280" s="182"/>
      <c r="C1280" s="80"/>
      <c r="D1280" s="80"/>
      <c r="E1280" s="177"/>
      <c r="F1280" s="183"/>
      <c r="G1280" s="184"/>
      <c r="H1280" s="185"/>
      <c r="I1280" s="185"/>
    </row>
    <row r="1281" spans="1:9" x14ac:dyDescent="0.25">
      <c r="A1281" s="176"/>
      <c r="B1281" s="182"/>
      <c r="C1281" s="80"/>
      <c r="D1281" s="80"/>
      <c r="E1281" s="177"/>
      <c r="F1281" s="183"/>
      <c r="G1281" s="184"/>
      <c r="H1281" s="185"/>
      <c r="I1281" s="185"/>
    </row>
    <row r="1282" spans="1:9" x14ac:dyDescent="0.25">
      <c r="A1282" s="176"/>
      <c r="B1282" s="182"/>
      <c r="C1282" s="80"/>
      <c r="D1282" s="80"/>
      <c r="E1282" s="177"/>
      <c r="F1282" s="183"/>
      <c r="G1282" s="184"/>
      <c r="H1282" s="185"/>
      <c r="I1282" s="185"/>
    </row>
    <row r="1283" spans="1:9" x14ac:dyDescent="0.25">
      <c r="A1283" s="176"/>
      <c r="B1283" s="182"/>
      <c r="C1283" s="80"/>
      <c r="D1283" s="80"/>
      <c r="E1283" s="177"/>
      <c r="F1283" s="183"/>
      <c r="G1283" s="184"/>
      <c r="H1283" s="185"/>
      <c r="I1283" s="185"/>
    </row>
    <row r="1284" spans="1:9" x14ac:dyDescent="0.25">
      <c r="A1284" s="176"/>
      <c r="B1284" s="182"/>
      <c r="C1284" s="80"/>
      <c r="D1284" s="80"/>
      <c r="E1284" s="177"/>
      <c r="F1284" s="183"/>
      <c r="G1284" s="184"/>
      <c r="H1284" s="185"/>
      <c r="I1284" s="185"/>
    </row>
    <row r="1285" spans="1:9" x14ac:dyDescent="0.25">
      <c r="A1285" s="176"/>
      <c r="B1285" s="182"/>
      <c r="C1285" s="80"/>
      <c r="D1285" s="80"/>
      <c r="E1285" s="177"/>
      <c r="F1285" s="183"/>
      <c r="G1285" s="184"/>
      <c r="H1285" s="185"/>
      <c r="I1285" s="185"/>
    </row>
    <row r="1286" spans="1:9" x14ac:dyDescent="0.25">
      <c r="A1286" s="176"/>
      <c r="B1286" s="182"/>
      <c r="C1286" s="80"/>
      <c r="D1286" s="80"/>
      <c r="E1286" s="177"/>
      <c r="F1286" s="183"/>
      <c r="G1286" s="184"/>
      <c r="H1286" s="185"/>
      <c r="I1286" s="185"/>
    </row>
    <row r="1287" spans="1:9" x14ac:dyDescent="0.25">
      <c r="A1287" s="176"/>
      <c r="B1287" s="182"/>
      <c r="C1287" s="80"/>
      <c r="D1287" s="80"/>
      <c r="E1287" s="177"/>
      <c r="F1287" s="183"/>
      <c r="G1287" s="184"/>
      <c r="H1287" s="185"/>
      <c r="I1287" s="185"/>
    </row>
    <row r="1288" spans="1:9" x14ac:dyDescent="0.25">
      <c r="A1288" s="176"/>
      <c r="B1288" s="182"/>
      <c r="C1288" s="80"/>
      <c r="D1288" s="80"/>
      <c r="E1288" s="177"/>
      <c r="F1288" s="183"/>
      <c r="G1288" s="184"/>
      <c r="H1288" s="185"/>
      <c r="I1288" s="185"/>
    </row>
    <row r="1289" spans="1:9" x14ac:dyDescent="0.25">
      <c r="A1289" s="176"/>
      <c r="B1289" s="182"/>
      <c r="C1289" s="80"/>
      <c r="D1289" s="80"/>
      <c r="E1289" s="177"/>
      <c r="F1289" s="183"/>
      <c r="G1289" s="184"/>
      <c r="H1289" s="185"/>
      <c r="I1289" s="185"/>
    </row>
    <row r="1290" spans="1:9" x14ac:dyDescent="0.25">
      <c r="A1290" s="176"/>
      <c r="B1290" s="182"/>
      <c r="C1290" s="80"/>
      <c r="D1290" s="80"/>
      <c r="E1290" s="177"/>
      <c r="F1290" s="183"/>
      <c r="G1290" s="184"/>
      <c r="H1290" s="185"/>
      <c r="I1290" s="185"/>
    </row>
    <row r="1291" spans="1:9" x14ac:dyDescent="0.25">
      <c r="A1291" s="176"/>
      <c r="B1291" s="182"/>
      <c r="C1291" s="80"/>
      <c r="D1291" s="80"/>
      <c r="E1291" s="177"/>
      <c r="F1291" s="183"/>
      <c r="G1291" s="184"/>
      <c r="H1291" s="185"/>
      <c r="I1291" s="185"/>
    </row>
    <row r="1292" spans="1:9" x14ac:dyDescent="0.25">
      <c r="A1292" s="176"/>
      <c r="B1292" s="182"/>
      <c r="C1292" s="80"/>
      <c r="D1292" s="80"/>
      <c r="E1292" s="177"/>
      <c r="F1292" s="183"/>
      <c r="G1292" s="184"/>
      <c r="H1292" s="185"/>
      <c r="I1292" s="185"/>
    </row>
    <row r="1293" spans="1:9" x14ac:dyDescent="0.25">
      <c r="A1293" s="176"/>
      <c r="B1293" s="182"/>
      <c r="C1293" s="80"/>
      <c r="D1293" s="80"/>
      <c r="E1293" s="177"/>
      <c r="F1293" s="183"/>
      <c r="G1293" s="184"/>
      <c r="H1293" s="185"/>
      <c r="I1293" s="185"/>
    </row>
    <row r="1294" spans="1:9" x14ac:dyDescent="0.25">
      <c r="A1294" s="176"/>
      <c r="B1294" s="182"/>
      <c r="C1294" s="80"/>
      <c r="D1294" s="80"/>
      <c r="E1294" s="177"/>
      <c r="F1294" s="183"/>
      <c r="G1294" s="184"/>
      <c r="H1294" s="185"/>
      <c r="I1294" s="185"/>
    </row>
    <row r="1295" spans="1:9" x14ac:dyDescent="0.25">
      <c r="A1295" s="176"/>
      <c r="B1295" s="182"/>
      <c r="C1295" s="80"/>
      <c r="D1295" s="80"/>
      <c r="E1295" s="177"/>
      <c r="F1295" s="183"/>
      <c r="G1295" s="184"/>
      <c r="H1295" s="185"/>
      <c r="I1295" s="185"/>
    </row>
    <row r="1296" spans="1:9" x14ac:dyDescent="0.25">
      <c r="A1296" s="176"/>
      <c r="B1296" s="182"/>
      <c r="C1296" s="80"/>
      <c r="D1296" s="80"/>
      <c r="E1296" s="177"/>
      <c r="F1296" s="183"/>
      <c r="G1296" s="184"/>
      <c r="H1296" s="185"/>
      <c r="I1296" s="185"/>
    </row>
    <row r="1297" spans="1:9" x14ac:dyDescent="0.25">
      <c r="A1297" s="176"/>
      <c r="B1297" s="182"/>
      <c r="C1297" s="80"/>
      <c r="D1297" s="80"/>
      <c r="E1297" s="177"/>
      <c r="F1297" s="183"/>
      <c r="G1297" s="184"/>
      <c r="H1297" s="185"/>
      <c r="I1297" s="185"/>
    </row>
    <row r="1298" spans="1:9" x14ac:dyDescent="0.25">
      <c r="A1298" s="176"/>
      <c r="B1298" s="182"/>
      <c r="C1298" s="80"/>
      <c r="D1298" s="80"/>
      <c r="E1298" s="177"/>
      <c r="F1298" s="183"/>
      <c r="G1298" s="184"/>
      <c r="H1298" s="185"/>
      <c r="I1298" s="185"/>
    </row>
    <row r="1299" spans="1:9" x14ac:dyDescent="0.25">
      <c r="A1299" s="176"/>
      <c r="B1299" s="182"/>
      <c r="C1299" s="80"/>
      <c r="D1299" s="80"/>
      <c r="E1299" s="177"/>
      <c r="F1299" s="183"/>
      <c r="G1299" s="184"/>
      <c r="H1299" s="185"/>
      <c r="I1299" s="185"/>
    </row>
    <row r="1300" spans="1:9" x14ac:dyDescent="0.25">
      <c r="A1300" s="176"/>
      <c r="B1300" s="182"/>
      <c r="C1300" s="80"/>
      <c r="D1300" s="80"/>
      <c r="E1300" s="177"/>
      <c r="F1300" s="183"/>
      <c r="G1300" s="184"/>
      <c r="H1300" s="185"/>
      <c r="I1300" s="185"/>
    </row>
    <row r="1301" spans="1:9" x14ac:dyDescent="0.25">
      <c r="A1301" s="176"/>
      <c r="B1301" s="182"/>
      <c r="C1301" s="80"/>
      <c r="D1301" s="80"/>
      <c r="E1301" s="177"/>
      <c r="F1301" s="183"/>
      <c r="G1301" s="184"/>
      <c r="H1301" s="185"/>
      <c r="I1301" s="185"/>
    </row>
    <row r="1302" spans="1:9" x14ac:dyDescent="0.25">
      <c r="A1302" s="176"/>
      <c r="B1302" s="182"/>
      <c r="C1302" s="80"/>
      <c r="D1302" s="80"/>
      <c r="E1302" s="177"/>
      <c r="F1302" s="183"/>
      <c r="G1302" s="184"/>
      <c r="H1302" s="185"/>
      <c r="I1302" s="185"/>
    </row>
    <row r="1303" spans="1:9" x14ac:dyDescent="0.25">
      <c r="A1303" s="176"/>
      <c r="B1303" s="182"/>
      <c r="C1303" s="80"/>
      <c r="D1303" s="80"/>
      <c r="E1303" s="177"/>
      <c r="F1303" s="183"/>
      <c r="G1303" s="184"/>
      <c r="H1303" s="185"/>
      <c r="I1303" s="185"/>
    </row>
    <row r="1304" spans="1:9" x14ac:dyDescent="0.25">
      <c r="A1304" s="176"/>
      <c r="B1304" s="182"/>
      <c r="C1304" s="80"/>
      <c r="D1304" s="80"/>
      <c r="E1304" s="177"/>
      <c r="F1304" s="183"/>
      <c r="G1304" s="184"/>
      <c r="H1304" s="185"/>
      <c r="I1304" s="185"/>
    </row>
    <row r="1305" spans="1:9" x14ac:dyDescent="0.25">
      <c r="A1305" s="176"/>
      <c r="B1305" s="182"/>
      <c r="C1305" s="80"/>
      <c r="D1305" s="80"/>
      <c r="E1305" s="177"/>
      <c r="F1305" s="183"/>
      <c r="G1305" s="184"/>
      <c r="H1305" s="185"/>
      <c r="I1305" s="185"/>
    </row>
    <row r="1306" spans="1:9" x14ac:dyDescent="0.25">
      <c r="A1306" s="176"/>
      <c r="B1306" s="182"/>
      <c r="C1306" s="80"/>
      <c r="D1306" s="80"/>
      <c r="E1306" s="177"/>
      <c r="F1306" s="183"/>
      <c r="G1306" s="184"/>
      <c r="H1306" s="185"/>
      <c r="I1306" s="185"/>
    </row>
    <row r="1307" spans="1:9" x14ac:dyDescent="0.25">
      <c r="A1307" s="176"/>
      <c r="B1307" s="182"/>
      <c r="C1307" s="80"/>
      <c r="D1307" s="80"/>
      <c r="E1307" s="177"/>
      <c r="F1307" s="183"/>
      <c r="G1307" s="184"/>
      <c r="H1307" s="185"/>
      <c r="I1307" s="185"/>
    </row>
    <row r="1308" spans="1:9" x14ac:dyDescent="0.25">
      <c r="A1308" s="176"/>
      <c r="B1308" s="182"/>
      <c r="C1308" s="80"/>
      <c r="D1308" s="80"/>
      <c r="E1308" s="177"/>
      <c r="F1308" s="183"/>
      <c r="G1308" s="184"/>
      <c r="H1308" s="185"/>
      <c r="I1308" s="185"/>
    </row>
    <row r="1309" spans="1:9" x14ac:dyDescent="0.25">
      <c r="A1309" s="176"/>
      <c r="B1309" s="182"/>
      <c r="C1309" s="80"/>
      <c r="D1309" s="80"/>
      <c r="E1309" s="177"/>
      <c r="F1309" s="183"/>
      <c r="G1309" s="184"/>
      <c r="H1309" s="185"/>
      <c r="I1309" s="185"/>
    </row>
    <row r="1310" spans="1:9" x14ac:dyDescent="0.25">
      <c r="A1310" s="176"/>
      <c r="B1310" s="182"/>
      <c r="C1310" s="80"/>
      <c r="D1310" s="80"/>
      <c r="E1310" s="177"/>
      <c r="F1310" s="183"/>
      <c r="G1310" s="184"/>
      <c r="H1310" s="185"/>
      <c r="I1310" s="185"/>
    </row>
    <row r="1311" spans="1:9" x14ac:dyDescent="0.25">
      <c r="A1311" s="176"/>
      <c r="B1311" s="182"/>
      <c r="C1311" s="80"/>
      <c r="D1311" s="80"/>
      <c r="E1311" s="177"/>
      <c r="F1311" s="183"/>
      <c r="G1311" s="184"/>
      <c r="H1311" s="185"/>
      <c r="I1311" s="185"/>
    </row>
    <row r="1312" spans="1:9" x14ac:dyDescent="0.25">
      <c r="A1312" s="176"/>
      <c r="B1312" s="182"/>
      <c r="C1312" s="80"/>
      <c r="D1312" s="80"/>
      <c r="E1312" s="177"/>
      <c r="F1312" s="183"/>
      <c r="G1312" s="184"/>
      <c r="H1312" s="185"/>
      <c r="I1312" s="185"/>
    </row>
    <row r="1313" spans="1:9" x14ac:dyDescent="0.25">
      <c r="A1313" s="176"/>
      <c r="B1313" s="182"/>
      <c r="C1313" s="80"/>
      <c r="D1313" s="80"/>
      <c r="E1313" s="177"/>
      <c r="F1313" s="183"/>
      <c r="G1313" s="184"/>
      <c r="H1313" s="185"/>
      <c r="I1313" s="185"/>
    </row>
    <row r="1314" spans="1:9" x14ac:dyDescent="0.25">
      <c r="A1314" s="176"/>
      <c r="B1314" s="182"/>
      <c r="C1314" s="80"/>
      <c r="D1314" s="80"/>
      <c r="E1314" s="177"/>
      <c r="F1314" s="183"/>
      <c r="G1314" s="184"/>
      <c r="H1314" s="185"/>
      <c r="I1314" s="185"/>
    </row>
    <row r="1315" spans="1:9" x14ac:dyDescent="0.25">
      <c r="A1315" s="176"/>
      <c r="B1315" s="182"/>
      <c r="C1315" s="80"/>
      <c r="D1315" s="80"/>
      <c r="E1315" s="177"/>
      <c r="F1315" s="183"/>
      <c r="G1315" s="184"/>
      <c r="H1315" s="185"/>
      <c r="I1315" s="185"/>
    </row>
    <row r="1316" spans="1:9" x14ac:dyDescent="0.25">
      <c r="A1316" s="176"/>
      <c r="B1316" s="182"/>
      <c r="C1316" s="80"/>
      <c r="D1316" s="80"/>
      <c r="E1316" s="177"/>
      <c r="F1316" s="183"/>
      <c r="G1316" s="184"/>
      <c r="H1316" s="185"/>
      <c r="I1316" s="185"/>
    </row>
    <row r="1317" spans="1:9" x14ac:dyDescent="0.25">
      <c r="A1317" s="176"/>
      <c r="B1317" s="182"/>
      <c r="C1317" s="80"/>
      <c r="D1317" s="80"/>
      <c r="E1317" s="177"/>
      <c r="F1317" s="183"/>
      <c r="G1317" s="184"/>
      <c r="H1317" s="185"/>
      <c r="I1317" s="185"/>
    </row>
    <row r="1318" spans="1:9" x14ac:dyDescent="0.25">
      <c r="A1318" s="176"/>
      <c r="B1318" s="182"/>
      <c r="C1318" s="80"/>
      <c r="D1318" s="80"/>
      <c r="E1318" s="177"/>
      <c r="F1318" s="183"/>
      <c r="G1318" s="184"/>
      <c r="H1318" s="185"/>
      <c r="I1318" s="185"/>
    </row>
    <row r="1319" spans="1:9" x14ac:dyDescent="0.25">
      <c r="A1319" s="176"/>
      <c r="B1319" s="182"/>
      <c r="C1319" s="80"/>
      <c r="D1319" s="80"/>
      <c r="E1319" s="177"/>
      <c r="F1319" s="183"/>
      <c r="G1319" s="184"/>
      <c r="H1319" s="185"/>
      <c r="I1319" s="185"/>
    </row>
    <row r="1320" spans="1:9" x14ac:dyDescent="0.25">
      <c r="A1320" s="176"/>
      <c r="B1320" s="182"/>
      <c r="C1320" s="80"/>
      <c r="D1320" s="80"/>
      <c r="E1320" s="177"/>
      <c r="F1320" s="183"/>
      <c r="G1320" s="184"/>
      <c r="H1320" s="185"/>
      <c r="I1320" s="185"/>
    </row>
    <row r="1321" spans="1:9" x14ac:dyDescent="0.25">
      <c r="A1321" s="176"/>
      <c r="B1321" s="182"/>
      <c r="C1321" s="80"/>
      <c r="D1321" s="80"/>
      <c r="E1321" s="177"/>
      <c r="F1321" s="183"/>
      <c r="G1321" s="184"/>
      <c r="H1321" s="185"/>
      <c r="I1321" s="185"/>
    </row>
    <row r="1322" spans="1:9" x14ac:dyDescent="0.25">
      <c r="A1322" s="176"/>
      <c r="B1322" s="182"/>
      <c r="C1322" s="80"/>
      <c r="D1322" s="80"/>
      <c r="E1322" s="177"/>
      <c r="F1322" s="183"/>
      <c r="G1322" s="184"/>
      <c r="H1322" s="185"/>
      <c r="I1322" s="185"/>
    </row>
    <row r="1323" spans="1:9" x14ac:dyDescent="0.25">
      <c r="A1323" s="176"/>
      <c r="B1323" s="182"/>
      <c r="C1323" s="80"/>
      <c r="D1323" s="80"/>
      <c r="E1323" s="177"/>
      <c r="F1323" s="183"/>
      <c r="G1323" s="184"/>
      <c r="H1323" s="185"/>
      <c r="I1323" s="185"/>
    </row>
    <row r="1324" spans="1:9" x14ac:dyDescent="0.25">
      <c r="A1324" s="176"/>
      <c r="B1324" s="182"/>
      <c r="C1324" s="80"/>
      <c r="D1324" s="80"/>
      <c r="E1324" s="177"/>
      <c r="F1324" s="183"/>
      <c r="G1324" s="184"/>
      <c r="H1324" s="185"/>
      <c r="I1324" s="185"/>
    </row>
    <row r="1325" spans="1:9" x14ac:dyDescent="0.25">
      <c r="A1325" s="176"/>
      <c r="B1325" s="182"/>
      <c r="C1325" s="80"/>
      <c r="D1325" s="80"/>
      <c r="E1325" s="177"/>
      <c r="F1325" s="183"/>
      <c r="G1325" s="184"/>
      <c r="H1325" s="185"/>
      <c r="I1325" s="185"/>
    </row>
    <row r="1326" spans="1:9" x14ac:dyDescent="0.25">
      <c r="A1326" s="176"/>
      <c r="B1326" s="182"/>
      <c r="C1326" s="80"/>
      <c r="D1326" s="80"/>
      <c r="E1326" s="177"/>
      <c r="F1326" s="183"/>
      <c r="G1326" s="184"/>
      <c r="H1326" s="185"/>
      <c r="I1326" s="185"/>
    </row>
    <row r="1327" spans="1:9" x14ac:dyDescent="0.25">
      <c r="A1327" s="176"/>
      <c r="B1327" s="182"/>
      <c r="C1327" s="80"/>
      <c r="D1327" s="80"/>
      <c r="E1327" s="177"/>
      <c r="F1327" s="183"/>
      <c r="G1327" s="184"/>
      <c r="H1327" s="185"/>
      <c r="I1327" s="185"/>
    </row>
    <row r="1328" spans="1:9" x14ac:dyDescent="0.25">
      <c r="A1328" s="176"/>
      <c r="B1328" s="182"/>
      <c r="C1328" s="80"/>
      <c r="D1328" s="80"/>
      <c r="E1328" s="177"/>
      <c r="F1328" s="183"/>
      <c r="G1328" s="184"/>
      <c r="H1328" s="185"/>
      <c r="I1328" s="185"/>
    </row>
    <row r="1329" spans="1:9" x14ac:dyDescent="0.25">
      <c r="A1329" s="176"/>
      <c r="B1329" s="182"/>
      <c r="C1329" s="80"/>
      <c r="D1329" s="80"/>
      <c r="E1329" s="177"/>
      <c r="F1329" s="183"/>
      <c r="G1329" s="184"/>
      <c r="H1329" s="185"/>
      <c r="I1329" s="185"/>
    </row>
    <row r="1330" spans="1:9" x14ac:dyDescent="0.25">
      <c r="A1330" s="176"/>
      <c r="B1330" s="182"/>
      <c r="C1330" s="80"/>
      <c r="D1330" s="80"/>
      <c r="E1330" s="177"/>
      <c r="F1330" s="183"/>
      <c r="G1330" s="184"/>
      <c r="H1330" s="185"/>
      <c r="I1330" s="185"/>
    </row>
    <row r="1331" spans="1:9" x14ac:dyDescent="0.25">
      <c r="A1331" s="176"/>
      <c r="B1331" s="182"/>
      <c r="C1331" s="80"/>
      <c r="D1331" s="80"/>
      <c r="E1331" s="177"/>
      <c r="F1331" s="183"/>
      <c r="G1331" s="184"/>
      <c r="H1331" s="185"/>
      <c r="I1331" s="185"/>
    </row>
    <row r="1332" spans="1:9" x14ac:dyDescent="0.25">
      <c r="A1332" s="176"/>
      <c r="B1332" s="182"/>
      <c r="C1332" s="80"/>
      <c r="D1332" s="80"/>
      <c r="E1332" s="177"/>
      <c r="F1332" s="183"/>
      <c r="G1332" s="184"/>
      <c r="H1332" s="185"/>
      <c r="I1332" s="185"/>
    </row>
    <row r="1333" spans="1:9" x14ac:dyDescent="0.25">
      <c r="A1333" s="176"/>
      <c r="B1333" s="182"/>
      <c r="C1333" s="80"/>
      <c r="D1333" s="80"/>
      <c r="E1333" s="177"/>
      <c r="F1333" s="183"/>
      <c r="G1333" s="184"/>
      <c r="H1333" s="185"/>
      <c r="I1333" s="185"/>
    </row>
    <row r="1334" spans="1:9" x14ac:dyDescent="0.25">
      <c r="A1334" s="176"/>
      <c r="B1334" s="182"/>
      <c r="C1334" s="80"/>
      <c r="D1334" s="80"/>
      <c r="E1334" s="177"/>
      <c r="F1334" s="183"/>
      <c r="G1334" s="184"/>
      <c r="H1334" s="185"/>
      <c r="I1334" s="185"/>
    </row>
    <row r="1335" spans="1:9" x14ac:dyDescent="0.25">
      <c r="A1335" s="176"/>
      <c r="B1335" s="182"/>
      <c r="C1335" s="80"/>
      <c r="D1335" s="80"/>
      <c r="E1335" s="177"/>
      <c r="F1335" s="183"/>
      <c r="G1335" s="184"/>
      <c r="H1335" s="185"/>
      <c r="I1335" s="185"/>
    </row>
    <row r="1336" spans="1:9" x14ac:dyDescent="0.25">
      <c r="A1336" s="176"/>
      <c r="B1336" s="182"/>
      <c r="C1336" s="80"/>
      <c r="D1336" s="80"/>
      <c r="E1336" s="177"/>
      <c r="F1336" s="183"/>
      <c r="G1336" s="184"/>
      <c r="H1336" s="185"/>
      <c r="I1336" s="185"/>
    </row>
    <row r="1337" spans="1:9" x14ac:dyDescent="0.25">
      <c r="A1337" s="176"/>
      <c r="B1337" s="182"/>
      <c r="C1337" s="80"/>
      <c r="D1337" s="80"/>
      <c r="E1337" s="177"/>
      <c r="F1337" s="183"/>
      <c r="G1337" s="184"/>
      <c r="H1337" s="185"/>
      <c r="I1337" s="185"/>
    </row>
    <row r="1338" spans="1:9" x14ac:dyDescent="0.25">
      <c r="A1338" s="176"/>
      <c r="B1338" s="182"/>
      <c r="C1338" s="80"/>
      <c r="D1338" s="80"/>
      <c r="E1338" s="177"/>
      <c r="F1338" s="183"/>
      <c r="G1338" s="184"/>
      <c r="H1338" s="185"/>
      <c r="I1338" s="185"/>
    </row>
    <row r="1339" spans="1:9" x14ac:dyDescent="0.25">
      <c r="A1339" s="176"/>
      <c r="B1339" s="182"/>
      <c r="C1339" s="80"/>
      <c r="D1339" s="80"/>
      <c r="E1339" s="177"/>
      <c r="F1339" s="183"/>
      <c r="G1339" s="184"/>
      <c r="H1339" s="185"/>
      <c r="I1339" s="185"/>
    </row>
    <row r="1340" spans="1:9" x14ac:dyDescent="0.25">
      <c r="A1340" s="176"/>
      <c r="B1340" s="182"/>
      <c r="C1340" s="80"/>
      <c r="D1340" s="80"/>
      <c r="E1340" s="177"/>
      <c r="F1340" s="183"/>
      <c r="G1340" s="184"/>
      <c r="H1340" s="185"/>
      <c r="I1340" s="185"/>
    </row>
    <row r="1341" spans="1:9" x14ac:dyDescent="0.25">
      <c r="A1341" s="176"/>
      <c r="B1341" s="182"/>
      <c r="C1341" s="80"/>
      <c r="D1341" s="80"/>
      <c r="E1341" s="177"/>
      <c r="F1341" s="183"/>
      <c r="G1341" s="184"/>
      <c r="H1341" s="185"/>
      <c r="I1341" s="185"/>
    </row>
    <row r="1342" spans="1:9" x14ac:dyDescent="0.25">
      <c r="A1342" s="176"/>
      <c r="B1342" s="182"/>
      <c r="C1342" s="80"/>
      <c r="D1342" s="80"/>
      <c r="E1342" s="177"/>
      <c r="F1342" s="183"/>
      <c r="G1342" s="184"/>
      <c r="H1342" s="185"/>
      <c r="I1342" s="185"/>
    </row>
    <row r="1343" spans="1:9" x14ac:dyDescent="0.25">
      <c r="A1343" s="176"/>
      <c r="B1343" s="182"/>
      <c r="C1343" s="80"/>
      <c r="D1343" s="80"/>
      <c r="E1343" s="177"/>
      <c r="F1343" s="183"/>
      <c r="G1343" s="184"/>
      <c r="H1343" s="185"/>
      <c r="I1343" s="185"/>
    </row>
    <row r="1344" spans="1:9" x14ac:dyDescent="0.25">
      <c r="A1344" s="176"/>
      <c r="B1344" s="182"/>
      <c r="C1344" s="80"/>
      <c r="D1344" s="80"/>
      <c r="E1344" s="177"/>
      <c r="F1344" s="183"/>
      <c r="G1344" s="184"/>
      <c r="H1344" s="185"/>
      <c r="I1344" s="185"/>
    </row>
    <row r="1345" spans="1:9" x14ac:dyDescent="0.25">
      <c r="A1345" s="176"/>
      <c r="B1345" s="182"/>
      <c r="C1345" s="80"/>
      <c r="D1345" s="80"/>
      <c r="E1345" s="177"/>
      <c r="F1345" s="183"/>
      <c r="G1345" s="184"/>
      <c r="H1345" s="185"/>
      <c r="I1345" s="185"/>
    </row>
    <row r="1346" spans="1:9" x14ac:dyDescent="0.25">
      <c r="A1346" s="176"/>
      <c r="B1346" s="182"/>
      <c r="C1346" s="80"/>
      <c r="D1346" s="80"/>
      <c r="E1346" s="177"/>
      <c r="F1346" s="183"/>
      <c r="G1346" s="184"/>
      <c r="H1346" s="185"/>
      <c r="I1346" s="185"/>
    </row>
    <row r="1347" spans="1:9" x14ac:dyDescent="0.25">
      <c r="A1347" s="176"/>
      <c r="B1347" s="182"/>
      <c r="C1347" s="80"/>
      <c r="D1347" s="80"/>
      <c r="E1347" s="177"/>
      <c r="F1347" s="183"/>
      <c r="G1347" s="184"/>
      <c r="H1347" s="185"/>
      <c r="I1347" s="185"/>
    </row>
    <row r="1348" spans="1:9" x14ac:dyDescent="0.25">
      <c r="A1348" s="176"/>
      <c r="B1348" s="182"/>
      <c r="C1348" s="80"/>
      <c r="D1348" s="80"/>
      <c r="E1348" s="177"/>
      <c r="F1348" s="183"/>
      <c r="G1348" s="184"/>
      <c r="H1348" s="185"/>
      <c r="I1348" s="185"/>
    </row>
    <row r="1349" spans="1:9" x14ac:dyDescent="0.25">
      <c r="A1349" s="176"/>
      <c r="B1349" s="182"/>
      <c r="C1349" s="80"/>
      <c r="D1349" s="80"/>
      <c r="E1349" s="177"/>
      <c r="F1349" s="183"/>
      <c r="G1349" s="184"/>
      <c r="H1349" s="185"/>
      <c r="I1349" s="185"/>
    </row>
    <row r="1350" spans="1:9" x14ac:dyDescent="0.25">
      <c r="A1350" s="176"/>
      <c r="B1350" s="182"/>
      <c r="C1350" s="80"/>
      <c r="D1350" s="80"/>
      <c r="E1350" s="177"/>
      <c r="F1350" s="183"/>
      <c r="G1350" s="184"/>
      <c r="H1350" s="185"/>
      <c r="I1350" s="185"/>
    </row>
    <row r="1351" spans="1:9" x14ac:dyDescent="0.25">
      <c r="A1351" s="176"/>
      <c r="B1351" s="182"/>
      <c r="C1351" s="80"/>
      <c r="D1351" s="80"/>
      <c r="E1351" s="177"/>
      <c r="F1351" s="183"/>
      <c r="G1351" s="184"/>
      <c r="H1351" s="185"/>
      <c r="I1351" s="185"/>
    </row>
    <row r="1352" spans="1:9" x14ac:dyDescent="0.25">
      <c r="A1352" s="176"/>
      <c r="B1352" s="182"/>
      <c r="C1352" s="80"/>
      <c r="D1352" s="80"/>
      <c r="E1352" s="177"/>
      <c r="F1352" s="183"/>
      <c r="G1352" s="184"/>
      <c r="H1352" s="185"/>
      <c r="I1352" s="185"/>
    </row>
    <row r="1353" spans="1:9" x14ac:dyDescent="0.25">
      <c r="A1353" s="176"/>
      <c r="B1353" s="182"/>
      <c r="C1353" s="80"/>
      <c r="D1353" s="80"/>
      <c r="E1353" s="177"/>
      <c r="F1353" s="183"/>
      <c r="G1353" s="184"/>
      <c r="H1353" s="185"/>
      <c r="I1353" s="185"/>
    </row>
    <row r="1354" spans="1:9" x14ac:dyDescent="0.25">
      <c r="A1354" s="176"/>
      <c r="B1354" s="182"/>
      <c r="C1354" s="80"/>
      <c r="D1354" s="80"/>
      <c r="E1354" s="177"/>
      <c r="F1354" s="183"/>
      <c r="G1354" s="184"/>
      <c r="H1354" s="185"/>
      <c r="I1354" s="185"/>
    </row>
    <row r="1355" spans="1:9" x14ac:dyDescent="0.25">
      <c r="A1355" s="176"/>
      <c r="B1355" s="182"/>
      <c r="C1355" s="80"/>
      <c r="D1355" s="80"/>
      <c r="E1355" s="177"/>
      <c r="F1355" s="183"/>
      <c r="G1355" s="184"/>
      <c r="H1355" s="185"/>
      <c r="I1355" s="185"/>
    </row>
    <row r="1356" spans="1:9" x14ac:dyDescent="0.25">
      <c r="A1356" s="176"/>
      <c r="B1356" s="182"/>
      <c r="C1356" s="80"/>
      <c r="D1356" s="80"/>
      <c r="E1356" s="177"/>
      <c r="F1356" s="183"/>
      <c r="G1356" s="184"/>
      <c r="H1356" s="185"/>
      <c r="I1356" s="185"/>
    </row>
    <row r="1357" spans="1:9" x14ac:dyDescent="0.25">
      <c r="A1357" s="176"/>
      <c r="B1357" s="182"/>
      <c r="C1357" s="80"/>
      <c r="D1357" s="80"/>
      <c r="E1357" s="177"/>
      <c r="F1357" s="183"/>
      <c r="G1357" s="184"/>
      <c r="H1357" s="185"/>
      <c r="I1357" s="185"/>
    </row>
    <row r="1358" spans="1:9" x14ac:dyDescent="0.25">
      <c r="A1358" s="176"/>
      <c r="B1358" s="182"/>
      <c r="C1358" s="80"/>
      <c r="D1358" s="80"/>
      <c r="E1358" s="177"/>
      <c r="F1358" s="183"/>
      <c r="G1358" s="184"/>
      <c r="H1358" s="185"/>
      <c r="I1358" s="185"/>
    </row>
    <row r="1359" spans="1:9" x14ac:dyDescent="0.25">
      <c r="A1359" s="176"/>
      <c r="B1359" s="182"/>
      <c r="C1359" s="80"/>
      <c r="D1359" s="80"/>
      <c r="E1359" s="177"/>
      <c r="F1359" s="183"/>
      <c r="G1359" s="184"/>
      <c r="H1359" s="185"/>
      <c r="I1359" s="185"/>
    </row>
    <row r="1360" spans="1:9" x14ac:dyDescent="0.25">
      <c r="A1360" s="176"/>
      <c r="B1360" s="182"/>
      <c r="C1360" s="80"/>
      <c r="D1360" s="80"/>
      <c r="E1360" s="177"/>
      <c r="F1360" s="183"/>
      <c r="G1360" s="184"/>
      <c r="H1360" s="185"/>
      <c r="I1360" s="185"/>
    </row>
    <row r="1361" spans="1:9" x14ac:dyDescent="0.25">
      <c r="A1361" s="176"/>
      <c r="B1361" s="182"/>
      <c r="C1361" s="80"/>
      <c r="D1361" s="80"/>
      <c r="E1361" s="177"/>
      <c r="F1361" s="183"/>
      <c r="G1361" s="184"/>
      <c r="H1361" s="185"/>
      <c r="I1361" s="185"/>
    </row>
    <row r="1362" spans="1:9" x14ac:dyDescent="0.25">
      <c r="A1362" s="176"/>
      <c r="B1362" s="182"/>
      <c r="C1362" s="80"/>
      <c r="D1362" s="80"/>
      <c r="E1362" s="177"/>
      <c r="F1362" s="183"/>
      <c r="G1362" s="184"/>
      <c r="H1362" s="185"/>
      <c r="I1362" s="185"/>
    </row>
    <row r="1363" spans="1:9" x14ac:dyDescent="0.25">
      <c r="A1363" s="176"/>
      <c r="B1363" s="182"/>
      <c r="C1363" s="80"/>
      <c r="D1363" s="80"/>
      <c r="E1363" s="177"/>
      <c r="F1363" s="183"/>
      <c r="G1363" s="184"/>
      <c r="H1363" s="185"/>
      <c r="I1363" s="185"/>
    </row>
    <row r="1364" spans="1:9" x14ac:dyDescent="0.25">
      <c r="A1364" s="176"/>
      <c r="B1364" s="182"/>
      <c r="C1364" s="80"/>
      <c r="D1364" s="80"/>
      <c r="E1364" s="177"/>
      <c r="F1364" s="183"/>
      <c r="G1364" s="184"/>
      <c r="H1364" s="185"/>
      <c r="I1364" s="185"/>
    </row>
    <row r="1365" spans="1:9" x14ac:dyDescent="0.25">
      <c r="A1365" s="176"/>
      <c r="B1365" s="182"/>
      <c r="C1365" s="80"/>
      <c r="D1365" s="80"/>
      <c r="E1365" s="177"/>
      <c r="F1365" s="183"/>
      <c r="G1365" s="184"/>
      <c r="H1365" s="185"/>
      <c r="I1365" s="185"/>
    </row>
    <row r="1366" spans="1:9" x14ac:dyDescent="0.25">
      <c r="A1366" s="176"/>
      <c r="B1366" s="182"/>
      <c r="C1366" s="80"/>
      <c r="D1366" s="80"/>
      <c r="E1366" s="177"/>
      <c r="F1366" s="183"/>
      <c r="G1366" s="184"/>
      <c r="H1366" s="185"/>
      <c r="I1366" s="185"/>
    </row>
    <row r="1367" spans="1:9" x14ac:dyDescent="0.25">
      <c r="A1367" s="176"/>
      <c r="B1367" s="182"/>
      <c r="C1367" s="80"/>
      <c r="D1367" s="80"/>
      <c r="E1367" s="177"/>
      <c r="F1367" s="183"/>
      <c r="G1367" s="184"/>
      <c r="H1367" s="185"/>
      <c r="I1367" s="185"/>
    </row>
    <row r="1368" spans="1:9" x14ac:dyDescent="0.25">
      <c r="A1368" s="176"/>
      <c r="B1368" s="182"/>
      <c r="C1368" s="80"/>
      <c r="D1368" s="80"/>
      <c r="E1368" s="177"/>
      <c r="F1368" s="183"/>
      <c r="G1368" s="184"/>
      <c r="H1368" s="185"/>
      <c r="I1368" s="185"/>
    </row>
    <row r="1369" spans="1:9" x14ac:dyDescent="0.25">
      <c r="A1369" s="176"/>
      <c r="B1369" s="182"/>
      <c r="C1369" s="80"/>
      <c r="D1369" s="80"/>
      <c r="E1369" s="177"/>
      <c r="F1369" s="183"/>
      <c r="G1369" s="184"/>
      <c r="H1369" s="185"/>
      <c r="I1369" s="185"/>
    </row>
    <row r="1370" spans="1:9" x14ac:dyDescent="0.25">
      <c r="A1370" s="176"/>
      <c r="B1370" s="182"/>
      <c r="C1370" s="80"/>
      <c r="D1370" s="80"/>
      <c r="E1370" s="177"/>
      <c r="F1370" s="183"/>
      <c r="G1370" s="184"/>
      <c r="H1370" s="185"/>
      <c r="I1370" s="185"/>
    </row>
    <row r="1371" spans="1:9" x14ac:dyDescent="0.25">
      <c r="A1371" s="176"/>
      <c r="B1371" s="182"/>
      <c r="C1371" s="80"/>
      <c r="D1371" s="80"/>
      <c r="E1371" s="177"/>
      <c r="F1371" s="183"/>
      <c r="G1371" s="184"/>
      <c r="H1371" s="185"/>
      <c r="I1371" s="185"/>
    </row>
    <row r="1372" spans="1:9" x14ac:dyDescent="0.25">
      <c r="A1372" s="176"/>
      <c r="B1372" s="182"/>
      <c r="C1372" s="80"/>
      <c r="D1372" s="80"/>
      <c r="E1372" s="177"/>
      <c r="F1372" s="183"/>
      <c r="G1372" s="184"/>
      <c r="H1372" s="185"/>
      <c r="I1372" s="185"/>
    </row>
    <row r="1373" spans="1:9" x14ac:dyDescent="0.25">
      <c r="A1373" s="176"/>
      <c r="B1373" s="182"/>
      <c r="C1373" s="80"/>
      <c r="D1373" s="80"/>
      <c r="E1373" s="177"/>
      <c r="F1373" s="183"/>
      <c r="G1373" s="184"/>
      <c r="H1373" s="185"/>
      <c r="I1373" s="185"/>
    </row>
    <row r="1374" spans="1:9" x14ac:dyDescent="0.25">
      <c r="A1374" s="176"/>
      <c r="B1374" s="182"/>
      <c r="C1374" s="80"/>
      <c r="D1374" s="80"/>
      <c r="E1374" s="177"/>
      <c r="F1374" s="183"/>
      <c r="G1374" s="184"/>
      <c r="H1374" s="185"/>
      <c r="I1374" s="185"/>
    </row>
    <row r="1375" spans="1:9" x14ac:dyDescent="0.25">
      <c r="A1375" s="176"/>
      <c r="B1375" s="182"/>
      <c r="C1375" s="80"/>
      <c r="D1375" s="80"/>
      <c r="E1375" s="177"/>
      <c r="F1375" s="183"/>
      <c r="G1375" s="184"/>
      <c r="H1375" s="185"/>
      <c r="I1375" s="185"/>
    </row>
    <row r="1376" spans="1:9" x14ac:dyDescent="0.25">
      <c r="A1376" s="176"/>
      <c r="B1376" s="182"/>
      <c r="C1376" s="80"/>
      <c r="D1376" s="80"/>
      <c r="E1376" s="177"/>
      <c r="F1376" s="183"/>
      <c r="G1376" s="184"/>
      <c r="H1376" s="185"/>
      <c r="I1376" s="185"/>
    </row>
    <row r="1377" spans="1:9" x14ac:dyDescent="0.25">
      <c r="A1377" s="176"/>
      <c r="B1377" s="182"/>
      <c r="C1377" s="80"/>
      <c r="D1377" s="80"/>
      <c r="E1377" s="177"/>
      <c r="F1377" s="183"/>
      <c r="G1377" s="184"/>
      <c r="H1377" s="185"/>
      <c r="I1377" s="185"/>
    </row>
    <row r="1378" spans="1:9" x14ac:dyDescent="0.25">
      <c r="A1378" s="176"/>
      <c r="B1378" s="182"/>
      <c r="C1378" s="80"/>
      <c r="D1378" s="80"/>
      <c r="E1378" s="177"/>
      <c r="F1378" s="183"/>
      <c r="G1378" s="184"/>
      <c r="H1378" s="185"/>
      <c r="I1378" s="185"/>
    </row>
    <row r="1379" spans="1:9" x14ac:dyDescent="0.25">
      <c r="A1379" s="176"/>
      <c r="B1379" s="182"/>
      <c r="C1379" s="80"/>
      <c r="D1379" s="80"/>
      <c r="E1379" s="177"/>
      <c r="F1379" s="183"/>
      <c r="G1379" s="184"/>
      <c r="H1379" s="185"/>
      <c r="I1379" s="185"/>
    </row>
    <row r="1380" spans="1:9" x14ac:dyDescent="0.25">
      <c r="A1380" s="176"/>
      <c r="B1380" s="182"/>
      <c r="C1380" s="80"/>
      <c r="D1380" s="80"/>
      <c r="E1380" s="177"/>
      <c r="F1380" s="183"/>
      <c r="G1380" s="184"/>
      <c r="H1380" s="185"/>
      <c r="I1380" s="185"/>
    </row>
    <row r="1381" spans="1:9" x14ac:dyDescent="0.25">
      <c r="A1381" s="176"/>
      <c r="B1381" s="182"/>
      <c r="C1381" s="80"/>
      <c r="D1381" s="80"/>
      <c r="E1381" s="177"/>
      <c r="F1381" s="183"/>
      <c r="G1381" s="184"/>
      <c r="H1381" s="185"/>
      <c r="I1381" s="185"/>
    </row>
    <row r="1382" spans="1:9" x14ac:dyDescent="0.25">
      <c r="A1382" s="176"/>
      <c r="B1382" s="182"/>
      <c r="C1382" s="80"/>
      <c r="D1382" s="80"/>
      <c r="E1382" s="177"/>
      <c r="F1382" s="183"/>
      <c r="G1382" s="184"/>
      <c r="H1382" s="185"/>
      <c r="I1382" s="185"/>
    </row>
    <row r="1383" spans="1:9" x14ac:dyDescent="0.25">
      <c r="A1383" s="176"/>
      <c r="B1383" s="182"/>
      <c r="C1383" s="80"/>
      <c r="D1383" s="80"/>
      <c r="E1383" s="177"/>
      <c r="F1383" s="183"/>
      <c r="G1383" s="184"/>
      <c r="H1383" s="185"/>
      <c r="I1383" s="185"/>
    </row>
    <row r="1384" spans="1:9" x14ac:dyDescent="0.25">
      <c r="A1384" s="176"/>
      <c r="B1384" s="182"/>
      <c r="C1384" s="80"/>
      <c r="D1384" s="80"/>
      <c r="E1384" s="177"/>
      <c r="F1384" s="183"/>
      <c r="G1384" s="184"/>
      <c r="H1384" s="185"/>
      <c r="I1384" s="185"/>
    </row>
    <row r="1385" spans="1:9" x14ac:dyDescent="0.25">
      <c r="A1385" s="176"/>
      <c r="B1385" s="182"/>
      <c r="C1385" s="80"/>
      <c r="D1385" s="80"/>
      <c r="E1385" s="177"/>
      <c r="F1385" s="183"/>
      <c r="G1385" s="184"/>
      <c r="H1385" s="185"/>
      <c r="I1385" s="185"/>
    </row>
    <row r="1386" spans="1:9" x14ac:dyDescent="0.25">
      <c r="A1386" s="176"/>
      <c r="B1386" s="182"/>
      <c r="C1386" s="80"/>
      <c r="D1386" s="80"/>
      <c r="E1386" s="177"/>
      <c r="F1386" s="183"/>
      <c r="G1386" s="184"/>
      <c r="H1386" s="185"/>
      <c r="I1386" s="185"/>
    </row>
    <row r="1387" spans="1:9" x14ac:dyDescent="0.25">
      <c r="A1387" s="176"/>
      <c r="B1387" s="182"/>
      <c r="C1387" s="80"/>
      <c r="D1387" s="80"/>
      <c r="E1387" s="177"/>
      <c r="F1387" s="183"/>
      <c r="G1387" s="184"/>
      <c r="H1387" s="185"/>
      <c r="I1387" s="185"/>
    </row>
    <row r="1388" spans="1:9" x14ac:dyDescent="0.25">
      <c r="A1388" s="176"/>
      <c r="B1388" s="182"/>
      <c r="C1388" s="80"/>
      <c r="D1388" s="80"/>
      <c r="E1388" s="177"/>
      <c r="F1388" s="183"/>
      <c r="G1388" s="184"/>
      <c r="H1388" s="185"/>
      <c r="I1388" s="185"/>
    </row>
    <row r="1389" spans="1:9" x14ac:dyDescent="0.25">
      <c r="A1389" s="176"/>
      <c r="B1389" s="182"/>
      <c r="C1389" s="80"/>
      <c r="D1389" s="80"/>
      <c r="E1389" s="177"/>
      <c r="F1389" s="183"/>
      <c r="G1389" s="184"/>
      <c r="H1389" s="185"/>
      <c r="I1389" s="185"/>
    </row>
    <row r="1390" spans="1:9" x14ac:dyDescent="0.25">
      <c r="A1390" s="176"/>
      <c r="B1390" s="182"/>
      <c r="C1390" s="80"/>
      <c r="D1390" s="80"/>
      <c r="E1390" s="177"/>
      <c r="F1390" s="183"/>
      <c r="G1390" s="184"/>
      <c r="H1390" s="185"/>
      <c r="I1390" s="185"/>
    </row>
    <row r="1391" spans="1:9" x14ac:dyDescent="0.25">
      <c r="A1391" s="176"/>
      <c r="B1391" s="182"/>
      <c r="C1391" s="80"/>
      <c r="D1391" s="80"/>
      <c r="E1391" s="177"/>
      <c r="F1391" s="183"/>
      <c r="G1391" s="184"/>
      <c r="H1391" s="185"/>
      <c r="I1391" s="185"/>
    </row>
    <row r="1392" spans="1:9" x14ac:dyDescent="0.25">
      <c r="A1392" s="176"/>
      <c r="B1392" s="182"/>
      <c r="C1392" s="80"/>
      <c r="D1392" s="80"/>
      <c r="E1392" s="177"/>
      <c r="F1392" s="183"/>
      <c r="G1392" s="184"/>
      <c r="H1392" s="185"/>
      <c r="I1392" s="185"/>
    </row>
    <row r="1393" spans="1:9" x14ac:dyDescent="0.25">
      <c r="A1393" s="176"/>
      <c r="B1393" s="182"/>
      <c r="C1393" s="80"/>
      <c r="D1393" s="80"/>
      <c r="E1393" s="177"/>
      <c r="F1393" s="183"/>
      <c r="G1393" s="184"/>
      <c r="H1393" s="185"/>
      <c r="I1393" s="185"/>
    </row>
    <row r="1394" spans="1:9" x14ac:dyDescent="0.25">
      <c r="A1394" s="176"/>
      <c r="B1394" s="182"/>
      <c r="C1394" s="80"/>
      <c r="D1394" s="80"/>
      <c r="E1394" s="177"/>
      <c r="F1394" s="183"/>
      <c r="G1394" s="184"/>
      <c r="H1394" s="185"/>
      <c r="I1394" s="185"/>
    </row>
    <row r="1395" spans="1:9" x14ac:dyDescent="0.25">
      <c r="A1395" s="176"/>
      <c r="B1395" s="182"/>
      <c r="C1395" s="80"/>
      <c r="D1395" s="80"/>
      <c r="E1395" s="177"/>
      <c r="F1395" s="183"/>
      <c r="G1395" s="184"/>
      <c r="H1395" s="185"/>
      <c r="I1395" s="185"/>
    </row>
    <row r="1396" spans="1:9" x14ac:dyDescent="0.25">
      <c r="A1396" s="176"/>
      <c r="B1396" s="182"/>
      <c r="C1396" s="80"/>
      <c r="D1396" s="80"/>
      <c r="E1396" s="177"/>
      <c r="F1396" s="183"/>
      <c r="G1396" s="184"/>
      <c r="H1396" s="185"/>
      <c r="I1396" s="185"/>
    </row>
    <row r="1397" spans="1:9" x14ac:dyDescent="0.25">
      <c r="A1397" s="176"/>
      <c r="B1397" s="182"/>
      <c r="C1397" s="80"/>
      <c r="D1397" s="80"/>
      <c r="E1397" s="177"/>
      <c r="F1397" s="183"/>
      <c r="G1397" s="184"/>
      <c r="H1397" s="185"/>
      <c r="I1397" s="185"/>
    </row>
    <row r="1398" spans="1:9" x14ac:dyDescent="0.25">
      <c r="A1398" s="176"/>
      <c r="B1398" s="182"/>
      <c r="C1398" s="80"/>
      <c r="D1398" s="80"/>
      <c r="E1398" s="177"/>
      <c r="F1398" s="183"/>
      <c r="G1398" s="184"/>
      <c r="H1398" s="185"/>
      <c r="I1398" s="185"/>
    </row>
    <row r="1399" spans="1:9" x14ac:dyDescent="0.25">
      <c r="A1399" s="176"/>
      <c r="B1399" s="182"/>
      <c r="C1399" s="80"/>
      <c r="D1399" s="80"/>
      <c r="E1399" s="177"/>
      <c r="F1399" s="183"/>
      <c r="G1399" s="184"/>
      <c r="H1399" s="185"/>
      <c r="I1399" s="185"/>
    </row>
    <row r="1400" spans="1:9" x14ac:dyDescent="0.25">
      <c r="A1400" s="176"/>
      <c r="B1400" s="182"/>
      <c r="C1400" s="80"/>
      <c r="D1400" s="80"/>
      <c r="E1400" s="177"/>
      <c r="F1400" s="183"/>
      <c r="G1400" s="184"/>
      <c r="H1400" s="185"/>
      <c r="I1400" s="185"/>
    </row>
    <row r="1401" spans="1:9" x14ac:dyDescent="0.25">
      <c r="A1401" s="176"/>
      <c r="B1401" s="182"/>
      <c r="C1401" s="80"/>
      <c r="D1401" s="80"/>
      <c r="E1401" s="177"/>
      <c r="F1401" s="183"/>
      <c r="G1401" s="184"/>
      <c r="H1401" s="185"/>
      <c r="I1401" s="185"/>
    </row>
    <row r="1402" spans="1:9" x14ac:dyDescent="0.25">
      <c r="A1402" s="176"/>
      <c r="B1402" s="182"/>
      <c r="C1402" s="80"/>
      <c r="D1402" s="80"/>
      <c r="E1402" s="177"/>
      <c r="F1402" s="183"/>
      <c r="G1402" s="184"/>
      <c r="H1402" s="185"/>
      <c r="I1402" s="185"/>
    </row>
    <row r="1403" spans="1:9" x14ac:dyDescent="0.25">
      <c r="A1403" s="176"/>
      <c r="B1403" s="182"/>
      <c r="C1403" s="80"/>
      <c r="D1403" s="80"/>
      <c r="E1403" s="177"/>
      <c r="F1403" s="183"/>
      <c r="G1403" s="184"/>
      <c r="H1403" s="185"/>
      <c r="I1403" s="185"/>
    </row>
    <row r="1404" spans="1:9" x14ac:dyDescent="0.25">
      <c r="A1404" s="176"/>
      <c r="B1404" s="182"/>
      <c r="C1404" s="80"/>
      <c r="D1404" s="80"/>
      <c r="E1404" s="177"/>
      <c r="F1404" s="183"/>
      <c r="G1404" s="184"/>
      <c r="H1404" s="185"/>
      <c r="I1404" s="185"/>
    </row>
    <row r="1405" spans="1:9" x14ac:dyDescent="0.25">
      <c r="A1405" s="176"/>
      <c r="B1405" s="182"/>
      <c r="C1405" s="80"/>
      <c r="D1405" s="80"/>
      <c r="E1405" s="177"/>
      <c r="F1405" s="183"/>
      <c r="G1405" s="184"/>
      <c r="H1405" s="185"/>
      <c r="I1405" s="185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39"/>
  <sheetViews>
    <sheetView showGridLines="0" tabSelected="1" topLeftCell="F10" zoomScale="70" zoomScaleNormal="70" workbookViewId="0">
      <selection activeCell="H33" sqref="H33:H35"/>
    </sheetView>
  </sheetViews>
  <sheetFormatPr baseColWidth="10" defaultColWidth="11.44140625" defaultRowHeight="13.8" x14ac:dyDescent="0.25"/>
  <cols>
    <col min="1" max="1" width="24.5546875" style="24" customWidth="1"/>
    <col min="2" max="2" width="40.33203125" style="24" customWidth="1"/>
    <col min="3" max="3" width="28.21875" style="24" customWidth="1"/>
    <col min="4" max="4" width="39.5546875" style="24" customWidth="1"/>
    <col min="5" max="5" width="61.77734375" style="24" customWidth="1"/>
    <col min="6" max="6" width="22.33203125" style="24" bestFit="1" customWidth="1"/>
    <col min="7" max="7" width="24.77734375" style="24" customWidth="1"/>
    <col min="8" max="8" width="81.5546875" style="24" customWidth="1"/>
    <col min="9" max="9" width="29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34" t="s">
        <v>64</v>
      </c>
      <c r="B3" s="335"/>
      <c r="C3" s="335"/>
      <c r="D3" s="335"/>
      <c r="E3" s="335"/>
      <c r="F3" s="335"/>
      <c r="G3" s="335"/>
      <c r="H3" s="335"/>
      <c r="I3" s="336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5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5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5">
      <c r="A7" s="114" t="s">
        <v>135</v>
      </c>
      <c r="B7" s="242" t="str">
        <f>IFERROR(VLOOKUP($B$6,'Recaudo de Ahorro Contractual'!$A$12:$I$35,2,FALSE),"0")</f>
        <v>0</v>
      </c>
      <c r="C7" s="59"/>
      <c r="D7" s="59"/>
      <c r="E7" s="228" t="s">
        <v>47</v>
      </c>
      <c r="F7" s="37" t="str">
        <f>IFERROR((VLOOKUP($B$6,'Recaudo de Ahorro Contractual'!$A$12:$I$35,8,FALSE))/2,"0")</f>
        <v>0</v>
      </c>
      <c r="G7" s="42" t="str">
        <f>F7</f>
        <v>0</v>
      </c>
      <c r="H7" s="323" t="str">
        <f>IFERROR((VLOOKUP($B$6,'Recaudo de Ahorro Contractual'!$A$12:$I$35,8,FALSE))*(1+VLOOKUP($B$6,'Recaudo de Ahorro Contractual'!$A$12:$I$35,4,FALSE)),"0")</f>
        <v>0</v>
      </c>
      <c r="I7" s="323" t="str">
        <f>IFERROR($H$7*(1+VLOOKUP($B$6,'Recaudo de Ahorro Contractual'!$A$12:$I$35,4)),"0")</f>
        <v>0</v>
      </c>
    </row>
    <row r="8" spans="1:14" ht="23.25" customHeight="1" x14ac:dyDescent="0.25">
      <c r="A8" s="59"/>
      <c r="B8" s="59"/>
      <c r="C8" s="59"/>
      <c r="D8" s="59"/>
      <c r="E8" s="226" t="s">
        <v>56</v>
      </c>
      <c r="F8" s="37" t="str">
        <f>IFERROR((VLOOKUP($B$6,'Recaudo de Ahorro Contractual'!$A$12:$I$35,9,FALSE))/2,"0")</f>
        <v>0</v>
      </c>
      <c r="G8" s="42" t="str">
        <f>F8</f>
        <v>0</v>
      </c>
      <c r="H8" s="43" t="str">
        <f>IFERROR((VLOOKUP($B$6,'Recaudo de Ahorro Contractual'!$A$12:$I$35,9,FALSE))*(1+VLOOKUP($B$6,'Recaudo de Ahorro Contractual'!$A$12:$I$35,4,FALSE)),"0")</f>
        <v>0</v>
      </c>
      <c r="I8" s="43" t="str">
        <f>IFERROR($H$8*(1+VLOOKUP($B$6,'Recaudo de Ahorro Contractual'!$A$12:$I$35,4)),"0")</f>
        <v>0</v>
      </c>
    </row>
    <row r="9" spans="1:14" x14ac:dyDescent="0.25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7.6" x14ac:dyDescent="0.3">
      <c r="A10" s="59"/>
      <c r="B10" s="241" t="s">
        <v>186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x14ac:dyDescent="0.3">
      <c r="A11" s="320" t="s">
        <v>16</v>
      </c>
      <c r="B11" s="321" t="s">
        <v>154</v>
      </c>
      <c r="C11" s="322" t="s">
        <v>57</v>
      </c>
      <c r="D11" s="322" t="s">
        <v>58</v>
      </c>
      <c r="E11" s="322" t="s">
        <v>65</v>
      </c>
      <c r="F11" s="322" t="s">
        <v>60</v>
      </c>
      <c r="G11" s="322" t="s">
        <v>61</v>
      </c>
      <c r="H11" s="322" t="s">
        <v>66</v>
      </c>
      <c r="I11" s="322" t="s">
        <v>63</v>
      </c>
      <c r="L11" s="45"/>
    </row>
    <row r="12" spans="1:14" s="3" customFormat="1" ht="20.25" customHeight="1" x14ac:dyDescent="0.3">
      <c r="A12" s="319"/>
      <c r="B12" s="315"/>
      <c r="C12" s="315"/>
      <c r="D12" s="315" t="str">
        <f t="shared" ref="D12:D35" si="0">IFERROR(AVERAGE(C1:C12),"")</f>
        <v/>
      </c>
      <c r="E12" s="283"/>
      <c r="F12" s="283"/>
      <c r="G12" s="316"/>
      <c r="H12" s="316"/>
      <c r="I12" s="316"/>
      <c r="L12" s="45"/>
    </row>
    <row r="13" spans="1:14" s="3" customFormat="1" ht="20.25" customHeight="1" x14ac:dyDescent="0.3">
      <c r="A13" s="319"/>
      <c r="B13" s="315"/>
      <c r="C13" s="193" t="str">
        <f t="shared" ref="C13:C35" si="1">IFERROR((B13-B12)/B12,"")</f>
        <v/>
      </c>
      <c r="D13" s="193" t="str">
        <f t="shared" si="0"/>
        <v/>
      </c>
      <c r="E13" s="283"/>
      <c r="F13" s="283"/>
      <c r="G13" s="316"/>
      <c r="H13" s="316"/>
      <c r="I13" s="316"/>
      <c r="L13" s="45"/>
    </row>
    <row r="14" spans="1:14" s="3" customFormat="1" ht="20.25" customHeight="1" x14ac:dyDescent="0.3">
      <c r="A14" s="319"/>
      <c r="B14" s="315"/>
      <c r="C14" s="193" t="str">
        <f t="shared" si="1"/>
        <v/>
      </c>
      <c r="D14" s="193" t="str">
        <f t="shared" si="0"/>
        <v/>
      </c>
      <c r="E14" s="317"/>
      <c r="F14" s="283"/>
      <c r="G14" s="316"/>
      <c r="H14" s="316"/>
      <c r="I14" s="316"/>
      <c r="L14" s="45"/>
    </row>
    <row r="15" spans="1:14" s="3" customFormat="1" ht="20.25" customHeight="1" x14ac:dyDescent="0.3">
      <c r="A15" s="319"/>
      <c r="B15" s="315"/>
      <c r="C15" s="193" t="str">
        <f t="shared" si="1"/>
        <v/>
      </c>
      <c r="D15" s="193" t="str">
        <f t="shared" si="0"/>
        <v/>
      </c>
      <c r="E15" s="317"/>
      <c r="F15" s="283"/>
      <c r="G15" s="316"/>
      <c r="H15" s="316"/>
      <c r="I15" s="316"/>
      <c r="L15" s="45"/>
    </row>
    <row r="16" spans="1:14" s="3" customFormat="1" ht="20.25" customHeight="1" x14ac:dyDescent="0.3">
      <c r="A16" s="319"/>
      <c r="B16" s="315"/>
      <c r="C16" s="193" t="str">
        <f t="shared" si="1"/>
        <v/>
      </c>
      <c r="D16" s="193" t="str">
        <f t="shared" si="0"/>
        <v/>
      </c>
      <c r="E16" s="317"/>
      <c r="F16" s="283"/>
      <c r="G16" s="316"/>
      <c r="H16" s="316"/>
      <c r="I16" s="316"/>
      <c r="L16" s="45"/>
    </row>
    <row r="17" spans="1:14" s="3" customFormat="1" ht="20.25" customHeight="1" x14ac:dyDescent="0.3">
      <c r="A17" s="319"/>
      <c r="B17" s="315"/>
      <c r="C17" s="193" t="str">
        <f t="shared" si="1"/>
        <v/>
      </c>
      <c r="D17" s="193" t="str">
        <f t="shared" si="0"/>
        <v/>
      </c>
      <c r="E17" s="317"/>
      <c r="F17" s="283"/>
      <c r="G17" s="316"/>
      <c r="H17" s="316"/>
      <c r="I17" s="316"/>
      <c r="L17" s="45"/>
    </row>
    <row r="18" spans="1:14" s="3" customFormat="1" ht="20.25" customHeight="1" x14ac:dyDescent="0.3">
      <c r="A18" s="319"/>
      <c r="B18" s="315"/>
      <c r="C18" s="193" t="str">
        <f t="shared" si="1"/>
        <v/>
      </c>
      <c r="D18" s="193" t="str">
        <f t="shared" si="0"/>
        <v/>
      </c>
      <c r="E18" s="317"/>
      <c r="F18" s="283"/>
      <c r="G18" s="316"/>
      <c r="H18" s="316"/>
      <c r="I18" s="316"/>
      <c r="L18" s="45"/>
    </row>
    <row r="19" spans="1:14" s="3" customFormat="1" ht="20.25" customHeight="1" x14ac:dyDescent="0.3">
      <c r="A19" s="319"/>
      <c r="B19" s="315"/>
      <c r="C19" s="193" t="str">
        <f t="shared" si="1"/>
        <v/>
      </c>
      <c r="D19" s="193" t="str">
        <f t="shared" si="0"/>
        <v/>
      </c>
      <c r="E19" s="317"/>
      <c r="F19" s="283"/>
      <c r="G19" s="316"/>
      <c r="H19" s="316"/>
      <c r="I19" s="316"/>
      <c r="L19" s="45"/>
    </row>
    <row r="20" spans="1:14" s="3" customFormat="1" ht="20.25" customHeight="1" x14ac:dyDescent="0.3">
      <c r="A20" s="319"/>
      <c r="B20" s="315"/>
      <c r="C20" s="193" t="str">
        <f t="shared" si="1"/>
        <v/>
      </c>
      <c r="D20" s="193" t="str">
        <f t="shared" si="0"/>
        <v/>
      </c>
      <c r="E20" s="317"/>
      <c r="F20" s="283"/>
      <c r="G20" s="316"/>
      <c r="H20" s="316"/>
      <c r="I20" s="316"/>
      <c r="L20" s="45"/>
    </row>
    <row r="21" spans="1:14" s="3" customFormat="1" ht="20.25" customHeight="1" x14ac:dyDescent="0.3">
      <c r="A21" s="319"/>
      <c r="B21" s="315"/>
      <c r="C21" s="193" t="str">
        <f t="shared" si="1"/>
        <v/>
      </c>
      <c r="D21" s="193" t="str">
        <f t="shared" si="0"/>
        <v/>
      </c>
      <c r="E21" s="317"/>
      <c r="F21" s="283"/>
      <c r="G21" s="318"/>
      <c r="H21" s="316"/>
      <c r="I21" s="316"/>
      <c r="L21" s="45"/>
      <c r="M21" s="45"/>
      <c r="N21" s="49"/>
    </row>
    <row r="22" spans="1:14" s="3" customFormat="1" ht="20.25" customHeight="1" x14ac:dyDescent="0.3">
      <c r="A22" s="319"/>
      <c r="B22" s="315"/>
      <c r="C22" s="193" t="str">
        <f t="shared" si="1"/>
        <v/>
      </c>
      <c r="D22" s="193" t="str">
        <f t="shared" si="0"/>
        <v/>
      </c>
      <c r="E22" s="317"/>
      <c r="F22" s="283"/>
      <c r="G22" s="318"/>
      <c r="H22" s="316"/>
      <c r="I22" s="316"/>
      <c r="L22" s="45"/>
      <c r="M22" s="45"/>
      <c r="N22" s="49"/>
    </row>
    <row r="23" spans="1:14" s="3" customFormat="1" ht="20.25" customHeight="1" x14ac:dyDescent="0.3">
      <c r="A23" s="319"/>
      <c r="B23" s="315"/>
      <c r="C23" s="193" t="str">
        <f t="shared" si="1"/>
        <v/>
      </c>
      <c r="D23" s="193" t="str">
        <f t="shared" si="0"/>
        <v/>
      </c>
      <c r="E23" s="317"/>
      <c r="F23" s="283"/>
      <c r="G23" s="318"/>
      <c r="H23" s="314"/>
      <c r="I23" s="314"/>
      <c r="L23" s="45"/>
      <c r="M23" s="45"/>
      <c r="N23" s="49"/>
    </row>
    <row r="24" spans="1:14" s="3" customFormat="1" ht="20.25" customHeight="1" x14ac:dyDescent="0.3">
      <c r="A24" s="319"/>
      <c r="B24" s="315"/>
      <c r="C24" s="193" t="str">
        <f t="shared" si="1"/>
        <v/>
      </c>
      <c r="D24" s="193" t="str">
        <f t="shared" si="0"/>
        <v/>
      </c>
      <c r="E24" s="317"/>
      <c r="F24" s="283"/>
      <c r="G24" s="318"/>
      <c r="H24" s="314"/>
      <c r="I24" s="314"/>
      <c r="L24" s="45"/>
      <c r="M24" s="45"/>
      <c r="N24" s="49"/>
    </row>
    <row r="25" spans="1:14" s="3" customFormat="1" ht="20.25" customHeight="1" x14ac:dyDescent="0.3">
      <c r="A25" s="319"/>
      <c r="B25" s="315"/>
      <c r="C25" s="193" t="str">
        <f t="shared" si="1"/>
        <v/>
      </c>
      <c r="D25" s="193" t="str">
        <f t="shared" si="0"/>
        <v/>
      </c>
      <c r="E25" s="317" t="str">
        <f>IFERROR(B24*(1+D25),"")</f>
        <v/>
      </c>
      <c r="F25" s="283">
        <f t="shared" ref="F25:F35" si="2">+IF(B25&gt;=E25,1,0)</f>
        <v>1</v>
      </c>
      <c r="G25" s="318">
        <f t="shared" ref="G25:G35" si="3">AVERAGE(F14:F25)</f>
        <v>1</v>
      </c>
      <c r="H25" s="314" t="str">
        <f>+IFERROR(B25*(#REF!)*G25,"")</f>
        <v/>
      </c>
      <c r="I25" s="314" t="str">
        <f>+IFERROR(MIN(B14:B25)*(#REF!)*G25,"")</f>
        <v/>
      </c>
    </row>
    <row r="26" spans="1:14" s="3" customFormat="1" ht="20.25" customHeight="1" x14ac:dyDescent="0.3">
      <c r="A26" s="319"/>
      <c r="B26" s="315"/>
      <c r="C26" s="193" t="str">
        <f t="shared" si="1"/>
        <v/>
      </c>
      <c r="D26" s="193" t="str">
        <f t="shared" si="0"/>
        <v/>
      </c>
      <c r="E26" s="317" t="str">
        <f t="shared" ref="E26:E35" si="4">IFERROR(B25*(1+D26),"")</f>
        <v/>
      </c>
      <c r="F26" s="283">
        <f t="shared" si="2"/>
        <v>1</v>
      </c>
      <c r="G26" s="318">
        <f t="shared" si="3"/>
        <v>1</v>
      </c>
      <c r="H26" s="314" t="str">
        <f>+IFERROR(B26*(#REF!)*G26,"")</f>
        <v/>
      </c>
      <c r="I26" s="314" t="str">
        <f>+IFERROR(MIN(B15:B26)*(#REF!)*G26,"")</f>
        <v/>
      </c>
    </row>
    <row r="27" spans="1:14" s="3" customFormat="1" ht="20.25" customHeight="1" x14ac:dyDescent="0.3">
      <c r="A27" s="319"/>
      <c r="B27" s="315"/>
      <c r="C27" s="193" t="str">
        <f t="shared" si="1"/>
        <v/>
      </c>
      <c r="D27" s="193" t="str">
        <f t="shared" si="0"/>
        <v/>
      </c>
      <c r="E27" s="317" t="str">
        <f t="shared" si="4"/>
        <v/>
      </c>
      <c r="F27" s="283">
        <f t="shared" si="2"/>
        <v>1</v>
      </c>
      <c r="G27" s="318">
        <f t="shared" si="3"/>
        <v>1</v>
      </c>
      <c r="H27" s="314" t="str">
        <f>+IFERROR(B27*(#REF!)*G27,"")</f>
        <v/>
      </c>
      <c r="I27" s="314" t="str">
        <f>+IFERROR(MIN(B16:B27)*(#REF!)*G27,"")</f>
        <v/>
      </c>
    </row>
    <row r="28" spans="1:14" s="3" customFormat="1" ht="20.25" customHeight="1" x14ac:dyDescent="0.3">
      <c r="A28" s="319"/>
      <c r="B28" s="315"/>
      <c r="C28" s="193" t="str">
        <f t="shared" si="1"/>
        <v/>
      </c>
      <c r="D28" s="193" t="str">
        <f t="shared" si="0"/>
        <v/>
      </c>
      <c r="E28" s="317" t="str">
        <f t="shared" si="4"/>
        <v/>
      </c>
      <c r="F28" s="283">
        <f t="shared" si="2"/>
        <v>1</v>
      </c>
      <c r="G28" s="318">
        <f t="shared" si="3"/>
        <v>1</v>
      </c>
      <c r="H28" s="314" t="str">
        <f>+IFERROR(B28*(#REF!)*G28,"")</f>
        <v/>
      </c>
      <c r="I28" s="314" t="str">
        <f>+IFERROR(MIN(B17:B28)*(#REF!)*G28,"")</f>
        <v/>
      </c>
    </row>
    <row r="29" spans="1:14" s="3" customFormat="1" ht="20.25" customHeight="1" x14ac:dyDescent="0.3">
      <c r="A29" s="319"/>
      <c r="B29" s="315"/>
      <c r="C29" s="193" t="str">
        <f t="shared" si="1"/>
        <v/>
      </c>
      <c r="D29" s="193" t="str">
        <f t="shared" si="0"/>
        <v/>
      </c>
      <c r="E29" s="317" t="str">
        <f t="shared" si="4"/>
        <v/>
      </c>
      <c r="F29" s="283">
        <f t="shared" si="2"/>
        <v>1</v>
      </c>
      <c r="G29" s="318">
        <f t="shared" si="3"/>
        <v>1</v>
      </c>
      <c r="H29" s="314" t="str">
        <f>+IFERROR(B29*(#REF!)*G29,"")</f>
        <v/>
      </c>
      <c r="I29" s="314" t="str">
        <f>+IFERROR(MIN(B18:B29)*(#REF!)*G29,"")</f>
        <v/>
      </c>
    </row>
    <row r="30" spans="1:14" s="3" customFormat="1" ht="20.25" customHeight="1" x14ac:dyDescent="0.3">
      <c r="A30" s="319"/>
      <c r="B30" s="315"/>
      <c r="C30" s="193" t="str">
        <f t="shared" si="1"/>
        <v/>
      </c>
      <c r="D30" s="193" t="str">
        <f t="shared" si="0"/>
        <v/>
      </c>
      <c r="E30" s="317" t="str">
        <f t="shared" si="4"/>
        <v/>
      </c>
      <c r="F30" s="283">
        <f t="shared" si="2"/>
        <v>1</v>
      </c>
      <c r="G30" s="318">
        <f t="shared" si="3"/>
        <v>1</v>
      </c>
      <c r="H30" s="314" t="str">
        <f>+IFERROR(B30*(#REF!)*G30,"")</f>
        <v/>
      </c>
      <c r="I30" s="314" t="str">
        <f>+IFERROR(MIN(B19:B30)*(#REF!)*G30,"")</f>
        <v/>
      </c>
    </row>
    <row r="31" spans="1:14" s="3" customFormat="1" ht="20.25" customHeight="1" x14ac:dyDescent="0.3">
      <c r="A31" s="319"/>
      <c r="B31" s="315"/>
      <c r="C31" s="193" t="str">
        <f t="shared" si="1"/>
        <v/>
      </c>
      <c r="D31" s="193" t="str">
        <f t="shared" si="0"/>
        <v/>
      </c>
      <c r="E31" s="317" t="str">
        <f t="shared" si="4"/>
        <v/>
      </c>
      <c r="F31" s="283">
        <f t="shared" si="2"/>
        <v>1</v>
      </c>
      <c r="G31" s="318">
        <f t="shared" si="3"/>
        <v>1</v>
      </c>
      <c r="H31" s="314" t="str">
        <f>+IFERROR(B31*(#REF!)*G31,"")</f>
        <v/>
      </c>
      <c r="I31" s="314" t="str">
        <f>+IFERROR(MIN(B20:B31)*(#REF!)*G31,"")</f>
        <v/>
      </c>
    </row>
    <row r="32" spans="1:14" s="3" customFormat="1" ht="20.25" customHeight="1" x14ac:dyDescent="0.3">
      <c r="A32" s="319"/>
      <c r="B32" s="315"/>
      <c r="C32" s="193" t="str">
        <f t="shared" si="1"/>
        <v/>
      </c>
      <c r="D32" s="193" t="str">
        <f t="shared" si="0"/>
        <v/>
      </c>
      <c r="E32" s="317" t="str">
        <f t="shared" si="4"/>
        <v/>
      </c>
      <c r="F32" s="283">
        <f t="shared" si="2"/>
        <v>1</v>
      </c>
      <c r="G32" s="318">
        <f t="shared" si="3"/>
        <v>1</v>
      </c>
      <c r="H32" s="314" t="str">
        <f>+IFERROR(B32*(#REF!)*G32,"")</f>
        <v/>
      </c>
      <c r="I32" s="314" t="str">
        <f>+IFERROR(MIN(B21:B32)*(#REF!)*G32,"")</f>
        <v/>
      </c>
    </row>
    <row r="33" spans="1:9" s="3" customFormat="1" ht="20.25" customHeight="1" x14ac:dyDescent="0.3">
      <c r="A33" s="319"/>
      <c r="B33" s="315"/>
      <c r="C33" s="193" t="str">
        <f t="shared" si="1"/>
        <v/>
      </c>
      <c r="D33" s="193" t="str">
        <f t="shared" si="0"/>
        <v/>
      </c>
      <c r="E33" s="317" t="str">
        <f t="shared" si="4"/>
        <v/>
      </c>
      <c r="F33" s="283">
        <f t="shared" si="2"/>
        <v>1</v>
      </c>
      <c r="G33" s="318">
        <f t="shared" si="3"/>
        <v>1</v>
      </c>
      <c r="H33" s="314" t="str">
        <f>+IFERROR(B33*(D33)*G33,"")</f>
        <v/>
      </c>
      <c r="I33" s="314" t="str">
        <f>+IFERROR(MIN(B22:B33)*(#REF!)*G33,"")</f>
        <v/>
      </c>
    </row>
    <row r="34" spans="1:9" s="3" customFormat="1" ht="20.25" customHeight="1" x14ac:dyDescent="0.3">
      <c r="A34" s="319"/>
      <c r="B34" s="315"/>
      <c r="C34" s="193" t="str">
        <f t="shared" si="1"/>
        <v/>
      </c>
      <c r="D34" s="193" t="str">
        <f t="shared" si="0"/>
        <v/>
      </c>
      <c r="E34" s="317" t="str">
        <f t="shared" si="4"/>
        <v/>
      </c>
      <c r="F34" s="283">
        <f t="shared" si="2"/>
        <v>1</v>
      </c>
      <c r="G34" s="318">
        <f t="shared" si="3"/>
        <v>1</v>
      </c>
      <c r="H34" s="314" t="str">
        <f t="shared" ref="H34:H35" si="5">+IFERROR(B34*(D34)*G34,"")</f>
        <v/>
      </c>
      <c r="I34" s="314" t="str">
        <f>+IFERROR(MIN(B23:B34)*(#REF!)*G34,"")</f>
        <v/>
      </c>
    </row>
    <row r="35" spans="1:9" s="3" customFormat="1" ht="20.25" customHeight="1" x14ac:dyDescent="0.3">
      <c r="A35" s="319"/>
      <c r="B35" s="315"/>
      <c r="C35" s="193" t="str">
        <f t="shared" si="1"/>
        <v/>
      </c>
      <c r="D35" s="193" t="str">
        <f t="shared" si="0"/>
        <v/>
      </c>
      <c r="E35" s="317" t="str">
        <f t="shared" si="4"/>
        <v/>
      </c>
      <c r="F35" s="283">
        <f t="shared" si="2"/>
        <v>1</v>
      </c>
      <c r="G35" s="318">
        <f t="shared" si="3"/>
        <v>1</v>
      </c>
      <c r="H35" s="314" t="str">
        <f t="shared" si="5"/>
        <v/>
      </c>
      <c r="I35" s="314" t="str">
        <f>+IFERROR(MIN(B24:B35)*(#REF!)*G35,"")</f>
        <v/>
      </c>
    </row>
    <row r="36" spans="1:9" ht="18" customHeight="1" x14ac:dyDescent="0.3">
      <c r="A36" s="202"/>
      <c r="B36" s="199"/>
      <c r="C36" s="80"/>
      <c r="D36" s="80"/>
      <c r="E36" s="200"/>
      <c r="F36" s="183"/>
      <c r="G36" s="201"/>
      <c r="H36" s="185"/>
      <c r="I36" s="185"/>
    </row>
    <row r="37" spans="1:9" ht="18" customHeight="1" x14ac:dyDescent="0.3">
      <c r="A37" s="176"/>
      <c r="B37" s="199"/>
      <c r="C37" s="80"/>
      <c r="D37" s="80"/>
      <c r="E37" s="200"/>
      <c r="F37" s="183"/>
      <c r="G37" s="201"/>
      <c r="H37" s="185"/>
      <c r="I37" s="185"/>
    </row>
    <row r="38" spans="1:9" ht="18" customHeight="1" x14ac:dyDescent="0.25">
      <c r="A38" s="176"/>
      <c r="B38" s="203"/>
      <c r="C38" s="80"/>
      <c r="D38" s="80"/>
      <c r="E38" s="200"/>
      <c r="F38" s="183"/>
      <c r="G38" s="201"/>
      <c r="H38" s="185"/>
      <c r="I38" s="185"/>
    </row>
    <row r="39" spans="1:9" ht="18" customHeight="1" x14ac:dyDescent="0.25">
      <c r="A39" s="176"/>
      <c r="B39" s="203"/>
      <c r="C39" s="80"/>
      <c r="D39" s="80"/>
      <c r="E39" s="200"/>
      <c r="F39" s="183"/>
      <c r="G39" s="201"/>
      <c r="H39" s="185"/>
      <c r="I39" s="185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B35" sqref="B35"/>
    </sheetView>
  </sheetViews>
  <sheetFormatPr baseColWidth="10" defaultColWidth="11.44140625" defaultRowHeight="13.8" x14ac:dyDescent="0.25"/>
  <cols>
    <col min="1" max="1" width="24.5546875" style="24" customWidth="1"/>
    <col min="2" max="2" width="43.33203125" style="24" customWidth="1"/>
    <col min="3" max="3" width="28.6640625" style="24" customWidth="1"/>
    <col min="4" max="4" width="40.33203125" style="24" customWidth="1"/>
    <col min="5" max="5" width="63.44140625" style="24" customWidth="1"/>
    <col min="6" max="6" width="22.33203125" style="24" bestFit="1" customWidth="1"/>
    <col min="7" max="7" width="25.109375" style="24" customWidth="1"/>
    <col min="8" max="8" width="63.44140625" style="24" customWidth="1"/>
    <col min="9" max="9" width="33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34" t="s">
        <v>67</v>
      </c>
      <c r="B3" s="335"/>
      <c r="C3" s="335"/>
      <c r="D3" s="335"/>
      <c r="E3" s="335"/>
      <c r="F3" s="335"/>
      <c r="G3" s="335"/>
      <c r="H3" s="335"/>
      <c r="I3" s="336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5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5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5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5" customHeight="1" x14ac:dyDescent="0.25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7" customHeight="1" x14ac:dyDescent="0.3">
      <c r="A9" s="59"/>
      <c r="B9" s="241" t="s">
        <v>186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3">
      <c r="A10" s="207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3">
      <c r="A11" s="186"/>
      <c r="B11" s="52"/>
      <c r="C11" s="46"/>
      <c r="D11" s="227"/>
      <c r="E11" s="227"/>
      <c r="F11" s="227"/>
      <c r="G11" s="47"/>
      <c r="H11" s="47"/>
      <c r="I11" s="47"/>
      <c r="L11" s="45"/>
    </row>
    <row r="12" spans="1:14" s="3" customFormat="1" ht="20.25" customHeight="1" x14ac:dyDescent="0.3">
      <c r="A12" s="186"/>
      <c r="B12" s="52"/>
      <c r="C12" s="93" t="str">
        <f>IFERROR((B12-B11)/B11,"")</f>
        <v/>
      </c>
      <c r="D12" s="227"/>
      <c r="E12" s="227"/>
      <c r="F12" s="227"/>
      <c r="G12" s="47"/>
      <c r="H12" s="47"/>
      <c r="I12" s="47"/>
      <c r="L12" s="45"/>
    </row>
    <row r="13" spans="1:14" s="3" customFormat="1" ht="20.25" customHeight="1" x14ac:dyDescent="0.3">
      <c r="A13" s="186"/>
      <c r="B13" s="52"/>
      <c r="C13" s="93" t="str">
        <f t="shared" ref="C13:C34" si="0">IFERROR((B13-B12)/B12,"")</f>
        <v/>
      </c>
      <c r="D13" s="46"/>
      <c r="E13" s="48"/>
      <c r="F13" s="227"/>
      <c r="G13" s="47"/>
      <c r="H13" s="47"/>
      <c r="I13" s="47"/>
      <c r="L13" s="45"/>
    </row>
    <row r="14" spans="1:14" s="3" customFormat="1" ht="20.25" customHeight="1" x14ac:dyDescent="0.3">
      <c r="A14" s="186"/>
      <c r="B14" s="52"/>
      <c r="C14" s="93" t="str">
        <f t="shared" si="0"/>
        <v/>
      </c>
      <c r="D14" s="46"/>
      <c r="E14" s="48"/>
      <c r="F14" s="227"/>
      <c r="G14" s="47"/>
      <c r="H14" s="47"/>
      <c r="I14" s="47"/>
      <c r="L14" s="45"/>
    </row>
    <row r="15" spans="1:14" s="3" customFormat="1" ht="20.25" customHeight="1" x14ac:dyDescent="0.3">
      <c r="A15" s="186"/>
      <c r="B15" s="52"/>
      <c r="C15" s="93" t="str">
        <f t="shared" si="0"/>
        <v/>
      </c>
      <c r="D15" s="46"/>
      <c r="E15" s="48"/>
      <c r="F15" s="227"/>
      <c r="G15" s="47"/>
      <c r="H15" s="47"/>
      <c r="I15" s="47"/>
      <c r="L15" s="45"/>
    </row>
    <row r="16" spans="1:14" s="3" customFormat="1" ht="20.25" customHeight="1" x14ac:dyDescent="0.3">
      <c r="A16" s="186"/>
      <c r="B16" s="52"/>
      <c r="C16" s="93" t="str">
        <f t="shared" si="0"/>
        <v/>
      </c>
      <c r="D16" s="46"/>
      <c r="E16" s="48"/>
      <c r="F16" s="227"/>
      <c r="G16" s="47"/>
      <c r="H16" s="47"/>
      <c r="I16" s="47"/>
      <c r="L16" s="45"/>
    </row>
    <row r="17" spans="1:14" s="3" customFormat="1" ht="20.25" customHeight="1" x14ac:dyDescent="0.3">
      <c r="A17" s="186"/>
      <c r="B17" s="52"/>
      <c r="C17" s="93" t="str">
        <f t="shared" si="0"/>
        <v/>
      </c>
      <c r="D17" s="46"/>
      <c r="E17" s="48"/>
      <c r="F17" s="227"/>
      <c r="G17" s="47"/>
      <c r="H17" s="47"/>
      <c r="I17" s="47"/>
      <c r="L17" s="45"/>
    </row>
    <row r="18" spans="1:14" s="3" customFormat="1" ht="20.25" customHeight="1" x14ac:dyDescent="0.3">
      <c r="A18" s="186"/>
      <c r="B18" s="52"/>
      <c r="C18" s="93" t="str">
        <f t="shared" si="0"/>
        <v/>
      </c>
      <c r="D18" s="46"/>
      <c r="E18" s="48"/>
      <c r="F18" s="227"/>
      <c r="G18" s="47"/>
      <c r="H18" s="47"/>
      <c r="I18" s="47"/>
      <c r="L18" s="45"/>
    </row>
    <row r="19" spans="1:14" s="3" customFormat="1" ht="20.25" customHeight="1" x14ac:dyDescent="0.3">
      <c r="A19" s="186"/>
      <c r="B19" s="52"/>
      <c r="C19" s="93" t="str">
        <f t="shared" si="0"/>
        <v/>
      </c>
      <c r="D19" s="46"/>
      <c r="E19" s="48"/>
      <c r="F19" s="227"/>
      <c r="G19" s="47"/>
      <c r="H19" s="47"/>
      <c r="I19" s="47"/>
      <c r="L19" s="45"/>
    </row>
    <row r="20" spans="1:14" s="3" customFormat="1" ht="20.25" customHeight="1" x14ac:dyDescent="0.3">
      <c r="A20" s="186"/>
      <c r="B20" s="52"/>
      <c r="C20" s="93" t="str">
        <f t="shared" si="0"/>
        <v/>
      </c>
      <c r="D20" s="46"/>
      <c r="E20" s="48"/>
      <c r="F20" s="227"/>
      <c r="G20" s="50"/>
      <c r="H20" s="43"/>
      <c r="I20" s="43"/>
      <c r="L20" s="45"/>
      <c r="M20" s="45"/>
      <c r="N20" s="49"/>
    </row>
    <row r="21" spans="1:14" s="3" customFormat="1" ht="20.25" customHeight="1" x14ac:dyDescent="0.3">
      <c r="A21" s="186"/>
      <c r="B21" s="52"/>
      <c r="C21" s="93" t="str">
        <f t="shared" si="0"/>
        <v/>
      </c>
      <c r="D21" s="46"/>
      <c r="E21" s="48"/>
      <c r="F21" s="227"/>
      <c r="G21" s="50"/>
      <c r="H21" s="43"/>
      <c r="I21" s="43"/>
      <c r="L21" s="45"/>
      <c r="M21" s="45"/>
      <c r="N21" s="49"/>
    </row>
    <row r="22" spans="1:14" s="3" customFormat="1" ht="20.25" customHeight="1" x14ac:dyDescent="0.3">
      <c r="A22" s="186"/>
      <c r="B22" s="52"/>
      <c r="C22" s="93" t="str">
        <f t="shared" si="0"/>
        <v/>
      </c>
      <c r="D22" s="46"/>
      <c r="E22" s="48"/>
      <c r="F22" s="227"/>
      <c r="G22" s="50"/>
      <c r="H22" s="43"/>
      <c r="I22" s="43"/>
      <c r="L22" s="45"/>
      <c r="M22" s="45"/>
      <c r="N22" s="49"/>
    </row>
    <row r="23" spans="1:14" s="3" customFormat="1" ht="20.25" customHeight="1" x14ac:dyDescent="0.3">
      <c r="A23" s="186"/>
      <c r="B23" s="52"/>
      <c r="C23" s="93" t="str">
        <f t="shared" si="0"/>
        <v/>
      </c>
      <c r="D23" s="46"/>
      <c r="E23" s="48"/>
      <c r="F23" s="227"/>
      <c r="G23" s="50"/>
      <c r="H23" s="43"/>
      <c r="I23" s="43"/>
      <c r="L23" s="45"/>
      <c r="M23" s="45"/>
      <c r="N23" s="49"/>
    </row>
    <row r="24" spans="1:14" s="3" customFormat="1" ht="20.25" customHeight="1" x14ac:dyDescent="0.3">
      <c r="A24" s="186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27">
        <f>+IF(B24&gt;=E24,1,0)</f>
        <v>1</v>
      </c>
      <c r="G24" s="50"/>
      <c r="H24" s="43" t="str">
        <f t="shared" ref="H24:H35" si="1">+IFERROR(B24*(D24)*G24,"")</f>
        <v/>
      </c>
      <c r="I24" s="43" t="str">
        <f t="shared" ref="I24:I34" si="2">+IFERROR(MIN(B15:B24)*(D24)*G24,"")</f>
        <v/>
      </c>
    </row>
    <row r="25" spans="1:14" s="3" customFormat="1" ht="20.25" customHeight="1" x14ac:dyDescent="0.3">
      <c r="A25" s="186"/>
      <c r="B25" s="52"/>
      <c r="C25" s="93" t="str">
        <f t="shared" si="0"/>
        <v/>
      </c>
      <c r="D25" s="46" t="str">
        <f t="shared" ref="D25:D34" si="3">IFERROR(AVERAGE(C13:C24),"")</f>
        <v/>
      </c>
      <c r="E25" s="48" t="str">
        <f t="shared" ref="E25:E35" si="4">IFERROR(B24*(1+D25),"")</f>
        <v/>
      </c>
      <c r="F25" s="227">
        <f t="shared" ref="F25:F35" si="5">+IF(B25&gt;=E25,1,0)</f>
        <v>1</v>
      </c>
      <c r="G25" s="50"/>
      <c r="H25" s="43" t="str">
        <f t="shared" si="1"/>
        <v/>
      </c>
      <c r="I25" s="43" t="str">
        <f t="shared" si="2"/>
        <v/>
      </c>
    </row>
    <row r="26" spans="1:14" s="3" customFormat="1" ht="20.25" customHeight="1" x14ac:dyDescent="0.3">
      <c r="A26" s="186"/>
      <c r="B26" s="52"/>
      <c r="C26" s="93" t="str">
        <f t="shared" si="0"/>
        <v/>
      </c>
      <c r="D26" s="46" t="str">
        <f t="shared" si="3"/>
        <v/>
      </c>
      <c r="E26" s="48" t="str">
        <f t="shared" si="4"/>
        <v/>
      </c>
      <c r="F26" s="227">
        <f t="shared" si="5"/>
        <v>1</v>
      </c>
      <c r="G26" s="50"/>
      <c r="H26" s="43" t="str">
        <f t="shared" si="1"/>
        <v/>
      </c>
      <c r="I26" s="43" t="str">
        <f t="shared" si="2"/>
        <v/>
      </c>
    </row>
    <row r="27" spans="1:14" s="3" customFormat="1" ht="20.25" customHeight="1" x14ac:dyDescent="0.3">
      <c r="A27" s="186"/>
      <c r="B27" s="52"/>
      <c r="C27" s="93" t="str">
        <f t="shared" si="0"/>
        <v/>
      </c>
      <c r="D27" s="46" t="str">
        <f t="shared" si="3"/>
        <v/>
      </c>
      <c r="E27" s="48" t="str">
        <f t="shared" si="4"/>
        <v/>
      </c>
      <c r="F27" s="227">
        <f t="shared" si="5"/>
        <v>1</v>
      </c>
      <c r="G27" s="50"/>
      <c r="H27" s="43" t="str">
        <f t="shared" si="1"/>
        <v/>
      </c>
      <c r="I27" s="43" t="str">
        <f t="shared" si="2"/>
        <v/>
      </c>
    </row>
    <row r="28" spans="1:14" s="3" customFormat="1" ht="20.25" customHeight="1" x14ac:dyDescent="0.3">
      <c r="A28" s="186"/>
      <c r="B28" s="52"/>
      <c r="C28" s="93" t="str">
        <f t="shared" si="0"/>
        <v/>
      </c>
      <c r="D28" s="46" t="str">
        <f t="shared" si="3"/>
        <v/>
      </c>
      <c r="E28" s="48" t="str">
        <f t="shared" si="4"/>
        <v/>
      </c>
      <c r="F28" s="227">
        <f t="shared" si="5"/>
        <v>1</v>
      </c>
      <c r="G28" s="50"/>
      <c r="H28" s="43" t="str">
        <f t="shared" si="1"/>
        <v/>
      </c>
      <c r="I28" s="43" t="str">
        <f t="shared" si="2"/>
        <v/>
      </c>
    </row>
    <row r="29" spans="1:14" s="3" customFormat="1" ht="20.25" customHeight="1" x14ac:dyDescent="0.3">
      <c r="A29" s="186"/>
      <c r="B29" s="52"/>
      <c r="C29" s="93" t="str">
        <f t="shared" si="0"/>
        <v/>
      </c>
      <c r="D29" s="46" t="str">
        <f t="shared" si="3"/>
        <v/>
      </c>
      <c r="E29" s="48" t="str">
        <f t="shared" si="4"/>
        <v/>
      </c>
      <c r="F29" s="227">
        <f t="shared" si="5"/>
        <v>1</v>
      </c>
      <c r="G29" s="50"/>
      <c r="H29" s="43" t="str">
        <f t="shared" si="1"/>
        <v/>
      </c>
      <c r="I29" s="43" t="str">
        <f t="shared" si="2"/>
        <v/>
      </c>
    </row>
    <row r="30" spans="1:14" s="3" customFormat="1" ht="20.25" customHeight="1" x14ac:dyDescent="0.3">
      <c r="A30" s="186"/>
      <c r="B30" s="52"/>
      <c r="C30" s="93" t="str">
        <f t="shared" si="0"/>
        <v/>
      </c>
      <c r="D30" s="46" t="str">
        <f t="shared" si="3"/>
        <v/>
      </c>
      <c r="E30" s="48" t="str">
        <f t="shared" si="4"/>
        <v/>
      </c>
      <c r="F30" s="227">
        <f t="shared" si="5"/>
        <v>1</v>
      </c>
      <c r="G30" s="50"/>
      <c r="H30" s="43" t="str">
        <f t="shared" si="1"/>
        <v/>
      </c>
      <c r="I30" s="43" t="str">
        <f t="shared" si="2"/>
        <v/>
      </c>
    </row>
    <row r="31" spans="1:14" s="3" customFormat="1" ht="20.25" customHeight="1" x14ac:dyDescent="0.3">
      <c r="A31" s="186"/>
      <c r="B31" s="52"/>
      <c r="C31" s="93" t="str">
        <f t="shared" si="0"/>
        <v/>
      </c>
      <c r="D31" s="46" t="str">
        <f t="shared" si="3"/>
        <v/>
      </c>
      <c r="E31" s="48" t="str">
        <f t="shared" si="4"/>
        <v/>
      </c>
      <c r="F31" s="227">
        <f t="shared" si="5"/>
        <v>1</v>
      </c>
      <c r="G31" s="50"/>
      <c r="H31" s="43" t="str">
        <f t="shared" si="1"/>
        <v/>
      </c>
      <c r="I31" s="43" t="str">
        <f t="shared" si="2"/>
        <v/>
      </c>
    </row>
    <row r="32" spans="1:14" s="3" customFormat="1" ht="20.25" customHeight="1" x14ac:dyDescent="0.3">
      <c r="A32" s="186"/>
      <c r="B32" s="52"/>
      <c r="C32" s="93" t="str">
        <f t="shared" si="0"/>
        <v/>
      </c>
      <c r="D32" s="46" t="str">
        <f t="shared" si="3"/>
        <v/>
      </c>
      <c r="E32" s="48" t="str">
        <f t="shared" si="4"/>
        <v/>
      </c>
      <c r="F32" s="227">
        <f t="shared" si="5"/>
        <v>1</v>
      </c>
      <c r="G32" s="50"/>
      <c r="H32" s="43" t="str">
        <f t="shared" si="1"/>
        <v/>
      </c>
      <c r="I32" s="43" t="str">
        <f t="shared" si="2"/>
        <v/>
      </c>
    </row>
    <row r="33" spans="1:11" s="3" customFormat="1" ht="20.25" customHeight="1" x14ac:dyDescent="0.3">
      <c r="A33" s="186"/>
      <c r="B33" s="52"/>
      <c r="C33" s="93" t="str">
        <f t="shared" si="0"/>
        <v/>
      </c>
      <c r="D33" s="46" t="str">
        <f t="shared" si="3"/>
        <v/>
      </c>
      <c r="E33" s="48" t="str">
        <f t="shared" si="4"/>
        <v/>
      </c>
      <c r="F33" s="227">
        <f t="shared" si="5"/>
        <v>1</v>
      </c>
      <c r="G33" s="50"/>
      <c r="H33" s="43" t="str">
        <f t="shared" si="1"/>
        <v/>
      </c>
      <c r="I33" s="43" t="str">
        <f t="shared" si="2"/>
        <v/>
      </c>
    </row>
    <row r="34" spans="1:11" s="3" customFormat="1" ht="20.25" customHeight="1" x14ac:dyDescent="0.3">
      <c r="A34" s="186"/>
      <c r="B34" s="52"/>
      <c r="C34" s="93" t="str">
        <f t="shared" si="0"/>
        <v/>
      </c>
      <c r="D34" s="46" t="str">
        <f t="shared" si="3"/>
        <v/>
      </c>
      <c r="E34" s="48" t="str">
        <f t="shared" si="4"/>
        <v/>
      </c>
      <c r="F34" s="227">
        <f t="shared" si="5"/>
        <v>1</v>
      </c>
      <c r="G34" s="50"/>
      <c r="H34" s="43" t="str">
        <f t="shared" si="1"/>
        <v/>
      </c>
      <c r="I34" s="43" t="str">
        <f t="shared" si="2"/>
        <v/>
      </c>
    </row>
    <row r="35" spans="1:11" s="3" customFormat="1" ht="20.25" customHeight="1" x14ac:dyDescent="0.3">
      <c r="A35" s="192"/>
      <c r="B35" s="249"/>
      <c r="C35" s="175" t="str">
        <f>IFERROR((B35-B34)/B34,"")</f>
        <v/>
      </c>
      <c r="D35" s="175" t="str">
        <f>IFERROR(AVERAGE(C23:C34),"")</f>
        <v/>
      </c>
      <c r="E35" s="248" t="str">
        <f t="shared" si="4"/>
        <v/>
      </c>
      <c r="F35" s="179">
        <f t="shared" si="5"/>
        <v>1</v>
      </c>
      <c r="G35" s="213">
        <f>+AVERAGE(F24:F35)</f>
        <v>1</v>
      </c>
      <c r="H35" s="181" t="str">
        <f t="shared" si="1"/>
        <v/>
      </c>
      <c r="I35" s="181" t="str">
        <f t="shared" ref="I35" si="6">+IFERROR(MIN(B24:B35)*(D35)*G35,"")</f>
        <v/>
      </c>
      <c r="J35" s="310"/>
      <c r="K35" s="310"/>
    </row>
    <row r="36" spans="1:11" ht="20.25" customHeight="1" x14ac:dyDescent="0.25">
      <c r="A36" s="176"/>
      <c r="B36" s="197"/>
      <c r="C36" s="209"/>
      <c r="D36" s="80"/>
      <c r="E36" s="200"/>
      <c r="F36" s="183"/>
      <c r="G36" s="201"/>
      <c r="H36" s="185"/>
      <c r="I36" s="185"/>
    </row>
    <row r="37" spans="1:11" ht="20.25" customHeight="1" x14ac:dyDescent="0.25">
      <c r="A37" s="176"/>
      <c r="B37" s="197"/>
      <c r="C37" s="209"/>
      <c r="D37" s="80"/>
      <c r="E37" s="200"/>
      <c r="F37" s="183"/>
      <c r="G37" s="201"/>
      <c r="H37" s="185"/>
      <c r="I37" s="185"/>
    </row>
    <row r="38" spans="1:11" ht="20.25" customHeight="1" x14ac:dyDescent="0.25">
      <c r="A38" s="176"/>
      <c r="B38" s="197"/>
      <c r="C38" s="209"/>
      <c r="D38" s="80"/>
      <c r="E38" s="200"/>
      <c r="F38" s="183"/>
      <c r="G38" s="201"/>
      <c r="H38" s="185"/>
      <c r="I38" s="185"/>
    </row>
    <row r="39" spans="1:11" ht="20.25" customHeight="1" x14ac:dyDescent="0.25">
      <c r="A39" s="176"/>
      <c r="B39" s="197"/>
      <c r="C39" s="209"/>
      <c r="D39" s="80"/>
      <c r="E39" s="200"/>
      <c r="F39" s="183"/>
      <c r="G39" s="201"/>
      <c r="H39" s="185"/>
      <c r="I39" s="185"/>
    </row>
    <row r="40" spans="1:11" ht="20.25" customHeight="1" x14ac:dyDescent="0.25">
      <c r="A40" s="176"/>
      <c r="B40" s="197"/>
      <c r="C40" s="209"/>
      <c r="D40" s="80"/>
      <c r="E40" s="200"/>
      <c r="F40" s="183"/>
      <c r="G40" s="201"/>
      <c r="H40" s="185"/>
      <c r="I40" s="185"/>
    </row>
    <row r="41" spans="1:11" ht="20.25" customHeight="1" x14ac:dyDescent="0.25">
      <c r="A41" s="176"/>
      <c r="B41" s="197"/>
      <c r="C41" s="209"/>
      <c r="D41" s="80"/>
      <c r="E41" s="200"/>
      <c r="F41" s="183"/>
      <c r="G41" s="201"/>
      <c r="H41" s="185"/>
      <c r="I41" s="185"/>
    </row>
    <row r="42" spans="1:11" ht="20.25" customHeight="1" x14ac:dyDescent="0.25">
      <c r="A42" s="176"/>
      <c r="B42" s="197"/>
      <c r="C42" s="209"/>
      <c r="D42" s="80"/>
      <c r="E42" s="200"/>
      <c r="F42" s="183"/>
      <c r="G42" s="201"/>
      <c r="H42" s="185"/>
      <c r="I42" s="185"/>
    </row>
    <row r="43" spans="1:11" ht="20.25" customHeight="1" x14ac:dyDescent="0.25">
      <c r="A43" s="202"/>
      <c r="B43" s="197"/>
      <c r="C43" s="209"/>
      <c r="D43" s="80"/>
      <c r="E43" s="200"/>
      <c r="F43" s="183"/>
      <c r="G43" s="201"/>
      <c r="H43" s="185"/>
      <c r="I43" s="185"/>
    </row>
    <row r="44" spans="1:11" ht="20.25" customHeight="1" x14ac:dyDescent="0.25">
      <c r="A44" s="176"/>
      <c r="B44" s="197"/>
      <c r="C44" s="209"/>
      <c r="D44" s="80"/>
      <c r="E44" s="200"/>
      <c r="F44" s="183"/>
      <c r="G44" s="201"/>
      <c r="H44" s="185"/>
      <c r="I44" s="185"/>
    </row>
    <row r="45" spans="1:11" ht="20.25" customHeight="1" x14ac:dyDescent="0.25">
      <c r="A45" s="176"/>
      <c r="B45" s="197"/>
      <c r="C45" s="209"/>
      <c r="D45" s="80"/>
      <c r="E45" s="200"/>
      <c r="F45" s="183"/>
      <c r="G45" s="201"/>
      <c r="H45" s="185"/>
      <c r="I45" s="185"/>
    </row>
    <row r="46" spans="1:11" ht="20.25" customHeight="1" x14ac:dyDescent="0.25">
      <c r="A46" s="176"/>
      <c r="B46" s="197"/>
      <c r="C46" s="209"/>
      <c r="D46" s="80"/>
      <c r="E46" s="200"/>
      <c r="F46" s="183"/>
      <c r="G46" s="201"/>
      <c r="H46" s="185"/>
      <c r="I46" s="185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11" sqref="C11"/>
    </sheetView>
  </sheetViews>
  <sheetFormatPr baseColWidth="10" defaultColWidth="11.44140625" defaultRowHeight="20.25" customHeight="1" x14ac:dyDescent="0.25"/>
  <cols>
    <col min="1" max="1" width="13.44140625" style="24" customWidth="1"/>
    <col min="2" max="2" width="24.44140625" style="24" customWidth="1"/>
    <col min="3" max="3" width="63.6640625" style="24" customWidth="1"/>
    <col min="4" max="4" width="27.44140625" style="70" customWidth="1"/>
    <col min="5" max="5" width="24.5546875" style="70" customWidth="1"/>
    <col min="6" max="6" width="16.6640625" style="24" customWidth="1"/>
    <col min="7" max="7" width="13" style="24" bestFit="1" customWidth="1"/>
    <col min="8" max="16384" width="11.44140625" style="24"/>
  </cols>
  <sheetData>
    <row r="1" spans="1:8" ht="13.8" x14ac:dyDescent="0.25">
      <c r="A1" s="23"/>
      <c r="C1" s="348"/>
      <c r="D1" s="348"/>
      <c r="E1" s="348"/>
      <c r="F1" s="348"/>
      <c r="G1" s="348"/>
      <c r="H1" s="348"/>
    </row>
    <row r="2" spans="1:8" ht="14.4" thickBot="1" x14ac:dyDescent="0.3">
      <c r="A2" s="23"/>
      <c r="C2" s="348"/>
      <c r="D2" s="348"/>
      <c r="E2" s="348"/>
      <c r="F2" s="348"/>
      <c r="G2" s="348"/>
      <c r="H2" s="348"/>
    </row>
    <row r="3" spans="1:8" ht="33" customHeight="1" x14ac:dyDescent="0.25">
      <c r="A3" s="23"/>
      <c r="B3" s="349" t="s">
        <v>121</v>
      </c>
      <c r="C3" s="350"/>
      <c r="D3" s="350"/>
      <c r="E3" s="350"/>
      <c r="F3" s="350"/>
      <c r="G3" s="350"/>
      <c r="H3" s="56"/>
    </row>
    <row r="4" spans="1:8" ht="14.4" thickBot="1" x14ac:dyDescent="0.3">
      <c r="A4" s="23"/>
      <c r="B4" s="351"/>
      <c r="C4" s="352"/>
      <c r="D4" s="352"/>
      <c r="E4" s="352"/>
      <c r="F4" s="352"/>
      <c r="G4" s="352"/>
      <c r="H4" s="56"/>
    </row>
    <row r="5" spans="1:8" ht="20.25" customHeight="1" x14ac:dyDescent="0.25">
      <c r="A5" s="23"/>
      <c r="B5" s="59"/>
      <c r="C5" s="59"/>
      <c r="D5" s="59"/>
      <c r="E5" s="59"/>
      <c r="F5" s="59"/>
      <c r="G5" s="59"/>
    </row>
    <row r="6" spans="1:8" ht="25.2" customHeight="1" x14ac:dyDescent="0.25">
      <c r="A6" s="23"/>
      <c r="B6" s="340" t="s">
        <v>70</v>
      </c>
      <c r="C6" s="340"/>
      <c r="D6" s="340"/>
      <c r="E6" s="340"/>
      <c r="F6" s="340"/>
      <c r="G6" s="340"/>
    </row>
    <row r="7" spans="1:8" ht="30" customHeight="1" x14ac:dyDescent="0.25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5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2" customHeight="1" x14ac:dyDescent="0.25">
      <c r="A9" s="23"/>
      <c r="B9" s="59"/>
      <c r="C9" s="59"/>
      <c r="D9" s="59"/>
      <c r="E9" s="59"/>
      <c r="F9" s="59"/>
      <c r="G9" s="59"/>
    </row>
    <row r="10" spans="1:8" ht="20.25" customHeight="1" x14ac:dyDescent="0.25">
      <c r="B10" s="226" t="s">
        <v>10</v>
      </c>
      <c r="C10" s="42" t="str">
        <f>IFERROR((VLOOKUP(C7,Tabla9[],2,FALSE)*(1-'Índice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5">
      <c r="B11" s="226" t="s">
        <v>56</v>
      </c>
      <c r="C11" s="42" t="str">
        <f>+C10</f>
        <v>0</v>
      </c>
      <c r="D11" s="42" t="str">
        <f>+C11</f>
        <v>0</v>
      </c>
      <c r="E11" s="57"/>
      <c r="F11" s="225"/>
      <c r="G11" s="59"/>
    </row>
    <row r="12" spans="1:8" ht="20.25" customHeight="1" thickBot="1" x14ac:dyDescent="0.3">
      <c r="B12" s="225"/>
      <c r="C12" s="57"/>
      <c r="D12" s="57"/>
      <c r="E12" s="57"/>
      <c r="F12" s="225"/>
      <c r="G12" s="59"/>
    </row>
    <row r="13" spans="1:8" ht="20.25" customHeight="1" thickBot="1" x14ac:dyDescent="0.3">
      <c r="B13" s="59"/>
      <c r="C13" s="60"/>
      <c r="D13" s="59"/>
      <c r="E13" s="59"/>
      <c r="F13" s="240"/>
      <c r="G13" s="59"/>
    </row>
    <row r="14" spans="1:8" ht="42" customHeight="1" x14ac:dyDescent="0.25">
      <c r="B14" s="205" t="s">
        <v>16</v>
      </c>
      <c r="C14" s="206" t="s">
        <v>166</v>
      </c>
      <c r="D14" s="61"/>
      <c r="E14" s="61"/>
      <c r="F14" s="240"/>
      <c r="G14" s="59"/>
    </row>
    <row r="15" spans="1:8" s="3" customFormat="1" ht="30" customHeight="1" x14ac:dyDescent="0.3">
      <c r="B15" s="192"/>
      <c r="C15" s="208"/>
      <c r="D15" s="69"/>
      <c r="E15" s="238"/>
      <c r="F15" s="59"/>
      <c r="G15" s="239"/>
    </row>
    <row r="16" spans="1:8" s="3" customFormat="1" ht="30" customHeight="1" x14ac:dyDescent="0.3">
      <c r="B16" s="220"/>
      <c r="C16" s="221"/>
      <c r="D16" s="65"/>
      <c r="E16" s="66"/>
      <c r="F16" s="62"/>
      <c r="G16" s="63"/>
    </row>
    <row r="17" spans="2:7" s="3" customFormat="1" ht="30" customHeight="1" x14ac:dyDescent="0.3">
      <c r="B17" s="220"/>
      <c r="C17" s="221"/>
      <c r="D17" s="65"/>
      <c r="E17" s="66"/>
      <c r="F17" s="62"/>
      <c r="G17" s="63"/>
    </row>
    <row r="18" spans="2:7" s="3" customFormat="1" ht="30" customHeight="1" x14ac:dyDescent="0.3">
      <c r="B18" s="220"/>
      <c r="C18" s="221"/>
      <c r="D18" s="65"/>
      <c r="E18" s="66"/>
      <c r="F18" s="62"/>
      <c r="G18" s="63"/>
    </row>
    <row r="19" spans="2:7" s="3" customFormat="1" ht="30" customHeight="1" x14ac:dyDescent="0.3">
      <c r="B19" s="220"/>
      <c r="C19" s="221"/>
      <c r="D19" s="65"/>
      <c r="E19" s="66"/>
      <c r="F19" s="62"/>
      <c r="G19" s="63"/>
    </row>
    <row r="20" spans="2:7" s="3" customFormat="1" ht="30" customHeight="1" x14ac:dyDescent="0.3">
      <c r="B20" s="220"/>
      <c r="C20" s="221"/>
      <c r="D20" s="65"/>
      <c r="E20" s="66"/>
      <c r="F20" s="62"/>
      <c r="G20" s="63"/>
    </row>
    <row r="21" spans="2:7" s="3" customFormat="1" ht="30" customHeight="1" x14ac:dyDescent="0.3">
      <c r="B21" s="220"/>
      <c r="C21" s="221"/>
      <c r="D21" s="65"/>
      <c r="E21" s="66"/>
      <c r="F21" s="62"/>
      <c r="G21" s="63"/>
    </row>
    <row r="22" spans="2:7" s="3" customFormat="1" ht="30" customHeight="1" x14ac:dyDescent="0.3">
      <c r="B22" s="220"/>
      <c r="C22" s="221"/>
      <c r="D22" s="65"/>
      <c r="E22" s="66"/>
      <c r="F22" s="62"/>
      <c r="G22" s="63"/>
    </row>
    <row r="23" spans="2:7" s="3" customFormat="1" ht="30" customHeight="1" x14ac:dyDescent="0.3">
      <c r="B23" s="220"/>
      <c r="C23" s="221"/>
      <c r="D23" s="65"/>
      <c r="E23" s="66"/>
      <c r="F23" s="62"/>
      <c r="G23" s="63"/>
    </row>
    <row r="24" spans="2:7" s="3" customFormat="1" ht="30" customHeight="1" x14ac:dyDescent="0.3">
      <c r="B24" s="220"/>
      <c r="C24" s="221"/>
      <c r="D24" s="65"/>
      <c r="E24" s="66"/>
      <c r="F24" s="62"/>
      <c r="G24" s="63"/>
    </row>
    <row r="25" spans="2:7" s="3" customFormat="1" ht="30" customHeight="1" x14ac:dyDescent="0.3">
      <c r="B25" s="220"/>
      <c r="C25" s="221"/>
      <c r="D25" s="65"/>
      <c r="E25" s="66"/>
      <c r="F25" s="62"/>
      <c r="G25" s="63"/>
    </row>
    <row r="26" spans="2:7" s="3" customFormat="1" ht="30" customHeight="1" x14ac:dyDescent="0.3">
      <c r="B26" s="220"/>
      <c r="C26" s="221"/>
      <c r="D26" s="65"/>
      <c r="E26" s="66"/>
      <c r="F26" s="62"/>
      <c r="G26" s="63"/>
    </row>
    <row r="27" spans="2:7" s="3" customFormat="1" ht="30" customHeight="1" x14ac:dyDescent="0.3">
      <c r="B27" s="220"/>
      <c r="C27" s="221"/>
      <c r="D27" s="65"/>
      <c r="E27" s="66"/>
      <c r="F27" s="62"/>
      <c r="G27" s="63"/>
    </row>
    <row r="28" spans="2:7" s="3" customFormat="1" ht="30" customHeight="1" x14ac:dyDescent="0.3">
      <c r="B28" s="222"/>
      <c r="C28" s="222"/>
      <c r="D28" s="65"/>
      <c r="E28" s="66"/>
      <c r="F28" s="62"/>
      <c r="G28" s="63"/>
    </row>
    <row r="29" spans="2:7" s="3" customFormat="1" ht="30" customHeight="1" x14ac:dyDescent="0.3">
      <c r="B29" s="222"/>
      <c r="C29" s="222"/>
      <c r="D29" s="65"/>
      <c r="E29" s="66"/>
      <c r="F29" s="62"/>
      <c r="G29" s="63"/>
    </row>
    <row r="30" spans="2:7" s="3" customFormat="1" ht="30" customHeight="1" x14ac:dyDescent="0.3">
      <c r="B30" s="222"/>
      <c r="C30" s="222"/>
      <c r="D30" s="65"/>
      <c r="E30" s="66"/>
      <c r="F30" s="62"/>
      <c r="G30" s="63"/>
    </row>
    <row r="31" spans="2:7" s="3" customFormat="1" ht="30" customHeight="1" x14ac:dyDescent="0.3">
      <c r="B31" s="222"/>
      <c r="C31" s="222"/>
      <c r="D31" s="65"/>
      <c r="E31" s="66"/>
      <c r="F31" s="62"/>
      <c r="G31" s="63"/>
    </row>
    <row r="32" spans="2:7" s="3" customFormat="1" ht="30" customHeight="1" x14ac:dyDescent="0.3">
      <c r="B32" s="222"/>
      <c r="C32" s="222"/>
      <c r="D32" s="65"/>
      <c r="E32" s="66"/>
      <c r="F32" s="62"/>
      <c r="G32" s="63"/>
    </row>
    <row r="33" spans="2:7" s="3" customFormat="1" ht="30" customHeight="1" x14ac:dyDescent="0.3">
      <c r="B33" s="222"/>
      <c r="C33" s="222"/>
      <c r="D33" s="65"/>
      <c r="E33" s="66"/>
      <c r="F33" s="62"/>
      <c r="G33" s="63"/>
    </row>
    <row r="34" spans="2:7" s="3" customFormat="1" ht="30" customHeight="1" x14ac:dyDescent="0.3">
      <c r="B34" s="222"/>
      <c r="C34" s="222"/>
      <c r="D34" s="65"/>
      <c r="E34" s="66"/>
      <c r="F34" s="62"/>
      <c r="G34" s="63"/>
    </row>
    <row r="35" spans="2:7" s="3" customFormat="1" ht="30" customHeight="1" x14ac:dyDescent="0.3">
      <c r="B35" s="222"/>
      <c r="C35" s="222"/>
      <c r="D35" s="65"/>
      <c r="E35" s="66"/>
      <c r="F35" s="62"/>
      <c r="G35" s="63"/>
    </row>
    <row r="36" spans="2:7" s="3" customFormat="1" ht="30" customHeight="1" x14ac:dyDescent="0.3">
      <c r="B36" s="222"/>
      <c r="C36" s="222"/>
      <c r="D36" s="65"/>
      <c r="E36" s="66"/>
      <c r="F36" s="62"/>
      <c r="G36" s="63"/>
    </row>
    <row r="37" spans="2:7" s="3" customFormat="1" ht="30" customHeight="1" x14ac:dyDescent="0.3">
      <c r="B37" s="222"/>
      <c r="C37" s="222"/>
      <c r="D37" s="65"/>
      <c r="E37" s="66"/>
      <c r="F37" s="62"/>
      <c r="G37" s="63"/>
    </row>
    <row r="38" spans="2:7" s="3" customFormat="1" ht="30" customHeight="1" x14ac:dyDescent="0.3">
      <c r="B38" s="222"/>
      <c r="C38" s="222"/>
      <c r="D38" s="65"/>
      <c r="E38" s="66"/>
      <c r="F38" s="62"/>
      <c r="G38" s="63"/>
    </row>
    <row r="39" spans="2:7" s="3" customFormat="1" ht="30" customHeight="1" x14ac:dyDescent="0.3">
      <c r="B39" s="222"/>
      <c r="C39" s="222"/>
      <c r="D39" s="65"/>
      <c r="E39" s="66"/>
      <c r="F39" s="62"/>
      <c r="G39" s="63"/>
    </row>
    <row r="40" spans="2:7" s="3" customFormat="1" ht="30" customHeight="1" x14ac:dyDescent="0.3">
      <c r="B40" s="222"/>
      <c r="C40" s="222"/>
      <c r="D40" s="65"/>
      <c r="E40" s="66"/>
      <c r="F40" s="62"/>
      <c r="G40" s="63"/>
    </row>
    <row r="41" spans="2:7" s="3" customFormat="1" ht="30" customHeight="1" x14ac:dyDescent="0.3">
      <c r="B41" s="222"/>
      <c r="C41" s="222"/>
      <c r="D41" s="65"/>
      <c r="E41" s="66"/>
      <c r="F41" s="62"/>
      <c r="G41" s="63"/>
    </row>
    <row r="42" spans="2:7" s="3" customFormat="1" ht="30" customHeight="1" x14ac:dyDescent="0.3">
      <c r="B42" s="222"/>
      <c r="C42" s="222"/>
      <c r="D42" s="65"/>
      <c r="E42" s="66"/>
      <c r="F42" s="62"/>
      <c r="G42" s="63"/>
    </row>
    <row r="43" spans="2:7" s="3" customFormat="1" ht="30" customHeight="1" x14ac:dyDescent="0.3">
      <c r="B43" s="222"/>
      <c r="C43" s="222"/>
      <c r="D43" s="65"/>
      <c r="E43" s="66"/>
      <c r="F43" s="62"/>
      <c r="G43" s="63"/>
    </row>
    <row r="44" spans="2:7" s="3" customFormat="1" ht="30" customHeight="1" x14ac:dyDescent="0.3">
      <c r="B44" s="222"/>
      <c r="C44" s="222"/>
      <c r="D44" s="65"/>
      <c r="E44" s="66"/>
      <c r="F44" s="62"/>
      <c r="G44" s="63"/>
    </row>
    <row r="45" spans="2:7" s="3" customFormat="1" ht="30" customHeight="1" x14ac:dyDescent="0.3">
      <c r="B45" s="222"/>
      <c r="C45" s="222"/>
      <c r="D45" s="65"/>
      <c r="E45" s="66"/>
      <c r="F45" s="62"/>
      <c r="G45" s="63"/>
    </row>
    <row r="46" spans="2:7" s="3" customFormat="1" ht="30" customHeight="1" x14ac:dyDescent="0.3">
      <c r="B46" s="222"/>
      <c r="C46" s="222"/>
      <c r="D46" s="65"/>
      <c r="E46" s="66"/>
      <c r="F46" s="62"/>
      <c r="G46" s="63"/>
    </row>
    <row r="47" spans="2:7" s="3" customFormat="1" ht="30" customHeight="1" x14ac:dyDescent="0.3">
      <c r="B47" s="222"/>
      <c r="C47" s="222"/>
      <c r="D47" s="65"/>
      <c r="E47" s="66"/>
      <c r="F47" s="62"/>
      <c r="G47" s="63"/>
    </row>
    <row r="48" spans="2:7" s="3" customFormat="1" ht="30" customHeight="1" x14ac:dyDescent="0.3">
      <c r="B48" s="222"/>
      <c r="C48" s="222"/>
      <c r="D48" s="65"/>
      <c r="E48" s="66"/>
      <c r="F48" s="62"/>
      <c r="G48" s="63"/>
    </row>
    <row r="49" spans="2:7" s="3" customFormat="1" ht="30" customHeight="1" x14ac:dyDescent="0.3">
      <c r="B49" s="222"/>
      <c r="C49" s="222"/>
      <c r="D49" s="65"/>
      <c r="E49" s="66"/>
      <c r="F49" s="62"/>
      <c r="G49" s="63"/>
    </row>
    <row r="50" spans="2:7" s="3" customFormat="1" ht="30" customHeight="1" x14ac:dyDescent="0.3">
      <c r="B50" s="222"/>
      <c r="C50" s="222"/>
      <c r="D50" s="65"/>
      <c r="E50" s="66"/>
      <c r="F50" s="62"/>
      <c r="G50" s="63"/>
    </row>
    <row r="51" spans="2:7" s="3" customFormat="1" ht="30" customHeight="1" x14ac:dyDescent="0.3">
      <c r="B51" s="222"/>
      <c r="C51" s="222"/>
      <c r="D51" s="65"/>
      <c r="E51" s="66"/>
      <c r="F51" s="62"/>
      <c r="G51" s="63"/>
    </row>
    <row r="52" spans="2:7" s="3" customFormat="1" ht="30" customHeight="1" x14ac:dyDescent="0.3">
      <c r="B52" s="222"/>
      <c r="C52" s="222"/>
      <c r="D52" s="65"/>
      <c r="E52" s="66"/>
      <c r="F52" s="62"/>
      <c r="G52" s="63"/>
    </row>
    <row r="53" spans="2:7" s="3" customFormat="1" ht="30" customHeight="1" x14ac:dyDescent="0.3">
      <c r="B53" s="222"/>
      <c r="C53" s="222"/>
      <c r="D53" s="65"/>
      <c r="E53" s="66"/>
      <c r="F53" s="62"/>
      <c r="G53" s="63"/>
    </row>
    <row r="54" spans="2:7" s="3" customFormat="1" ht="30" customHeight="1" x14ac:dyDescent="0.3">
      <c r="B54" s="222"/>
      <c r="C54" s="222"/>
      <c r="D54" s="65"/>
      <c r="E54" s="66"/>
      <c r="F54" s="62"/>
      <c r="G54" s="63"/>
    </row>
    <row r="55" spans="2:7" s="3" customFormat="1" ht="30" customHeight="1" x14ac:dyDescent="0.3">
      <c r="B55" s="222"/>
      <c r="C55" s="222"/>
      <c r="D55" s="65"/>
      <c r="E55" s="66"/>
      <c r="F55" s="62"/>
      <c r="G55" s="63"/>
    </row>
    <row r="56" spans="2:7" s="3" customFormat="1" ht="30" customHeight="1" x14ac:dyDescent="0.3">
      <c r="B56" s="222"/>
      <c r="C56" s="222"/>
      <c r="D56" s="65"/>
      <c r="E56" s="66"/>
      <c r="F56" s="62"/>
      <c r="G56" s="63"/>
    </row>
    <row r="57" spans="2:7" s="3" customFormat="1" ht="30" customHeight="1" x14ac:dyDescent="0.3">
      <c r="B57" s="222"/>
      <c r="C57" s="222"/>
      <c r="D57" s="65"/>
      <c r="E57" s="66"/>
      <c r="F57" s="62"/>
      <c r="G57" s="63"/>
    </row>
    <row r="58" spans="2:7" s="3" customFormat="1" ht="30" customHeight="1" x14ac:dyDescent="0.3">
      <c r="B58" s="222"/>
      <c r="C58" s="222"/>
      <c r="D58" s="65"/>
      <c r="E58" s="66"/>
      <c r="F58" s="62"/>
      <c r="G58" s="63"/>
    </row>
    <row r="59" spans="2:7" s="3" customFormat="1" ht="30" customHeight="1" x14ac:dyDescent="0.3">
      <c r="B59" s="222"/>
      <c r="C59" s="222"/>
      <c r="D59" s="65"/>
      <c r="E59" s="66"/>
      <c r="F59" s="62"/>
      <c r="G59" s="63"/>
    </row>
    <row r="60" spans="2:7" s="3" customFormat="1" ht="30" customHeight="1" x14ac:dyDescent="0.3">
      <c r="B60" s="222"/>
      <c r="C60" s="222"/>
      <c r="D60" s="65"/>
      <c r="E60" s="66"/>
      <c r="F60" s="62"/>
      <c r="G60" s="63"/>
    </row>
    <row r="61" spans="2:7" s="3" customFormat="1" ht="30" customHeight="1" x14ac:dyDescent="0.3">
      <c r="B61" s="222"/>
      <c r="C61" s="222"/>
      <c r="D61" s="65"/>
      <c r="E61" s="66"/>
      <c r="F61" s="62"/>
      <c r="G61" s="63"/>
    </row>
    <row r="62" spans="2:7" s="3" customFormat="1" ht="30" customHeight="1" x14ac:dyDescent="0.3">
      <c r="B62" s="222"/>
      <c r="C62" s="222"/>
      <c r="D62" s="65"/>
      <c r="E62" s="66"/>
      <c r="F62" s="62"/>
      <c r="G62" s="63"/>
    </row>
    <row r="63" spans="2:7" s="3" customFormat="1" ht="30" customHeight="1" x14ac:dyDescent="0.3">
      <c r="B63" s="222"/>
      <c r="C63" s="222"/>
      <c r="D63" s="65"/>
      <c r="E63" s="66"/>
      <c r="F63" s="62"/>
      <c r="G63" s="63"/>
    </row>
    <row r="64" spans="2:7" s="3" customFormat="1" ht="30" customHeight="1" x14ac:dyDescent="0.3">
      <c r="B64" s="222"/>
      <c r="C64" s="222"/>
      <c r="D64" s="65"/>
      <c r="E64" s="66"/>
      <c r="F64" s="62"/>
      <c r="G64" s="63"/>
    </row>
    <row r="65" spans="2:7" s="3" customFormat="1" ht="30" customHeight="1" x14ac:dyDescent="0.3">
      <c r="B65" s="222"/>
      <c r="C65" s="222"/>
      <c r="D65" s="65"/>
      <c r="E65" s="66"/>
      <c r="F65" s="62"/>
      <c r="G65" s="63"/>
    </row>
    <row r="66" spans="2:7" s="3" customFormat="1" ht="30" customHeight="1" x14ac:dyDescent="0.3">
      <c r="B66" s="222"/>
      <c r="C66" s="222"/>
      <c r="D66" s="65"/>
      <c r="E66" s="66"/>
      <c r="F66" s="62"/>
      <c r="G66" s="63"/>
    </row>
    <row r="67" spans="2:7" s="3" customFormat="1" ht="30" customHeight="1" x14ac:dyDescent="0.3">
      <c r="B67" s="222"/>
      <c r="C67" s="222"/>
      <c r="D67" s="65"/>
      <c r="E67" s="66"/>
      <c r="F67" s="62"/>
      <c r="G67" s="63"/>
    </row>
    <row r="68" spans="2:7" s="3" customFormat="1" ht="30" customHeight="1" x14ac:dyDescent="0.3">
      <c r="B68" s="222"/>
      <c r="C68" s="222"/>
      <c r="D68" s="65"/>
      <c r="E68" s="66"/>
      <c r="F68" s="62"/>
      <c r="G68" s="63"/>
    </row>
    <row r="69" spans="2:7" s="3" customFormat="1" ht="30" customHeight="1" x14ac:dyDescent="0.3">
      <c r="B69" s="222"/>
      <c r="C69" s="222"/>
      <c r="D69" s="65"/>
      <c r="E69" s="66"/>
      <c r="F69" s="62"/>
      <c r="G69" s="63"/>
    </row>
    <row r="70" spans="2:7" s="3" customFormat="1" ht="30" customHeight="1" x14ac:dyDescent="0.3">
      <c r="B70" s="222"/>
      <c r="C70" s="222"/>
      <c r="D70" s="65"/>
      <c r="E70" s="66"/>
      <c r="F70" s="62"/>
      <c r="G70" s="63"/>
    </row>
    <row r="71" spans="2:7" s="3" customFormat="1" ht="30" customHeight="1" x14ac:dyDescent="0.3">
      <c r="B71" s="222"/>
      <c r="C71" s="222"/>
      <c r="D71" s="65"/>
      <c r="E71" s="66"/>
      <c r="F71" s="62"/>
      <c r="G71" s="63"/>
    </row>
    <row r="72" spans="2:7" s="3" customFormat="1" ht="30" customHeight="1" x14ac:dyDescent="0.3">
      <c r="B72" s="222"/>
      <c r="C72" s="222"/>
      <c r="D72" s="65"/>
      <c r="E72" s="66"/>
      <c r="F72" s="62"/>
      <c r="G72" s="63"/>
    </row>
    <row r="73" spans="2:7" s="3" customFormat="1" ht="30" customHeight="1" x14ac:dyDescent="0.3">
      <c r="B73" s="222"/>
      <c r="C73" s="222"/>
      <c r="D73" s="65"/>
      <c r="E73" s="66"/>
      <c r="F73" s="62"/>
      <c r="G73" s="63"/>
    </row>
    <row r="74" spans="2:7" s="3" customFormat="1" ht="30" customHeight="1" x14ac:dyDescent="0.3">
      <c r="B74" s="222"/>
      <c r="C74" s="222"/>
      <c r="D74" s="65"/>
      <c r="E74" s="66"/>
      <c r="F74" s="62"/>
      <c r="G74" s="63"/>
    </row>
    <row r="75" spans="2:7" s="3" customFormat="1" ht="30" customHeight="1" x14ac:dyDescent="0.3">
      <c r="B75" s="222"/>
      <c r="C75" s="222"/>
      <c r="D75" s="65"/>
      <c r="E75" s="66"/>
      <c r="F75" s="62"/>
      <c r="G75" s="63"/>
    </row>
    <row r="76" spans="2:7" s="3" customFormat="1" ht="30" customHeight="1" x14ac:dyDescent="0.3">
      <c r="B76" s="222"/>
      <c r="C76" s="222"/>
      <c r="D76" s="65"/>
      <c r="E76" s="66"/>
      <c r="F76" s="62"/>
      <c r="G76" s="63"/>
    </row>
    <row r="77" spans="2:7" s="3" customFormat="1" ht="30" customHeight="1" x14ac:dyDescent="0.3">
      <c r="B77" s="222"/>
      <c r="C77" s="222"/>
      <c r="D77" s="65"/>
      <c r="E77" s="66"/>
      <c r="F77" s="62"/>
      <c r="G77" s="63"/>
    </row>
    <row r="78" spans="2:7" ht="20.25" customHeight="1" x14ac:dyDescent="0.3">
      <c r="B78" s="223"/>
      <c r="C78" s="223"/>
      <c r="D78" s="67"/>
      <c r="E78" s="68"/>
      <c r="F78" s="17"/>
      <c r="G78" s="27"/>
    </row>
    <row r="79" spans="2:7" ht="20.25" customHeight="1" x14ac:dyDescent="0.3">
      <c r="B79" s="223"/>
      <c r="C79" s="223"/>
      <c r="D79" s="67"/>
      <c r="E79" s="68"/>
      <c r="F79" s="17"/>
      <c r="G79" s="27"/>
    </row>
    <row r="80" spans="2:7" ht="20.25" customHeight="1" x14ac:dyDescent="0.3">
      <c r="B80" s="223"/>
      <c r="C80" s="223"/>
      <c r="D80" s="67"/>
      <c r="E80" s="68"/>
      <c r="F80" s="17"/>
      <c r="G80" s="27"/>
    </row>
    <row r="81" spans="2:7" ht="20.25" customHeight="1" x14ac:dyDescent="0.3">
      <c r="B81" s="223"/>
      <c r="C81" s="223"/>
      <c r="D81" s="67"/>
      <c r="E81" s="68"/>
      <c r="F81" s="17"/>
      <c r="G81" s="27"/>
    </row>
    <row r="82" spans="2:7" ht="20.25" customHeight="1" x14ac:dyDescent="0.3">
      <c r="B82" s="223"/>
      <c r="C82" s="223"/>
      <c r="D82" s="67"/>
      <c r="E82" s="68"/>
      <c r="F82" s="17"/>
      <c r="G82" s="27"/>
    </row>
    <row r="83" spans="2:7" ht="20.25" customHeight="1" x14ac:dyDescent="0.3">
      <c r="B83" s="223"/>
      <c r="C83" s="223"/>
      <c r="D83" s="67"/>
      <c r="E83" s="68"/>
      <c r="F83" s="17"/>
      <c r="G83" s="27"/>
    </row>
    <row r="84" spans="2:7" ht="20.25" customHeight="1" x14ac:dyDescent="0.3">
      <c r="B84" s="223"/>
      <c r="C84" s="223"/>
      <c r="D84" s="67"/>
      <c r="E84" s="68"/>
      <c r="F84" s="17"/>
      <c r="G84" s="27"/>
    </row>
    <row r="85" spans="2:7" ht="20.25" customHeight="1" x14ac:dyDescent="0.3">
      <c r="B85" s="223"/>
      <c r="C85" s="223"/>
      <c r="D85" s="67"/>
      <c r="E85" s="68"/>
      <c r="F85" s="17"/>
      <c r="G85" s="27"/>
    </row>
    <row r="86" spans="2:7" ht="20.25" customHeight="1" x14ac:dyDescent="0.3">
      <c r="B86" s="223"/>
      <c r="C86" s="223"/>
      <c r="D86" s="67"/>
      <c r="E86" s="68"/>
      <c r="F86" s="17"/>
      <c r="G86" s="27"/>
    </row>
    <row r="87" spans="2:7" ht="20.25" customHeight="1" x14ac:dyDescent="0.3">
      <c r="B87" s="223"/>
      <c r="C87" s="223"/>
      <c r="D87" s="67"/>
      <c r="E87" s="68"/>
      <c r="F87" s="17"/>
      <c r="G87" s="27"/>
    </row>
    <row r="88" spans="2:7" ht="20.25" customHeight="1" x14ac:dyDescent="0.3">
      <c r="B88" s="223"/>
      <c r="C88" s="223"/>
      <c r="D88" s="67"/>
      <c r="E88" s="68"/>
      <c r="F88" s="17"/>
      <c r="G88" s="27"/>
    </row>
    <row r="89" spans="2:7" ht="20.25" customHeight="1" x14ac:dyDescent="0.3">
      <c r="B89" s="223"/>
      <c r="C89" s="223"/>
      <c r="D89" s="67"/>
      <c r="E89" s="68"/>
      <c r="F89" s="17"/>
      <c r="G89" s="27"/>
    </row>
    <row r="90" spans="2:7" ht="20.25" customHeight="1" x14ac:dyDescent="0.3">
      <c r="B90" s="223"/>
      <c r="C90" s="223"/>
      <c r="D90" s="67"/>
      <c r="E90" s="68"/>
      <c r="F90" s="17"/>
      <c r="G90" s="27"/>
    </row>
    <row r="91" spans="2:7" ht="20.25" customHeight="1" x14ac:dyDescent="0.3">
      <c r="B91" s="223"/>
      <c r="C91" s="223"/>
      <c r="D91" s="67"/>
      <c r="E91" s="68"/>
      <c r="F91" s="17"/>
      <c r="G91" s="27"/>
    </row>
    <row r="92" spans="2:7" ht="20.25" customHeight="1" x14ac:dyDescent="0.3">
      <c r="B92" s="17"/>
      <c r="C92" s="27"/>
      <c r="D92" s="67"/>
      <c r="E92" s="68"/>
      <c r="F92" s="17"/>
      <c r="G92" s="27"/>
    </row>
    <row r="93" spans="2:7" ht="20.25" customHeight="1" x14ac:dyDescent="0.3">
      <c r="B93" s="17"/>
      <c r="C93" s="27"/>
      <c r="D93" s="67"/>
      <c r="E93" s="68"/>
      <c r="F93" s="17"/>
      <c r="G93" s="27"/>
    </row>
    <row r="94" spans="2:7" ht="20.25" customHeight="1" x14ac:dyDescent="0.3">
      <c r="B94" s="17"/>
      <c r="C94" s="27"/>
      <c r="D94" s="67"/>
      <c r="E94" s="68"/>
      <c r="F94" s="17"/>
      <c r="G94" s="27"/>
    </row>
    <row r="95" spans="2:7" ht="20.25" customHeight="1" x14ac:dyDescent="0.3">
      <c r="B95" s="17"/>
      <c r="C95" s="27"/>
      <c r="D95" s="67"/>
      <c r="E95" s="68"/>
      <c r="F95" s="17"/>
      <c r="G95" s="27"/>
    </row>
    <row r="96" spans="2:7" ht="20.25" customHeight="1" x14ac:dyDescent="0.3">
      <c r="B96" s="17"/>
      <c r="C96" s="27"/>
      <c r="D96" s="67"/>
      <c r="E96" s="68"/>
      <c r="F96" s="17"/>
      <c r="G96" s="27"/>
    </row>
    <row r="97" spans="2:7" ht="20.25" customHeight="1" x14ac:dyDescent="0.3">
      <c r="B97" s="17"/>
      <c r="C97" s="27"/>
      <c r="D97" s="67"/>
      <c r="E97" s="68"/>
      <c r="F97" s="17"/>
      <c r="G97" s="27"/>
    </row>
    <row r="98" spans="2:7" ht="20.25" customHeight="1" x14ac:dyDescent="0.3">
      <c r="B98" s="17"/>
      <c r="C98" s="27"/>
      <c r="D98" s="67"/>
      <c r="E98" s="68"/>
      <c r="F98" s="17"/>
      <c r="G98" s="27"/>
    </row>
    <row r="99" spans="2:7" ht="20.25" customHeight="1" x14ac:dyDescent="0.3">
      <c r="B99" s="17"/>
      <c r="C99" s="27"/>
      <c r="D99" s="67"/>
      <c r="E99" s="68"/>
      <c r="F99" s="17"/>
      <c r="G99" s="27"/>
    </row>
    <row r="100" spans="2:7" ht="20.25" customHeight="1" x14ac:dyDescent="0.3">
      <c r="B100" s="17"/>
      <c r="C100" s="27"/>
      <c r="D100" s="67"/>
      <c r="E100" s="68"/>
      <c r="F100" s="17"/>
      <c r="G100" s="27"/>
    </row>
    <row r="101" spans="2:7" ht="20.25" customHeight="1" x14ac:dyDescent="0.3">
      <c r="B101" s="17"/>
      <c r="C101" s="27"/>
      <c r="D101" s="67"/>
      <c r="E101" s="68"/>
      <c r="F101" s="17"/>
      <c r="G101" s="27"/>
    </row>
    <row r="102" spans="2:7" ht="20.25" customHeight="1" x14ac:dyDescent="0.3">
      <c r="B102" s="17"/>
      <c r="C102" s="27"/>
      <c r="D102" s="67"/>
      <c r="E102" s="68"/>
      <c r="F102" s="17"/>
      <c r="G102" s="27"/>
    </row>
    <row r="103" spans="2:7" ht="20.25" customHeight="1" x14ac:dyDescent="0.3">
      <c r="B103" s="17"/>
      <c r="C103" s="27"/>
      <c r="D103" s="67"/>
      <c r="E103" s="68"/>
      <c r="F103" s="17"/>
      <c r="G103" s="27"/>
    </row>
    <row r="104" spans="2:7" ht="20.25" customHeight="1" x14ac:dyDescent="0.3">
      <c r="B104" s="17"/>
      <c r="C104" s="27"/>
      <c r="D104" s="67"/>
      <c r="E104" s="68"/>
      <c r="F104" s="17"/>
      <c r="G104" s="27"/>
    </row>
    <row r="105" spans="2:7" ht="20.25" customHeight="1" x14ac:dyDescent="0.3">
      <c r="B105" s="17"/>
      <c r="C105" s="27"/>
      <c r="D105" s="67"/>
      <c r="E105" s="68"/>
      <c r="F105" s="17"/>
      <c r="G105" s="27"/>
    </row>
    <row r="106" spans="2:7" ht="20.25" customHeight="1" x14ac:dyDescent="0.3">
      <c r="B106" s="17"/>
      <c r="C106" s="27"/>
      <c r="D106" s="67"/>
      <c r="E106" s="68"/>
      <c r="F106" s="17"/>
      <c r="G106" s="27"/>
    </row>
    <row r="107" spans="2:7" ht="20.25" customHeight="1" x14ac:dyDescent="0.3">
      <c r="B107" s="17"/>
      <c r="C107" s="27"/>
      <c r="D107" s="67"/>
      <c r="E107" s="68"/>
      <c r="F107" s="17"/>
      <c r="G107" s="27"/>
    </row>
    <row r="108" spans="2:7" ht="20.25" customHeight="1" x14ac:dyDescent="0.3">
      <c r="B108" s="17"/>
      <c r="C108" s="27"/>
      <c r="D108" s="67"/>
      <c r="E108" s="68"/>
      <c r="F108" s="17"/>
      <c r="G108" s="27"/>
    </row>
    <row r="109" spans="2:7" ht="20.25" customHeight="1" x14ac:dyDescent="0.3">
      <c r="B109" s="17"/>
      <c r="C109" s="27"/>
      <c r="D109" s="67"/>
      <c r="E109" s="68"/>
      <c r="F109" s="17"/>
      <c r="G109" s="27"/>
    </row>
    <row r="110" spans="2:7" ht="20.25" customHeight="1" x14ac:dyDescent="0.3">
      <c r="B110" s="17"/>
      <c r="C110" s="27"/>
      <c r="D110" s="67"/>
      <c r="E110" s="68"/>
      <c r="F110" s="17"/>
      <c r="G110" s="27"/>
    </row>
    <row r="111" spans="2:7" ht="20.25" customHeight="1" x14ac:dyDescent="0.3">
      <c r="B111" s="17"/>
      <c r="C111" s="27"/>
      <c r="D111" s="67"/>
      <c r="E111" s="68"/>
      <c r="F111" s="17"/>
      <c r="G111" s="27"/>
    </row>
    <row r="112" spans="2:7" ht="20.25" customHeight="1" x14ac:dyDescent="0.3">
      <c r="B112" s="17"/>
      <c r="C112" s="27"/>
      <c r="D112" s="67"/>
      <c r="E112" s="68"/>
      <c r="F112" s="17"/>
      <c r="G112" s="27"/>
    </row>
    <row r="113" spans="2:7" ht="20.25" customHeight="1" x14ac:dyDescent="0.3">
      <c r="B113" s="17"/>
      <c r="C113" s="27"/>
      <c r="D113" s="67"/>
      <c r="E113" s="68"/>
      <c r="F113" s="17"/>
      <c r="G113" s="27"/>
    </row>
    <row r="114" spans="2:7" ht="20.25" customHeight="1" x14ac:dyDescent="0.3">
      <c r="B114" s="17"/>
      <c r="C114" s="27"/>
      <c r="D114" s="67"/>
      <c r="E114" s="68"/>
      <c r="F114" s="17"/>
      <c r="G114" s="27"/>
    </row>
    <row r="115" spans="2:7" ht="20.25" customHeight="1" x14ac:dyDescent="0.3">
      <c r="B115" s="17"/>
      <c r="C115" s="27"/>
      <c r="D115" s="67"/>
      <c r="E115" s="68"/>
      <c r="F115" s="17"/>
      <c r="G115" s="27"/>
    </row>
    <row r="116" spans="2:7" ht="20.25" customHeight="1" x14ac:dyDescent="0.3">
      <c r="B116" s="17"/>
      <c r="C116" s="27"/>
      <c r="D116" s="67"/>
      <c r="E116" s="68"/>
      <c r="F116" s="17"/>
      <c r="G116" s="27"/>
    </row>
    <row r="117" spans="2:7" ht="20.25" customHeight="1" x14ac:dyDescent="0.3">
      <c r="B117" s="17"/>
      <c r="C117" s="27"/>
      <c r="D117" s="67"/>
      <c r="E117" s="68"/>
      <c r="F117" s="17"/>
      <c r="G117" s="27"/>
    </row>
    <row r="118" spans="2:7" ht="20.25" customHeight="1" x14ac:dyDescent="0.3">
      <c r="B118" s="17"/>
      <c r="C118" s="27"/>
      <c r="D118" s="67"/>
      <c r="E118" s="68"/>
      <c r="F118" s="17"/>
      <c r="G118" s="27"/>
    </row>
    <row r="119" spans="2:7" ht="20.25" customHeight="1" x14ac:dyDescent="0.3">
      <c r="B119" s="17"/>
      <c r="C119" s="27"/>
      <c r="D119" s="67"/>
      <c r="E119" s="68"/>
      <c r="F119" s="17"/>
      <c r="G119" s="27"/>
    </row>
    <row r="120" spans="2:7" ht="20.25" customHeight="1" x14ac:dyDescent="0.3">
      <c r="B120" s="17"/>
      <c r="C120" s="27"/>
      <c r="D120" s="67"/>
      <c r="E120" s="68"/>
      <c r="F120" s="17"/>
      <c r="G120" s="27"/>
    </row>
    <row r="121" spans="2:7" ht="20.25" customHeight="1" x14ac:dyDescent="0.3">
      <c r="B121" s="17"/>
      <c r="C121" s="27"/>
      <c r="D121" s="67"/>
      <c r="E121" s="68"/>
      <c r="F121" s="17"/>
      <c r="G121" s="27"/>
    </row>
    <row r="122" spans="2:7" ht="20.25" customHeight="1" x14ac:dyDescent="0.3">
      <c r="B122" s="17"/>
      <c r="C122" s="27"/>
      <c r="D122" s="67"/>
      <c r="E122" s="68"/>
      <c r="F122" s="17"/>
      <c r="G122" s="27"/>
    </row>
    <row r="123" spans="2:7" ht="20.25" customHeight="1" x14ac:dyDescent="0.3">
      <c r="B123" s="17"/>
      <c r="C123" s="27"/>
      <c r="D123" s="67"/>
      <c r="E123" s="68"/>
      <c r="F123" s="17"/>
      <c r="G123" s="27"/>
    </row>
    <row r="124" spans="2:7" ht="20.25" customHeight="1" x14ac:dyDescent="0.3">
      <c r="B124" s="17"/>
      <c r="C124" s="27"/>
      <c r="D124" s="67"/>
      <c r="E124" s="68"/>
      <c r="F124" s="17"/>
      <c r="G124" s="27"/>
    </row>
    <row r="125" spans="2:7" ht="20.25" customHeight="1" x14ac:dyDescent="0.3">
      <c r="B125" s="17"/>
      <c r="C125" s="27"/>
      <c r="D125" s="67"/>
      <c r="E125" s="68"/>
      <c r="F125" s="17"/>
      <c r="G125" s="27"/>
    </row>
    <row r="126" spans="2:7" ht="20.25" customHeight="1" x14ac:dyDescent="0.3">
      <c r="B126" s="17"/>
      <c r="C126" s="27"/>
      <c r="D126" s="67"/>
      <c r="E126" s="68"/>
      <c r="F126" s="17"/>
      <c r="G126" s="27"/>
    </row>
    <row r="127" spans="2:7" ht="20.25" customHeight="1" x14ac:dyDescent="0.3">
      <c r="B127" s="17"/>
      <c r="C127" s="27"/>
      <c r="D127" s="67"/>
      <c r="E127" s="68"/>
      <c r="F127" s="17"/>
      <c r="G127" s="27"/>
    </row>
    <row r="128" spans="2:7" ht="20.25" customHeight="1" x14ac:dyDescent="0.3">
      <c r="B128" s="17"/>
      <c r="C128" s="27"/>
      <c r="D128" s="67"/>
      <c r="E128" s="68"/>
      <c r="F128" s="17"/>
      <c r="G128" s="27"/>
    </row>
    <row r="129" spans="2:7" ht="20.25" customHeight="1" x14ac:dyDescent="0.3">
      <c r="B129" s="17"/>
      <c r="C129" s="27"/>
      <c r="D129" s="67"/>
      <c r="E129" s="68"/>
      <c r="F129" s="17"/>
      <c r="G129" s="27"/>
    </row>
    <row r="130" spans="2:7" ht="20.25" customHeight="1" x14ac:dyDescent="0.3">
      <c r="B130" s="17"/>
      <c r="C130" s="27"/>
      <c r="D130" s="67"/>
      <c r="E130" s="68"/>
      <c r="F130" s="17"/>
      <c r="G130" s="27"/>
    </row>
    <row r="131" spans="2:7" ht="20.25" customHeight="1" x14ac:dyDescent="0.3">
      <c r="B131" s="17"/>
      <c r="C131" s="27"/>
      <c r="D131" s="67"/>
      <c r="E131" s="68"/>
      <c r="F131" s="17"/>
      <c r="G131" s="27"/>
    </row>
    <row r="132" spans="2:7" ht="20.25" customHeight="1" x14ac:dyDescent="0.3">
      <c r="B132" s="17"/>
      <c r="C132" s="27"/>
      <c r="D132" s="67"/>
      <c r="E132" s="68"/>
      <c r="F132" s="17"/>
      <c r="G132" s="27"/>
    </row>
    <row r="133" spans="2:7" ht="20.25" customHeight="1" x14ac:dyDescent="0.3">
      <c r="B133" s="17"/>
      <c r="C133" s="27"/>
      <c r="D133" s="67"/>
      <c r="E133" s="68"/>
      <c r="F133" s="17"/>
      <c r="G133" s="27"/>
    </row>
    <row r="134" spans="2:7" ht="20.25" customHeight="1" x14ac:dyDescent="0.3">
      <c r="B134" s="17"/>
      <c r="C134" s="27"/>
      <c r="D134" s="67"/>
      <c r="E134" s="68"/>
      <c r="F134" s="17"/>
      <c r="G134" s="27"/>
    </row>
    <row r="135" spans="2:7" ht="20.25" customHeight="1" x14ac:dyDescent="0.3">
      <c r="B135" s="17"/>
      <c r="C135" s="27"/>
      <c r="D135" s="67"/>
      <c r="E135" s="68"/>
      <c r="F135" s="17"/>
      <c r="G135" s="27"/>
    </row>
    <row r="136" spans="2:7" ht="20.25" customHeight="1" x14ac:dyDescent="0.3">
      <c r="B136" s="17"/>
      <c r="C136" s="27"/>
      <c r="D136" s="67"/>
      <c r="E136" s="68"/>
      <c r="F136" s="17"/>
      <c r="G136" s="27"/>
    </row>
    <row r="137" spans="2:7" ht="20.25" customHeight="1" x14ac:dyDescent="0.3">
      <c r="B137" s="17"/>
      <c r="C137" s="27"/>
      <c r="D137" s="67"/>
      <c r="E137" s="68"/>
      <c r="F137" s="17"/>
      <c r="G137" s="27"/>
    </row>
    <row r="138" spans="2:7" ht="20.25" customHeight="1" x14ac:dyDescent="0.3">
      <c r="B138" s="17"/>
      <c r="C138" s="27"/>
      <c r="D138" s="67"/>
      <c r="E138" s="68"/>
      <c r="F138" s="17"/>
      <c r="G138" s="27"/>
    </row>
    <row r="139" spans="2:7" ht="20.25" customHeight="1" x14ac:dyDescent="0.3">
      <c r="B139" s="17"/>
      <c r="C139" s="27"/>
      <c r="D139" s="67"/>
      <c r="E139" s="68"/>
      <c r="F139" s="17"/>
      <c r="G139" s="27"/>
    </row>
    <row r="140" spans="2:7" ht="20.25" customHeight="1" x14ac:dyDescent="0.3">
      <c r="B140" s="17"/>
      <c r="C140" s="27"/>
      <c r="D140" s="67"/>
      <c r="E140" s="68"/>
      <c r="F140" s="17"/>
      <c r="G140" s="27"/>
    </row>
    <row r="141" spans="2:7" ht="20.25" customHeight="1" x14ac:dyDescent="0.3">
      <c r="B141" s="17"/>
      <c r="C141" s="27"/>
      <c r="D141" s="67"/>
      <c r="E141" s="68"/>
      <c r="F141" s="17"/>
      <c r="G141" s="27"/>
    </row>
    <row r="142" spans="2:7" ht="20.25" customHeight="1" x14ac:dyDescent="0.3">
      <c r="B142" s="17"/>
      <c r="C142" s="27"/>
      <c r="D142" s="67"/>
      <c r="E142" s="68"/>
      <c r="F142" s="17"/>
      <c r="G142" s="27"/>
    </row>
    <row r="143" spans="2:7" ht="20.25" customHeight="1" x14ac:dyDescent="0.3">
      <c r="B143" s="17"/>
      <c r="C143" s="27"/>
      <c r="D143" s="67"/>
      <c r="E143" s="68"/>
      <c r="F143" s="17"/>
      <c r="G143" s="27"/>
    </row>
    <row r="144" spans="2:7" ht="20.25" customHeight="1" x14ac:dyDescent="0.3">
      <c r="B144" s="17"/>
      <c r="C144" s="27"/>
      <c r="D144" s="67"/>
      <c r="E144" s="68"/>
      <c r="F144" s="17"/>
      <c r="G144" s="27"/>
    </row>
    <row r="145" spans="2:7" ht="20.25" customHeight="1" x14ac:dyDescent="0.3">
      <c r="B145" s="17"/>
      <c r="C145" s="27"/>
      <c r="D145" s="67"/>
      <c r="E145" s="68"/>
      <c r="F145" s="17"/>
      <c r="G145" s="27"/>
    </row>
    <row r="146" spans="2:7" ht="20.25" customHeight="1" x14ac:dyDescent="0.3">
      <c r="B146" s="17"/>
      <c r="C146" s="27"/>
      <c r="D146" s="67"/>
      <c r="E146" s="68"/>
      <c r="F146" s="17"/>
      <c r="G146" s="27"/>
    </row>
    <row r="147" spans="2:7" ht="20.25" customHeight="1" x14ac:dyDescent="0.3">
      <c r="B147" s="17"/>
      <c r="C147" s="27"/>
      <c r="D147" s="67"/>
      <c r="E147" s="68"/>
      <c r="F147" s="17"/>
      <c r="G147" s="27"/>
    </row>
    <row r="148" spans="2:7" ht="20.25" customHeight="1" x14ac:dyDescent="0.3">
      <c r="B148" s="17"/>
      <c r="C148" s="27"/>
      <c r="D148" s="67"/>
      <c r="E148" s="68"/>
      <c r="F148" s="17"/>
      <c r="G148" s="27"/>
    </row>
    <row r="149" spans="2:7" ht="20.25" customHeight="1" x14ac:dyDescent="0.3">
      <c r="B149" s="17"/>
      <c r="C149" s="27"/>
      <c r="D149" s="67"/>
      <c r="E149" s="68"/>
      <c r="F149" s="17"/>
      <c r="G149" s="27"/>
    </row>
    <row r="150" spans="2:7" ht="20.25" customHeight="1" x14ac:dyDescent="0.3">
      <c r="B150" s="17"/>
      <c r="C150" s="27"/>
      <c r="D150" s="67"/>
      <c r="E150" s="68"/>
      <c r="F150" s="17"/>
      <c r="G150" s="27"/>
    </row>
    <row r="151" spans="2:7" ht="20.25" customHeight="1" x14ac:dyDescent="0.3">
      <c r="B151" s="17"/>
      <c r="C151" s="27"/>
      <c r="D151" s="67"/>
      <c r="E151" s="68"/>
      <c r="F151" s="17"/>
      <c r="G151" s="27"/>
    </row>
    <row r="152" spans="2:7" ht="20.25" customHeight="1" x14ac:dyDescent="0.3">
      <c r="B152" s="17"/>
      <c r="C152" s="27"/>
      <c r="D152" s="67"/>
      <c r="E152" s="68"/>
      <c r="F152" s="17"/>
      <c r="G152" s="27"/>
    </row>
    <row r="153" spans="2:7" ht="20.25" customHeight="1" x14ac:dyDescent="0.3">
      <c r="B153" s="17"/>
      <c r="C153" s="27"/>
      <c r="D153" s="67"/>
      <c r="E153" s="68"/>
      <c r="F153" s="17"/>
      <c r="G153" s="27"/>
    </row>
    <row r="154" spans="2:7" ht="20.25" customHeight="1" x14ac:dyDescent="0.3">
      <c r="B154" s="17"/>
      <c r="C154" s="27"/>
      <c r="D154" s="67"/>
      <c r="E154" s="68"/>
      <c r="F154" s="17"/>
      <c r="G154" s="27"/>
    </row>
    <row r="155" spans="2:7" ht="20.25" customHeight="1" x14ac:dyDescent="0.3">
      <c r="B155" s="17"/>
      <c r="C155" s="27"/>
      <c r="D155" s="67"/>
      <c r="E155" s="68"/>
      <c r="F155" s="17"/>
      <c r="G155" s="27"/>
    </row>
    <row r="156" spans="2:7" ht="20.25" customHeight="1" x14ac:dyDescent="0.3">
      <c r="B156" s="17"/>
      <c r="C156" s="27"/>
      <c r="D156" s="67"/>
      <c r="E156" s="68"/>
      <c r="F156" s="17"/>
      <c r="G156" s="27"/>
    </row>
    <row r="157" spans="2:7" ht="20.25" customHeight="1" x14ac:dyDescent="0.3">
      <c r="B157" s="17"/>
      <c r="C157" s="27"/>
      <c r="D157" s="67"/>
      <c r="E157" s="68"/>
      <c r="F157" s="17"/>
      <c r="G157" s="27"/>
    </row>
    <row r="158" spans="2:7" ht="20.25" customHeight="1" x14ac:dyDescent="0.3">
      <c r="B158" s="17"/>
      <c r="C158" s="27"/>
      <c r="D158" s="67"/>
      <c r="E158" s="68"/>
      <c r="F158" s="17"/>
      <c r="G158" s="27"/>
    </row>
    <row r="159" spans="2:7" ht="20.25" customHeight="1" x14ac:dyDescent="0.3">
      <c r="B159" s="17"/>
      <c r="C159" s="27"/>
      <c r="D159" s="67"/>
      <c r="E159" s="68"/>
      <c r="F159" s="17"/>
      <c r="G159" s="27"/>
    </row>
    <row r="160" spans="2:7" ht="20.25" customHeight="1" x14ac:dyDescent="0.3">
      <c r="B160" s="17"/>
      <c r="C160" s="27"/>
      <c r="D160" s="67"/>
      <c r="E160" s="68"/>
      <c r="F160" s="17"/>
      <c r="G160" s="27"/>
    </row>
    <row r="161" spans="2:7" ht="20.25" customHeight="1" x14ac:dyDescent="0.3">
      <c r="B161" s="17"/>
      <c r="C161" s="27"/>
      <c r="D161" s="67"/>
      <c r="E161" s="68"/>
      <c r="F161" s="17"/>
      <c r="G161" s="27"/>
    </row>
    <row r="162" spans="2:7" ht="20.25" customHeight="1" x14ac:dyDescent="0.3">
      <c r="B162" s="17"/>
      <c r="C162" s="27"/>
      <c r="D162" s="67"/>
      <c r="E162" s="68"/>
      <c r="F162" s="17"/>
      <c r="G162" s="27"/>
    </row>
    <row r="163" spans="2:7" ht="20.25" customHeight="1" x14ac:dyDescent="0.3">
      <c r="B163" s="17"/>
      <c r="C163" s="27"/>
      <c r="D163" s="67"/>
      <c r="E163" s="68"/>
      <c r="F163" s="17"/>
      <c r="G163" s="27"/>
    </row>
    <row r="164" spans="2:7" ht="20.25" customHeight="1" x14ac:dyDescent="0.3">
      <c r="B164" s="17"/>
      <c r="C164" s="27"/>
      <c r="D164" s="67"/>
      <c r="E164" s="68"/>
      <c r="F164" s="17"/>
      <c r="G164" s="27"/>
    </row>
    <row r="165" spans="2:7" ht="20.25" customHeight="1" x14ac:dyDescent="0.3">
      <c r="B165" s="17"/>
      <c r="C165" s="27"/>
      <c r="D165" s="67"/>
      <c r="E165" s="68"/>
      <c r="F165" s="17"/>
      <c r="G165" s="27"/>
    </row>
    <row r="166" spans="2:7" ht="20.25" customHeight="1" x14ac:dyDescent="0.3">
      <c r="B166" s="17"/>
      <c r="C166" s="27"/>
      <c r="D166" s="67"/>
      <c r="E166" s="68"/>
      <c r="F166" s="17"/>
      <c r="G166" s="27"/>
    </row>
    <row r="167" spans="2:7" ht="20.25" customHeight="1" x14ac:dyDescent="0.3">
      <c r="B167" s="17"/>
      <c r="C167" s="27"/>
      <c r="D167" s="67"/>
      <c r="E167" s="68"/>
      <c r="F167" s="17"/>
      <c r="G167" s="27"/>
    </row>
    <row r="168" spans="2:7" ht="20.25" customHeight="1" x14ac:dyDescent="0.3">
      <c r="B168" s="17"/>
      <c r="C168" s="27"/>
      <c r="D168" s="67"/>
      <c r="E168" s="68"/>
      <c r="F168" s="17"/>
      <c r="G168" s="27"/>
    </row>
    <row r="169" spans="2:7" ht="20.25" customHeight="1" x14ac:dyDescent="0.3">
      <c r="B169" s="17"/>
      <c r="C169" s="27"/>
      <c r="D169" s="67"/>
      <c r="E169" s="68"/>
      <c r="F169" s="17"/>
      <c r="G169" s="27"/>
    </row>
    <row r="170" spans="2:7" ht="20.25" customHeight="1" x14ac:dyDescent="0.3">
      <c r="B170" s="17"/>
      <c r="C170" s="27"/>
      <c r="D170" s="67"/>
      <c r="E170" s="68"/>
      <c r="F170" s="17"/>
      <c r="G170" s="27"/>
    </row>
    <row r="171" spans="2:7" ht="20.25" customHeight="1" x14ac:dyDescent="0.3">
      <c r="B171" s="17"/>
      <c r="C171" s="27"/>
      <c r="D171" s="67"/>
      <c r="E171" s="68"/>
      <c r="F171" s="17"/>
      <c r="G171" s="27"/>
    </row>
    <row r="172" spans="2:7" ht="20.25" customHeight="1" x14ac:dyDescent="0.3">
      <c r="B172" s="17"/>
      <c r="C172" s="27"/>
      <c r="D172" s="67"/>
      <c r="E172" s="68"/>
      <c r="F172" s="17"/>
      <c r="G172" s="27"/>
    </row>
    <row r="173" spans="2:7" ht="20.25" customHeight="1" x14ac:dyDescent="0.3">
      <c r="B173" s="17"/>
      <c r="C173" s="27"/>
      <c r="D173" s="67"/>
      <c r="E173" s="68"/>
      <c r="F173" s="17"/>
      <c r="G173" s="27"/>
    </row>
    <row r="174" spans="2:7" ht="20.25" customHeight="1" x14ac:dyDescent="0.3">
      <c r="B174" s="17"/>
      <c r="C174" s="27"/>
      <c r="D174" s="67"/>
      <c r="E174" s="68"/>
      <c r="F174" s="17"/>
      <c r="G174" s="27"/>
    </row>
    <row r="175" spans="2:7" ht="20.25" customHeight="1" x14ac:dyDescent="0.3">
      <c r="B175" s="17"/>
      <c r="C175" s="27"/>
      <c r="D175" s="67"/>
      <c r="E175" s="68"/>
      <c r="F175" s="17"/>
      <c r="G175" s="27"/>
    </row>
    <row r="176" spans="2:7" ht="20.25" customHeight="1" x14ac:dyDescent="0.3">
      <c r="B176" s="17"/>
      <c r="C176" s="27"/>
      <c r="D176" s="67"/>
      <c r="E176" s="68"/>
      <c r="F176" s="17"/>
      <c r="G176" s="27"/>
    </row>
    <row r="177" spans="2:7" ht="20.25" customHeight="1" x14ac:dyDescent="0.3">
      <c r="B177" s="17"/>
      <c r="C177" s="27"/>
      <c r="D177" s="67"/>
      <c r="E177" s="68"/>
      <c r="F177" s="17"/>
      <c r="G177" s="27"/>
    </row>
    <row r="178" spans="2:7" ht="20.25" customHeight="1" x14ac:dyDescent="0.3">
      <c r="B178" s="17"/>
      <c r="C178" s="27"/>
      <c r="D178" s="67"/>
      <c r="E178" s="68"/>
      <c r="F178" s="17"/>
      <c r="G178" s="27"/>
    </row>
    <row r="179" spans="2:7" ht="20.25" customHeight="1" x14ac:dyDescent="0.3">
      <c r="B179" s="17"/>
      <c r="C179" s="27"/>
      <c r="D179" s="67"/>
      <c r="E179" s="68"/>
      <c r="F179" s="17"/>
      <c r="G179" s="27"/>
    </row>
    <row r="180" spans="2:7" ht="20.25" customHeight="1" x14ac:dyDescent="0.3">
      <c r="B180" s="17"/>
      <c r="C180" s="27"/>
      <c r="D180" s="67"/>
      <c r="E180" s="68"/>
      <c r="F180" s="17"/>
      <c r="G180" s="27"/>
    </row>
    <row r="181" spans="2:7" ht="20.25" customHeight="1" x14ac:dyDescent="0.3">
      <c r="B181" s="17"/>
      <c r="C181" s="27"/>
      <c r="D181" s="67"/>
      <c r="E181" s="68"/>
      <c r="F181" s="17"/>
      <c r="G181" s="27"/>
    </row>
    <row r="182" spans="2:7" ht="20.25" customHeight="1" x14ac:dyDescent="0.3">
      <c r="B182" s="17"/>
      <c r="C182" s="27"/>
      <c r="D182" s="67"/>
      <c r="E182" s="68"/>
      <c r="F182" s="17"/>
      <c r="G182" s="27"/>
    </row>
    <row r="183" spans="2:7" ht="20.25" customHeight="1" x14ac:dyDescent="0.3">
      <c r="B183" s="17"/>
      <c r="C183" s="27"/>
      <c r="D183" s="67"/>
      <c r="E183" s="68"/>
      <c r="F183" s="17"/>
      <c r="G183" s="27"/>
    </row>
    <row r="184" spans="2:7" ht="20.25" customHeight="1" x14ac:dyDescent="0.3">
      <c r="B184" s="17"/>
      <c r="C184" s="27"/>
      <c r="D184" s="67"/>
      <c r="E184" s="68"/>
      <c r="F184" s="17"/>
      <c r="G184" s="27"/>
    </row>
    <row r="185" spans="2:7" ht="20.25" customHeight="1" x14ac:dyDescent="0.3">
      <c r="B185" s="17"/>
      <c r="C185" s="27"/>
      <c r="D185" s="67"/>
      <c r="E185" s="68"/>
      <c r="F185" s="17"/>
      <c r="G185" s="27"/>
    </row>
    <row r="186" spans="2:7" ht="20.25" customHeight="1" x14ac:dyDescent="0.3">
      <c r="B186" s="17"/>
      <c r="C186" s="27"/>
      <c r="D186" s="67"/>
      <c r="E186" s="68"/>
      <c r="F186" s="17"/>
      <c r="G186" s="27"/>
    </row>
    <row r="187" spans="2:7" ht="20.25" customHeight="1" x14ac:dyDescent="0.3">
      <c r="B187" s="17"/>
      <c r="C187" s="27"/>
      <c r="D187" s="67"/>
      <c r="E187" s="68"/>
      <c r="F187" s="17"/>
      <c r="G187" s="27"/>
    </row>
    <row r="188" spans="2:7" ht="20.25" customHeight="1" x14ac:dyDescent="0.3">
      <c r="B188" s="17"/>
      <c r="C188" s="27"/>
      <c r="D188" s="67"/>
      <c r="E188" s="68"/>
      <c r="F188" s="17"/>
      <c r="G188" s="27"/>
    </row>
    <row r="189" spans="2:7" ht="20.25" customHeight="1" x14ac:dyDescent="0.3">
      <c r="B189" s="17"/>
      <c r="C189" s="27"/>
      <c r="D189" s="67"/>
      <c r="E189" s="68"/>
      <c r="F189" s="17"/>
      <c r="G189" s="27"/>
    </row>
    <row r="190" spans="2:7" ht="20.25" customHeight="1" x14ac:dyDescent="0.3">
      <c r="B190" s="17"/>
      <c r="C190" s="27"/>
      <c r="D190" s="67"/>
      <c r="E190" s="68"/>
      <c r="F190" s="17"/>
      <c r="G190" s="27"/>
    </row>
    <row r="191" spans="2:7" ht="20.25" customHeight="1" x14ac:dyDescent="0.3">
      <c r="B191" s="17"/>
      <c r="C191" s="27"/>
      <c r="D191" s="67"/>
      <c r="E191" s="68"/>
      <c r="F191" s="17"/>
      <c r="G191" s="27"/>
    </row>
    <row r="192" spans="2:7" ht="20.25" customHeight="1" x14ac:dyDescent="0.3">
      <c r="B192" s="17"/>
      <c r="C192" s="27"/>
      <c r="D192" s="67"/>
      <c r="E192" s="68"/>
      <c r="F192" s="17"/>
      <c r="G192" s="27"/>
    </row>
    <row r="193" spans="2:7" ht="20.25" customHeight="1" x14ac:dyDescent="0.3">
      <c r="B193" s="17"/>
      <c r="C193" s="27"/>
      <c r="D193" s="67"/>
      <c r="E193" s="68"/>
      <c r="F193" s="17"/>
      <c r="G193" s="27"/>
    </row>
    <row r="194" spans="2:7" ht="20.25" customHeight="1" x14ac:dyDescent="0.3">
      <c r="B194" s="17"/>
      <c r="C194" s="27"/>
      <c r="D194" s="67"/>
      <c r="E194" s="68"/>
      <c r="F194" s="17"/>
      <c r="G194" s="27"/>
    </row>
    <row r="195" spans="2:7" ht="20.25" customHeight="1" x14ac:dyDescent="0.3">
      <c r="B195" s="17"/>
      <c r="C195" s="27"/>
      <c r="D195" s="67"/>
      <c r="E195" s="68"/>
      <c r="F195" s="17"/>
      <c r="G195" s="27"/>
    </row>
    <row r="196" spans="2:7" ht="20.25" customHeight="1" x14ac:dyDescent="0.3">
      <c r="B196" s="17"/>
      <c r="C196" s="27"/>
      <c r="D196" s="67"/>
      <c r="E196" s="68"/>
      <c r="F196" s="17"/>
      <c r="G196" s="27"/>
    </row>
    <row r="197" spans="2:7" ht="20.25" customHeight="1" x14ac:dyDescent="0.3">
      <c r="B197" s="17"/>
      <c r="C197" s="27"/>
      <c r="D197" s="67"/>
      <c r="E197" s="68"/>
      <c r="F197" s="17"/>
      <c r="G197" s="27"/>
    </row>
    <row r="198" spans="2:7" ht="20.25" customHeight="1" x14ac:dyDescent="0.3">
      <c r="B198" s="17"/>
      <c r="C198" s="27"/>
      <c r="D198" s="67"/>
      <c r="E198" s="68"/>
      <c r="F198" s="17"/>
      <c r="G198" s="27"/>
    </row>
    <row r="199" spans="2:7" ht="20.25" customHeight="1" x14ac:dyDescent="0.3">
      <c r="B199" s="17"/>
      <c r="C199" s="27"/>
      <c r="D199" s="67"/>
      <c r="E199" s="68"/>
      <c r="F199" s="17"/>
      <c r="G199" s="27"/>
    </row>
    <row r="200" spans="2:7" ht="20.25" customHeight="1" x14ac:dyDescent="0.3">
      <c r="B200" s="17"/>
      <c r="C200" s="27"/>
      <c r="D200" s="67"/>
      <c r="E200" s="68"/>
      <c r="F200" s="17"/>
      <c r="G200" s="27"/>
    </row>
    <row r="201" spans="2:7" ht="20.25" customHeight="1" x14ac:dyDescent="0.3">
      <c r="B201" s="17"/>
      <c r="C201" s="27"/>
      <c r="D201" s="67"/>
      <c r="E201" s="68"/>
      <c r="F201" s="17"/>
      <c r="G201" s="27"/>
    </row>
    <row r="202" spans="2:7" ht="20.25" customHeight="1" x14ac:dyDescent="0.3">
      <c r="B202" s="17"/>
      <c r="C202" s="27"/>
      <c r="D202" s="67"/>
      <c r="E202" s="68"/>
      <c r="F202" s="17"/>
      <c r="G202" s="27"/>
    </row>
    <row r="203" spans="2:7" ht="20.25" customHeight="1" x14ac:dyDescent="0.3">
      <c r="B203" s="17"/>
      <c r="C203" s="27"/>
      <c r="D203" s="67"/>
      <c r="E203" s="68"/>
      <c r="F203" s="17"/>
      <c r="G203" s="27"/>
    </row>
    <row r="204" spans="2:7" ht="20.25" customHeight="1" x14ac:dyDescent="0.3">
      <c r="B204" s="17"/>
      <c r="C204" s="27"/>
      <c r="D204" s="67"/>
      <c r="E204" s="68"/>
      <c r="F204" s="17"/>
      <c r="G204" s="27"/>
    </row>
    <row r="205" spans="2:7" ht="20.25" customHeight="1" x14ac:dyDescent="0.3">
      <c r="B205" s="17"/>
      <c r="C205" s="27"/>
      <c r="D205" s="67"/>
      <c r="E205" s="68"/>
      <c r="F205" s="17"/>
      <c r="G205" s="27"/>
    </row>
    <row r="206" spans="2:7" ht="20.25" customHeight="1" x14ac:dyDescent="0.3">
      <c r="B206" s="17"/>
      <c r="C206" s="27"/>
      <c r="D206" s="67"/>
      <c r="E206" s="68"/>
      <c r="F206" s="17"/>
      <c r="G206" s="27"/>
    </row>
    <row r="207" spans="2:7" ht="20.25" customHeight="1" x14ac:dyDescent="0.3">
      <c r="B207" s="17"/>
      <c r="C207" s="27"/>
      <c r="D207" s="67"/>
      <c r="E207" s="68"/>
      <c r="F207" s="17"/>
      <c r="G207" s="27"/>
    </row>
    <row r="208" spans="2:7" ht="20.25" customHeight="1" x14ac:dyDescent="0.3">
      <c r="B208" s="17"/>
      <c r="C208" s="27"/>
      <c r="D208" s="67"/>
      <c r="E208" s="68"/>
      <c r="F208" s="17"/>
      <c r="G208" s="27"/>
    </row>
    <row r="209" spans="2:7" ht="20.25" customHeight="1" x14ac:dyDescent="0.3">
      <c r="B209" s="17"/>
      <c r="C209" s="27"/>
      <c r="D209" s="67"/>
      <c r="E209" s="68"/>
      <c r="F209" s="17"/>
      <c r="G209" s="27"/>
    </row>
    <row r="210" spans="2:7" ht="20.25" customHeight="1" x14ac:dyDescent="0.3">
      <c r="B210" s="17"/>
      <c r="C210" s="27"/>
      <c r="D210" s="67"/>
      <c r="E210" s="68"/>
      <c r="F210" s="17"/>
      <c r="G210" s="27"/>
    </row>
    <row r="211" spans="2:7" ht="20.25" customHeight="1" x14ac:dyDescent="0.3">
      <c r="B211" s="17"/>
      <c r="C211" s="27"/>
      <c r="D211" s="67"/>
      <c r="E211" s="68"/>
      <c r="F211" s="17"/>
      <c r="G211" s="27"/>
    </row>
    <row r="212" spans="2:7" ht="20.25" customHeight="1" x14ac:dyDescent="0.3">
      <c r="B212" s="17"/>
      <c r="C212" s="27"/>
      <c r="D212" s="67"/>
      <c r="E212" s="68"/>
      <c r="F212" s="17"/>
      <c r="G212" s="27"/>
    </row>
    <row r="213" spans="2:7" ht="20.25" customHeight="1" x14ac:dyDescent="0.3">
      <c r="B213" s="17"/>
      <c r="C213" s="27"/>
      <c r="D213" s="67"/>
      <c r="E213" s="68"/>
      <c r="F213" s="17"/>
      <c r="G213" s="27"/>
    </row>
    <row r="214" spans="2:7" ht="20.25" customHeight="1" x14ac:dyDescent="0.3">
      <c r="B214" s="17"/>
      <c r="C214" s="27"/>
      <c r="D214" s="67"/>
      <c r="E214" s="68"/>
      <c r="F214" s="17"/>
      <c r="G214" s="27"/>
    </row>
    <row r="215" spans="2:7" ht="20.25" customHeight="1" x14ac:dyDescent="0.3">
      <c r="B215" s="17"/>
      <c r="C215" s="27"/>
      <c r="D215" s="67"/>
      <c r="E215" s="68"/>
      <c r="F215" s="17"/>
      <c r="G215" s="27"/>
    </row>
    <row r="216" spans="2:7" ht="20.25" customHeight="1" x14ac:dyDescent="0.3">
      <c r="B216" s="17"/>
      <c r="C216" s="27"/>
      <c r="D216" s="67"/>
      <c r="E216" s="68"/>
      <c r="F216" s="17"/>
      <c r="G216" s="27"/>
    </row>
    <row r="217" spans="2:7" ht="20.25" customHeight="1" x14ac:dyDescent="0.3">
      <c r="B217" s="17"/>
      <c r="C217" s="27"/>
      <c r="D217" s="67"/>
      <c r="E217" s="68"/>
      <c r="F217" s="17"/>
      <c r="G217" s="27"/>
    </row>
    <row r="218" spans="2:7" ht="20.25" customHeight="1" x14ac:dyDescent="0.3">
      <c r="B218" s="17"/>
      <c r="C218" s="27"/>
      <c r="D218" s="67"/>
      <c r="E218" s="68"/>
      <c r="F218" s="17"/>
      <c r="G218" s="27"/>
    </row>
    <row r="219" spans="2:7" ht="20.25" customHeight="1" x14ac:dyDescent="0.3">
      <c r="B219" s="17"/>
      <c r="C219" s="27"/>
      <c r="D219" s="67"/>
      <c r="E219" s="68"/>
      <c r="F219" s="17"/>
      <c r="G219" s="27"/>
    </row>
    <row r="220" spans="2:7" ht="20.25" customHeight="1" x14ac:dyDescent="0.3">
      <c r="B220" s="17"/>
      <c r="C220" s="27"/>
      <c r="D220" s="67"/>
      <c r="E220" s="68"/>
      <c r="F220" s="17"/>
      <c r="G220" s="27"/>
    </row>
    <row r="221" spans="2:7" ht="20.25" customHeight="1" x14ac:dyDescent="0.3">
      <c r="B221" s="17"/>
      <c r="C221" s="27"/>
      <c r="D221" s="67"/>
      <c r="E221" s="68"/>
      <c r="F221" s="17"/>
      <c r="G221" s="27"/>
    </row>
    <row r="222" spans="2:7" ht="20.25" customHeight="1" x14ac:dyDescent="0.3">
      <c r="B222" s="17"/>
      <c r="C222" s="27"/>
      <c r="D222" s="67"/>
      <c r="E222" s="68"/>
      <c r="F222" s="17"/>
      <c r="G222" s="27"/>
    </row>
    <row r="223" spans="2:7" ht="20.25" customHeight="1" x14ac:dyDescent="0.3">
      <c r="B223" s="17"/>
      <c r="C223" s="27"/>
      <c r="D223" s="67"/>
      <c r="E223" s="68"/>
      <c r="F223" s="17"/>
      <c r="G223" s="27"/>
    </row>
    <row r="224" spans="2:7" ht="20.25" customHeight="1" x14ac:dyDescent="0.3">
      <c r="B224" s="17"/>
      <c r="C224" s="27"/>
      <c r="D224" s="67"/>
      <c r="E224" s="68"/>
      <c r="F224" s="17"/>
      <c r="G224" s="27"/>
    </row>
    <row r="225" spans="2:7" ht="20.25" customHeight="1" x14ac:dyDescent="0.3">
      <c r="B225" s="17"/>
      <c r="C225" s="27"/>
      <c r="D225" s="67"/>
      <c r="E225" s="68"/>
      <c r="F225" s="17"/>
      <c r="G225" s="27"/>
    </row>
    <row r="226" spans="2:7" ht="20.25" customHeight="1" x14ac:dyDescent="0.3">
      <c r="B226" s="17"/>
      <c r="C226" s="27"/>
      <c r="D226" s="67"/>
      <c r="E226" s="68"/>
      <c r="F226" s="17"/>
      <c r="G226" s="27"/>
    </row>
    <row r="227" spans="2:7" ht="20.25" customHeight="1" x14ac:dyDescent="0.3">
      <c r="B227" s="17"/>
      <c r="C227" s="27"/>
      <c r="D227" s="67"/>
      <c r="E227" s="68"/>
      <c r="F227" s="17"/>
      <c r="G227" s="27"/>
    </row>
    <row r="228" spans="2:7" ht="20.25" customHeight="1" x14ac:dyDescent="0.3">
      <c r="B228" s="17"/>
      <c r="C228" s="27"/>
      <c r="D228" s="67"/>
      <c r="E228" s="68"/>
      <c r="F228" s="17"/>
      <c r="G228" s="27"/>
    </row>
    <row r="229" spans="2:7" ht="20.25" customHeight="1" x14ac:dyDescent="0.3">
      <c r="B229" s="17"/>
      <c r="C229" s="27"/>
      <c r="D229" s="67"/>
      <c r="E229" s="68"/>
      <c r="F229" s="17"/>
      <c r="G229" s="27"/>
    </row>
    <row r="230" spans="2:7" ht="20.25" customHeight="1" x14ac:dyDescent="0.3">
      <c r="B230" s="17"/>
      <c r="C230" s="27"/>
      <c r="D230" s="67"/>
      <c r="E230" s="68"/>
      <c r="F230" s="17"/>
      <c r="G230" s="27"/>
    </row>
    <row r="231" spans="2:7" ht="20.25" customHeight="1" x14ac:dyDescent="0.3">
      <c r="B231" s="17"/>
      <c r="C231" s="27"/>
      <c r="D231" s="67"/>
      <c r="E231" s="68"/>
      <c r="F231" s="17"/>
      <c r="G231" s="27"/>
    </row>
    <row r="232" spans="2:7" ht="20.25" customHeight="1" x14ac:dyDescent="0.3">
      <c r="B232" s="17"/>
      <c r="C232" s="27"/>
      <c r="D232" s="67"/>
      <c r="E232" s="68"/>
      <c r="F232" s="17"/>
      <c r="G232" s="27"/>
    </row>
    <row r="233" spans="2:7" ht="20.25" customHeight="1" x14ac:dyDescent="0.3">
      <c r="B233" s="17"/>
      <c r="C233" s="27"/>
      <c r="D233" s="67"/>
      <c r="E233" s="68"/>
      <c r="F233" s="17"/>
      <c r="G233" s="27"/>
    </row>
    <row r="234" spans="2:7" ht="20.25" customHeight="1" x14ac:dyDescent="0.3">
      <c r="B234" s="17"/>
      <c r="C234" s="27"/>
      <c r="D234" s="67"/>
      <c r="E234" s="68"/>
      <c r="F234" s="17"/>
      <c r="G234" s="27"/>
    </row>
    <row r="235" spans="2:7" ht="20.25" customHeight="1" x14ac:dyDescent="0.3">
      <c r="B235" s="17"/>
      <c r="C235" s="27"/>
      <c r="D235" s="67"/>
      <c r="E235" s="68"/>
      <c r="F235" s="17"/>
      <c r="G235" s="27"/>
    </row>
    <row r="236" spans="2:7" ht="20.25" customHeight="1" x14ac:dyDescent="0.3">
      <c r="B236" s="17"/>
      <c r="C236" s="27"/>
      <c r="D236" s="67"/>
      <c r="E236" s="68"/>
      <c r="F236" s="17"/>
      <c r="G236" s="27"/>
    </row>
    <row r="237" spans="2:7" ht="20.25" customHeight="1" x14ac:dyDescent="0.3">
      <c r="B237" s="17"/>
      <c r="C237" s="27"/>
      <c r="D237" s="67"/>
      <c r="E237" s="68"/>
      <c r="F237" s="17"/>
      <c r="G237" s="27"/>
    </row>
    <row r="238" spans="2:7" ht="20.25" customHeight="1" x14ac:dyDescent="0.3">
      <c r="B238" s="17"/>
      <c r="C238" s="27"/>
      <c r="D238" s="67"/>
      <c r="E238" s="68"/>
      <c r="F238" s="17"/>
      <c r="G238" s="27"/>
    </row>
    <row r="239" spans="2:7" ht="20.25" customHeight="1" x14ac:dyDescent="0.3">
      <c r="B239" s="17"/>
      <c r="C239" s="27"/>
      <c r="D239" s="67"/>
      <c r="E239" s="68"/>
      <c r="F239" s="17"/>
      <c r="G239" s="27"/>
    </row>
    <row r="240" spans="2:7" ht="20.25" customHeight="1" x14ac:dyDescent="0.3">
      <c r="B240" s="17"/>
      <c r="C240" s="27"/>
      <c r="D240" s="67"/>
      <c r="E240" s="68"/>
      <c r="F240" s="17"/>
      <c r="G240" s="27"/>
    </row>
    <row r="241" spans="2:7" ht="20.25" customHeight="1" x14ac:dyDescent="0.3">
      <c r="B241" s="17"/>
      <c r="C241" s="27"/>
      <c r="D241" s="67"/>
      <c r="E241" s="68"/>
      <c r="F241" s="17"/>
      <c r="G241" s="27"/>
    </row>
    <row r="242" spans="2:7" ht="20.25" customHeight="1" x14ac:dyDescent="0.3">
      <c r="B242" s="17"/>
      <c r="C242" s="27"/>
      <c r="D242" s="67"/>
      <c r="E242" s="68"/>
      <c r="F242" s="17"/>
      <c r="G242" s="27"/>
    </row>
    <row r="243" spans="2:7" ht="20.25" customHeight="1" x14ac:dyDescent="0.3">
      <c r="B243" s="17"/>
      <c r="C243" s="27"/>
      <c r="D243" s="67"/>
      <c r="E243" s="68"/>
      <c r="F243" s="17"/>
      <c r="G243" s="27"/>
    </row>
    <row r="244" spans="2:7" ht="20.25" customHeight="1" x14ac:dyDescent="0.3">
      <c r="B244" s="17"/>
      <c r="C244" s="27"/>
      <c r="D244" s="67"/>
      <c r="E244" s="68"/>
      <c r="F244" s="17"/>
      <c r="G244" s="27"/>
    </row>
    <row r="245" spans="2:7" ht="20.25" customHeight="1" x14ac:dyDescent="0.3">
      <c r="B245" s="17"/>
      <c r="C245" s="27"/>
      <c r="D245" s="67"/>
      <c r="E245" s="68"/>
      <c r="F245" s="17"/>
      <c r="G245" s="27"/>
    </row>
    <row r="246" spans="2:7" ht="20.25" customHeight="1" x14ac:dyDescent="0.3">
      <c r="B246" s="17"/>
      <c r="C246" s="27"/>
      <c r="D246" s="67"/>
      <c r="E246" s="68"/>
      <c r="F246" s="17"/>
      <c r="G246" s="27"/>
    </row>
    <row r="247" spans="2:7" ht="20.25" customHeight="1" x14ac:dyDescent="0.3">
      <c r="B247" s="17"/>
      <c r="C247" s="27"/>
      <c r="D247" s="67"/>
      <c r="E247" s="68"/>
      <c r="F247" s="17"/>
      <c r="G247" s="27"/>
    </row>
    <row r="248" spans="2:7" ht="20.25" customHeight="1" x14ac:dyDescent="0.3">
      <c r="B248" s="17"/>
      <c r="C248" s="27"/>
      <c r="D248" s="67"/>
      <c r="E248" s="68"/>
      <c r="F248" s="17"/>
      <c r="G248" s="27"/>
    </row>
    <row r="249" spans="2:7" ht="20.25" customHeight="1" x14ac:dyDescent="0.3">
      <c r="B249" s="17"/>
      <c r="C249" s="27"/>
      <c r="D249" s="67"/>
      <c r="E249" s="68"/>
      <c r="F249" s="17"/>
      <c r="G249" s="27"/>
    </row>
    <row r="250" spans="2:7" ht="20.25" customHeight="1" x14ac:dyDescent="0.3">
      <c r="B250" s="17"/>
      <c r="C250" s="27"/>
      <c r="D250" s="67"/>
      <c r="E250" s="68"/>
      <c r="F250" s="17"/>
      <c r="G250" s="27"/>
    </row>
    <row r="251" spans="2:7" ht="20.25" customHeight="1" x14ac:dyDescent="0.3">
      <c r="B251" s="17"/>
      <c r="C251" s="27"/>
      <c r="D251" s="67"/>
      <c r="E251" s="68"/>
      <c r="F251" s="17"/>
      <c r="G251" s="27"/>
    </row>
    <row r="252" spans="2:7" ht="20.25" customHeight="1" x14ac:dyDescent="0.3">
      <c r="B252" s="17"/>
      <c r="C252" s="27"/>
      <c r="D252" s="67"/>
      <c r="E252" s="68"/>
      <c r="F252" s="17"/>
      <c r="G252" s="27"/>
    </row>
    <row r="253" spans="2:7" ht="20.25" customHeight="1" x14ac:dyDescent="0.3">
      <c r="B253" s="17"/>
      <c r="C253" s="27"/>
      <c r="D253" s="67"/>
      <c r="E253" s="68"/>
      <c r="F253" s="17"/>
      <c r="G253" s="27"/>
    </row>
    <row r="254" spans="2:7" ht="20.25" customHeight="1" x14ac:dyDescent="0.3">
      <c r="B254" s="17"/>
      <c r="C254" s="27"/>
      <c r="D254" s="67"/>
      <c r="E254" s="68"/>
      <c r="F254" s="17"/>
      <c r="G254" s="27"/>
    </row>
    <row r="255" spans="2:7" ht="20.25" customHeight="1" x14ac:dyDescent="0.3">
      <c r="B255" s="17"/>
      <c r="C255" s="27"/>
      <c r="D255" s="67"/>
      <c r="E255" s="68"/>
      <c r="F255" s="17"/>
      <c r="G255" s="27"/>
    </row>
    <row r="256" spans="2:7" ht="20.25" customHeight="1" x14ac:dyDescent="0.3">
      <c r="B256" s="17"/>
      <c r="C256" s="27"/>
      <c r="D256" s="67"/>
      <c r="E256" s="68"/>
      <c r="F256" s="17"/>
      <c r="G256" s="27"/>
    </row>
    <row r="257" spans="2:7" ht="20.25" customHeight="1" x14ac:dyDescent="0.3">
      <c r="B257" s="17"/>
      <c r="C257" s="27"/>
      <c r="D257" s="67"/>
      <c r="E257" s="68"/>
      <c r="F257" s="17"/>
      <c r="G257" s="27"/>
    </row>
    <row r="258" spans="2:7" ht="20.25" customHeight="1" x14ac:dyDescent="0.3">
      <c r="B258" s="17"/>
      <c r="C258" s="27"/>
      <c r="D258" s="67"/>
      <c r="E258" s="68"/>
      <c r="F258" s="17"/>
      <c r="G258" s="27"/>
    </row>
    <row r="259" spans="2:7" ht="20.25" customHeight="1" x14ac:dyDescent="0.3">
      <c r="B259" s="17"/>
      <c r="C259" s="27"/>
      <c r="D259" s="67"/>
      <c r="E259" s="68"/>
      <c r="F259" s="17"/>
      <c r="G259" s="27"/>
    </row>
    <row r="260" spans="2:7" ht="20.25" customHeight="1" x14ac:dyDescent="0.3">
      <c r="B260" s="17"/>
      <c r="C260" s="27"/>
      <c r="D260" s="67"/>
      <c r="E260" s="68"/>
      <c r="F260" s="17"/>
      <c r="G260" s="27"/>
    </row>
    <row r="261" spans="2:7" ht="20.25" customHeight="1" x14ac:dyDescent="0.3">
      <c r="B261" s="17"/>
      <c r="C261" s="27"/>
      <c r="D261" s="67"/>
      <c r="E261" s="68"/>
      <c r="F261" s="17"/>
      <c r="G261" s="27"/>
    </row>
    <row r="262" spans="2:7" ht="20.25" customHeight="1" x14ac:dyDescent="0.3">
      <c r="B262" s="17"/>
      <c r="C262" s="27"/>
      <c r="D262" s="67"/>
      <c r="E262" s="68"/>
      <c r="F262" s="17"/>
      <c r="G262" s="27"/>
    </row>
    <row r="263" spans="2:7" ht="20.25" customHeight="1" x14ac:dyDescent="0.3">
      <c r="B263" s="17"/>
      <c r="C263" s="27"/>
      <c r="D263" s="67"/>
      <c r="E263" s="68"/>
      <c r="F263" s="17"/>
      <c r="G263" s="27"/>
    </row>
    <row r="264" spans="2:7" ht="20.25" customHeight="1" x14ac:dyDescent="0.3">
      <c r="B264" s="17"/>
      <c r="C264" s="27"/>
      <c r="D264" s="67"/>
      <c r="E264" s="68"/>
      <c r="F264" s="17"/>
      <c r="G264" s="27"/>
    </row>
    <row r="265" spans="2:7" ht="20.25" customHeight="1" x14ac:dyDescent="0.3">
      <c r="B265" s="17"/>
      <c r="C265" s="27"/>
      <c r="D265" s="67"/>
      <c r="E265" s="68"/>
      <c r="F265" s="17"/>
      <c r="G265" s="27"/>
    </row>
    <row r="266" spans="2:7" ht="20.25" customHeight="1" x14ac:dyDescent="0.3">
      <c r="B266" s="17"/>
      <c r="C266" s="27"/>
      <c r="D266" s="67"/>
      <c r="E266" s="68"/>
      <c r="F266" s="17"/>
      <c r="G266" s="27"/>
    </row>
    <row r="267" spans="2:7" ht="20.25" customHeight="1" x14ac:dyDescent="0.3">
      <c r="B267" s="17"/>
      <c r="C267" s="27"/>
      <c r="D267" s="67"/>
      <c r="E267" s="68"/>
      <c r="F267" s="17"/>
      <c r="G267" s="27"/>
    </row>
    <row r="268" spans="2:7" ht="20.25" customHeight="1" x14ac:dyDescent="0.3">
      <c r="B268" s="17"/>
      <c r="C268" s="27"/>
      <c r="D268" s="67"/>
      <c r="E268" s="68"/>
      <c r="F268" s="17"/>
      <c r="G268" s="27"/>
    </row>
    <row r="269" spans="2:7" ht="20.25" customHeight="1" x14ac:dyDescent="0.3">
      <c r="B269" s="17"/>
      <c r="C269" s="27"/>
      <c r="D269" s="67"/>
      <c r="E269" s="68"/>
      <c r="F269" s="17"/>
      <c r="G269" s="27"/>
    </row>
    <row r="270" spans="2:7" ht="20.25" customHeight="1" x14ac:dyDescent="0.3">
      <c r="B270" s="17"/>
      <c r="C270" s="27"/>
      <c r="D270" s="67"/>
      <c r="E270" s="68"/>
      <c r="F270" s="17"/>
      <c r="G270" s="27"/>
    </row>
    <row r="271" spans="2:7" ht="20.25" customHeight="1" x14ac:dyDescent="0.3">
      <c r="B271" s="17"/>
      <c r="C271" s="27"/>
      <c r="D271" s="67"/>
      <c r="E271" s="68"/>
      <c r="F271" s="17"/>
      <c r="G271" s="27"/>
    </row>
    <row r="272" spans="2:7" ht="20.25" customHeight="1" x14ac:dyDescent="0.3">
      <c r="B272" s="17"/>
      <c r="C272" s="27"/>
      <c r="D272" s="67"/>
      <c r="E272" s="68"/>
      <c r="F272" s="17"/>
      <c r="G272" s="27"/>
    </row>
    <row r="273" spans="2:7" ht="20.25" customHeight="1" x14ac:dyDescent="0.3">
      <c r="B273" s="17"/>
      <c r="C273" s="27"/>
      <c r="D273" s="67"/>
      <c r="E273" s="68"/>
      <c r="F273" s="17"/>
      <c r="G273" s="27"/>
    </row>
    <row r="274" spans="2:7" ht="20.25" customHeight="1" x14ac:dyDescent="0.3">
      <c r="B274" s="17"/>
      <c r="C274" s="27"/>
      <c r="D274" s="67"/>
      <c r="E274" s="68"/>
      <c r="F274" s="17"/>
      <c r="G274" s="27"/>
    </row>
    <row r="275" spans="2:7" ht="20.25" customHeight="1" x14ac:dyDescent="0.3">
      <c r="B275" s="17"/>
      <c r="C275" s="27"/>
      <c r="D275" s="67"/>
      <c r="E275" s="68"/>
      <c r="F275" s="17"/>
      <c r="G275" s="27"/>
    </row>
    <row r="276" spans="2:7" ht="20.25" customHeight="1" x14ac:dyDescent="0.3">
      <c r="B276" s="17"/>
      <c r="C276" s="27"/>
      <c r="D276" s="67"/>
      <c r="E276" s="68"/>
      <c r="F276" s="17"/>
      <c r="G276" s="27"/>
    </row>
    <row r="277" spans="2:7" ht="20.25" customHeight="1" x14ac:dyDescent="0.3">
      <c r="B277" s="17"/>
      <c r="C277" s="27"/>
      <c r="D277" s="67"/>
      <c r="E277" s="68"/>
      <c r="F277" s="17"/>
      <c r="G277" s="27"/>
    </row>
    <row r="278" spans="2:7" ht="20.25" customHeight="1" x14ac:dyDescent="0.3">
      <c r="B278" s="17"/>
      <c r="C278" s="27"/>
      <c r="D278" s="67"/>
      <c r="E278" s="68"/>
      <c r="F278" s="17"/>
      <c r="G278" s="27"/>
    </row>
    <row r="279" spans="2:7" ht="20.25" customHeight="1" x14ac:dyDescent="0.3">
      <c r="B279" s="17"/>
      <c r="C279" s="27"/>
      <c r="D279" s="67"/>
      <c r="E279" s="68"/>
      <c r="F279" s="17"/>
      <c r="G279" s="27"/>
    </row>
    <row r="280" spans="2:7" ht="20.25" customHeight="1" x14ac:dyDescent="0.3">
      <c r="B280" s="17"/>
      <c r="C280" s="27"/>
      <c r="D280" s="67"/>
      <c r="E280" s="68"/>
      <c r="F280" s="17"/>
      <c r="G280" s="27"/>
    </row>
    <row r="281" spans="2:7" ht="20.25" customHeight="1" x14ac:dyDescent="0.3">
      <c r="B281" s="17"/>
      <c r="C281" s="27"/>
      <c r="D281" s="67"/>
      <c r="E281" s="68"/>
      <c r="F281" s="17"/>
      <c r="G281" s="27"/>
    </row>
    <row r="282" spans="2:7" ht="20.25" customHeight="1" x14ac:dyDescent="0.3">
      <c r="B282" s="17"/>
      <c r="C282" s="27"/>
      <c r="D282" s="67"/>
      <c r="E282" s="68"/>
      <c r="F282" s="17"/>
      <c r="G282" s="27"/>
    </row>
    <row r="283" spans="2:7" ht="20.25" customHeight="1" x14ac:dyDescent="0.3">
      <c r="B283" s="17"/>
      <c r="C283" s="27"/>
      <c r="D283" s="67"/>
      <c r="E283" s="68"/>
      <c r="F283" s="17"/>
      <c r="G283" s="27"/>
    </row>
    <row r="284" spans="2:7" ht="20.25" customHeight="1" x14ac:dyDescent="0.3">
      <c r="B284" s="17"/>
      <c r="C284" s="27"/>
      <c r="D284" s="67"/>
      <c r="E284" s="68"/>
      <c r="F284" s="17"/>
      <c r="G284" s="27"/>
    </row>
    <row r="285" spans="2:7" ht="20.25" customHeight="1" x14ac:dyDescent="0.3">
      <c r="B285" s="17"/>
      <c r="C285" s="27"/>
      <c r="D285" s="67"/>
      <c r="E285" s="68"/>
      <c r="F285" s="17"/>
      <c r="G285" s="27"/>
    </row>
    <row r="286" spans="2:7" ht="20.25" customHeight="1" x14ac:dyDescent="0.3">
      <c r="B286" s="17"/>
      <c r="C286" s="27"/>
      <c r="D286" s="67"/>
      <c r="E286" s="68"/>
      <c r="F286" s="17"/>
      <c r="G286" s="27"/>
    </row>
    <row r="287" spans="2:7" ht="20.25" customHeight="1" x14ac:dyDescent="0.3">
      <c r="B287" s="17"/>
      <c r="C287" s="27"/>
      <c r="D287" s="67"/>
      <c r="E287" s="68"/>
      <c r="F287" s="17"/>
      <c r="G287" s="27"/>
    </row>
    <row r="288" spans="2:7" ht="20.25" customHeight="1" x14ac:dyDescent="0.3">
      <c r="B288" s="17"/>
      <c r="C288" s="27"/>
      <c r="D288" s="67"/>
      <c r="E288" s="68"/>
      <c r="F288" s="17"/>
      <c r="G288" s="27"/>
    </row>
    <row r="289" spans="2:7" ht="20.25" customHeight="1" x14ac:dyDescent="0.3">
      <c r="B289" s="17"/>
      <c r="C289" s="27"/>
      <c r="D289" s="67"/>
      <c r="E289" s="68"/>
      <c r="F289" s="17"/>
      <c r="G289" s="27"/>
    </row>
    <row r="290" spans="2:7" ht="20.25" customHeight="1" x14ac:dyDescent="0.3">
      <c r="B290" s="17"/>
      <c r="C290" s="27"/>
      <c r="D290" s="67"/>
      <c r="E290" s="68"/>
      <c r="F290" s="17"/>
      <c r="G290" s="27"/>
    </row>
    <row r="291" spans="2:7" ht="20.25" customHeight="1" x14ac:dyDescent="0.3">
      <c r="B291" s="17"/>
      <c r="C291" s="27"/>
      <c r="D291" s="67"/>
      <c r="E291" s="68"/>
      <c r="F291" s="17"/>
      <c r="G291" s="27"/>
    </row>
    <row r="292" spans="2:7" ht="20.25" customHeight="1" x14ac:dyDescent="0.3">
      <c r="B292" s="17"/>
      <c r="C292" s="27"/>
      <c r="D292" s="67"/>
      <c r="E292" s="68"/>
      <c r="F292" s="17"/>
      <c r="G292" s="27"/>
    </row>
    <row r="293" spans="2:7" ht="20.25" customHeight="1" x14ac:dyDescent="0.3">
      <c r="B293" s="17"/>
      <c r="C293" s="27"/>
      <c r="D293" s="67"/>
      <c r="E293" s="68"/>
      <c r="F293" s="17"/>
      <c r="G293" s="27"/>
    </row>
    <row r="294" spans="2:7" ht="20.25" customHeight="1" x14ac:dyDescent="0.3">
      <c r="B294" s="17"/>
      <c r="C294" s="27"/>
      <c r="D294" s="67"/>
      <c r="E294" s="68"/>
      <c r="F294" s="17"/>
      <c r="G294" s="27"/>
    </row>
    <row r="295" spans="2:7" ht="20.25" customHeight="1" x14ac:dyDescent="0.3">
      <c r="B295" s="17"/>
      <c r="C295" s="27"/>
      <c r="D295" s="67"/>
      <c r="E295" s="68"/>
      <c r="F295" s="17"/>
      <c r="G295" s="27"/>
    </row>
    <row r="296" spans="2:7" ht="20.25" customHeight="1" x14ac:dyDescent="0.3">
      <c r="B296" s="17"/>
      <c r="C296" s="27"/>
      <c r="D296" s="67"/>
      <c r="E296" s="68"/>
      <c r="F296" s="17"/>
      <c r="G296" s="27"/>
    </row>
    <row r="297" spans="2:7" ht="20.25" customHeight="1" x14ac:dyDescent="0.3">
      <c r="B297" s="17"/>
      <c r="C297" s="27"/>
      <c r="D297" s="67"/>
      <c r="E297" s="68"/>
      <c r="F297" s="17"/>
      <c r="G297" s="27"/>
    </row>
    <row r="298" spans="2:7" ht="20.25" customHeight="1" x14ac:dyDescent="0.3">
      <c r="B298" s="17"/>
      <c r="C298" s="27"/>
      <c r="D298" s="67"/>
      <c r="E298" s="68"/>
      <c r="F298" s="17"/>
      <c r="G298" s="27"/>
    </row>
    <row r="299" spans="2:7" ht="20.25" customHeight="1" x14ac:dyDescent="0.3">
      <c r="B299" s="17"/>
      <c r="C299" s="27"/>
      <c r="D299" s="67"/>
      <c r="E299" s="68"/>
      <c r="F299" s="17"/>
      <c r="G299" s="27"/>
    </row>
    <row r="300" spans="2:7" ht="20.25" customHeight="1" x14ac:dyDescent="0.3">
      <c r="B300" s="17"/>
      <c r="C300" s="27"/>
      <c r="D300" s="67"/>
      <c r="E300" s="68"/>
      <c r="F300" s="17"/>
      <c r="G300" s="27"/>
    </row>
    <row r="301" spans="2:7" ht="20.25" customHeight="1" x14ac:dyDescent="0.3">
      <c r="B301" s="17"/>
      <c r="C301" s="27"/>
      <c r="D301" s="67"/>
      <c r="E301" s="68"/>
      <c r="F301" s="17"/>
      <c r="G301" s="27"/>
    </row>
    <row r="302" spans="2:7" ht="20.25" customHeight="1" x14ac:dyDescent="0.3">
      <c r="B302" s="17"/>
      <c r="C302" s="27"/>
      <c r="D302" s="67"/>
      <c r="E302" s="68"/>
      <c r="F302" s="17"/>
      <c r="G302" s="27"/>
    </row>
    <row r="303" spans="2:7" ht="20.25" customHeight="1" x14ac:dyDescent="0.3">
      <c r="B303" s="17"/>
      <c r="C303" s="27"/>
      <c r="D303" s="67"/>
      <c r="E303" s="68"/>
      <c r="F303" s="17"/>
      <c r="G303" s="27"/>
    </row>
    <row r="304" spans="2:7" ht="20.25" customHeight="1" x14ac:dyDescent="0.3">
      <c r="B304" s="17"/>
      <c r="C304" s="27"/>
      <c r="D304" s="67"/>
      <c r="E304" s="68"/>
      <c r="F304" s="17"/>
      <c r="G304" s="27"/>
    </row>
    <row r="305" spans="2:7" ht="20.25" customHeight="1" x14ac:dyDescent="0.3">
      <c r="B305" s="17"/>
      <c r="C305" s="27"/>
      <c r="D305" s="67"/>
      <c r="E305" s="68"/>
      <c r="F305" s="17"/>
      <c r="G305" s="27"/>
    </row>
    <row r="306" spans="2:7" ht="20.25" customHeight="1" x14ac:dyDescent="0.3">
      <c r="B306" s="17"/>
      <c r="C306" s="27"/>
      <c r="D306" s="67"/>
      <c r="E306" s="68"/>
      <c r="F306" s="17"/>
      <c r="G306" s="27"/>
    </row>
    <row r="307" spans="2:7" ht="20.25" customHeight="1" x14ac:dyDescent="0.3">
      <c r="B307" s="17"/>
      <c r="C307" s="27"/>
      <c r="D307" s="67"/>
      <c r="E307" s="68"/>
      <c r="F307" s="17"/>
      <c r="G307" s="27"/>
    </row>
    <row r="308" spans="2:7" ht="20.25" customHeight="1" x14ac:dyDescent="0.3">
      <c r="B308" s="17"/>
      <c r="C308" s="27"/>
      <c r="D308" s="67"/>
      <c r="E308" s="68"/>
      <c r="F308" s="17"/>
      <c r="G308" s="27"/>
    </row>
    <row r="309" spans="2:7" ht="20.25" customHeight="1" x14ac:dyDescent="0.3">
      <c r="B309" s="17"/>
      <c r="C309" s="27"/>
      <c r="D309" s="67"/>
      <c r="E309" s="68"/>
      <c r="F309" s="17"/>
      <c r="G309" s="27"/>
    </row>
    <row r="310" spans="2:7" ht="20.25" customHeight="1" x14ac:dyDescent="0.3">
      <c r="B310" s="17"/>
      <c r="C310" s="27"/>
      <c r="D310" s="67"/>
      <c r="E310" s="68"/>
      <c r="F310" s="17"/>
      <c r="G310" s="27"/>
    </row>
    <row r="311" spans="2:7" ht="20.25" customHeight="1" x14ac:dyDescent="0.3">
      <c r="B311" s="17"/>
      <c r="C311" s="27"/>
      <c r="D311" s="67"/>
      <c r="E311" s="68"/>
      <c r="F311" s="17"/>
      <c r="G311" s="27"/>
    </row>
    <row r="312" spans="2:7" ht="20.25" customHeight="1" x14ac:dyDescent="0.3">
      <c r="B312" s="17"/>
      <c r="C312" s="27"/>
      <c r="D312" s="67"/>
      <c r="E312" s="68"/>
      <c r="F312" s="17"/>
      <c r="G312" s="27"/>
    </row>
    <row r="313" spans="2:7" ht="20.25" customHeight="1" x14ac:dyDescent="0.3">
      <c r="B313" s="17"/>
      <c r="C313" s="27"/>
      <c r="D313" s="67"/>
      <c r="E313" s="68"/>
      <c r="F313" s="17"/>
      <c r="G313" s="27"/>
    </row>
    <row r="314" spans="2:7" ht="20.25" customHeight="1" x14ac:dyDescent="0.3">
      <c r="B314" s="17"/>
      <c r="C314" s="27"/>
      <c r="D314" s="67"/>
      <c r="E314" s="68"/>
      <c r="F314" s="17"/>
      <c r="G314" s="27"/>
    </row>
    <row r="315" spans="2:7" ht="20.25" customHeight="1" x14ac:dyDescent="0.3">
      <c r="B315" s="17"/>
      <c r="C315" s="27"/>
      <c r="D315" s="67"/>
      <c r="E315" s="68"/>
      <c r="F315" s="17"/>
      <c r="G315" s="27"/>
    </row>
    <row r="316" spans="2:7" ht="20.25" customHeight="1" x14ac:dyDescent="0.3">
      <c r="B316" s="17"/>
      <c r="C316" s="27"/>
      <c r="D316" s="67"/>
      <c r="E316" s="68"/>
      <c r="F316" s="17"/>
      <c r="G316" s="27"/>
    </row>
    <row r="317" spans="2:7" ht="20.25" customHeight="1" x14ac:dyDescent="0.3">
      <c r="B317" s="17"/>
      <c r="C317" s="27"/>
      <c r="D317" s="67"/>
      <c r="E317" s="68"/>
      <c r="F317" s="17"/>
      <c r="G317" s="27"/>
    </row>
    <row r="318" spans="2:7" ht="20.25" customHeight="1" x14ac:dyDescent="0.3">
      <c r="B318" s="17"/>
      <c r="C318" s="27"/>
      <c r="D318" s="67"/>
      <c r="E318" s="68"/>
      <c r="F318" s="17"/>
      <c r="G318" s="27"/>
    </row>
    <row r="319" spans="2:7" ht="20.25" customHeight="1" x14ac:dyDescent="0.3">
      <c r="B319" s="17"/>
      <c r="C319" s="27"/>
      <c r="D319" s="67"/>
      <c r="E319" s="68"/>
      <c r="F319" s="17"/>
      <c r="G319" s="27"/>
    </row>
    <row r="320" spans="2:7" ht="20.25" customHeight="1" x14ac:dyDescent="0.3">
      <c r="B320" s="17"/>
      <c r="C320" s="27"/>
      <c r="D320" s="67"/>
      <c r="E320" s="68"/>
      <c r="F320" s="17"/>
      <c r="G320" s="27"/>
    </row>
    <row r="321" spans="2:7" ht="20.25" customHeight="1" x14ac:dyDescent="0.3">
      <c r="B321" s="17"/>
      <c r="C321" s="27"/>
      <c r="D321" s="67"/>
      <c r="E321" s="68"/>
      <c r="F321" s="17"/>
      <c r="G321" s="27"/>
    </row>
    <row r="322" spans="2:7" ht="20.25" customHeight="1" x14ac:dyDescent="0.3">
      <c r="B322" s="17"/>
      <c r="C322" s="27"/>
      <c r="D322" s="67"/>
      <c r="E322" s="68"/>
      <c r="F322" s="17"/>
      <c r="G322" s="27"/>
    </row>
    <row r="323" spans="2:7" ht="20.25" customHeight="1" x14ac:dyDescent="0.3">
      <c r="B323" s="17"/>
      <c r="C323" s="27"/>
      <c r="D323" s="67"/>
      <c r="E323" s="68"/>
      <c r="F323" s="17"/>
      <c r="G323" s="27"/>
    </row>
    <row r="324" spans="2:7" ht="20.25" customHeight="1" x14ac:dyDescent="0.3">
      <c r="B324" s="17"/>
      <c r="C324" s="27"/>
      <c r="D324" s="67"/>
      <c r="E324" s="68"/>
      <c r="F324" s="17"/>
      <c r="G324" s="27"/>
    </row>
    <row r="325" spans="2:7" ht="20.25" customHeight="1" x14ac:dyDescent="0.3">
      <c r="B325" s="17"/>
      <c r="C325" s="27"/>
      <c r="D325" s="67"/>
      <c r="E325" s="68"/>
      <c r="F325" s="17"/>
      <c r="G325" s="27"/>
    </row>
    <row r="326" spans="2:7" ht="20.25" customHeight="1" x14ac:dyDescent="0.3">
      <c r="B326" s="17"/>
      <c r="C326" s="27"/>
      <c r="D326" s="67"/>
      <c r="E326" s="68"/>
      <c r="F326" s="17"/>
      <c r="G326" s="27"/>
    </row>
    <row r="327" spans="2:7" ht="20.25" customHeight="1" x14ac:dyDescent="0.3">
      <c r="B327" s="17"/>
      <c r="C327" s="27"/>
      <c r="D327" s="67"/>
      <c r="E327" s="68"/>
      <c r="F327" s="17"/>
      <c r="G327" s="27"/>
    </row>
    <row r="328" spans="2:7" ht="20.25" customHeight="1" x14ac:dyDescent="0.3">
      <c r="B328" s="17"/>
      <c r="C328" s="27"/>
      <c r="D328" s="67"/>
      <c r="E328" s="68"/>
      <c r="F328" s="17"/>
      <c r="G328" s="27"/>
    </row>
    <row r="329" spans="2:7" ht="20.25" customHeight="1" x14ac:dyDescent="0.3">
      <c r="B329" s="17"/>
      <c r="C329" s="27"/>
      <c r="D329" s="67"/>
      <c r="E329" s="68"/>
      <c r="F329" s="17"/>
      <c r="G329" s="27"/>
    </row>
    <row r="330" spans="2:7" ht="20.25" customHeight="1" x14ac:dyDescent="0.3">
      <c r="B330" s="17"/>
      <c r="C330" s="27"/>
      <c r="D330" s="67"/>
      <c r="E330" s="68"/>
      <c r="F330" s="17"/>
      <c r="G330" s="27"/>
    </row>
    <row r="331" spans="2:7" ht="20.25" customHeight="1" x14ac:dyDescent="0.3">
      <c r="B331" s="17"/>
      <c r="C331" s="27"/>
      <c r="D331" s="67"/>
      <c r="E331" s="68"/>
      <c r="F331" s="17"/>
      <c r="G331" s="27"/>
    </row>
    <row r="332" spans="2:7" ht="20.25" customHeight="1" x14ac:dyDescent="0.3">
      <c r="B332" s="17"/>
      <c r="C332" s="27"/>
      <c r="D332" s="67"/>
      <c r="E332" s="68"/>
      <c r="F332" s="17"/>
      <c r="G332" s="27"/>
    </row>
    <row r="333" spans="2:7" ht="20.25" customHeight="1" x14ac:dyDescent="0.3">
      <c r="B333" s="17"/>
      <c r="C333" s="27"/>
      <c r="D333" s="67"/>
      <c r="E333" s="68"/>
      <c r="F333" s="17"/>
      <c r="G333" s="27"/>
    </row>
    <row r="334" spans="2:7" ht="20.25" customHeight="1" x14ac:dyDescent="0.3">
      <c r="B334" s="17"/>
      <c r="C334" s="27"/>
      <c r="D334" s="67"/>
      <c r="E334" s="68"/>
      <c r="F334" s="17"/>
      <c r="G334" s="27"/>
    </row>
    <row r="335" spans="2:7" ht="20.25" customHeight="1" x14ac:dyDescent="0.3">
      <c r="B335" s="17"/>
      <c r="C335" s="27"/>
      <c r="D335" s="67"/>
      <c r="E335" s="68"/>
      <c r="F335" s="17"/>
      <c r="G335" s="27"/>
    </row>
    <row r="336" spans="2:7" ht="20.25" customHeight="1" x14ac:dyDescent="0.3">
      <c r="B336" s="17"/>
      <c r="C336" s="27"/>
      <c r="D336" s="67"/>
      <c r="E336" s="68"/>
      <c r="F336" s="17"/>
      <c r="G336" s="27"/>
    </row>
    <row r="337" spans="2:7" ht="20.25" customHeight="1" x14ac:dyDescent="0.3">
      <c r="B337" s="17"/>
      <c r="C337" s="27"/>
      <c r="D337" s="67"/>
      <c r="E337" s="68"/>
      <c r="F337" s="17"/>
      <c r="G337" s="27"/>
    </row>
    <row r="338" spans="2:7" ht="20.25" customHeight="1" x14ac:dyDescent="0.3">
      <c r="B338" s="17"/>
      <c r="C338" s="27"/>
      <c r="D338" s="67"/>
      <c r="E338" s="68"/>
      <c r="F338" s="17"/>
      <c r="G338" s="27"/>
    </row>
    <row r="339" spans="2:7" ht="20.25" customHeight="1" x14ac:dyDescent="0.3">
      <c r="B339" s="17"/>
      <c r="C339" s="27"/>
      <c r="D339" s="67"/>
      <c r="E339" s="68"/>
      <c r="F339" s="17"/>
      <c r="G339" s="27"/>
    </row>
    <row r="340" spans="2:7" ht="20.25" customHeight="1" x14ac:dyDescent="0.3">
      <c r="B340" s="17"/>
      <c r="C340" s="27"/>
      <c r="D340" s="67"/>
      <c r="E340" s="68"/>
      <c r="F340" s="17"/>
      <c r="G340" s="27"/>
    </row>
    <row r="341" spans="2:7" ht="20.25" customHeight="1" x14ac:dyDescent="0.3">
      <c r="B341" s="17"/>
      <c r="C341" s="27"/>
      <c r="D341" s="67"/>
      <c r="E341" s="68"/>
      <c r="F341" s="17"/>
      <c r="G341" s="27"/>
    </row>
    <row r="342" spans="2:7" ht="20.25" customHeight="1" x14ac:dyDescent="0.3">
      <c r="B342" s="17"/>
      <c r="C342" s="27"/>
      <c r="D342" s="67"/>
      <c r="E342" s="68"/>
      <c r="F342" s="17"/>
      <c r="G342" s="27"/>
    </row>
    <row r="343" spans="2:7" ht="20.25" customHeight="1" x14ac:dyDescent="0.3">
      <c r="B343" s="17"/>
      <c r="C343" s="27"/>
      <c r="D343" s="67"/>
      <c r="E343" s="68"/>
      <c r="F343" s="17"/>
      <c r="G343" s="27"/>
    </row>
    <row r="344" spans="2:7" ht="20.25" customHeight="1" x14ac:dyDescent="0.3">
      <c r="B344" s="17"/>
      <c r="C344" s="27"/>
      <c r="D344" s="67"/>
      <c r="E344" s="68"/>
      <c r="F344" s="17"/>
      <c r="G344" s="27"/>
    </row>
    <row r="345" spans="2:7" ht="20.25" customHeight="1" x14ac:dyDescent="0.3">
      <c r="B345" s="17"/>
      <c r="C345" s="27"/>
      <c r="D345" s="67"/>
      <c r="E345" s="68"/>
      <c r="F345" s="17"/>
      <c r="G345" s="27"/>
    </row>
    <row r="346" spans="2:7" ht="20.25" customHeight="1" x14ac:dyDescent="0.3">
      <c r="B346" s="17"/>
      <c r="C346" s="27"/>
      <c r="D346" s="67"/>
      <c r="E346" s="68"/>
      <c r="F346" s="17"/>
      <c r="G346" s="27"/>
    </row>
    <row r="347" spans="2:7" ht="20.25" customHeight="1" x14ac:dyDescent="0.3">
      <c r="B347" s="17"/>
      <c r="C347" s="27"/>
      <c r="D347" s="67"/>
      <c r="E347" s="68"/>
      <c r="F347" s="17"/>
      <c r="G347" s="27"/>
    </row>
    <row r="348" spans="2:7" ht="20.25" customHeight="1" x14ac:dyDescent="0.3">
      <c r="B348" s="17"/>
      <c r="C348" s="27"/>
      <c r="D348" s="67"/>
      <c r="E348" s="68"/>
      <c r="F348" s="17"/>
      <c r="G348" s="27"/>
    </row>
    <row r="349" spans="2:7" ht="20.25" customHeight="1" x14ac:dyDescent="0.3">
      <c r="B349" s="17"/>
      <c r="C349" s="27"/>
      <c r="D349" s="67"/>
      <c r="E349" s="68"/>
      <c r="F349" s="17"/>
      <c r="G349" s="27"/>
    </row>
    <row r="350" spans="2:7" ht="20.25" customHeight="1" x14ac:dyDescent="0.3">
      <c r="B350" s="17"/>
      <c r="C350" s="27"/>
      <c r="D350" s="67"/>
      <c r="E350" s="68"/>
      <c r="F350" s="17"/>
      <c r="G350" s="27"/>
    </row>
    <row r="351" spans="2:7" ht="20.25" customHeight="1" x14ac:dyDescent="0.3">
      <c r="B351" s="17"/>
      <c r="C351" s="27"/>
      <c r="D351" s="67"/>
      <c r="E351" s="68"/>
      <c r="F351" s="17"/>
      <c r="G351" s="27"/>
    </row>
    <row r="352" spans="2:7" ht="20.25" customHeight="1" x14ac:dyDescent="0.3">
      <c r="B352" s="17"/>
      <c r="C352" s="27"/>
      <c r="D352" s="67"/>
      <c r="E352" s="68"/>
      <c r="F352" s="17"/>
      <c r="G352" s="27"/>
    </row>
    <row r="353" spans="2:7" ht="20.25" customHeight="1" x14ac:dyDescent="0.3">
      <c r="B353" s="17"/>
      <c r="C353" s="27"/>
      <c r="D353" s="67"/>
      <c r="E353" s="68"/>
      <c r="F353" s="17"/>
      <c r="G353" s="27"/>
    </row>
    <row r="354" spans="2:7" ht="20.25" customHeight="1" x14ac:dyDescent="0.3">
      <c r="B354" s="17"/>
      <c r="C354" s="27"/>
      <c r="D354" s="67"/>
      <c r="E354" s="68"/>
      <c r="F354" s="17"/>
      <c r="G354" s="27"/>
    </row>
    <row r="355" spans="2:7" ht="20.25" customHeight="1" x14ac:dyDescent="0.3">
      <c r="B355" s="17"/>
      <c r="C355" s="27"/>
      <c r="D355" s="67"/>
      <c r="E355" s="68"/>
      <c r="F355" s="17"/>
      <c r="G355" s="27"/>
    </row>
    <row r="356" spans="2:7" ht="20.25" customHeight="1" x14ac:dyDescent="0.3">
      <c r="B356" s="17"/>
      <c r="C356" s="27"/>
      <c r="D356" s="67"/>
      <c r="E356" s="68"/>
      <c r="F356" s="17"/>
      <c r="G356" s="27"/>
    </row>
    <row r="357" spans="2:7" ht="20.25" customHeight="1" x14ac:dyDescent="0.3">
      <c r="B357" s="17"/>
      <c r="C357" s="27"/>
      <c r="D357" s="67"/>
      <c r="E357" s="68"/>
      <c r="F357" s="17"/>
      <c r="G357" s="27"/>
    </row>
    <row r="358" spans="2:7" ht="20.25" customHeight="1" x14ac:dyDescent="0.3">
      <c r="B358" s="17"/>
      <c r="C358" s="27"/>
      <c r="D358" s="67"/>
      <c r="E358" s="68"/>
      <c r="F358" s="17"/>
      <c r="G358" s="27"/>
    </row>
    <row r="359" spans="2:7" ht="20.25" customHeight="1" x14ac:dyDescent="0.3">
      <c r="B359" s="17"/>
      <c r="C359" s="27"/>
      <c r="D359" s="67"/>
      <c r="E359" s="68"/>
      <c r="F359" s="17"/>
      <c r="G359" s="27"/>
    </row>
    <row r="360" spans="2:7" ht="20.25" customHeight="1" x14ac:dyDescent="0.3">
      <c r="B360" s="17"/>
      <c r="C360" s="27"/>
      <c r="D360" s="67"/>
      <c r="E360" s="68"/>
      <c r="F360" s="17"/>
      <c r="G360" s="27"/>
    </row>
    <row r="361" spans="2:7" ht="20.25" customHeight="1" x14ac:dyDescent="0.3">
      <c r="B361" s="17"/>
      <c r="C361" s="27"/>
      <c r="D361" s="67"/>
      <c r="E361" s="68"/>
      <c r="F361" s="17"/>
      <c r="G361" s="27"/>
    </row>
    <row r="362" spans="2:7" ht="20.25" customHeight="1" x14ac:dyDescent="0.3">
      <c r="B362" s="17"/>
      <c r="C362" s="27"/>
      <c r="D362" s="67"/>
      <c r="E362" s="68"/>
      <c r="F362" s="17"/>
      <c r="G362" s="27"/>
    </row>
    <row r="363" spans="2:7" ht="20.25" customHeight="1" x14ac:dyDescent="0.3">
      <c r="B363" s="17"/>
      <c r="C363" s="27"/>
      <c r="D363" s="67"/>
      <c r="E363" s="68"/>
      <c r="F363" s="17"/>
      <c r="G363" s="27"/>
    </row>
    <row r="364" spans="2:7" ht="20.25" customHeight="1" x14ac:dyDescent="0.3">
      <c r="B364" s="17"/>
      <c r="C364" s="27"/>
      <c r="D364" s="67"/>
      <c r="E364" s="68"/>
      <c r="F364" s="17"/>
      <c r="G364" s="27"/>
    </row>
    <row r="365" spans="2:7" ht="20.25" customHeight="1" x14ac:dyDescent="0.3">
      <c r="B365" s="17"/>
      <c r="C365" s="27"/>
      <c r="D365" s="67"/>
      <c r="E365" s="68"/>
      <c r="F365" s="17"/>
      <c r="G365" s="27"/>
    </row>
    <row r="366" spans="2:7" ht="20.25" customHeight="1" x14ac:dyDescent="0.3">
      <c r="B366" s="17"/>
      <c r="C366" s="27"/>
      <c r="D366" s="67"/>
      <c r="E366" s="68"/>
      <c r="F366" s="17"/>
      <c r="G366" s="27"/>
    </row>
    <row r="367" spans="2:7" ht="20.25" customHeight="1" x14ac:dyDescent="0.3">
      <c r="B367" s="17"/>
      <c r="C367" s="27"/>
      <c r="D367" s="67"/>
      <c r="E367" s="68"/>
      <c r="F367" s="17"/>
      <c r="G367" s="27"/>
    </row>
    <row r="368" spans="2:7" ht="20.25" customHeight="1" x14ac:dyDescent="0.3">
      <c r="B368" s="17"/>
      <c r="C368" s="27"/>
      <c r="D368" s="67"/>
      <c r="E368" s="68"/>
      <c r="F368" s="17"/>
      <c r="G368" s="27"/>
    </row>
    <row r="369" spans="2:7" ht="20.25" customHeight="1" x14ac:dyDescent="0.3">
      <c r="B369" s="17"/>
      <c r="C369" s="27"/>
      <c r="D369" s="67"/>
      <c r="E369" s="68"/>
      <c r="F369" s="17"/>
      <c r="G369" s="27"/>
    </row>
    <row r="370" spans="2:7" ht="20.25" customHeight="1" x14ac:dyDescent="0.3">
      <c r="B370" s="17"/>
      <c r="C370" s="27"/>
      <c r="D370" s="67"/>
      <c r="E370" s="68"/>
      <c r="F370" s="17"/>
      <c r="G370" s="27"/>
    </row>
    <row r="371" spans="2:7" ht="20.25" customHeight="1" x14ac:dyDescent="0.3">
      <c r="B371" s="17"/>
      <c r="C371" s="27"/>
      <c r="D371" s="67"/>
      <c r="E371" s="68"/>
      <c r="F371" s="17"/>
      <c r="G371" s="27"/>
    </row>
    <row r="372" spans="2:7" ht="20.25" customHeight="1" x14ac:dyDescent="0.3">
      <c r="B372" s="17"/>
      <c r="C372" s="27"/>
      <c r="D372" s="67"/>
      <c r="E372" s="68"/>
      <c r="F372" s="17"/>
      <c r="G372" s="27"/>
    </row>
    <row r="373" spans="2:7" ht="20.25" customHeight="1" x14ac:dyDescent="0.3">
      <c r="B373" s="17"/>
      <c r="C373" s="27"/>
      <c r="D373" s="67"/>
      <c r="E373" s="68"/>
      <c r="F373" s="17"/>
      <c r="G373" s="27"/>
    </row>
    <row r="374" spans="2:7" ht="20.25" customHeight="1" x14ac:dyDescent="0.3">
      <c r="B374" s="17"/>
      <c r="C374" s="27"/>
      <c r="D374" s="67"/>
      <c r="E374" s="68"/>
      <c r="F374" s="17"/>
      <c r="G374" s="27"/>
    </row>
    <row r="375" spans="2:7" ht="20.25" customHeight="1" x14ac:dyDescent="0.3">
      <c r="B375" s="17"/>
      <c r="C375" s="27"/>
      <c r="D375" s="67"/>
      <c r="E375" s="68"/>
      <c r="F375" s="17"/>
      <c r="G375" s="27"/>
    </row>
    <row r="376" spans="2:7" ht="20.25" customHeight="1" x14ac:dyDescent="0.3">
      <c r="B376" s="17"/>
      <c r="C376" s="27"/>
      <c r="D376" s="67"/>
      <c r="E376" s="68"/>
      <c r="F376" s="17"/>
      <c r="G376" s="27"/>
    </row>
    <row r="377" spans="2:7" ht="20.25" customHeight="1" x14ac:dyDescent="0.3">
      <c r="B377" s="17"/>
      <c r="C377" s="27"/>
      <c r="D377" s="67"/>
      <c r="E377" s="68"/>
      <c r="F377" s="17"/>
      <c r="G377" s="27"/>
    </row>
    <row r="378" spans="2:7" ht="20.25" customHeight="1" x14ac:dyDescent="0.3">
      <c r="B378" s="17"/>
      <c r="C378" s="27"/>
      <c r="D378" s="67"/>
      <c r="E378" s="68"/>
      <c r="F378" s="17"/>
      <c r="G378" s="27"/>
    </row>
    <row r="379" spans="2:7" ht="20.25" customHeight="1" x14ac:dyDescent="0.3">
      <c r="B379" s="17"/>
      <c r="C379" s="27"/>
      <c r="D379" s="67"/>
      <c r="E379" s="68"/>
      <c r="F379" s="17"/>
      <c r="G379" s="27"/>
    </row>
    <row r="380" spans="2:7" ht="20.25" customHeight="1" x14ac:dyDescent="0.3">
      <c r="B380" s="17"/>
      <c r="C380" s="27"/>
      <c r="D380" s="67"/>
      <c r="E380" s="68"/>
      <c r="F380" s="17"/>
      <c r="G380" s="27"/>
    </row>
    <row r="381" spans="2:7" ht="20.25" customHeight="1" x14ac:dyDescent="0.3">
      <c r="B381" s="17"/>
      <c r="C381" s="27"/>
      <c r="D381" s="67"/>
      <c r="E381" s="68"/>
      <c r="F381" s="17"/>
      <c r="G381" s="27"/>
    </row>
    <row r="382" spans="2:7" ht="20.25" customHeight="1" x14ac:dyDescent="0.3">
      <c r="B382" s="17"/>
      <c r="C382" s="27"/>
      <c r="D382" s="67"/>
      <c r="E382" s="68"/>
      <c r="F382" s="17"/>
      <c r="G382" s="27"/>
    </row>
    <row r="383" spans="2:7" ht="20.25" customHeight="1" x14ac:dyDescent="0.3">
      <c r="B383" s="17"/>
      <c r="C383" s="27"/>
      <c r="D383" s="67"/>
      <c r="E383" s="68"/>
      <c r="F383" s="17"/>
      <c r="G383" s="27"/>
    </row>
    <row r="384" spans="2:7" ht="20.25" customHeight="1" x14ac:dyDescent="0.3">
      <c r="B384" s="17"/>
      <c r="C384" s="27"/>
      <c r="D384" s="67"/>
      <c r="E384" s="68"/>
      <c r="F384" s="17"/>
      <c r="G384" s="27"/>
    </row>
    <row r="385" spans="2:7" ht="20.25" customHeight="1" x14ac:dyDescent="0.3">
      <c r="B385" s="17"/>
      <c r="C385" s="27"/>
      <c r="D385" s="67"/>
      <c r="E385" s="68"/>
      <c r="F385" s="17"/>
      <c r="G385" s="27"/>
    </row>
    <row r="386" spans="2:7" ht="20.25" customHeight="1" x14ac:dyDescent="0.3">
      <c r="B386" s="17"/>
      <c r="C386" s="27"/>
      <c r="D386" s="67"/>
      <c r="E386" s="68"/>
      <c r="F386" s="17"/>
      <c r="G386" s="27"/>
    </row>
    <row r="387" spans="2:7" ht="20.25" customHeight="1" x14ac:dyDescent="0.3">
      <c r="B387" s="17"/>
      <c r="C387" s="27"/>
      <c r="D387" s="67"/>
      <c r="E387" s="68"/>
      <c r="F387" s="17"/>
      <c r="G387" s="27"/>
    </row>
    <row r="388" spans="2:7" ht="20.25" customHeight="1" x14ac:dyDescent="0.3">
      <c r="B388" s="17"/>
      <c r="C388" s="27"/>
      <c r="D388" s="67"/>
      <c r="E388" s="68"/>
      <c r="F388" s="17"/>
      <c r="G388" s="27"/>
    </row>
    <row r="389" spans="2:7" ht="20.25" customHeight="1" x14ac:dyDescent="0.3">
      <c r="B389" s="17"/>
      <c r="C389" s="27"/>
      <c r="D389" s="67"/>
      <c r="E389" s="68"/>
      <c r="F389" s="17"/>
      <c r="G389" s="27"/>
    </row>
    <row r="390" spans="2:7" ht="20.25" customHeight="1" x14ac:dyDescent="0.3">
      <c r="B390" s="17"/>
      <c r="C390" s="27"/>
      <c r="D390" s="67"/>
      <c r="E390" s="68"/>
      <c r="F390" s="17"/>
      <c r="G390" s="27"/>
    </row>
    <row r="391" spans="2:7" ht="20.25" customHeight="1" x14ac:dyDescent="0.3">
      <c r="B391" s="17"/>
      <c r="C391" s="27"/>
      <c r="D391" s="67"/>
      <c r="E391" s="68"/>
      <c r="F391" s="17"/>
      <c r="G391" s="27"/>
    </row>
    <row r="392" spans="2:7" ht="20.25" customHeight="1" x14ac:dyDescent="0.3">
      <c r="B392" s="17"/>
      <c r="C392" s="27"/>
      <c r="D392" s="67"/>
      <c r="E392" s="68"/>
      <c r="F392" s="17"/>
      <c r="G392" s="27"/>
    </row>
    <row r="393" spans="2:7" ht="20.25" customHeight="1" x14ac:dyDescent="0.3">
      <c r="B393" s="17"/>
      <c r="C393" s="27"/>
      <c r="D393" s="67"/>
      <c r="E393" s="68"/>
      <c r="F393" s="17"/>
      <c r="G393" s="27"/>
    </row>
    <row r="394" spans="2:7" ht="20.25" customHeight="1" x14ac:dyDescent="0.3">
      <c r="B394" s="17"/>
      <c r="C394" s="27"/>
      <c r="D394" s="67"/>
      <c r="E394" s="68"/>
      <c r="F394" s="17"/>
      <c r="G394" s="27"/>
    </row>
    <row r="395" spans="2:7" ht="20.25" customHeight="1" x14ac:dyDescent="0.3">
      <c r="B395" s="17"/>
      <c r="C395" s="27"/>
      <c r="D395" s="67"/>
      <c r="E395" s="68"/>
      <c r="F395" s="17"/>
      <c r="G395" s="27"/>
    </row>
    <row r="396" spans="2:7" ht="20.25" customHeight="1" x14ac:dyDescent="0.3">
      <c r="B396" s="17"/>
      <c r="C396" s="27"/>
      <c r="D396" s="67"/>
      <c r="E396" s="68"/>
      <c r="F396" s="17"/>
      <c r="G396" s="27"/>
    </row>
    <row r="397" spans="2:7" ht="20.25" customHeight="1" x14ac:dyDescent="0.3">
      <c r="B397" s="17"/>
      <c r="C397" s="27"/>
      <c r="D397" s="67"/>
      <c r="E397" s="68"/>
      <c r="F397" s="17"/>
      <c r="G397" s="27"/>
    </row>
    <row r="398" spans="2:7" ht="20.25" customHeight="1" x14ac:dyDescent="0.3">
      <c r="B398" s="17"/>
      <c r="C398" s="27"/>
      <c r="D398" s="67"/>
      <c r="E398" s="68"/>
      <c r="F398" s="17"/>
      <c r="G398" s="27"/>
    </row>
    <row r="399" spans="2:7" ht="20.25" customHeight="1" x14ac:dyDescent="0.3">
      <c r="B399" s="17"/>
      <c r="C399" s="27"/>
      <c r="D399" s="67"/>
      <c r="E399" s="68"/>
      <c r="F399" s="17"/>
      <c r="G399" s="27"/>
    </row>
    <row r="400" spans="2:7" ht="20.25" customHeight="1" x14ac:dyDescent="0.3">
      <c r="B400" s="17"/>
      <c r="C400" s="27"/>
      <c r="D400" s="67"/>
      <c r="E400" s="68"/>
      <c r="F400" s="17"/>
      <c r="G400" s="27"/>
    </row>
    <row r="401" spans="2:7" ht="20.25" customHeight="1" x14ac:dyDescent="0.3">
      <c r="B401" s="17"/>
      <c r="C401" s="27"/>
      <c r="D401" s="67"/>
      <c r="E401" s="68"/>
      <c r="F401" s="17"/>
      <c r="G401" s="27"/>
    </row>
    <row r="402" spans="2:7" ht="20.25" customHeight="1" x14ac:dyDescent="0.3">
      <c r="B402" s="17"/>
      <c r="C402" s="27"/>
      <c r="D402" s="67"/>
      <c r="E402" s="68"/>
      <c r="F402" s="17"/>
      <c r="G402" s="27"/>
    </row>
    <row r="403" spans="2:7" ht="20.25" customHeight="1" x14ac:dyDescent="0.3">
      <c r="B403" s="17"/>
      <c r="C403" s="27"/>
      <c r="D403" s="67"/>
      <c r="E403" s="68"/>
      <c r="F403" s="17"/>
      <c r="G403" s="27"/>
    </row>
    <row r="404" spans="2:7" ht="20.25" customHeight="1" x14ac:dyDescent="0.3">
      <c r="B404" s="17"/>
      <c r="C404" s="27"/>
      <c r="D404" s="67"/>
      <c r="E404" s="68"/>
      <c r="F404" s="17"/>
      <c r="G404" s="27"/>
    </row>
    <row r="405" spans="2:7" ht="20.25" customHeight="1" x14ac:dyDescent="0.3">
      <c r="B405" s="17"/>
      <c r="C405" s="27"/>
      <c r="D405" s="67"/>
      <c r="E405" s="68"/>
      <c r="F405" s="17"/>
      <c r="G405" s="27"/>
    </row>
    <row r="406" spans="2:7" ht="20.25" customHeight="1" x14ac:dyDescent="0.3">
      <c r="B406" s="17"/>
      <c r="C406" s="27"/>
      <c r="D406" s="67"/>
      <c r="E406" s="68"/>
      <c r="F406" s="17"/>
      <c r="G406" s="27"/>
    </row>
    <row r="407" spans="2:7" ht="20.25" customHeight="1" x14ac:dyDescent="0.3">
      <c r="B407" s="17"/>
      <c r="C407" s="27"/>
      <c r="D407" s="67"/>
      <c r="E407" s="68"/>
      <c r="F407" s="17"/>
      <c r="G407" s="27"/>
    </row>
    <row r="408" spans="2:7" ht="20.25" customHeight="1" x14ac:dyDescent="0.3">
      <c r="B408" s="17"/>
      <c r="C408" s="27"/>
      <c r="D408" s="67"/>
      <c r="E408" s="68"/>
      <c r="F408" s="17"/>
      <c r="G408" s="27"/>
    </row>
    <row r="409" spans="2:7" ht="20.25" customHeight="1" x14ac:dyDescent="0.3">
      <c r="B409" s="17"/>
      <c r="C409" s="27"/>
      <c r="D409" s="67"/>
      <c r="E409" s="68"/>
      <c r="F409" s="17"/>
      <c r="G409" s="27"/>
    </row>
    <row r="410" spans="2:7" ht="20.25" customHeight="1" x14ac:dyDescent="0.3">
      <c r="B410" s="17"/>
      <c r="C410" s="27"/>
      <c r="D410" s="67"/>
      <c r="E410" s="68"/>
      <c r="F410" s="17"/>
      <c r="G410" s="27"/>
    </row>
    <row r="411" spans="2:7" ht="20.25" customHeight="1" x14ac:dyDescent="0.3">
      <c r="B411" s="17"/>
      <c r="C411" s="27"/>
      <c r="D411" s="67"/>
      <c r="E411" s="68"/>
      <c r="F411" s="17"/>
      <c r="G411" s="27"/>
    </row>
    <row r="412" spans="2:7" ht="20.25" customHeight="1" x14ac:dyDescent="0.3">
      <c r="B412" s="17"/>
      <c r="C412" s="27"/>
      <c r="D412" s="67"/>
      <c r="E412" s="68"/>
      <c r="F412" s="17"/>
      <c r="G412" s="27"/>
    </row>
    <row r="413" spans="2:7" ht="20.25" customHeight="1" x14ac:dyDescent="0.3">
      <c r="B413" s="17"/>
      <c r="C413" s="27"/>
      <c r="D413" s="67"/>
      <c r="E413" s="68"/>
      <c r="F413" s="17"/>
      <c r="G413" s="27"/>
    </row>
    <row r="414" spans="2:7" ht="20.25" customHeight="1" x14ac:dyDescent="0.3">
      <c r="B414" s="17"/>
      <c r="C414" s="27"/>
      <c r="D414" s="67"/>
      <c r="E414" s="68"/>
      <c r="F414" s="17"/>
      <c r="G414" s="27"/>
    </row>
    <row r="415" spans="2:7" ht="20.25" customHeight="1" x14ac:dyDescent="0.3">
      <c r="B415" s="17"/>
      <c r="C415" s="27"/>
      <c r="D415" s="67"/>
      <c r="E415" s="68"/>
      <c r="F415" s="17"/>
      <c r="G415" s="27"/>
    </row>
    <row r="416" spans="2:7" ht="20.25" customHeight="1" x14ac:dyDescent="0.3">
      <c r="B416" s="17"/>
      <c r="C416" s="27"/>
      <c r="D416" s="67"/>
      <c r="E416" s="68"/>
      <c r="F416" s="17"/>
      <c r="G416" s="27"/>
    </row>
    <row r="417" spans="2:7" ht="20.25" customHeight="1" x14ac:dyDescent="0.3">
      <c r="B417" s="17"/>
      <c r="C417" s="27"/>
      <c r="D417" s="67"/>
      <c r="E417" s="68"/>
      <c r="F417" s="17"/>
      <c r="G417" s="27"/>
    </row>
    <row r="418" spans="2:7" ht="20.25" customHeight="1" x14ac:dyDescent="0.3">
      <c r="B418" s="17"/>
      <c r="C418" s="27"/>
      <c r="D418" s="67"/>
      <c r="E418" s="68"/>
      <c r="F418" s="17"/>
      <c r="G418" s="27"/>
    </row>
    <row r="419" spans="2:7" ht="20.25" customHeight="1" x14ac:dyDescent="0.3">
      <c r="B419" s="17"/>
      <c r="C419" s="27"/>
      <c r="D419" s="67"/>
      <c r="E419" s="68"/>
      <c r="F419" s="17"/>
      <c r="G419" s="27"/>
    </row>
    <row r="420" spans="2:7" ht="20.25" customHeight="1" x14ac:dyDescent="0.3">
      <c r="B420" s="17"/>
      <c r="C420" s="27"/>
      <c r="D420" s="67"/>
      <c r="E420" s="68"/>
      <c r="F420" s="17"/>
      <c r="G420" s="27"/>
    </row>
    <row r="421" spans="2:7" ht="20.25" customHeight="1" x14ac:dyDescent="0.3">
      <c r="B421" s="17"/>
      <c r="C421" s="27"/>
      <c r="D421" s="67"/>
      <c r="E421" s="68"/>
      <c r="F421" s="17"/>
      <c r="G421" s="27"/>
    </row>
    <row r="422" spans="2:7" ht="20.25" customHeight="1" x14ac:dyDescent="0.3">
      <c r="B422" s="17"/>
      <c r="C422" s="27"/>
      <c r="D422" s="67"/>
      <c r="E422" s="68"/>
      <c r="F422" s="17"/>
      <c r="G422" s="27"/>
    </row>
    <row r="423" spans="2:7" ht="20.25" customHeight="1" x14ac:dyDescent="0.3">
      <c r="B423" s="17"/>
      <c r="C423" s="27"/>
      <c r="D423" s="67"/>
      <c r="E423" s="68"/>
      <c r="F423" s="17"/>
      <c r="G423" s="27"/>
    </row>
    <row r="424" spans="2:7" ht="20.25" customHeight="1" x14ac:dyDescent="0.3">
      <c r="B424" s="17"/>
      <c r="C424" s="27"/>
      <c r="D424" s="67"/>
      <c r="E424" s="68"/>
      <c r="F424" s="17"/>
      <c r="G424" s="27"/>
    </row>
    <row r="425" spans="2:7" ht="20.25" customHeight="1" x14ac:dyDescent="0.3">
      <c r="B425" s="17"/>
      <c r="C425" s="27"/>
      <c r="D425" s="67"/>
      <c r="E425" s="68"/>
      <c r="F425" s="17"/>
      <c r="G425" s="27"/>
    </row>
    <row r="426" spans="2:7" ht="20.25" customHeight="1" x14ac:dyDescent="0.3">
      <c r="B426" s="17"/>
      <c r="C426" s="27"/>
      <c r="D426" s="67"/>
      <c r="E426" s="68"/>
      <c r="F426" s="17"/>
      <c r="G426" s="27"/>
    </row>
    <row r="427" spans="2:7" ht="20.25" customHeight="1" x14ac:dyDescent="0.3">
      <c r="B427" s="17"/>
      <c r="C427" s="27"/>
      <c r="D427" s="67"/>
      <c r="E427" s="68"/>
      <c r="F427" s="17"/>
      <c r="G427" s="27"/>
    </row>
    <row r="428" spans="2:7" ht="20.25" customHeight="1" x14ac:dyDescent="0.3">
      <c r="B428" s="17"/>
      <c r="C428" s="27"/>
      <c r="D428" s="67"/>
      <c r="E428" s="68"/>
      <c r="F428" s="17"/>
      <c r="G428" s="27"/>
    </row>
    <row r="429" spans="2:7" ht="20.25" customHeight="1" x14ac:dyDescent="0.3">
      <c r="B429" s="17"/>
      <c r="C429" s="27"/>
      <c r="D429" s="67"/>
      <c r="E429" s="68"/>
      <c r="F429" s="17"/>
      <c r="G429" s="27"/>
    </row>
    <row r="430" spans="2:7" ht="20.25" customHeight="1" x14ac:dyDescent="0.3">
      <c r="B430" s="17"/>
      <c r="C430" s="27"/>
      <c r="D430" s="67"/>
      <c r="E430" s="68"/>
      <c r="F430" s="17"/>
      <c r="G430" s="27"/>
    </row>
    <row r="431" spans="2:7" ht="20.25" customHeight="1" x14ac:dyDescent="0.3">
      <c r="B431" s="17"/>
      <c r="C431" s="27"/>
      <c r="D431" s="67"/>
      <c r="E431" s="68"/>
      <c r="F431" s="17"/>
      <c r="G431" s="27"/>
    </row>
    <row r="432" spans="2:7" ht="20.25" customHeight="1" x14ac:dyDescent="0.3">
      <c r="B432" s="17"/>
      <c r="C432" s="27"/>
      <c r="D432" s="67"/>
      <c r="E432" s="68"/>
      <c r="F432" s="17"/>
      <c r="G432" s="27"/>
    </row>
    <row r="433" spans="2:7" ht="20.25" customHeight="1" x14ac:dyDescent="0.3">
      <c r="B433" s="17"/>
      <c r="C433" s="27"/>
      <c r="D433" s="67"/>
      <c r="E433" s="68"/>
      <c r="F433" s="17"/>
      <c r="G433" s="27"/>
    </row>
    <row r="434" spans="2:7" ht="20.25" customHeight="1" x14ac:dyDescent="0.3">
      <c r="B434" s="17"/>
      <c r="C434" s="27"/>
      <c r="D434" s="67"/>
      <c r="E434" s="68"/>
      <c r="F434" s="17"/>
      <c r="G434" s="27"/>
    </row>
    <row r="435" spans="2:7" ht="20.25" customHeight="1" x14ac:dyDescent="0.3">
      <c r="B435" s="17"/>
      <c r="C435" s="27"/>
      <c r="D435" s="67"/>
      <c r="E435" s="68"/>
      <c r="F435" s="17"/>
      <c r="G435" s="27"/>
    </row>
    <row r="436" spans="2:7" ht="20.25" customHeight="1" x14ac:dyDescent="0.3">
      <c r="B436" s="17"/>
      <c r="C436" s="27"/>
      <c r="D436" s="67"/>
      <c r="E436" s="68"/>
      <c r="F436" s="17"/>
      <c r="G436" s="27"/>
    </row>
    <row r="437" spans="2:7" ht="20.25" customHeight="1" x14ac:dyDescent="0.3">
      <c r="B437" s="17"/>
      <c r="C437" s="27"/>
      <c r="D437" s="67"/>
      <c r="E437" s="68"/>
      <c r="F437" s="17"/>
      <c r="G437" s="27"/>
    </row>
    <row r="438" spans="2:7" ht="20.25" customHeight="1" x14ac:dyDescent="0.3">
      <c r="B438" s="17"/>
      <c r="C438" s="27"/>
      <c r="D438" s="67"/>
      <c r="E438" s="68"/>
      <c r="F438" s="17"/>
      <c r="G438" s="27"/>
    </row>
    <row r="439" spans="2:7" ht="20.25" customHeight="1" x14ac:dyDescent="0.3">
      <c r="B439" s="17"/>
      <c r="C439" s="27"/>
      <c r="D439" s="67"/>
      <c r="E439" s="68"/>
      <c r="F439" s="17"/>
      <c r="G439" s="27"/>
    </row>
    <row r="440" spans="2:7" ht="20.25" customHeight="1" x14ac:dyDescent="0.3">
      <c r="B440" s="17"/>
      <c r="C440" s="27"/>
      <c r="D440" s="67"/>
      <c r="E440" s="68"/>
      <c r="F440" s="17"/>
      <c r="G440" s="27"/>
    </row>
    <row r="441" spans="2:7" ht="20.25" customHeight="1" x14ac:dyDescent="0.3">
      <c r="B441" s="17"/>
      <c r="C441" s="27"/>
      <c r="D441" s="67"/>
      <c r="E441" s="68"/>
      <c r="F441" s="17"/>
      <c r="G441" s="27"/>
    </row>
    <row r="442" spans="2:7" ht="20.25" customHeight="1" x14ac:dyDescent="0.3">
      <c r="B442" s="17"/>
      <c r="C442" s="27"/>
      <c r="D442" s="67"/>
      <c r="E442" s="68"/>
      <c r="F442" s="17"/>
      <c r="G442" s="27"/>
    </row>
    <row r="443" spans="2:7" ht="20.25" customHeight="1" x14ac:dyDescent="0.3">
      <c r="B443" s="17"/>
      <c r="C443" s="27"/>
      <c r="D443" s="67"/>
      <c r="E443" s="68"/>
      <c r="F443" s="17"/>
      <c r="G443" s="27"/>
    </row>
    <row r="444" spans="2:7" ht="20.25" customHeight="1" x14ac:dyDescent="0.3">
      <c r="B444" s="17"/>
      <c r="C444" s="27"/>
      <c r="D444" s="67"/>
      <c r="E444" s="68"/>
      <c r="F444" s="17"/>
      <c r="G444" s="27"/>
    </row>
    <row r="445" spans="2:7" ht="20.25" customHeight="1" x14ac:dyDescent="0.3">
      <c r="B445" s="17"/>
      <c r="C445" s="27"/>
      <c r="D445" s="67"/>
      <c r="E445" s="68"/>
      <c r="F445" s="17"/>
      <c r="G445" s="27"/>
    </row>
    <row r="446" spans="2:7" ht="20.25" customHeight="1" x14ac:dyDescent="0.3">
      <c r="B446" s="17"/>
      <c r="C446" s="27"/>
      <c r="D446" s="67"/>
      <c r="E446" s="68"/>
      <c r="F446" s="17"/>
      <c r="G446" s="27"/>
    </row>
    <row r="447" spans="2:7" ht="20.25" customHeight="1" x14ac:dyDescent="0.3">
      <c r="B447" s="17"/>
      <c r="C447" s="27"/>
      <c r="D447" s="67"/>
      <c r="E447" s="68"/>
      <c r="F447" s="17"/>
      <c r="G447" s="27"/>
    </row>
    <row r="448" spans="2:7" ht="20.25" customHeight="1" x14ac:dyDescent="0.3">
      <c r="B448" s="17"/>
      <c r="C448" s="27"/>
      <c r="D448" s="67"/>
      <c r="E448" s="68"/>
      <c r="F448" s="17"/>
      <c r="G448" s="27"/>
    </row>
    <row r="449" spans="2:7" ht="20.25" customHeight="1" x14ac:dyDescent="0.3">
      <c r="B449" s="17"/>
      <c r="C449" s="27"/>
      <c r="D449" s="67"/>
      <c r="E449" s="68"/>
      <c r="F449" s="17"/>
      <c r="G449" s="27"/>
    </row>
    <row r="450" spans="2:7" ht="20.25" customHeight="1" x14ac:dyDescent="0.3">
      <c r="B450" s="17"/>
      <c r="C450" s="27"/>
      <c r="D450" s="67"/>
      <c r="E450" s="68"/>
      <c r="F450" s="17"/>
      <c r="G450" s="27"/>
    </row>
    <row r="451" spans="2:7" ht="20.25" customHeight="1" x14ac:dyDescent="0.3">
      <c r="B451" s="17"/>
      <c r="C451" s="27"/>
      <c r="D451" s="67"/>
      <c r="E451" s="68"/>
      <c r="F451" s="17"/>
      <c r="G451" s="27"/>
    </row>
    <row r="452" spans="2:7" ht="20.25" customHeight="1" x14ac:dyDescent="0.3">
      <c r="B452" s="17"/>
      <c r="C452" s="27"/>
      <c r="D452" s="67"/>
      <c r="E452" s="68"/>
      <c r="F452" s="17"/>
      <c r="G452" s="27"/>
    </row>
    <row r="453" spans="2:7" ht="20.25" customHeight="1" x14ac:dyDescent="0.3">
      <c r="B453" s="17"/>
      <c r="C453" s="27"/>
      <c r="D453" s="67"/>
      <c r="E453" s="68"/>
      <c r="F453" s="17"/>
      <c r="G453" s="27"/>
    </row>
    <row r="454" spans="2:7" ht="20.25" customHeight="1" x14ac:dyDescent="0.3">
      <c r="B454" s="17"/>
      <c r="C454" s="27"/>
      <c r="D454" s="67"/>
      <c r="E454" s="68"/>
      <c r="F454" s="17"/>
      <c r="G454" s="27"/>
    </row>
    <row r="455" spans="2:7" ht="20.25" customHeight="1" x14ac:dyDescent="0.3">
      <c r="B455" s="17"/>
      <c r="C455" s="27"/>
      <c r="D455" s="67"/>
      <c r="E455" s="68"/>
      <c r="F455" s="17"/>
      <c r="G455" s="27"/>
    </row>
    <row r="456" spans="2:7" ht="20.25" customHeight="1" x14ac:dyDescent="0.3">
      <c r="B456" s="17"/>
      <c r="C456" s="27"/>
      <c r="D456" s="67"/>
      <c r="E456" s="68"/>
      <c r="F456" s="17"/>
      <c r="G456" s="27"/>
    </row>
    <row r="457" spans="2:7" ht="20.25" customHeight="1" x14ac:dyDescent="0.3">
      <c r="B457" s="17"/>
      <c r="C457" s="27"/>
      <c r="D457" s="67"/>
      <c r="E457" s="68"/>
      <c r="F457" s="17"/>
      <c r="G457" s="27"/>
    </row>
    <row r="458" spans="2:7" ht="20.25" customHeight="1" x14ac:dyDescent="0.3">
      <c r="B458" s="17"/>
      <c r="C458" s="27"/>
      <c r="D458" s="67"/>
      <c r="E458" s="68"/>
      <c r="F458" s="17"/>
      <c r="G458" s="27"/>
    </row>
    <row r="459" spans="2:7" ht="20.25" customHeight="1" x14ac:dyDescent="0.3">
      <c r="B459" s="17"/>
      <c r="C459" s="27"/>
      <c r="D459" s="67"/>
      <c r="E459" s="68"/>
      <c r="F459" s="17"/>
      <c r="G459" s="27"/>
    </row>
    <row r="460" spans="2:7" ht="20.25" customHeight="1" x14ac:dyDescent="0.3">
      <c r="B460" s="17"/>
      <c r="C460" s="27"/>
      <c r="D460" s="67"/>
      <c r="E460" s="68"/>
      <c r="F460" s="17"/>
      <c r="G460" s="27"/>
    </row>
    <row r="461" spans="2:7" ht="20.25" customHeight="1" x14ac:dyDescent="0.3">
      <c r="B461" s="17"/>
      <c r="C461" s="27"/>
      <c r="D461" s="67"/>
      <c r="E461" s="68"/>
      <c r="F461" s="17"/>
      <c r="G461" s="27"/>
    </row>
    <row r="462" spans="2:7" ht="20.25" customHeight="1" x14ac:dyDescent="0.3">
      <c r="B462" s="17"/>
      <c r="C462" s="27"/>
      <c r="D462" s="67"/>
      <c r="E462" s="68"/>
      <c r="F462" s="17"/>
      <c r="G462" s="27"/>
    </row>
    <row r="463" spans="2:7" ht="20.25" customHeight="1" x14ac:dyDescent="0.3">
      <c r="B463" s="17"/>
      <c r="C463" s="27"/>
      <c r="D463" s="67"/>
      <c r="E463" s="68"/>
      <c r="F463" s="17"/>
      <c r="G463" s="27"/>
    </row>
    <row r="464" spans="2:7" ht="20.25" customHeight="1" x14ac:dyDescent="0.3">
      <c r="B464" s="17"/>
      <c r="C464" s="27"/>
      <c r="D464" s="67"/>
      <c r="E464" s="68"/>
      <c r="F464" s="17"/>
      <c r="G464" s="27"/>
    </row>
    <row r="465" spans="2:7" ht="20.25" customHeight="1" x14ac:dyDescent="0.3">
      <c r="B465" s="17"/>
      <c r="C465" s="27"/>
      <c r="D465" s="67"/>
      <c r="E465" s="68"/>
      <c r="F465" s="17"/>
      <c r="G465" s="27"/>
    </row>
    <row r="466" spans="2:7" ht="20.25" customHeight="1" x14ac:dyDescent="0.3">
      <c r="B466" s="17"/>
      <c r="C466" s="27"/>
      <c r="D466" s="67"/>
      <c r="E466" s="68"/>
      <c r="F466" s="17"/>
      <c r="G466" s="27"/>
    </row>
    <row r="467" spans="2:7" ht="20.25" customHeight="1" x14ac:dyDescent="0.3">
      <c r="B467" s="17"/>
      <c r="C467" s="27"/>
      <c r="D467" s="67"/>
      <c r="E467" s="68"/>
      <c r="F467" s="17"/>
      <c r="G467" s="27"/>
    </row>
    <row r="468" spans="2:7" ht="20.25" customHeight="1" x14ac:dyDescent="0.3">
      <c r="B468" s="17"/>
      <c r="C468" s="27"/>
      <c r="D468" s="67"/>
      <c r="E468" s="68"/>
      <c r="F468" s="17"/>
      <c r="G468" s="27"/>
    </row>
    <row r="469" spans="2:7" ht="20.25" customHeight="1" x14ac:dyDescent="0.3">
      <c r="B469" s="17"/>
      <c r="C469" s="27"/>
      <c r="D469" s="67"/>
      <c r="E469" s="68"/>
      <c r="F469" s="17"/>
      <c r="G469" s="27"/>
    </row>
    <row r="470" spans="2:7" ht="20.25" customHeight="1" x14ac:dyDescent="0.3">
      <c r="B470" s="17"/>
      <c r="C470" s="27"/>
      <c r="D470" s="67"/>
      <c r="E470" s="68"/>
      <c r="F470" s="17"/>
      <c r="G470" s="27"/>
    </row>
    <row r="471" spans="2:7" ht="20.25" customHeight="1" x14ac:dyDescent="0.3">
      <c r="B471" s="17"/>
      <c r="C471" s="27"/>
      <c r="D471" s="67"/>
      <c r="E471" s="68"/>
      <c r="F471" s="17"/>
      <c r="G471" s="27"/>
    </row>
    <row r="472" spans="2:7" ht="20.25" customHeight="1" x14ac:dyDescent="0.3">
      <c r="B472" s="17"/>
      <c r="C472" s="27"/>
      <c r="D472" s="67"/>
      <c r="E472" s="68"/>
      <c r="F472" s="17"/>
      <c r="G472" s="27"/>
    </row>
    <row r="473" spans="2:7" ht="20.25" customHeight="1" x14ac:dyDescent="0.3">
      <c r="B473" s="17"/>
      <c r="C473" s="27"/>
      <c r="D473" s="67"/>
      <c r="E473" s="68"/>
      <c r="F473" s="17"/>
      <c r="G473" s="27"/>
    </row>
    <row r="474" spans="2:7" ht="20.25" customHeight="1" x14ac:dyDescent="0.3">
      <c r="B474" s="17"/>
      <c r="C474" s="27"/>
      <c r="D474" s="67"/>
      <c r="E474" s="68"/>
      <c r="F474" s="17"/>
      <c r="G474" s="27"/>
    </row>
    <row r="475" spans="2:7" ht="20.25" customHeight="1" x14ac:dyDescent="0.3">
      <c r="B475" s="17"/>
      <c r="C475" s="27"/>
      <c r="D475" s="67"/>
      <c r="E475" s="68"/>
      <c r="F475" s="17"/>
      <c r="G475" s="27"/>
    </row>
    <row r="476" spans="2:7" ht="20.25" customHeight="1" x14ac:dyDescent="0.3">
      <c r="B476" s="17"/>
      <c r="C476" s="27"/>
      <c r="D476" s="67"/>
      <c r="E476" s="68"/>
      <c r="F476" s="17"/>
      <c r="G476" s="27"/>
    </row>
    <row r="477" spans="2:7" ht="20.25" customHeight="1" x14ac:dyDescent="0.3">
      <c r="B477" s="17"/>
      <c r="C477" s="27"/>
      <c r="D477" s="67"/>
      <c r="E477" s="68"/>
      <c r="F477" s="17"/>
      <c r="G477" s="27"/>
    </row>
    <row r="478" spans="2:7" ht="20.25" customHeight="1" x14ac:dyDescent="0.3">
      <c r="B478" s="17"/>
      <c r="C478" s="27"/>
      <c r="D478" s="67"/>
      <c r="E478" s="68"/>
      <c r="F478" s="17"/>
      <c r="G478" s="27"/>
    </row>
    <row r="479" spans="2:7" ht="20.25" customHeight="1" x14ac:dyDescent="0.3">
      <c r="B479" s="17"/>
      <c r="C479" s="27"/>
      <c r="D479" s="67"/>
      <c r="E479" s="68"/>
      <c r="F479" s="17"/>
      <c r="G479" s="27"/>
    </row>
    <row r="480" spans="2:7" ht="20.25" customHeight="1" x14ac:dyDescent="0.3">
      <c r="B480" s="17"/>
      <c r="C480" s="27"/>
      <c r="D480" s="67"/>
      <c r="E480" s="68"/>
      <c r="F480" s="17"/>
      <c r="G480" s="27"/>
    </row>
    <row r="481" spans="2:7" ht="20.25" customHeight="1" x14ac:dyDescent="0.3">
      <c r="B481" s="17"/>
      <c r="C481" s="27"/>
      <c r="D481" s="67"/>
      <c r="E481" s="68"/>
      <c r="F481" s="17"/>
      <c r="G481" s="27"/>
    </row>
    <row r="482" spans="2:7" ht="20.25" customHeight="1" x14ac:dyDescent="0.3">
      <c r="B482" s="17"/>
      <c r="C482" s="27"/>
      <c r="D482" s="67"/>
      <c r="E482" s="68"/>
      <c r="F482" s="17"/>
      <c r="G482" s="27"/>
    </row>
    <row r="483" spans="2:7" ht="20.25" customHeight="1" x14ac:dyDescent="0.3">
      <c r="B483" s="17"/>
      <c r="C483" s="27"/>
      <c r="D483" s="67"/>
      <c r="E483" s="68"/>
      <c r="F483" s="17"/>
      <c r="G483" s="27"/>
    </row>
    <row r="484" spans="2:7" ht="20.25" customHeight="1" x14ac:dyDescent="0.3">
      <c r="B484" s="17"/>
      <c r="C484" s="27"/>
      <c r="D484" s="67"/>
      <c r="E484" s="68"/>
      <c r="F484" s="17"/>
      <c r="G484" s="27"/>
    </row>
    <row r="485" spans="2:7" ht="20.25" customHeight="1" x14ac:dyDescent="0.3">
      <c r="B485" s="17"/>
      <c r="C485" s="27"/>
      <c r="D485" s="67"/>
      <c r="E485" s="68"/>
      <c r="F485" s="17"/>
      <c r="G485" s="27"/>
    </row>
    <row r="486" spans="2:7" ht="20.25" customHeight="1" x14ac:dyDescent="0.3">
      <c r="B486" s="17"/>
      <c r="C486" s="27"/>
      <c r="D486" s="67"/>
      <c r="E486" s="68"/>
      <c r="F486" s="17"/>
      <c r="G486" s="27"/>
    </row>
    <row r="487" spans="2:7" ht="20.25" customHeight="1" x14ac:dyDescent="0.3">
      <c r="B487" s="17"/>
      <c r="C487" s="27"/>
      <c r="D487" s="67"/>
      <c r="E487" s="68"/>
      <c r="F487" s="17"/>
      <c r="G487" s="27"/>
    </row>
    <row r="488" spans="2:7" ht="20.25" customHeight="1" x14ac:dyDescent="0.3">
      <c r="B488" s="17"/>
      <c r="C488" s="27"/>
      <c r="D488" s="67"/>
      <c r="E488" s="68"/>
      <c r="F488" s="17"/>
      <c r="G488" s="27"/>
    </row>
    <row r="489" spans="2:7" ht="20.25" customHeight="1" x14ac:dyDescent="0.3">
      <c r="B489" s="17"/>
      <c r="C489" s="27"/>
      <c r="D489" s="67"/>
      <c r="E489" s="68"/>
      <c r="F489" s="17"/>
      <c r="G489" s="27"/>
    </row>
    <row r="490" spans="2:7" ht="20.25" customHeight="1" x14ac:dyDescent="0.3">
      <c r="B490" s="17"/>
      <c r="C490" s="27"/>
      <c r="D490" s="67"/>
      <c r="E490" s="68"/>
      <c r="F490" s="17"/>
      <c r="G490" s="27"/>
    </row>
    <row r="491" spans="2:7" ht="20.25" customHeight="1" x14ac:dyDescent="0.3">
      <c r="B491" s="17"/>
      <c r="C491" s="27"/>
      <c r="D491" s="67"/>
      <c r="E491" s="68"/>
      <c r="F491" s="17"/>
      <c r="G491" s="27"/>
    </row>
    <row r="492" spans="2:7" ht="20.25" customHeight="1" x14ac:dyDescent="0.3">
      <c r="B492" s="17"/>
      <c r="C492" s="27"/>
      <c r="D492" s="67"/>
      <c r="E492" s="68"/>
      <c r="F492" s="17"/>
      <c r="G492" s="27"/>
    </row>
    <row r="493" spans="2:7" ht="20.25" customHeight="1" x14ac:dyDescent="0.3">
      <c r="B493" s="17"/>
      <c r="C493" s="27"/>
      <c r="D493" s="67"/>
      <c r="E493" s="68"/>
      <c r="F493" s="17"/>
      <c r="G493" s="27"/>
    </row>
    <row r="494" spans="2:7" ht="20.25" customHeight="1" x14ac:dyDescent="0.3">
      <c r="B494" s="17"/>
      <c r="C494" s="27"/>
      <c r="D494" s="67"/>
      <c r="E494" s="68"/>
      <c r="F494" s="17"/>
      <c r="G494" s="27"/>
    </row>
    <row r="495" spans="2:7" ht="20.25" customHeight="1" x14ac:dyDescent="0.3">
      <c r="B495" s="17"/>
      <c r="C495" s="27"/>
      <c r="D495" s="67"/>
      <c r="E495" s="68"/>
      <c r="F495" s="17"/>
      <c r="G495" s="27"/>
    </row>
    <row r="496" spans="2:7" ht="20.25" customHeight="1" x14ac:dyDescent="0.3">
      <c r="B496" s="17"/>
      <c r="C496" s="27"/>
      <c r="D496" s="67"/>
      <c r="E496" s="68"/>
      <c r="F496" s="17"/>
      <c r="G496" s="27"/>
    </row>
    <row r="497" spans="2:7" ht="20.25" customHeight="1" x14ac:dyDescent="0.3">
      <c r="B497" s="17"/>
      <c r="C497" s="27"/>
      <c r="D497" s="67"/>
      <c r="E497" s="68"/>
      <c r="F497" s="17"/>
      <c r="G497" s="27"/>
    </row>
    <row r="498" spans="2:7" ht="20.25" customHeight="1" x14ac:dyDescent="0.3">
      <c r="B498" s="17"/>
      <c r="C498" s="27"/>
      <c r="D498" s="67"/>
      <c r="E498" s="68"/>
      <c r="F498" s="17"/>
      <c r="G498" s="27"/>
    </row>
    <row r="499" spans="2:7" ht="20.25" customHeight="1" x14ac:dyDescent="0.3">
      <c r="B499" s="17"/>
      <c r="C499" s="27"/>
      <c r="D499" s="67"/>
      <c r="E499" s="68"/>
      <c r="F499" s="17"/>
      <c r="G499" s="27"/>
    </row>
    <row r="500" spans="2:7" ht="20.25" customHeight="1" x14ac:dyDescent="0.3">
      <c r="B500" s="17"/>
      <c r="C500" s="27"/>
      <c r="D500" s="67"/>
      <c r="E500" s="68"/>
      <c r="F500" s="17"/>
      <c r="G500" s="27"/>
    </row>
    <row r="501" spans="2:7" ht="20.25" customHeight="1" x14ac:dyDescent="0.3">
      <c r="B501" s="17"/>
      <c r="C501" s="27"/>
      <c r="D501" s="67"/>
      <c r="E501" s="68"/>
      <c r="F501" s="17"/>
      <c r="G501" s="27"/>
    </row>
    <row r="502" spans="2:7" ht="20.25" customHeight="1" x14ac:dyDescent="0.3">
      <c r="B502" s="17"/>
      <c r="C502" s="27"/>
      <c r="D502" s="67"/>
      <c r="E502" s="68"/>
      <c r="F502" s="17"/>
      <c r="G502" s="27"/>
    </row>
    <row r="503" spans="2:7" ht="20.25" customHeight="1" x14ac:dyDescent="0.3">
      <c r="B503" s="17"/>
      <c r="C503" s="27"/>
      <c r="D503" s="67"/>
      <c r="E503" s="68"/>
      <c r="F503" s="17"/>
      <c r="G503" s="27"/>
    </row>
    <row r="504" spans="2:7" ht="20.25" customHeight="1" x14ac:dyDescent="0.3">
      <c r="B504" s="17"/>
      <c r="C504" s="27"/>
      <c r="D504" s="67"/>
      <c r="E504" s="68"/>
      <c r="F504" s="17"/>
      <c r="G504" s="27"/>
    </row>
    <row r="505" spans="2:7" ht="20.25" customHeight="1" x14ac:dyDescent="0.3">
      <c r="B505" s="17"/>
      <c r="C505" s="27"/>
      <c r="D505" s="67"/>
      <c r="E505" s="68"/>
      <c r="F505" s="17"/>
      <c r="G505" s="27"/>
    </row>
    <row r="506" spans="2:7" ht="20.25" customHeight="1" x14ac:dyDescent="0.3">
      <c r="B506" s="17"/>
      <c r="C506" s="27"/>
      <c r="D506" s="67"/>
      <c r="E506" s="68"/>
      <c r="F506" s="17"/>
      <c r="G506" s="27"/>
    </row>
    <row r="507" spans="2:7" ht="20.25" customHeight="1" x14ac:dyDescent="0.3">
      <c r="B507" s="17"/>
      <c r="C507" s="27"/>
      <c r="D507" s="67"/>
      <c r="E507" s="68"/>
      <c r="F507" s="17"/>
      <c r="G507" s="27"/>
    </row>
    <row r="508" spans="2:7" ht="20.25" customHeight="1" x14ac:dyDescent="0.3">
      <c r="B508" s="17"/>
      <c r="C508" s="27"/>
      <c r="D508" s="67"/>
      <c r="E508" s="68"/>
      <c r="F508" s="17"/>
      <c r="G508" s="27"/>
    </row>
    <row r="509" spans="2:7" ht="20.25" customHeight="1" x14ac:dyDescent="0.3">
      <c r="B509" s="17"/>
      <c r="C509" s="27"/>
      <c r="D509" s="67"/>
      <c r="E509" s="68"/>
      <c r="F509" s="17"/>
      <c r="G509" s="27"/>
    </row>
    <row r="510" spans="2:7" ht="20.25" customHeight="1" x14ac:dyDescent="0.3">
      <c r="B510" s="17"/>
      <c r="C510" s="27"/>
      <c r="D510" s="67"/>
      <c r="E510" s="68"/>
      <c r="F510" s="17"/>
      <c r="G510" s="27"/>
    </row>
    <row r="511" spans="2:7" ht="20.25" customHeight="1" x14ac:dyDescent="0.3">
      <c r="B511" s="17"/>
      <c r="C511" s="27"/>
      <c r="D511" s="67"/>
      <c r="E511" s="68"/>
      <c r="F511" s="17"/>
      <c r="G511" s="27"/>
    </row>
    <row r="512" spans="2:7" ht="20.25" customHeight="1" x14ac:dyDescent="0.3">
      <c r="B512" s="17"/>
      <c r="C512" s="27"/>
      <c r="D512" s="67"/>
      <c r="E512" s="68"/>
      <c r="F512" s="17"/>
      <c r="G512" s="27"/>
    </row>
    <row r="513" spans="2:7" ht="20.25" customHeight="1" x14ac:dyDescent="0.3">
      <c r="B513" s="17"/>
      <c r="C513" s="27"/>
      <c r="D513" s="67"/>
      <c r="E513" s="68"/>
      <c r="F513" s="17"/>
      <c r="G513" s="27"/>
    </row>
    <row r="514" spans="2:7" ht="20.25" customHeight="1" x14ac:dyDescent="0.3">
      <c r="B514" s="17"/>
      <c r="C514" s="27"/>
      <c r="D514" s="67"/>
      <c r="E514" s="68"/>
      <c r="F514" s="17"/>
      <c r="G514" s="27"/>
    </row>
    <row r="515" spans="2:7" ht="20.25" customHeight="1" x14ac:dyDescent="0.3">
      <c r="B515" s="17"/>
      <c r="C515" s="27"/>
      <c r="D515" s="67"/>
      <c r="E515" s="68"/>
      <c r="F515" s="17"/>
      <c r="G515" s="27"/>
    </row>
    <row r="516" spans="2:7" ht="20.25" customHeight="1" x14ac:dyDescent="0.3">
      <c r="B516" s="17"/>
      <c r="C516" s="27"/>
      <c r="D516" s="67"/>
      <c r="E516" s="68"/>
      <c r="F516" s="17"/>
      <c r="G516" s="27"/>
    </row>
    <row r="517" spans="2:7" ht="20.25" customHeight="1" x14ac:dyDescent="0.3">
      <c r="B517" s="17"/>
      <c r="C517" s="27"/>
      <c r="D517" s="67"/>
      <c r="E517" s="68"/>
      <c r="F517" s="17"/>
      <c r="G517" s="27"/>
    </row>
    <row r="518" spans="2:7" ht="20.25" customHeight="1" x14ac:dyDescent="0.3">
      <c r="B518" s="17"/>
      <c r="C518" s="27"/>
      <c r="D518" s="67"/>
      <c r="E518" s="68"/>
      <c r="F518" s="17"/>
      <c r="G518" s="27"/>
    </row>
    <row r="519" spans="2:7" ht="20.25" customHeight="1" x14ac:dyDescent="0.3">
      <c r="B519" s="17"/>
      <c r="C519" s="27"/>
      <c r="D519" s="67"/>
      <c r="E519" s="68"/>
      <c r="F519" s="17"/>
      <c r="G519" s="27"/>
    </row>
    <row r="520" spans="2:7" ht="20.25" customHeight="1" x14ac:dyDescent="0.3">
      <c r="B520" s="17"/>
      <c r="C520" s="27"/>
      <c r="D520" s="67"/>
      <c r="E520" s="68"/>
      <c r="F520" s="17"/>
      <c r="G520" s="27"/>
    </row>
    <row r="521" spans="2:7" ht="20.25" customHeight="1" x14ac:dyDescent="0.3">
      <c r="B521" s="17"/>
      <c r="C521" s="27"/>
      <c r="D521" s="67"/>
      <c r="E521" s="68"/>
      <c r="F521" s="17"/>
      <c r="G521" s="27"/>
    </row>
    <row r="522" spans="2:7" ht="20.25" customHeight="1" x14ac:dyDescent="0.3">
      <c r="B522" s="17"/>
      <c r="C522" s="27"/>
      <c r="D522" s="67"/>
      <c r="E522" s="68"/>
      <c r="F522" s="17"/>
      <c r="G522" s="27"/>
    </row>
    <row r="523" spans="2:7" ht="20.25" customHeight="1" x14ac:dyDescent="0.3">
      <c r="B523" s="17"/>
      <c r="C523" s="27"/>
      <c r="D523" s="67"/>
      <c r="E523" s="68"/>
      <c r="F523" s="17"/>
      <c r="G523" s="27"/>
    </row>
    <row r="524" spans="2:7" ht="20.25" customHeight="1" x14ac:dyDescent="0.3">
      <c r="B524" s="17"/>
      <c r="C524" s="27"/>
      <c r="D524" s="67"/>
      <c r="E524" s="68"/>
      <c r="F524" s="17"/>
      <c r="G524" s="27"/>
    </row>
    <row r="525" spans="2:7" ht="20.25" customHeight="1" x14ac:dyDescent="0.3">
      <c r="B525" s="17"/>
      <c r="C525" s="27"/>
      <c r="D525" s="67"/>
      <c r="E525" s="68"/>
      <c r="F525" s="17"/>
      <c r="G525" s="27"/>
    </row>
    <row r="526" spans="2:7" ht="20.25" customHeight="1" x14ac:dyDescent="0.3">
      <c r="B526" s="17"/>
      <c r="C526" s="27"/>
      <c r="D526" s="67"/>
      <c r="E526" s="68"/>
      <c r="F526" s="17"/>
      <c r="G526" s="27"/>
    </row>
    <row r="527" spans="2:7" ht="20.25" customHeight="1" x14ac:dyDescent="0.3">
      <c r="B527" s="17"/>
      <c r="C527" s="27"/>
      <c r="D527" s="67"/>
      <c r="E527" s="68"/>
      <c r="F527" s="17"/>
      <c r="G527" s="27"/>
    </row>
    <row r="528" spans="2:7" ht="20.25" customHeight="1" x14ac:dyDescent="0.3">
      <c r="B528" s="17"/>
      <c r="C528" s="27"/>
      <c r="D528" s="67"/>
      <c r="E528" s="68"/>
      <c r="F528" s="17"/>
      <c r="G528" s="27"/>
    </row>
    <row r="529" spans="2:7" ht="20.25" customHeight="1" x14ac:dyDescent="0.3">
      <c r="B529" s="17"/>
      <c r="C529" s="27"/>
      <c r="D529" s="67"/>
      <c r="E529" s="68"/>
      <c r="F529" s="17"/>
      <c r="G529" s="27"/>
    </row>
    <row r="530" spans="2:7" ht="20.25" customHeight="1" x14ac:dyDescent="0.3">
      <c r="B530" s="17"/>
      <c r="C530" s="27"/>
      <c r="D530" s="67"/>
      <c r="E530" s="68"/>
      <c r="F530" s="17"/>
      <c r="G530" s="27"/>
    </row>
    <row r="531" spans="2:7" ht="20.25" customHeight="1" x14ac:dyDescent="0.3">
      <c r="B531" s="17"/>
      <c r="C531" s="27"/>
      <c r="D531" s="67"/>
      <c r="E531" s="68"/>
      <c r="F531" s="17"/>
      <c r="G531" s="27"/>
    </row>
    <row r="532" spans="2:7" ht="20.25" customHeight="1" x14ac:dyDescent="0.3">
      <c r="B532" s="17"/>
      <c r="C532" s="27"/>
      <c r="D532" s="67"/>
      <c r="E532" s="68"/>
      <c r="F532" s="17"/>
      <c r="G532" s="27"/>
    </row>
    <row r="533" spans="2:7" ht="20.25" customHeight="1" x14ac:dyDescent="0.3">
      <c r="B533" s="17"/>
      <c r="C533" s="27"/>
      <c r="D533" s="67"/>
      <c r="E533" s="68"/>
      <c r="F533" s="17"/>
      <c r="G533" s="27"/>
    </row>
    <row r="534" spans="2:7" ht="20.25" customHeight="1" x14ac:dyDescent="0.3">
      <c r="B534" s="17"/>
      <c r="C534" s="27"/>
      <c r="D534" s="67"/>
      <c r="E534" s="68"/>
      <c r="F534" s="17"/>
      <c r="G534" s="27"/>
    </row>
    <row r="535" spans="2:7" ht="20.25" customHeight="1" x14ac:dyDescent="0.3">
      <c r="B535" s="17"/>
      <c r="C535" s="27"/>
      <c r="D535" s="67"/>
      <c r="E535" s="68"/>
      <c r="F535" s="17"/>
      <c r="G535" s="27"/>
    </row>
    <row r="536" spans="2:7" ht="20.25" customHeight="1" x14ac:dyDescent="0.3">
      <c r="B536" s="17"/>
      <c r="C536" s="27"/>
      <c r="D536" s="67"/>
      <c r="E536" s="68"/>
      <c r="F536" s="17"/>
      <c r="G536" s="27"/>
    </row>
    <row r="537" spans="2:7" ht="20.25" customHeight="1" x14ac:dyDescent="0.3">
      <c r="B537" s="17"/>
      <c r="C537" s="27"/>
      <c r="D537" s="67"/>
      <c r="E537" s="68"/>
      <c r="F537" s="17"/>
      <c r="G537" s="27"/>
    </row>
    <row r="538" spans="2:7" ht="20.25" customHeight="1" x14ac:dyDescent="0.3">
      <c r="B538" s="17"/>
      <c r="C538" s="27"/>
      <c r="D538" s="67"/>
      <c r="E538" s="68"/>
      <c r="F538" s="17"/>
      <c r="G538" s="27"/>
    </row>
    <row r="539" spans="2:7" ht="20.25" customHeight="1" x14ac:dyDescent="0.3">
      <c r="B539" s="17"/>
      <c r="C539" s="27"/>
      <c r="D539" s="67"/>
      <c r="E539" s="68"/>
      <c r="F539" s="17"/>
      <c r="G539" s="27"/>
    </row>
    <row r="540" spans="2:7" ht="20.25" customHeight="1" x14ac:dyDescent="0.3">
      <c r="B540" s="17"/>
      <c r="C540" s="27"/>
      <c r="D540" s="67"/>
      <c r="E540" s="68"/>
      <c r="F540" s="17"/>
      <c r="G540" s="27"/>
    </row>
    <row r="541" spans="2:7" ht="20.25" customHeight="1" x14ac:dyDescent="0.3">
      <c r="B541" s="17"/>
      <c r="C541" s="27"/>
      <c r="D541" s="67"/>
      <c r="E541" s="68"/>
      <c r="F541" s="17"/>
      <c r="G541" s="27"/>
    </row>
    <row r="542" spans="2:7" ht="20.25" customHeight="1" x14ac:dyDescent="0.3">
      <c r="B542" s="17"/>
      <c r="C542" s="27"/>
      <c r="D542" s="67"/>
      <c r="E542" s="68"/>
      <c r="F542" s="17"/>
      <c r="G542" s="27"/>
    </row>
    <row r="543" spans="2:7" ht="20.25" customHeight="1" x14ac:dyDescent="0.3">
      <c r="B543" s="17"/>
      <c r="C543" s="27"/>
      <c r="D543" s="67"/>
      <c r="E543" s="68"/>
      <c r="F543" s="17"/>
      <c r="G543" s="27"/>
    </row>
    <row r="544" spans="2:7" ht="20.25" customHeight="1" x14ac:dyDescent="0.3">
      <c r="B544" s="17"/>
      <c r="C544" s="27"/>
      <c r="D544" s="67"/>
      <c r="E544" s="68"/>
      <c r="F544" s="17"/>
      <c r="G544" s="27"/>
    </row>
    <row r="545" spans="2:7" ht="20.25" customHeight="1" x14ac:dyDescent="0.3">
      <c r="B545" s="17"/>
      <c r="C545" s="27"/>
      <c r="D545" s="67"/>
      <c r="E545" s="68"/>
      <c r="F545" s="17"/>
      <c r="G545" s="27"/>
    </row>
    <row r="546" spans="2:7" ht="20.25" customHeight="1" x14ac:dyDescent="0.3">
      <c r="B546" s="17"/>
      <c r="C546" s="27"/>
      <c r="D546" s="67"/>
      <c r="E546" s="68"/>
      <c r="F546" s="17"/>
      <c r="G546" s="27"/>
    </row>
    <row r="547" spans="2:7" ht="20.25" customHeight="1" x14ac:dyDescent="0.3">
      <c r="B547" s="17"/>
      <c r="C547" s="27"/>
      <c r="D547" s="67"/>
      <c r="E547" s="68"/>
      <c r="F547" s="17"/>
      <c r="G547" s="27"/>
    </row>
    <row r="548" spans="2:7" ht="20.25" customHeight="1" x14ac:dyDescent="0.3">
      <c r="B548" s="17"/>
      <c r="C548" s="27"/>
      <c r="D548" s="67"/>
      <c r="E548" s="68"/>
      <c r="F548" s="17"/>
      <c r="G548" s="27"/>
    </row>
    <row r="549" spans="2:7" ht="20.25" customHeight="1" x14ac:dyDescent="0.3">
      <c r="B549" s="17"/>
      <c r="C549" s="27"/>
      <c r="D549" s="67"/>
      <c r="E549" s="68"/>
      <c r="F549" s="17"/>
      <c r="G549" s="27"/>
    </row>
    <row r="550" spans="2:7" ht="20.25" customHeight="1" x14ac:dyDescent="0.3">
      <c r="B550" s="17"/>
      <c r="C550" s="27"/>
      <c r="D550" s="67"/>
      <c r="E550" s="68"/>
      <c r="F550" s="17"/>
      <c r="G550" s="27"/>
    </row>
    <row r="551" spans="2:7" ht="20.25" customHeight="1" x14ac:dyDescent="0.3">
      <c r="B551" s="17"/>
      <c r="C551" s="27"/>
      <c r="D551" s="67"/>
      <c r="E551" s="68"/>
      <c r="F551" s="17"/>
      <c r="G551" s="27"/>
    </row>
    <row r="552" spans="2:7" ht="20.25" customHeight="1" x14ac:dyDescent="0.3">
      <c r="B552" s="17"/>
      <c r="C552" s="27"/>
      <c r="D552" s="67"/>
      <c r="E552" s="68"/>
      <c r="F552" s="17"/>
      <c r="G552" s="27"/>
    </row>
    <row r="553" spans="2:7" ht="20.25" customHeight="1" x14ac:dyDescent="0.3">
      <c r="B553" s="17"/>
      <c r="C553" s="27"/>
      <c r="D553" s="67"/>
      <c r="E553" s="68"/>
      <c r="F553" s="17"/>
      <c r="G553" s="27"/>
    </row>
    <row r="554" spans="2:7" ht="20.25" customHeight="1" x14ac:dyDescent="0.3">
      <c r="B554" s="17"/>
      <c r="C554" s="27"/>
      <c r="D554" s="67"/>
      <c r="E554" s="68"/>
      <c r="F554" s="17"/>
      <c r="G554" s="27"/>
    </row>
    <row r="555" spans="2:7" ht="20.25" customHeight="1" x14ac:dyDescent="0.3">
      <c r="B555" s="17"/>
      <c r="C555" s="27"/>
      <c r="D555" s="67"/>
      <c r="E555" s="68"/>
      <c r="F555" s="17"/>
      <c r="G555" s="27"/>
    </row>
    <row r="556" spans="2:7" ht="20.25" customHeight="1" x14ac:dyDescent="0.3">
      <c r="B556" s="17"/>
      <c r="C556" s="27"/>
      <c r="D556" s="67"/>
      <c r="E556" s="68"/>
      <c r="F556" s="17"/>
      <c r="G556" s="27"/>
    </row>
    <row r="557" spans="2:7" ht="20.25" customHeight="1" x14ac:dyDescent="0.3">
      <c r="B557" s="17"/>
      <c r="C557" s="27"/>
      <c r="D557" s="67"/>
      <c r="E557" s="68"/>
      <c r="F557" s="17"/>
      <c r="G557" s="27"/>
    </row>
    <row r="558" spans="2:7" ht="20.25" customHeight="1" x14ac:dyDescent="0.3">
      <c r="B558" s="17"/>
      <c r="C558" s="27"/>
      <c r="D558" s="67"/>
      <c r="E558" s="68"/>
      <c r="F558" s="17"/>
      <c r="G558" s="27"/>
    </row>
    <row r="559" spans="2:7" ht="20.25" customHeight="1" x14ac:dyDescent="0.3">
      <c r="B559" s="17"/>
      <c r="C559" s="27"/>
      <c r="D559" s="67"/>
      <c r="E559" s="68"/>
      <c r="F559" s="17"/>
      <c r="G559" s="27"/>
    </row>
    <row r="560" spans="2:7" ht="20.25" customHeight="1" x14ac:dyDescent="0.3">
      <c r="B560" s="17"/>
      <c r="C560" s="27"/>
      <c r="D560" s="67"/>
      <c r="E560" s="68"/>
      <c r="F560" s="17"/>
      <c r="G560" s="27"/>
    </row>
    <row r="561" spans="2:7" ht="20.25" customHeight="1" x14ac:dyDescent="0.3">
      <c r="B561" s="17"/>
      <c r="C561" s="27"/>
      <c r="D561" s="67"/>
      <c r="E561" s="68"/>
      <c r="F561" s="17"/>
      <c r="G561" s="27"/>
    </row>
    <row r="562" spans="2:7" ht="20.25" customHeight="1" x14ac:dyDescent="0.3">
      <c r="B562" s="17"/>
      <c r="C562" s="27"/>
      <c r="D562" s="67"/>
      <c r="E562" s="68"/>
      <c r="F562" s="17"/>
      <c r="G562" s="27"/>
    </row>
    <row r="563" spans="2:7" ht="20.25" customHeight="1" x14ac:dyDescent="0.3">
      <c r="B563" s="17"/>
      <c r="C563" s="27"/>
      <c r="D563" s="67"/>
      <c r="E563" s="68"/>
      <c r="F563" s="17"/>
      <c r="G563" s="27"/>
    </row>
    <row r="564" spans="2:7" ht="20.25" customHeight="1" x14ac:dyDescent="0.3">
      <c r="B564" s="17"/>
      <c r="C564" s="27"/>
      <c r="D564" s="67"/>
      <c r="E564" s="68"/>
      <c r="F564" s="17"/>
      <c r="G564" s="27"/>
    </row>
    <row r="565" spans="2:7" ht="20.25" customHeight="1" x14ac:dyDescent="0.3">
      <c r="B565" s="17"/>
      <c r="C565" s="27"/>
      <c r="D565" s="67"/>
      <c r="E565" s="68"/>
      <c r="F565" s="17"/>
      <c r="G565" s="27"/>
    </row>
    <row r="566" spans="2:7" ht="20.25" customHeight="1" x14ac:dyDescent="0.3">
      <c r="B566" s="17"/>
      <c r="C566" s="27"/>
      <c r="D566" s="67"/>
      <c r="E566" s="68"/>
      <c r="F566" s="17"/>
      <c r="G566" s="27"/>
    </row>
    <row r="567" spans="2:7" ht="20.25" customHeight="1" x14ac:dyDescent="0.3">
      <c r="B567" s="17"/>
      <c r="C567" s="27"/>
      <c r="D567" s="67"/>
      <c r="E567" s="68"/>
      <c r="F567" s="17"/>
      <c r="G567" s="27"/>
    </row>
    <row r="568" spans="2:7" ht="20.25" customHeight="1" x14ac:dyDescent="0.3">
      <c r="B568" s="17"/>
      <c r="C568" s="27"/>
      <c r="D568" s="67"/>
      <c r="E568" s="68"/>
      <c r="F568" s="17"/>
      <c r="G568" s="27"/>
    </row>
    <row r="569" spans="2:7" ht="20.25" customHeight="1" x14ac:dyDescent="0.3">
      <c r="B569" s="17"/>
      <c r="C569" s="27"/>
      <c r="D569" s="67"/>
      <c r="E569" s="68"/>
      <c r="F569" s="17"/>
      <c r="G569" s="27"/>
    </row>
    <row r="570" spans="2:7" ht="20.25" customHeight="1" x14ac:dyDescent="0.3">
      <c r="B570" s="17"/>
      <c r="C570" s="27"/>
      <c r="D570" s="67"/>
      <c r="E570" s="68"/>
      <c r="F570" s="17"/>
      <c r="G570" s="27"/>
    </row>
    <row r="571" spans="2:7" ht="20.25" customHeight="1" x14ac:dyDescent="0.3">
      <c r="B571" s="17"/>
      <c r="C571" s="27"/>
      <c r="D571" s="67"/>
      <c r="E571" s="68"/>
      <c r="F571" s="17"/>
      <c r="G571" s="27"/>
    </row>
    <row r="572" spans="2:7" ht="20.25" customHeight="1" x14ac:dyDescent="0.3">
      <c r="B572" s="17"/>
      <c r="C572" s="27"/>
      <c r="D572" s="67"/>
      <c r="E572" s="68"/>
      <c r="F572" s="17"/>
      <c r="G572" s="27"/>
    </row>
    <row r="573" spans="2:7" ht="20.25" customHeight="1" x14ac:dyDescent="0.3">
      <c r="B573" s="17"/>
      <c r="C573" s="27"/>
      <c r="D573" s="67"/>
      <c r="E573" s="68"/>
      <c r="F573" s="17"/>
      <c r="G573" s="27"/>
    </row>
    <row r="574" spans="2:7" ht="20.25" customHeight="1" x14ac:dyDescent="0.3">
      <c r="B574" s="17"/>
      <c r="C574" s="27"/>
      <c r="D574" s="67"/>
      <c r="E574" s="68"/>
      <c r="F574" s="17"/>
      <c r="G574" s="27"/>
    </row>
    <row r="575" spans="2:7" ht="20.25" customHeight="1" x14ac:dyDescent="0.3">
      <c r="B575" s="17"/>
      <c r="C575" s="27"/>
      <c r="D575" s="67"/>
      <c r="E575" s="68"/>
      <c r="F575" s="17"/>
      <c r="G575" s="27"/>
    </row>
    <row r="576" spans="2:7" ht="20.25" customHeight="1" x14ac:dyDescent="0.3">
      <c r="B576" s="17"/>
      <c r="C576" s="27"/>
      <c r="D576" s="67"/>
      <c r="E576" s="68"/>
      <c r="F576" s="17"/>
      <c r="G576" s="27"/>
    </row>
    <row r="577" spans="2:7" ht="20.25" customHeight="1" x14ac:dyDescent="0.3">
      <c r="B577" s="17"/>
      <c r="C577" s="27"/>
      <c r="D577" s="67"/>
      <c r="E577" s="68"/>
      <c r="F577" s="17"/>
      <c r="G577" s="27"/>
    </row>
    <row r="578" spans="2:7" ht="20.25" customHeight="1" x14ac:dyDescent="0.3">
      <c r="B578" s="17"/>
      <c r="C578" s="27"/>
      <c r="D578" s="67"/>
      <c r="E578" s="68"/>
      <c r="F578" s="17"/>
      <c r="G578" s="27"/>
    </row>
    <row r="579" spans="2:7" ht="20.25" customHeight="1" x14ac:dyDescent="0.3">
      <c r="B579" s="17"/>
      <c r="C579" s="27"/>
      <c r="D579" s="67"/>
      <c r="E579" s="68"/>
      <c r="F579" s="17"/>
      <c r="G579" s="27"/>
    </row>
    <row r="580" spans="2:7" ht="20.25" customHeight="1" x14ac:dyDescent="0.3">
      <c r="B580" s="17"/>
      <c r="C580" s="27"/>
      <c r="D580" s="67"/>
      <c r="E580" s="68"/>
      <c r="F580" s="17"/>
      <c r="G580" s="27"/>
    </row>
    <row r="581" spans="2:7" ht="20.25" customHeight="1" x14ac:dyDescent="0.3">
      <c r="B581" s="17"/>
      <c r="C581" s="27"/>
      <c r="D581" s="67"/>
      <c r="E581" s="68"/>
      <c r="F581" s="17"/>
      <c r="G581" s="27"/>
    </row>
    <row r="582" spans="2:7" ht="20.25" customHeight="1" x14ac:dyDescent="0.3">
      <c r="B582" s="17"/>
      <c r="C582" s="27"/>
      <c r="D582" s="67"/>
      <c r="E582" s="68"/>
      <c r="F582" s="17"/>
      <c r="G582" s="27"/>
    </row>
    <row r="583" spans="2:7" ht="20.25" customHeight="1" x14ac:dyDescent="0.3">
      <c r="B583" s="17"/>
      <c r="C583" s="27"/>
      <c r="D583" s="67"/>
      <c r="E583" s="68"/>
      <c r="F583" s="17"/>
      <c r="G583" s="27"/>
    </row>
    <row r="584" spans="2:7" ht="20.25" customHeight="1" x14ac:dyDescent="0.3">
      <c r="B584" s="17"/>
      <c r="C584" s="27"/>
      <c r="D584" s="67"/>
      <c r="E584" s="68"/>
      <c r="F584" s="17"/>
      <c r="G584" s="27"/>
    </row>
    <row r="585" spans="2:7" ht="20.25" customHeight="1" x14ac:dyDescent="0.3">
      <c r="B585" s="17"/>
      <c r="C585" s="27"/>
      <c r="D585" s="67"/>
      <c r="E585" s="68"/>
      <c r="F585" s="17"/>
      <c r="G585" s="27"/>
    </row>
    <row r="586" spans="2:7" ht="20.25" customHeight="1" x14ac:dyDescent="0.3">
      <c r="B586" s="17"/>
      <c r="C586" s="27"/>
      <c r="D586" s="67"/>
      <c r="E586" s="68"/>
      <c r="F586" s="17"/>
      <c r="G586" s="27"/>
    </row>
    <row r="587" spans="2:7" ht="20.25" customHeight="1" x14ac:dyDescent="0.3">
      <c r="B587" s="17"/>
      <c r="C587" s="27"/>
      <c r="D587" s="67"/>
      <c r="E587" s="68"/>
      <c r="F587" s="17"/>
      <c r="G587" s="27"/>
    </row>
    <row r="588" spans="2:7" ht="20.25" customHeight="1" x14ac:dyDescent="0.3">
      <c r="B588" s="17"/>
      <c r="C588" s="27"/>
      <c r="D588" s="67"/>
      <c r="E588" s="68"/>
      <c r="F588" s="17"/>
      <c r="G588" s="27"/>
    </row>
    <row r="589" spans="2:7" ht="20.25" customHeight="1" x14ac:dyDescent="0.3">
      <c r="B589" s="17"/>
      <c r="C589" s="27"/>
      <c r="D589" s="67"/>
      <c r="E589" s="68"/>
      <c r="F589" s="17"/>
      <c r="G589" s="27"/>
    </row>
    <row r="590" spans="2:7" ht="20.25" customHeight="1" x14ac:dyDescent="0.3">
      <c r="B590" s="17"/>
      <c r="C590" s="27"/>
      <c r="D590" s="67"/>
      <c r="E590" s="68"/>
      <c r="F590" s="17"/>
      <c r="G590" s="27"/>
    </row>
    <row r="591" spans="2:7" ht="20.25" customHeight="1" x14ac:dyDescent="0.3">
      <c r="B591" s="17"/>
      <c r="C591" s="27"/>
      <c r="D591" s="67"/>
      <c r="E591" s="68"/>
      <c r="F591" s="17"/>
      <c r="G591" s="27"/>
    </row>
    <row r="592" spans="2:7" ht="20.25" customHeight="1" x14ac:dyDescent="0.3">
      <c r="B592" s="17"/>
      <c r="C592" s="27"/>
      <c r="D592" s="67"/>
      <c r="E592" s="68"/>
      <c r="F592" s="17"/>
      <c r="G592" s="27"/>
    </row>
    <row r="593" spans="2:7" ht="20.25" customHeight="1" x14ac:dyDescent="0.3">
      <c r="B593" s="17"/>
      <c r="C593" s="27"/>
      <c r="D593" s="67"/>
      <c r="E593" s="68"/>
      <c r="F593" s="17"/>
      <c r="G593" s="27"/>
    </row>
    <row r="594" spans="2:7" ht="20.25" customHeight="1" x14ac:dyDescent="0.3">
      <c r="B594" s="17"/>
      <c r="C594" s="27"/>
      <c r="D594" s="67"/>
      <c r="E594" s="68"/>
      <c r="F594" s="17"/>
      <c r="G594" s="27"/>
    </row>
    <row r="595" spans="2:7" ht="20.25" customHeight="1" x14ac:dyDescent="0.3">
      <c r="B595" s="17"/>
      <c r="C595" s="27"/>
      <c r="D595" s="67"/>
      <c r="E595" s="68"/>
      <c r="F595" s="17"/>
      <c r="G595" s="27"/>
    </row>
    <row r="596" spans="2:7" ht="20.25" customHeight="1" x14ac:dyDescent="0.3">
      <c r="B596" s="17"/>
      <c r="C596" s="27"/>
      <c r="D596" s="67"/>
      <c r="E596" s="68"/>
      <c r="F596" s="17"/>
      <c r="G596" s="27"/>
    </row>
    <row r="597" spans="2:7" ht="20.25" customHeight="1" x14ac:dyDescent="0.3">
      <c r="B597" s="17"/>
      <c r="C597" s="27"/>
      <c r="D597" s="67"/>
      <c r="E597" s="68"/>
      <c r="F597" s="17"/>
      <c r="G597" s="27"/>
    </row>
    <row r="598" spans="2:7" ht="20.25" customHeight="1" x14ac:dyDescent="0.3">
      <c r="B598" s="17"/>
      <c r="C598" s="27"/>
      <c r="D598" s="67"/>
      <c r="E598" s="68"/>
      <c r="F598" s="17"/>
      <c r="G598" s="27"/>
    </row>
    <row r="599" spans="2:7" ht="20.25" customHeight="1" x14ac:dyDescent="0.3">
      <c r="B599" s="17"/>
      <c r="C599" s="27"/>
      <c r="D599" s="67"/>
      <c r="E599" s="68"/>
      <c r="F599" s="17"/>
      <c r="G599" s="27"/>
    </row>
    <row r="600" spans="2:7" ht="20.25" customHeight="1" x14ac:dyDescent="0.3">
      <c r="B600" s="17"/>
      <c r="C600" s="27"/>
      <c r="D600" s="67"/>
      <c r="E600" s="68"/>
      <c r="F600" s="17"/>
      <c r="G600" s="27"/>
    </row>
    <row r="601" spans="2:7" ht="20.25" customHeight="1" x14ac:dyDescent="0.3">
      <c r="B601" s="17"/>
      <c r="C601" s="27"/>
      <c r="D601" s="67"/>
      <c r="E601" s="68"/>
      <c r="F601" s="17"/>
      <c r="G601" s="27"/>
    </row>
    <row r="602" spans="2:7" ht="20.25" customHeight="1" x14ac:dyDescent="0.3">
      <c r="B602" s="17"/>
      <c r="C602" s="27"/>
      <c r="D602" s="67"/>
      <c r="E602" s="68"/>
      <c r="F602" s="17"/>
      <c r="G602" s="27"/>
    </row>
    <row r="603" spans="2:7" ht="20.25" customHeight="1" x14ac:dyDescent="0.3">
      <c r="B603" s="17"/>
      <c r="C603" s="27"/>
      <c r="D603" s="67"/>
      <c r="E603" s="68"/>
      <c r="F603" s="17"/>
      <c r="G603" s="27"/>
    </row>
    <row r="604" spans="2:7" ht="20.25" customHeight="1" x14ac:dyDescent="0.3">
      <c r="B604" s="17"/>
      <c r="C604" s="27"/>
      <c r="D604" s="67"/>
      <c r="E604" s="68"/>
      <c r="F604" s="17"/>
      <c r="G604" s="27"/>
    </row>
    <row r="605" spans="2:7" ht="20.25" customHeight="1" x14ac:dyDescent="0.3">
      <c r="B605" s="17"/>
      <c r="C605" s="27"/>
      <c r="D605" s="67"/>
      <c r="E605" s="68"/>
      <c r="F605" s="17"/>
      <c r="G605" s="27"/>
    </row>
    <row r="606" spans="2:7" ht="20.25" customHeight="1" x14ac:dyDescent="0.3">
      <c r="B606" s="17"/>
      <c r="C606" s="27"/>
      <c r="D606" s="67"/>
      <c r="E606" s="68"/>
      <c r="F606" s="17"/>
      <c r="G606" s="27"/>
    </row>
    <row r="607" spans="2:7" ht="20.25" customHeight="1" x14ac:dyDescent="0.3">
      <c r="B607" s="17"/>
      <c r="C607" s="27"/>
      <c r="D607" s="67"/>
      <c r="E607" s="68"/>
      <c r="F607" s="17"/>
      <c r="G607" s="27"/>
    </row>
    <row r="608" spans="2:7" ht="20.25" customHeight="1" x14ac:dyDescent="0.3">
      <c r="B608" s="17"/>
      <c r="C608" s="27"/>
      <c r="D608" s="67"/>
      <c r="E608" s="68"/>
      <c r="F608" s="17"/>
      <c r="G608" s="27"/>
    </row>
    <row r="609" spans="2:7" ht="20.25" customHeight="1" x14ac:dyDescent="0.3">
      <c r="B609" s="17"/>
      <c r="C609" s="27"/>
      <c r="D609" s="67"/>
      <c r="E609" s="68"/>
      <c r="F609" s="17"/>
      <c r="G609" s="27"/>
    </row>
    <row r="610" spans="2:7" ht="20.25" customHeight="1" x14ac:dyDescent="0.3">
      <c r="B610" s="17"/>
      <c r="C610" s="27"/>
      <c r="D610" s="67"/>
      <c r="E610" s="68"/>
      <c r="F610" s="17"/>
      <c r="G610" s="27"/>
    </row>
    <row r="611" spans="2:7" ht="20.25" customHeight="1" x14ac:dyDescent="0.3">
      <c r="B611" s="17"/>
      <c r="C611" s="27"/>
      <c r="D611" s="67"/>
      <c r="E611" s="68"/>
      <c r="F611" s="17"/>
      <c r="G611" s="27"/>
    </row>
    <row r="612" spans="2:7" ht="20.25" customHeight="1" x14ac:dyDescent="0.3">
      <c r="B612" s="17"/>
      <c r="C612" s="27"/>
      <c r="D612" s="67"/>
      <c r="E612" s="68"/>
      <c r="F612" s="17"/>
      <c r="G612" s="27"/>
    </row>
    <row r="613" spans="2:7" ht="20.25" customHeight="1" x14ac:dyDescent="0.3">
      <c r="B613" s="17"/>
      <c r="C613" s="27"/>
      <c r="D613" s="67"/>
      <c r="E613" s="68"/>
      <c r="F613" s="17"/>
      <c r="G613" s="27"/>
    </row>
    <row r="614" spans="2:7" ht="20.25" customHeight="1" x14ac:dyDescent="0.3">
      <c r="B614" s="17"/>
      <c r="C614" s="27"/>
      <c r="D614" s="67"/>
      <c r="E614" s="68"/>
      <c r="F614" s="17"/>
      <c r="G614" s="27"/>
    </row>
    <row r="615" spans="2:7" ht="20.25" customHeight="1" x14ac:dyDescent="0.3">
      <c r="B615" s="17"/>
      <c r="C615" s="27"/>
      <c r="D615" s="67"/>
      <c r="E615" s="68"/>
      <c r="F615" s="17"/>
      <c r="G615" s="27"/>
    </row>
    <row r="616" spans="2:7" ht="20.25" customHeight="1" x14ac:dyDescent="0.3">
      <c r="B616" s="17"/>
      <c r="C616" s="27"/>
      <c r="D616" s="67"/>
      <c r="E616" s="68"/>
      <c r="F616" s="17"/>
      <c r="G616" s="27"/>
    </row>
    <row r="617" spans="2:7" ht="20.25" customHeight="1" x14ac:dyDescent="0.3">
      <c r="B617" s="17"/>
      <c r="C617" s="27"/>
      <c r="D617" s="67"/>
      <c r="E617" s="68"/>
      <c r="F617" s="17"/>
      <c r="G617" s="27"/>
    </row>
    <row r="618" spans="2:7" ht="20.25" customHeight="1" x14ac:dyDescent="0.3">
      <c r="B618" s="17"/>
      <c r="C618" s="27"/>
      <c r="D618" s="67"/>
      <c r="E618" s="68"/>
      <c r="F618" s="17"/>
      <c r="G618" s="27"/>
    </row>
    <row r="619" spans="2:7" ht="20.25" customHeight="1" x14ac:dyDescent="0.3">
      <c r="B619" s="17"/>
      <c r="C619" s="27"/>
      <c r="D619" s="67"/>
      <c r="E619" s="68"/>
      <c r="F619" s="17"/>
      <c r="G619" s="27"/>
    </row>
    <row r="620" spans="2:7" ht="20.25" customHeight="1" x14ac:dyDescent="0.3">
      <c r="B620" s="17"/>
      <c r="C620" s="27"/>
      <c r="D620" s="67"/>
      <c r="E620" s="68"/>
      <c r="F620" s="17"/>
      <c r="G620" s="27"/>
    </row>
    <row r="621" spans="2:7" ht="20.25" customHeight="1" x14ac:dyDescent="0.3">
      <c r="B621" s="17"/>
      <c r="C621" s="27"/>
      <c r="D621" s="67"/>
      <c r="E621" s="68"/>
      <c r="F621" s="17"/>
      <c r="G621" s="27"/>
    </row>
    <row r="622" spans="2:7" ht="20.25" customHeight="1" x14ac:dyDescent="0.3">
      <c r="B622" s="17"/>
      <c r="C622" s="27"/>
      <c r="D622" s="67"/>
      <c r="E622" s="68"/>
      <c r="F622" s="17"/>
      <c r="G622" s="27"/>
    </row>
    <row r="623" spans="2:7" ht="20.25" customHeight="1" x14ac:dyDescent="0.3">
      <c r="B623" s="17"/>
      <c r="C623" s="27"/>
      <c r="D623" s="67"/>
      <c r="E623" s="68"/>
      <c r="F623" s="17"/>
      <c r="G623" s="27"/>
    </row>
    <row r="624" spans="2:7" ht="20.25" customHeight="1" x14ac:dyDescent="0.3">
      <c r="B624" s="17"/>
      <c r="C624" s="27"/>
      <c r="D624" s="67"/>
      <c r="E624" s="68"/>
      <c r="F624" s="17"/>
      <c r="G624" s="27"/>
    </row>
    <row r="625" spans="2:7" ht="20.25" customHeight="1" x14ac:dyDescent="0.3">
      <c r="B625" s="17"/>
      <c r="C625" s="27"/>
      <c r="D625" s="67"/>
      <c r="E625" s="68"/>
      <c r="F625" s="17"/>
      <c r="G625" s="27"/>
    </row>
    <row r="626" spans="2:7" ht="20.25" customHeight="1" x14ac:dyDescent="0.3">
      <c r="B626" s="17"/>
      <c r="C626" s="27"/>
      <c r="D626" s="67"/>
      <c r="E626" s="68"/>
      <c r="F626" s="17"/>
      <c r="G626" s="27"/>
    </row>
    <row r="627" spans="2:7" ht="20.25" customHeight="1" x14ac:dyDescent="0.3">
      <c r="B627" s="17"/>
      <c r="C627" s="27"/>
      <c r="D627" s="67"/>
      <c r="E627" s="68"/>
      <c r="F627" s="17"/>
      <c r="G627" s="27"/>
    </row>
    <row r="628" spans="2:7" ht="20.25" customHeight="1" x14ac:dyDescent="0.3">
      <c r="B628" s="17"/>
      <c r="C628" s="27"/>
      <c r="D628" s="67"/>
      <c r="E628" s="68"/>
      <c r="F628" s="17"/>
      <c r="G628" s="27"/>
    </row>
    <row r="629" spans="2:7" ht="20.25" customHeight="1" x14ac:dyDescent="0.3">
      <c r="B629" s="17"/>
      <c r="C629" s="27"/>
      <c r="D629" s="67"/>
      <c r="E629" s="68"/>
      <c r="F629" s="17"/>
      <c r="G629" s="27"/>
    </row>
    <row r="630" spans="2:7" ht="20.25" customHeight="1" x14ac:dyDescent="0.3">
      <c r="B630" s="17"/>
      <c r="C630" s="27"/>
      <c r="D630" s="67"/>
      <c r="E630" s="68"/>
      <c r="F630" s="17"/>
      <c r="G630" s="27"/>
    </row>
    <row r="631" spans="2:7" ht="20.25" customHeight="1" x14ac:dyDescent="0.3">
      <c r="B631" s="17"/>
      <c r="C631" s="27"/>
      <c r="D631" s="67"/>
      <c r="E631" s="68"/>
      <c r="F631" s="17"/>
      <c r="G631" s="27"/>
    </row>
    <row r="632" spans="2:7" ht="20.25" customHeight="1" x14ac:dyDescent="0.3">
      <c r="B632" s="17"/>
      <c r="C632" s="27"/>
      <c r="D632" s="67"/>
      <c r="E632" s="68"/>
      <c r="F632" s="17"/>
      <c r="G632" s="27"/>
    </row>
    <row r="633" spans="2:7" ht="20.25" customHeight="1" x14ac:dyDescent="0.3">
      <c r="B633" s="17"/>
      <c r="C633" s="27"/>
      <c r="D633" s="67"/>
      <c r="E633" s="68"/>
      <c r="F633" s="17"/>
      <c r="G633" s="27"/>
    </row>
    <row r="634" spans="2:7" ht="20.25" customHeight="1" x14ac:dyDescent="0.3">
      <c r="B634" s="17"/>
      <c r="C634" s="27"/>
      <c r="D634" s="67"/>
      <c r="E634" s="68"/>
      <c r="F634" s="17"/>
      <c r="G634" s="27"/>
    </row>
    <row r="635" spans="2:7" ht="20.25" customHeight="1" x14ac:dyDescent="0.3">
      <c r="B635" s="17"/>
      <c r="C635" s="27"/>
      <c r="D635" s="67"/>
      <c r="E635" s="68"/>
      <c r="F635" s="17"/>
      <c r="G635" s="27"/>
    </row>
    <row r="636" spans="2:7" ht="20.25" customHeight="1" x14ac:dyDescent="0.3">
      <c r="B636" s="17"/>
      <c r="C636" s="27"/>
      <c r="D636" s="67"/>
      <c r="E636" s="68"/>
      <c r="F636" s="17"/>
      <c r="G636" s="27"/>
    </row>
    <row r="637" spans="2:7" ht="20.25" customHeight="1" x14ac:dyDescent="0.3">
      <c r="B637" s="17"/>
      <c r="C637" s="27"/>
      <c r="D637" s="67"/>
      <c r="E637" s="68"/>
      <c r="F637" s="17"/>
      <c r="G637" s="27"/>
    </row>
    <row r="638" spans="2:7" ht="20.25" customHeight="1" x14ac:dyDescent="0.3">
      <c r="B638" s="17"/>
      <c r="C638" s="27"/>
      <c r="D638" s="67"/>
      <c r="E638" s="68"/>
      <c r="F638" s="17"/>
      <c r="G638" s="27"/>
    </row>
    <row r="639" spans="2:7" ht="20.25" customHeight="1" x14ac:dyDescent="0.3">
      <c r="B639" s="17"/>
      <c r="C639" s="27"/>
      <c r="D639" s="67"/>
      <c r="E639" s="68"/>
      <c r="F639" s="17"/>
      <c r="G639" s="27"/>
    </row>
    <row r="640" spans="2:7" ht="20.25" customHeight="1" x14ac:dyDescent="0.3">
      <c r="B640" s="17"/>
      <c r="C640" s="27"/>
      <c r="D640" s="67"/>
      <c r="E640" s="68"/>
      <c r="F640" s="17"/>
      <c r="G640" s="27"/>
    </row>
    <row r="641" spans="2:7" ht="20.25" customHeight="1" x14ac:dyDescent="0.3">
      <c r="B641" s="17"/>
      <c r="C641" s="27"/>
      <c r="D641" s="67"/>
      <c r="E641" s="68"/>
      <c r="F641" s="17"/>
      <c r="G641" s="27"/>
    </row>
    <row r="642" spans="2:7" ht="20.25" customHeight="1" x14ac:dyDescent="0.3">
      <c r="B642" s="17"/>
      <c r="C642" s="27"/>
      <c r="D642" s="67"/>
      <c r="E642" s="68"/>
      <c r="F642" s="17"/>
      <c r="G642" s="27"/>
    </row>
    <row r="643" spans="2:7" ht="20.25" customHeight="1" x14ac:dyDescent="0.3">
      <c r="B643" s="17"/>
      <c r="C643" s="27"/>
      <c r="D643" s="67"/>
      <c r="E643" s="68"/>
      <c r="F643" s="17"/>
      <c r="G643" s="27"/>
    </row>
    <row r="644" spans="2:7" ht="20.25" customHeight="1" x14ac:dyDescent="0.3">
      <c r="B644" s="17"/>
      <c r="C644" s="27"/>
      <c r="D644" s="67"/>
      <c r="E644" s="68"/>
      <c r="F644" s="17"/>
      <c r="G644" s="27"/>
    </row>
    <row r="645" spans="2:7" ht="20.25" customHeight="1" x14ac:dyDescent="0.3">
      <c r="B645" s="17"/>
      <c r="C645" s="27"/>
      <c r="D645" s="67"/>
      <c r="E645" s="68"/>
      <c r="F645" s="17"/>
      <c r="G645" s="27"/>
    </row>
    <row r="646" spans="2:7" ht="20.25" customHeight="1" x14ac:dyDescent="0.3">
      <c r="B646" s="17"/>
      <c r="C646" s="27"/>
      <c r="D646" s="67"/>
      <c r="E646" s="68"/>
      <c r="F646" s="17"/>
      <c r="G646" s="27"/>
    </row>
    <row r="647" spans="2:7" ht="20.25" customHeight="1" x14ac:dyDescent="0.3">
      <c r="B647" s="17"/>
      <c r="C647" s="27"/>
      <c r="D647" s="67"/>
      <c r="E647" s="68"/>
      <c r="F647" s="17"/>
      <c r="G647" s="27"/>
    </row>
    <row r="648" spans="2:7" ht="20.25" customHeight="1" x14ac:dyDescent="0.3">
      <c r="B648" s="17"/>
      <c r="C648" s="27"/>
      <c r="D648" s="67"/>
      <c r="E648" s="68"/>
      <c r="F648" s="17"/>
      <c r="G648" s="27"/>
    </row>
    <row r="649" spans="2:7" ht="20.25" customHeight="1" x14ac:dyDescent="0.3">
      <c r="B649" s="17"/>
      <c r="C649" s="27"/>
      <c r="D649" s="67"/>
      <c r="E649" s="68"/>
      <c r="F649" s="17"/>
      <c r="G649" s="27"/>
    </row>
    <row r="650" spans="2:7" ht="20.25" customHeight="1" x14ac:dyDescent="0.3">
      <c r="B650" s="17"/>
      <c r="C650" s="27"/>
      <c r="D650" s="67"/>
      <c r="E650" s="68"/>
      <c r="F650" s="17"/>
      <c r="G650" s="27"/>
    </row>
    <row r="651" spans="2:7" ht="20.25" customHeight="1" x14ac:dyDescent="0.3">
      <c r="B651" s="17"/>
      <c r="C651" s="27"/>
      <c r="D651" s="67"/>
      <c r="E651" s="68"/>
      <c r="F651" s="17"/>
      <c r="G651" s="27"/>
    </row>
    <row r="652" spans="2:7" ht="20.25" customHeight="1" x14ac:dyDescent="0.3">
      <c r="B652" s="17"/>
      <c r="C652" s="27"/>
      <c r="D652" s="67"/>
      <c r="E652" s="68"/>
      <c r="F652" s="17"/>
      <c r="G652" s="27"/>
    </row>
    <row r="653" spans="2:7" ht="20.25" customHeight="1" x14ac:dyDescent="0.3">
      <c r="B653" s="17"/>
      <c r="C653" s="27"/>
      <c r="D653" s="67"/>
      <c r="E653" s="68"/>
      <c r="F653" s="17"/>
      <c r="G653" s="27"/>
    </row>
    <row r="654" spans="2:7" ht="20.25" customHeight="1" x14ac:dyDescent="0.3">
      <c r="B654" s="17"/>
      <c r="C654" s="27"/>
      <c r="D654" s="67"/>
      <c r="E654" s="68"/>
      <c r="F654" s="17"/>
      <c r="G654" s="27"/>
    </row>
    <row r="655" spans="2:7" ht="20.25" customHeight="1" x14ac:dyDescent="0.3">
      <c r="B655" s="17"/>
      <c r="C655" s="27"/>
      <c r="D655" s="67"/>
      <c r="E655" s="68"/>
      <c r="F655" s="17"/>
      <c r="G655" s="27"/>
    </row>
    <row r="656" spans="2:7" ht="20.25" customHeight="1" x14ac:dyDescent="0.3">
      <c r="B656" s="17"/>
      <c r="C656" s="27"/>
      <c r="D656" s="67"/>
      <c r="E656" s="68"/>
      <c r="F656" s="17"/>
      <c r="G656" s="27"/>
    </row>
    <row r="657" spans="2:7" ht="20.25" customHeight="1" x14ac:dyDescent="0.3">
      <c r="B657" s="17"/>
      <c r="C657" s="27"/>
      <c r="D657" s="67"/>
      <c r="E657" s="68"/>
      <c r="F657" s="17"/>
      <c r="G657" s="27"/>
    </row>
    <row r="658" spans="2:7" ht="20.25" customHeight="1" x14ac:dyDescent="0.3">
      <c r="B658" s="17"/>
      <c r="C658" s="27"/>
      <c r="D658" s="67"/>
      <c r="E658" s="68"/>
      <c r="F658" s="17"/>
      <c r="G658" s="27"/>
    </row>
    <row r="659" spans="2:7" ht="20.25" customHeight="1" x14ac:dyDescent="0.3">
      <c r="B659" s="17"/>
      <c r="C659" s="27"/>
      <c r="D659" s="67"/>
      <c r="E659" s="68"/>
      <c r="F659" s="17"/>
      <c r="G659" s="27"/>
    </row>
    <row r="660" spans="2:7" ht="20.25" customHeight="1" x14ac:dyDescent="0.3">
      <c r="B660" s="17"/>
      <c r="C660" s="27"/>
      <c r="D660" s="67"/>
      <c r="E660" s="68"/>
      <c r="F660" s="17"/>
      <c r="G660" s="27"/>
    </row>
    <row r="661" spans="2:7" ht="20.25" customHeight="1" x14ac:dyDescent="0.3">
      <c r="B661" s="17"/>
      <c r="C661" s="27"/>
      <c r="D661" s="67"/>
      <c r="E661" s="68"/>
      <c r="F661" s="17"/>
      <c r="G661" s="27"/>
    </row>
    <row r="662" spans="2:7" ht="20.25" customHeight="1" x14ac:dyDescent="0.3">
      <c r="B662" s="17"/>
      <c r="C662" s="27"/>
      <c r="D662" s="67"/>
      <c r="E662" s="68"/>
      <c r="F662" s="17"/>
      <c r="G662" s="27"/>
    </row>
    <row r="663" spans="2:7" ht="20.25" customHeight="1" x14ac:dyDescent="0.3">
      <c r="B663" s="17"/>
      <c r="C663" s="27"/>
      <c r="D663" s="67"/>
      <c r="E663" s="68"/>
      <c r="F663" s="17"/>
      <c r="G663" s="27"/>
    </row>
    <row r="664" spans="2:7" ht="20.25" customHeight="1" x14ac:dyDescent="0.3">
      <c r="B664" s="17"/>
      <c r="C664" s="27"/>
      <c r="D664" s="67"/>
      <c r="E664" s="68"/>
      <c r="F664" s="17"/>
      <c r="G664" s="27"/>
    </row>
    <row r="665" spans="2:7" ht="20.25" customHeight="1" x14ac:dyDescent="0.3">
      <c r="B665" s="17"/>
      <c r="C665" s="27"/>
      <c r="D665" s="67"/>
      <c r="E665" s="68"/>
      <c r="F665" s="17"/>
      <c r="G665" s="27"/>
    </row>
    <row r="666" spans="2:7" ht="20.25" customHeight="1" x14ac:dyDescent="0.3">
      <c r="B666" s="17"/>
      <c r="C666" s="27"/>
      <c r="D666" s="67"/>
      <c r="E666" s="68"/>
      <c r="F666" s="17"/>
      <c r="G666" s="27"/>
    </row>
    <row r="667" spans="2:7" ht="20.25" customHeight="1" x14ac:dyDescent="0.3">
      <c r="B667" s="17"/>
      <c r="C667" s="27"/>
      <c r="D667" s="67"/>
      <c r="E667" s="68"/>
      <c r="F667" s="17"/>
      <c r="G667" s="27"/>
    </row>
    <row r="668" spans="2:7" ht="20.25" customHeight="1" x14ac:dyDescent="0.3">
      <c r="B668" s="17"/>
      <c r="C668" s="27"/>
      <c r="D668" s="67"/>
      <c r="E668" s="68"/>
      <c r="F668" s="17"/>
      <c r="G668" s="27"/>
    </row>
    <row r="669" spans="2:7" ht="20.25" customHeight="1" x14ac:dyDescent="0.3">
      <c r="B669" s="17"/>
      <c r="C669" s="27"/>
      <c r="D669" s="67"/>
      <c r="E669" s="68"/>
      <c r="F669" s="17"/>
      <c r="G669" s="27"/>
    </row>
    <row r="670" spans="2:7" ht="20.25" customHeight="1" x14ac:dyDescent="0.3">
      <c r="B670" s="17"/>
      <c r="C670" s="27"/>
      <c r="D670" s="67"/>
      <c r="E670" s="68"/>
      <c r="F670" s="17"/>
      <c r="G670" s="27"/>
    </row>
    <row r="671" spans="2:7" ht="20.25" customHeight="1" x14ac:dyDescent="0.3">
      <c r="B671" s="17"/>
      <c r="C671" s="27"/>
      <c r="D671" s="67"/>
      <c r="E671" s="68"/>
      <c r="F671" s="17"/>
      <c r="G671" s="27"/>
    </row>
    <row r="672" spans="2:7" ht="20.25" customHeight="1" x14ac:dyDescent="0.3">
      <c r="B672" s="17"/>
      <c r="C672" s="27"/>
      <c r="D672" s="67"/>
      <c r="E672" s="68"/>
      <c r="F672" s="17"/>
      <c r="G672" s="27"/>
    </row>
    <row r="673" spans="2:7" ht="20.25" customHeight="1" x14ac:dyDescent="0.3">
      <c r="B673" s="17"/>
      <c r="C673" s="27"/>
      <c r="D673" s="67"/>
      <c r="E673" s="68"/>
      <c r="F673" s="17"/>
      <c r="G673" s="27"/>
    </row>
    <row r="674" spans="2:7" ht="20.25" customHeight="1" x14ac:dyDescent="0.3">
      <c r="B674" s="17"/>
      <c r="C674" s="27"/>
      <c r="D674" s="67"/>
      <c r="E674" s="68"/>
      <c r="F674" s="17"/>
      <c r="G674" s="27"/>
    </row>
    <row r="675" spans="2:7" ht="20.25" customHeight="1" x14ac:dyDescent="0.3">
      <c r="B675" s="17"/>
      <c r="C675" s="27"/>
      <c r="D675" s="67"/>
      <c r="E675" s="68"/>
      <c r="F675" s="17"/>
      <c r="G675" s="27"/>
    </row>
    <row r="676" spans="2:7" ht="20.25" customHeight="1" x14ac:dyDescent="0.3">
      <c r="B676" s="17"/>
      <c r="C676" s="27"/>
      <c r="D676" s="67"/>
      <c r="E676" s="68"/>
      <c r="F676" s="17"/>
      <c r="G676" s="27"/>
    </row>
    <row r="677" spans="2:7" ht="20.25" customHeight="1" x14ac:dyDescent="0.3">
      <c r="B677" s="17"/>
      <c r="C677" s="27"/>
      <c r="D677" s="67"/>
      <c r="E677" s="68"/>
      <c r="F677" s="17"/>
      <c r="G677" s="27"/>
    </row>
    <row r="678" spans="2:7" ht="20.25" customHeight="1" x14ac:dyDescent="0.3">
      <c r="B678" s="17"/>
      <c r="C678" s="27"/>
      <c r="D678" s="67"/>
      <c r="E678" s="68"/>
      <c r="F678" s="17"/>
      <c r="G678" s="27"/>
    </row>
    <row r="679" spans="2:7" ht="20.25" customHeight="1" x14ac:dyDescent="0.3">
      <c r="B679" s="17"/>
      <c r="C679" s="27"/>
      <c r="D679" s="67"/>
      <c r="E679" s="68"/>
      <c r="F679" s="17"/>
      <c r="G679" s="27"/>
    </row>
    <row r="680" spans="2:7" ht="20.25" customHeight="1" x14ac:dyDescent="0.3">
      <c r="B680" s="17"/>
      <c r="C680" s="27"/>
      <c r="D680" s="67"/>
      <c r="E680" s="68"/>
      <c r="F680" s="17"/>
      <c r="G680" s="27"/>
    </row>
    <row r="681" spans="2:7" ht="20.25" customHeight="1" x14ac:dyDescent="0.3">
      <c r="B681" s="17"/>
      <c r="C681" s="27"/>
      <c r="D681" s="67"/>
      <c r="E681" s="68"/>
      <c r="F681" s="17"/>
      <c r="G681" s="27"/>
    </row>
    <row r="682" spans="2:7" ht="20.25" customHeight="1" x14ac:dyDescent="0.3">
      <c r="B682" s="17"/>
      <c r="C682" s="27"/>
      <c r="D682" s="67"/>
      <c r="E682" s="68"/>
      <c r="F682" s="17"/>
      <c r="G682" s="27"/>
    </row>
    <row r="683" spans="2:7" ht="20.25" customHeight="1" x14ac:dyDescent="0.3">
      <c r="B683" s="17"/>
      <c r="C683" s="27"/>
      <c r="D683" s="67"/>
      <c r="E683" s="68"/>
      <c r="F683" s="17"/>
      <c r="G683" s="27"/>
    </row>
    <row r="684" spans="2:7" ht="20.25" customHeight="1" x14ac:dyDescent="0.3">
      <c r="B684" s="17"/>
      <c r="C684" s="27"/>
      <c r="D684" s="67"/>
      <c r="E684" s="68"/>
      <c r="F684" s="17"/>
      <c r="G684" s="27"/>
    </row>
    <row r="685" spans="2:7" ht="20.25" customHeight="1" x14ac:dyDescent="0.3">
      <c r="B685" s="17"/>
      <c r="C685" s="27"/>
      <c r="D685" s="67"/>
      <c r="E685" s="68"/>
      <c r="F685" s="17"/>
      <c r="G685" s="27"/>
    </row>
    <row r="686" spans="2:7" ht="20.25" customHeight="1" x14ac:dyDescent="0.3">
      <c r="B686" s="17"/>
      <c r="C686" s="27"/>
      <c r="D686" s="67"/>
      <c r="E686" s="68"/>
      <c r="F686" s="17"/>
      <c r="G686" s="27"/>
    </row>
    <row r="687" spans="2:7" ht="20.25" customHeight="1" x14ac:dyDescent="0.3">
      <c r="B687" s="17"/>
      <c r="C687" s="27"/>
      <c r="D687" s="67"/>
      <c r="E687" s="68"/>
      <c r="F687" s="17"/>
      <c r="G687" s="27"/>
    </row>
    <row r="688" spans="2:7" ht="20.25" customHeight="1" x14ac:dyDescent="0.3">
      <c r="B688" s="17"/>
      <c r="C688" s="27"/>
      <c r="D688" s="67"/>
      <c r="E688" s="68"/>
      <c r="F688" s="17"/>
      <c r="G688" s="27"/>
    </row>
    <row r="689" spans="2:7" ht="20.25" customHeight="1" x14ac:dyDescent="0.3">
      <c r="B689" s="17"/>
      <c r="C689" s="27"/>
      <c r="D689" s="67"/>
      <c r="E689" s="68"/>
      <c r="F689" s="17"/>
      <c r="G689" s="27"/>
    </row>
    <row r="690" spans="2:7" ht="20.25" customHeight="1" x14ac:dyDescent="0.3">
      <c r="B690" s="17"/>
      <c r="C690" s="27"/>
      <c r="D690" s="67"/>
      <c r="E690" s="68"/>
      <c r="F690" s="17"/>
      <c r="G690" s="27"/>
    </row>
    <row r="691" spans="2:7" ht="20.25" customHeight="1" x14ac:dyDescent="0.3">
      <c r="B691" s="17"/>
      <c r="C691" s="27"/>
      <c r="D691" s="67"/>
      <c r="E691" s="68"/>
      <c r="F691" s="17"/>
      <c r="G691" s="27"/>
    </row>
    <row r="692" spans="2:7" ht="20.25" customHeight="1" x14ac:dyDescent="0.3">
      <c r="B692" s="17"/>
      <c r="C692" s="27"/>
      <c r="D692" s="67"/>
      <c r="E692" s="68"/>
      <c r="F692" s="17"/>
      <c r="G692" s="27"/>
    </row>
    <row r="693" spans="2:7" ht="20.25" customHeight="1" x14ac:dyDescent="0.3">
      <c r="B693" s="17"/>
      <c r="C693" s="27"/>
      <c r="D693" s="67"/>
      <c r="E693" s="68"/>
      <c r="F693" s="17"/>
      <c r="G693" s="27"/>
    </row>
    <row r="694" spans="2:7" ht="20.25" customHeight="1" x14ac:dyDescent="0.3">
      <c r="B694" s="17"/>
      <c r="C694" s="27"/>
      <c r="D694" s="67"/>
      <c r="E694" s="68"/>
      <c r="F694" s="17"/>
      <c r="G694" s="27"/>
    </row>
    <row r="695" spans="2:7" ht="20.25" customHeight="1" x14ac:dyDescent="0.3">
      <c r="B695" s="17"/>
      <c r="C695" s="27"/>
      <c r="D695" s="67"/>
      <c r="E695" s="68"/>
      <c r="F695" s="17"/>
      <c r="G695" s="27"/>
    </row>
    <row r="696" spans="2:7" ht="20.25" customHeight="1" x14ac:dyDescent="0.3">
      <c r="B696" s="17"/>
      <c r="C696" s="27"/>
      <c r="D696" s="67"/>
      <c r="E696" s="68"/>
      <c r="F696" s="17"/>
      <c r="G696" s="27"/>
    </row>
    <row r="697" spans="2:7" ht="20.25" customHeight="1" x14ac:dyDescent="0.3">
      <c r="B697" s="17"/>
      <c r="C697" s="27"/>
      <c r="D697" s="67"/>
      <c r="E697" s="68"/>
      <c r="F697" s="17"/>
      <c r="G697" s="27"/>
    </row>
    <row r="698" spans="2:7" ht="20.25" customHeight="1" x14ac:dyDescent="0.3">
      <c r="B698" s="17"/>
      <c r="C698" s="27"/>
      <c r="D698" s="67"/>
      <c r="E698" s="68"/>
      <c r="F698" s="17"/>
      <c r="G698" s="27"/>
    </row>
    <row r="699" spans="2:7" ht="20.25" customHeight="1" x14ac:dyDescent="0.3">
      <c r="B699" s="17"/>
      <c r="C699" s="27"/>
      <c r="D699" s="67"/>
      <c r="E699" s="68"/>
      <c r="F699" s="17"/>
      <c r="G699" s="27"/>
    </row>
    <row r="700" spans="2:7" ht="20.25" customHeight="1" x14ac:dyDescent="0.3">
      <c r="B700" s="17"/>
      <c r="C700" s="27"/>
      <c r="D700" s="67"/>
      <c r="E700" s="68"/>
      <c r="F700" s="17"/>
      <c r="G700" s="27"/>
    </row>
    <row r="701" spans="2:7" ht="20.25" customHeight="1" x14ac:dyDescent="0.3">
      <c r="B701" s="17"/>
      <c r="C701" s="27"/>
      <c r="D701" s="67"/>
      <c r="E701" s="68"/>
      <c r="F701" s="17"/>
      <c r="G701" s="27"/>
    </row>
    <row r="702" spans="2:7" ht="20.25" customHeight="1" x14ac:dyDescent="0.3">
      <c r="B702" s="17"/>
      <c r="C702" s="27"/>
      <c r="D702" s="67"/>
      <c r="E702" s="68"/>
      <c r="F702" s="17"/>
      <c r="G702" s="27"/>
    </row>
    <row r="703" spans="2:7" ht="20.25" customHeight="1" x14ac:dyDescent="0.3">
      <c r="B703" s="17"/>
      <c r="C703" s="27"/>
      <c r="D703" s="67"/>
      <c r="E703" s="68"/>
      <c r="F703" s="17"/>
      <c r="G703" s="27"/>
    </row>
    <row r="704" spans="2:7" ht="20.25" customHeight="1" x14ac:dyDescent="0.3">
      <c r="B704" s="17"/>
      <c r="C704" s="27"/>
      <c r="D704" s="67"/>
      <c r="E704" s="68"/>
      <c r="F704" s="17"/>
      <c r="G704" s="27"/>
    </row>
    <row r="705" spans="2:7" ht="20.25" customHeight="1" x14ac:dyDescent="0.3">
      <c r="B705" s="17"/>
      <c r="C705" s="27"/>
      <c r="D705" s="67"/>
      <c r="E705" s="68"/>
      <c r="F705" s="17"/>
      <c r="G705" s="27"/>
    </row>
    <row r="706" spans="2:7" ht="20.25" customHeight="1" x14ac:dyDescent="0.3">
      <c r="B706" s="17"/>
      <c r="C706" s="27"/>
      <c r="D706" s="67"/>
      <c r="E706" s="68"/>
      <c r="F706" s="17"/>
      <c r="G706" s="27"/>
    </row>
    <row r="707" spans="2:7" ht="20.25" customHeight="1" x14ac:dyDescent="0.3">
      <c r="B707" s="17"/>
      <c r="C707" s="27"/>
      <c r="D707" s="67"/>
      <c r="E707" s="68"/>
      <c r="F707" s="17"/>
      <c r="G707" s="27"/>
    </row>
    <row r="708" spans="2:7" ht="20.25" customHeight="1" x14ac:dyDescent="0.3">
      <c r="B708" s="17"/>
      <c r="C708" s="27"/>
      <c r="D708" s="67"/>
      <c r="E708" s="68"/>
      <c r="F708" s="17"/>
      <c r="G708" s="27"/>
    </row>
    <row r="709" spans="2:7" ht="20.25" customHeight="1" x14ac:dyDescent="0.3">
      <c r="B709" s="17"/>
      <c r="C709" s="27"/>
      <c r="D709" s="67"/>
      <c r="E709" s="68"/>
      <c r="F709" s="17"/>
      <c r="G709" s="27"/>
    </row>
    <row r="710" spans="2:7" ht="20.25" customHeight="1" x14ac:dyDescent="0.3">
      <c r="B710" s="17"/>
      <c r="C710" s="27"/>
      <c r="D710" s="67"/>
      <c r="E710" s="68"/>
      <c r="F710" s="17"/>
      <c r="G710" s="27"/>
    </row>
    <row r="711" spans="2:7" ht="20.25" customHeight="1" x14ac:dyDescent="0.3">
      <c r="B711" s="17"/>
      <c r="C711" s="27"/>
      <c r="D711" s="67"/>
      <c r="E711" s="68"/>
      <c r="F711" s="17"/>
      <c r="G711" s="27"/>
    </row>
    <row r="712" spans="2:7" ht="20.25" customHeight="1" x14ac:dyDescent="0.3">
      <c r="B712" s="17"/>
      <c r="C712" s="27"/>
      <c r="D712" s="67"/>
      <c r="E712" s="68"/>
      <c r="F712" s="17"/>
      <c r="G712" s="27"/>
    </row>
    <row r="713" spans="2:7" ht="20.25" customHeight="1" x14ac:dyDescent="0.3">
      <c r="B713" s="17"/>
      <c r="C713" s="27"/>
      <c r="D713" s="67"/>
      <c r="E713" s="68"/>
      <c r="F713" s="17"/>
      <c r="G713" s="27"/>
    </row>
    <row r="714" spans="2:7" ht="20.25" customHeight="1" x14ac:dyDescent="0.3">
      <c r="B714" s="17"/>
      <c r="C714" s="27"/>
      <c r="D714" s="67"/>
      <c r="E714" s="68"/>
      <c r="F714" s="17"/>
      <c r="G714" s="27"/>
    </row>
    <row r="715" spans="2:7" ht="20.25" customHeight="1" x14ac:dyDescent="0.3">
      <c r="B715" s="17"/>
      <c r="C715" s="27"/>
      <c r="D715" s="67"/>
      <c r="E715" s="68"/>
      <c r="F715" s="17"/>
      <c r="G715" s="27"/>
    </row>
    <row r="716" spans="2:7" ht="20.25" customHeight="1" x14ac:dyDescent="0.3">
      <c r="B716" s="17"/>
      <c r="C716" s="27"/>
      <c r="D716" s="67"/>
      <c r="E716" s="68"/>
      <c r="F716" s="17"/>
      <c r="G716" s="27"/>
    </row>
    <row r="717" spans="2:7" ht="20.25" customHeight="1" x14ac:dyDescent="0.3">
      <c r="B717" s="17"/>
      <c r="C717" s="27"/>
      <c r="D717" s="67"/>
      <c r="E717" s="68"/>
      <c r="F717" s="17"/>
      <c r="G717" s="27"/>
    </row>
    <row r="718" spans="2:7" ht="20.25" customHeight="1" x14ac:dyDescent="0.3">
      <c r="B718" s="17"/>
      <c r="C718" s="27"/>
      <c r="D718" s="67"/>
      <c r="E718" s="68"/>
      <c r="F718" s="17"/>
      <c r="G718" s="27"/>
    </row>
    <row r="719" spans="2:7" ht="20.25" customHeight="1" x14ac:dyDescent="0.3">
      <c r="B719" s="17"/>
      <c r="C719" s="27"/>
      <c r="D719" s="67"/>
      <c r="E719" s="68"/>
      <c r="F719" s="17"/>
      <c r="G719" s="27"/>
    </row>
    <row r="720" spans="2:7" ht="20.25" customHeight="1" x14ac:dyDescent="0.3">
      <c r="B720" s="17"/>
      <c r="C720" s="27"/>
      <c r="D720" s="67"/>
      <c r="E720" s="68"/>
      <c r="F720" s="17"/>
      <c r="G720" s="27"/>
    </row>
    <row r="721" spans="2:7" ht="20.25" customHeight="1" x14ac:dyDescent="0.3">
      <c r="B721" s="17"/>
      <c r="C721" s="27"/>
      <c r="D721" s="67"/>
      <c r="E721" s="68"/>
      <c r="F721" s="17"/>
      <c r="G721" s="27"/>
    </row>
    <row r="722" spans="2:7" ht="20.25" customHeight="1" x14ac:dyDescent="0.3">
      <c r="B722" s="17"/>
      <c r="C722" s="27"/>
      <c r="D722" s="67"/>
      <c r="E722" s="68"/>
      <c r="F722" s="17"/>
      <c r="G722" s="27"/>
    </row>
    <row r="723" spans="2:7" ht="20.25" customHeight="1" x14ac:dyDescent="0.3">
      <c r="B723" s="17"/>
      <c r="C723" s="27"/>
      <c r="D723" s="67"/>
      <c r="E723" s="68"/>
      <c r="F723" s="17"/>
      <c r="G723" s="27"/>
    </row>
    <row r="724" spans="2:7" ht="20.25" customHeight="1" x14ac:dyDescent="0.3">
      <c r="B724" s="17"/>
      <c r="C724" s="27"/>
      <c r="D724" s="67"/>
      <c r="E724" s="68"/>
      <c r="F724" s="17"/>
      <c r="G724" s="27"/>
    </row>
    <row r="725" spans="2:7" ht="20.25" customHeight="1" x14ac:dyDescent="0.3">
      <c r="B725" s="17"/>
      <c r="C725" s="27"/>
      <c r="D725" s="67"/>
      <c r="E725" s="68"/>
      <c r="F725" s="17"/>
      <c r="G725" s="27"/>
    </row>
    <row r="726" spans="2:7" ht="20.25" customHeight="1" x14ac:dyDescent="0.3">
      <c r="B726" s="17"/>
      <c r="C726" s="27"/>
      <c r="D726" s="67"/>
      <c r="E726" s="68"/>
      <c r="F726" s="17"/>
      <c r="G726" s="27"/>
    </row>
    <row r="727" spans="2:7" ht="20.25" customHeight="1" x14ac:dyDescent="0.3">
      <c r="B727" s="17"/>
      <c r="C727" s="27"/>
      <c r="D727" s="67"/>
      <c r="E727" s="68"/>
      <c r="F727" s="17"/>
      <c r="G727" s="27"/>
    </row>
    <row r="728" spans="2:7" ht="20.25" customHeight="1" x14ac:dyDescent="0.3">
      <c r="B728" s="17"/>
      <c r="C728" s="27"/>
      <c r="D728" s="67"/>
      <c r="E728" s="68"/>
      <c r="F728" s="17"/>
      <c r="G728" s="27"/>
    </row>
    <row r="729" spans="2:7" ht="20.25" customHeight="1" x14ac:dyDescent="0.3">
      <c r="B729" s="17"/>
      <c r="C729" s="27"/>
      <c r="D729" s="67"/>
      <c r="E729" s="68"/>
      <c r="F729" s="17"/>
      <c r="G729" s="27"/>
    </row>
    <row r="730" spans="2:7" ht="20.25" customHeight="1" x14ac:dyDescent="0.3">
      <c r="B730" s="17"/>
      <c r="C730" s="27"/>
      <c r="D730" s="67"/>
      <c r="E730" s="68"/>
      <c r="F730" s="17"/>
      <c r="G730" s="27"/>
    </row>
    <row r="731" spans="2:7" ht="20.25" customHeight="1" x14ac:dyDescent="0.3">
      <c r="B731" s="17"/>
      <c r="C731" s="27"/>
      <c r="D731" s="67"/>
      <c r="E731" s="68"/>
      <c r="F731" s="17"/>
      <c r="G731" s="27"/>
    </row>
    <row r="732" spans="2:7" ht="20.25" customHeight="1" x14ac:dyDescent="0.3">
      <c r="B732" s="17"/>
      <c r="C732" s="27"/>
      <c r="D732" s="67"/>
      <c r="E732" s="68"/>
      <c r="F732" s="17"/>
      <c r="G732" s="27"/>
    </row>
    <row r="733" spans="2:7" ht="20.25" customHeight="1" x14ac:dyDescent="0.3">
      <c r="B733" s="17"/>
      <c r="C733" s="27"/>
      <c r="D733" s="67"/>
      <c r="E733" s="68"/>
      <c r="F733" s="17"/>
      <c r="G733" s="27"/>
    </row>
    <row r="734" spans="2:7" ht="20.25" customHeight="1" x14ac:dyDescent="0.3">
      <c r="B734" s="17"/>
      <c r="C734" s="27"/>
      <c r="D734" s="67"/>
      <c r="E734" s="68"/>
      <c r="F734" s="17"/>
      <c r="G734" s="27"/>
    </row>
    <row r="735" spans="2:7" ht="20.25" customHeight="1" x14ac:dyDescent="0.3">
      <c r="B735" s="17"/>
      <c r="C735" s="27"/>
      <c r="D735" s="67"/>
      <c r="E735" s="68"/>
      <c r="F735" s="17"/>
      <c r="G735" s="27"/>
    </row>
    <row r="736" spans="2:7" ht="20.25" customHeight="1" x14ac:dyDescent="0.3">
      <c r="B736" s="17"/>
      <c r="C736" s="27"/>
      <c r="D736" s="67"/>
      <c r="E736" s="68"/>
      <c r="F736" s="17"/>
      <c r="G736" s="27"/>
    </row>
    <row r="737" spans="2:7" ht="20.25" customHeight="1" x14ac:dyDescent="0.3">
      <c r="B737" s="17"/>
      <c r="C737" s="27"/>
      <c r="D737" s="67"/>
      <c r="E737" s="68"/>
      <c r="F737" s="17"/>
      <c r="G737" s="27"/>
    </row>
    <row r="738" spans="2:7" ht="20.25" customHeight="1" x14ac:dyDescent="0.3">
      <c r="B738" s="17"/>
      <c r="C738" s="27"/>
      <c r="D738" s="67"/>
      <c r="E738" s="68"/>
      <c r="F738" s="17"/>
      <c r="G738" s="27"/>
    </row>
    <row r="739" spans="2:7" ht="20.25" customHeight="1" x14ac:dyDescent="0.3">
      <c r="B739" s="17"/>
      <c r="C739" s="27"/>
      <c r="D739" s="67"/>
      <c r="E739" s="68"/>
      <c r="F739" s="17"/>
      <c r="G739" s="27"/>
    </row>
    <row r="740" spans="2:7" ht="20.25" customHeight="1" x14ac:dyDescent="0.3">
      <c r="B740" s="17"/>
      <c r="C740" s="27"/>
      <c r="D740" s="67"/>
      <c r="E740" s="68"/>
      <c r="F740" s="17"/>
      <c r="G740" s="27"/>
    </row>
    <row r="741" spans="2:7" ht="20.25" customHeight="1" x14ac:dyDescent="0.3">
      <c r="B741" s="17"/>
      <c r="C741" s="27"/>
      <c r="D741" s="67"/>
      <c r="E741" s="68"/>
      <c r="F741" s="17"/>
      <c r="G741" s="27"/>
    </row>
    <row r="742" spans="2:7" ht="20.25" customHeight="1" x14ac:dyDescent="0.3">
      <c r="B742" s="17"/>
      <c r="C742" s="27"/>
      <c r="D742" s="67"/>
      <c r="E742" s="68"/>
      <c r="F742" s="17"/>
      <c r="G742" s="27"/>
    </row>
    <row r="743" spans="2:7" ht="20.25" customHeight="1" x14ac:dyDescent="0.3">
      <c r="B743" s="17"/>
      <c r="C743" s="27"/>
      <c r="D743" s="67"/>
      <c r="E743" s="68"/>
      <c r="F743" s="17"/>
      <c r="G743" s="27"/>
    </row>
    <row r="744" spans="2:7" ht="20.25" customHeight="1" x14ac:dyDescent="0.3">
      <c r="B744" s="17"/>
      <c r="C744" s="27"/>
      <c r="D744" s="67"/>
      <c r="E744" s="68"/>
      <c r="F744" s="17"/>
      <c r="G744" s="27"/>
    </row>
    <row r="745" spans="2:7" ht="20.25" customHeight="1" x14ac:dyDescent="0.3">
      <c r="B745" s="17"/>
      <c r="C745" s="27"/>
      <c r="D745" s="67"/>
      <c r="E745" s="68"/>
      <c r="F745" s="17"/>
      <c r="G745" s="27"/>
    </row>
    <row r="746" spans="2:7" ht="20.25" customHeight="1" x14ac:dyDescent="0.3">
      <c r="B746" s="17"/>
      <c r="C746" s="27"/>
      <c r="D746" s="67"/>
      <c r="E746" s="68"/>
      <c r="F746" s="17"/>
      <c r="G746" s="27"/>
    </row>
    <row r="747" spans="2:7" ht="20.25" customHeight="1" x14ac:dyDescent="0.3">
      <c r="B747" s="17"/>
      <c r="C747" s="27"/>
      <c r="D747" s="67"/>
      <c r="E747" s="68"/>
      <c r="F747" s="17"/>
      <c r="G747" s="27"/>
    </row>
    <row r="748" spans="2:7" ht="20.25" customHeight="1" x14ac:dyDescent="0.3">
      <c r="B748" s="17"/>
      <c r="C748" s="27"/>
      <c r="D748" s="67"/>
      <c r="E748" s="68"/>
      <c r="F748" s="17"/>
      <c r="G748" s="27"/>
    </row>
    <row r="749" spans="2:7" ht="20.25" customHeight="1" x14ac:dyDescent="0.3">
      <c r="B749" s="17"/>
      <c r="C749" s="27"/>
      <c r="D749" s="67"/>
      <c r="E749" s="68"/>
      <c r="F749" s="17"/>
      <c r="G749" s="27"/>
    </row>
    <row r="750" spans="2:7" ht="20.25" customHeight="1" x14ac:dyDescent="0.3">
      <c r="B750" s="17"/>
      <c r="C750" s="27"/>
      <c r="D750" s="67"/>
      <c r="E750" s="68"/>
      <c r="F750" s="17"/>
      <c r="G750" s="27"/>
    </row>
    <row r="751" spans="2:7" ht="20.25" customHeight="1" x14ac:dyDescent="0.3">
      <c r="B751" s="17"/>
      <c r="C751" s="27"/>
      <c r="D751" s="67"/>
      <c r="E751" s="68"/>
      <c r="F751" s="17"/>
      <c r="G751" s="27"/>
    </row>
    <row r="752" spans="2:7" ht="20.25" customHeight="1" x14ac:dyDescent="0.3">
      <c r="B752" s="17"/>
      <c r="C752" s="27"/>
      <c r="D752" s="67"/>
      <c r="E752" s="68"/>
      <c r="F752" s="17"/>
      <c r="G752" s="27"/>
    </row>
    <row r="753" spans="2:7" ht="20.25" customHeight="1" x14ac:dyDescent="0.3">
      <c r="B753" s="17"/>
      <c r="C753" s="27"/>
      <c r="D753" s="67"/>
      <c r="E753" s="68"/>
      <c r="F753" s="17"/>
      <c r="G753" s="27"/>
    </row>
    <row r="754" spans="2:7" ht="20.25" customHeight="1" x14ac:dyDescent="0.3">
      <c r="B754" s="17"/>
      <c r="C754" s="27"/>
      <c r="D754" s="67"/>
      <c r="E754" s="68"/>
      <c r="F754" s="17"/>
      <c r="G754" s="27"/>
    </row>
    <row r="755" spans="2:7" ht="20.25" customHeight="1" x14ac:dyDescent="0.3">
      <c r="B755" s="17"/>
      <c r="C755" s="27"/>
      <c r="D755" s="67"/>
      <c r="E755" s="68"/>
      <c r="F755" s="17"/>
      <c r="G755" s="27"/>
    </row>
    <row r="756" spans="2:7" ht="20.25" customHeight="1" x14ac:dyDescent="0.3">
      <c r="B756" s="17"/>
      <c r="C756" s="27"/>
      <c r="D756" s="67"/>
      <c r="E756" s="68"/>
      <c r="F756" s="17"/>
      <c r="G756" s="27"/>
    </row>
    <row r="757" spans="2:7" ht="20.25" customHeight="1" x14ac:dyDescent="0.3">
      <c r="B757" s="17"/>
      <c r="C757" s="27"/>
      <c r="D757" s="67"/>
      <c r="E757" s="68"/>
      <c r="F757" s="17"/>
      <c r="G757" s="27"/>
    </row>
    <row r="758" spans="2:7" ht="20.25" customHeight="1" x14ac:dyDescent="0.3">
      <c r="B758" s="17"/>
      <c r="C758" s="27"/>
      <c r="D758" s="67"/>
      <c r="E758" s="68"/>
      <c r="F758" s="17"/>
      <c r="G758" s="27"/>
    </row>
    <row r="759" spans="2:7" ht="20.25" customHeight="1" x14ac:dyDescent="0.3">
      <c r="B759" s="17"/>
      <c r="C759" s="27"/>
      <c r="D759" s="67"/>
      <c r="E759" s="68"/>
      <c r="F759" s="17"/>
      <c r="G759" s="27"/>
    </row>
    <row r="760" spans="2:7" ht="20.25" customHeight="1" x14ac:dyDescent="0.3">
      <c r="B760" s="17"/>
      <c r="C760" s="27"/>
      <c r="D760" s="67"/>
      <c r="E760" s="68"/>
      <c r="F760" s="17"/>
      <c r="G760" s="27"/>
    </row>
    <row r="761" spans="2:7" ht="20.25" customHeight="1" x14ac:dyDescent="0.3">
      <c r="B761" s="17"/>
      <c r="C761" s="27"/>
      <c r="D761" s="67"/>
      <c r="E761" s="68"/>
      <c r="F761" s="17"/>
      <c r="G761" s="27"/>
    </row>
    <row r="762" spans="2:7" ht="20.25" customHeight="1" x14ac:dyDescent="0.3">
      <c r="B762" s="17"/>
      <c r="C762" s="27"/>
      <c r="D762" s="67"/>
      <c r="E762" s="68"/>
      <c r="F762" s="17"/>
      <c r="G762" s="27"/>
    </row>
    <row r="763" spans="2:7" ht="20.25" customHeight="1" x14ac:dyDescent="0.3">
      <c r="B763" s="17"/>
      <c r="C763" s="27"/>
      <c r="D763" s="67"/>
      <c r="E763" s="68"/>
      <c r="F763" s="17"/>
      <c r="G763" s="27"/>
    </row>
    <row r="764" spans="2:7" ht="20.25" customHeight="1" x14ac:dyDescent="0.3">
      <c r="B764" s="17"/>
      <c r="C764" s="27"/>
      <c r="D764" s="67"/>
      <c r="E764" s="68"/>
      <c r="F764" s="17"/>
      <c r="G764" s="27"/>
    </row>
    <row r="765" spans="2:7" ht="20.25" customHeight="1" x14ac:dyDescent="0.3">
      <c r="B765" s="17"/>
      <c r="C765" s="27"/>
      <c r="D765" s="67"/>
      <c r="E765" s="68"/>
      <c r="F765" s="17"/>
      <c r="G765" s="27"/>
    </row>
    <row r="766" spans="2:7" ht="20.25" customHeight="1" x14ac:dyDescent="0.3">
      <c r="B766" s="17"/>
      <c r="C766" s="27"/>
      <c r="D766" s="67"/>
      <c r="E766" s="68"/>
      <c r="F766" s="17"/>
      <c r="G766" s="27"/>
    </row>
    <row r="767" spans="2:7" ht="20.25" customHeight="1" x14ac:dyDescent="0.3">
      <c r="B767" s="17"/>
      <c r="C767" s="27"/>
      <c r="D767" s="67"/>
      <c r="E767" s="68"/>
      <c r="F767" s="17"/>
      <c r="G767" s="27"/>
    </row>
    <row r="768" spans="2:7" ht="20.25" customHeight="1" x14ac:dyDescent="0.3">
      <c r="B768" s="17"/>
      <c r="C768" s="27"/>
      <c r="D768" s="67"/>
      <c r="E768" s="68"/>
      <c r="F768" s="17"/>
      <c r="G768" s="27"/>
    </row>
    <row r="769" spans="2:7" ht="20.25" customHeight="1" x14ac:dyDescent="0.3">
      <c r="B769" s="17"/>
      <c r="C769" s="27"/>
      <c r="D769" s="67"/>
      <c r="E769" s="68"/>
      <c r="F769" s="17"/>
      <c r="G769" s="27"/>
    </row>
    <row r="770" spans="2:7" ht="20.25" customHeight="1" x14ac:dyDescent="0.3">
      <c r="B770" s="17"/>
      <c r="C770" s="27"/>
      <c r="D770" s="67"/>
      <c r="E770" s="68"/>
      <c r="F770" s="17"/>
      <c r="G770" s="27"/>
    </row>
    <row r="771" spans="2:7" ht="20.25" customHeight="1" x14ac:dyDescent="0.3">
      <c r="B771" s="17"/>
      <c r="C771" s="27"/>
      <c r="D771" s="67"/>
      <c r="E771" s="68"/>
      <c r="F771" s="17"/>
      <c r="G771" s="27"/>
    </row>
    <row r="772" spans="2:7" ht="20.25" customHeight="1" x14ac:dyDescent="0.3">
      <c r="B772" s="17"/>
      <c r="C772" s="27"/>
      <c r="D772" s="67"/>
      <c r="E772" s="68"/>
      <c r="F772" s="17"/>
      <c r="G772" s="27"/>
    </row>
    <row r="773" spans="2:7" ht="20.25" customHeight="1" x14ac:dyDescent="0.3">
      <c r="B773" s="17"/>
      <c r="C773" s="27"/>
      <c r="D773" s="67"/>
      <c r="E773" s="68"/>
      <c r="F773" s="17"/>
      <c r="G773" s="27"/>
    </row>
    <row r="774" spans="2:7" ht="20.25" customHeight="1" x14ac:dyDescent="0.3">
      <c r="B774" s="17"/>
      <c r="C774" s="27"/>
      <c r="D774" s="67"/>
      <c r="E774" s="68"/>
      <c r="F774" s="17"/>
      <c r="G774" s="27"/>
    </row>
    <row r="775" spans="2:7" ht="20.25" customHeight="1" x14ac:dyDescent="0.3">
      <c r="B775" s="17"/>
      <c r="C775" s="27"/>
      <c r="D775" s="67"/>
      <c r="E775" s="68"/>
      <c r="F775" s="17"/>
      <c r="G775" s="27"/>
    </row>
    <row r="776" spans="2:7" ht="20.25" customHeight="1" x14ac:dyDescent="0.3">
      <c r="B776" s="17"/>
      <c r="C776" s="27"/>
      <c r="D776" s="67"/>
      <c r="E776" s="68"/>
      <c r="F776" s="17"/>
      <c r="G776" s="27"/>
    </row>
    <row r="777" spans="2:7" ht="20.25" customHeight="1" x14ac:dyDescent="0.3">
      <c r="B777" s="17"/>
      <c r="C777" s="27"/>
      <c r="D777" s="67"/>
      <c r="E777" s="68"/>
      <c r="F777" s="17"/>
      <c r="G777" s="27"/>
    </row>
    <row r="778" spans="2:7" ht="20.25" customHeight="1" x14ac:dyDescent="0.3">
      <c r="B778" s="17"/>
      <c r="C778" s="27"/>
      <c r="D778" s="67"/>
      <c r="E778" s="68"/>
      <c r="F778" s="17"/>
      <c r="G778" s="27"/>
    </row>
    <row r="779" spans="2:7" ht="20.25" customHeight="1" x14ac:dyDescent="0.3">
      <c r="B779" s="17"/>
      <c r="C779" s="27"/>
      <c r="D779" s="67"/>
      <c r="E779" s="68"/>
      <c r="F779" s="17"/>
      <c r="G779" s="27"/>
    </row>
    <row r="780" spans="2:7" ht="20.25" customHeight="1" x14ac:dyDescent="0.3">
      <c r="B780" s="17"/>
      <c r="C780" s="27"/>
      <c r="D780" s="67"/>
      <c r="E780" s="68"/>
      <c r="F780" s="17"/>
      <c r="G780" s="27"/>
    </row>
    <row r="781" spans="2:7" ht="20.25" customHeight="1" x14ac:dyDescent="0.3">
      <c r="B781" s="17"/>
      <c r="C781" s="27"/>
      <c r="D781" s="67"/>
      <c r="E781" s="68"/>
      <c r="F781" s="17"/>
      <c r="G781" s="27"/>
    </row>
    <row r="782" spans="2:7" ht="20.25" customHeight="1" x14ac:dyDescent="0.3">
      <c r="B782" s="17"/>
      <c r="C782" s="27"/>
      <c r="D782" s="67"/>
      <c r="E782" s="68"/>
      <c r="F782" s="17"/>
      <c r="G782" s="27"/>
    </row>
    <row r="783" spans="2:7" ht="20.25" customHeight="1" x14ac:dyDescent="0.3">
      <c r="B783" s="17"/>
      <c r="C783" s="27"/>
      <c r="D783" s="67"/>
      <c r="E783" s="68"/>
      <c r="F783" s="17"/>
      <c r="G783" s="27"/>
    </row>
    <row r="784" spans="2:7" ht="20.25" customHeight="1" x14ac:dyDescent="0.3">
      <c r="B784" s="17"/>
      <c r="C784" s="27"/>
      <c r="D784" s="67"/>
      <c r="E784" s="68"/>
      <c r="F784" s="17"/>
      <c r="G784" s="27"/>
    </row>
    <row r="785" spans="2:7" ht="20.25" customHeight="1" x14ac:dyDescent="0.3">
      <c r="B785" s="17"/>
      <c r="C785" s="27"/>
      <c r="D785" s="67"/>
      <c r="E785" s="68"/>
      <c r="F785" s="17"/>
      <c r="G785" s="27"/>
    </row>
    <row r="786" spans="2:7" ht="20.25" customHeight="1" x14ac:dyDescent="0.3">
      <c r="B786" s="17"/>
      <c r="C786" s="27"/>
      <c r="D786" s="67"/>
      <c r="E786" s="68"/>
      <c r="F786" s="17"/>
      <c r="G786" s="27"/>
    </row>
    <row r="787" spans="2:7" ht="20.25" customHeight="1" x14ac:dyDescent="0.3">
      <c r="B787" s="17"/>
      <c r="C787" s="27"/>
      <c r="D787" s="67"/>
      <c r="E787" s="68"/>
      <c r="F787" s="17"/>
      <c r="G787" s="27"/>
    </row>
    <row r="788" spans="2:7" ht="20.25" customHeight="1" x14ac:dyDescent="0.3">
      <c r="B788" s="17"/>
      <c r="C788" s="27"/>
      <c r="D788" s="67"/>
      <c r="E788" s="68"/>
      <c r="F788" s="17"/>
      <c r="G788" s="27"/>
    </row>
    <row r="789" spans="2:7" ht="20.25" customHeight="1" x14ac:dyDescent="0.3">
      <c r="B789" s="17"/>
      <c r="C789" s="27"/>
      <c r="D789" s="67"/>
      <c r="E789" s="68"/>
      <c r="F789" s="17"/>
      <c r="G789" s="27"/>
    </row>
    <row r="790" spans="2:7" ht="20.25" customHeight="1" x14ac:dyDescent="0.3">
      <c r="B790" s="17"/>
      <c r="C790" s="27"/>
      <c r="D790" s="67"/>
      <c r="E790" s="68"/>
      <c r="F790" s="17"/>
      <c r="G790" s="27"/>
    </row>
    <row r="791" spans="2:7" ht="20.25" customHeight="1" x14ac:dyDescent="0.3">
      <c r="B791" s="17"/>
      <c r="C791" s="27"/>
      <c r="D791" s="67"/>
      <c r="E791" s="68"/>
      <c r="F791" s="17"/>
      <c r="G791" s="27"/>
    </row>
    <row r="792" spans="2:7" ht="20.25" customHeight="1" x14ac:dyDescent="0.3">
      <c r="B792" s="17"/>
      <c r="C792" s="27"/>
      <c r="D792" s="67"/>
      <c r="E792" s="68"/>
      <c r="F792" s="17"/>
      <c r="G792" s="27"/>
    </row>
    <row r="793" spans="2:7" ht="20.25" customHeight="1" x14ac:dyDescent="0.3">
      <c r="B793" s="17"/>
      <c r="C793" s="27"/>
      <c r="D793" s="67"/>
      <c r="E793" s="68"/>
      <c r="F793" s="17"/>
      <c r="G793" s="27"/>
    </row>
    <row r="794" spans="2:7" ht="20.25" customHeight="1" x14ac:dyDescent="0.3">
      <c r="B794" s="17"/>
      <c r="C794" s="27"/>
      <c r="D794" s="67"/>
      <c r="E794" s="68"/>
      <c r="F794" s="17"/>
      <c r="G794" s="27"/>
    </row>
    <row r="795" spans="2:7" ht="20.25" customHeight="1" x14ac:dyDescent="0.3">
      <c r="B795" s="17"/>
      <c r="C795" s="27"/>
      <c r="D795" s="67"/>
      <c r="E795" s="68"/>
      <c r="F795" s="17"/>
      <c r="G795" s="27"/>
    </row>
    <row r="796" spans="2:7" ht="20.25" customHeight="1" x14ac:dyDescent="0.3">
      <c r="B796" s="17"/>
      <c r="C796" s="27"/>
      <c r="D796" s="67"/>
      <c r="E796" s="68"/>
      <c r="F796" s="17"/>
      <c r="G796" s="27"/>
    </row>
    <row r="797" spans="2:7" ht="20.25" customHeight="1" x14ac:dyDescent="0.3">
      <c r="B797" s="17"/>
      <c r="C797" s="27"/>
      <c r="D797" s="67"/>
      <c r="E797" s="68"/>
      <c r="F797" s="17"/>
      <c r="G797" s="27"/>
    </row>
    <row r="798" spans="2:7" ht="20.25" customHeight="1" x14ac:dyDescent="0.3">
      <c r="B798" s="17"/>
      <c r="C798" s="27"/>
      <c r="D798" s="67"/>
      <c r="E798" s="68"/>
      <c r="F798" s="17"/>
      <c r="G798" s="27"/>
    </row>
    <row r="799" spans="2:7" ht="20.25" customHeight="1" x14ac:dyDescent="0.3">
      <c r="B799" s="17"/>
      <c r="C799" s="27"/>
      <c r="D799" s="67"/>
      <c r="E799" s="68"/>
      <c r="F799" s="17"/>
      <c r="G799" s="27"/>
    </row>
    <row r="800" spans="2:7" ht="20.25" customHeight="1" x14ac:dyDescent="0.3">
      <c r="B800" s="17"/>
      <c r="C800" s="27"/>
      <c r="D800" s="67"/>
      <c r="E800" s="68"/>
      <c r="F800" s="17"/>
      <c r="G800" s="27"/>
    </row>
    <row r="801" spans="2:7" ht="20.25" customHeight="1" x14ac:dyDescent="0.3">
      <c r="B801" s="17"/>
      <c r="C801" s="27"/>
      <c r="D801" s="67"/>
      <c r="E801" s="68"/>
      <c r="F801" s="17"/>
      <c r="G801" s="27"/>
    </row>
    <row r="802" spans="2:7" ht="20.25" customHeight="1" x14ac:dyDescent="0.3">
      <c r="B802" s="17"/>
      <c r="C802" s="27"/>
      <c r="D802" s="67"/>
      <c r="E802" s="68"/>
      <c r="F802" s="17"/>
      <c r="G802" s="27"/>
    </row>
    <row r="803" spans="2:7" ht="20.25" customHeight="1" x14ac:dyDescent="0.3">
      <c r="B803" s="17"/>
      <c r="C803" s="27"/>
      <c r="D803" s="67"/>
      <c r="E803" s="68"/>
      <c r="F803" s="17"/>
      <c r="G803" s="27"/>
    </row>
    <row r="804" spans="2:7" ht="20.25" customHeight="1" x14ac:dyDescent="0.3">
      <c r="B804" s="17"/>
      <c r="C804" s="27"/>
      <c r="D804" s="67"/>
      <c r="E804" s="68"/>
      <c r="F804" s="17"/>
      <c r="G804" s="27"/>
    </row>
    <row r="805" spans="2:7" ht="20.25" customHeight="1" x14ac:dyDescent="0.3">
      <c r="B805" s="17"/>
      <c r="C805" s="27"/>
      <c r="D805" s="67"/>
      <c r="E805" s="68"/>
      <c r="F805" s="17"/>
      <c r="G805" s="27"/>
    </row>
    <row r="806" spans="2:7" ht="20.25" customHeight="1" x14ac:dyDescent="0.3">
      <c r="B806" s="17"/>
      <c r="C806" s="27"/>
      <c r="D806" s="67"/>
      <c r="E806" s="68"/>
      <c r="F806" s="17"/>
      <c r="G806" s="27"/>
    </row>
    <row r="807" spans="2:7" ht="20.25" customHeight="1" x14ac:dyDescent="0.3">
      <c r="B807" s="17"/>
      <c r="C807" s="27"/>
      <c r="D807" s="67"/>
      <c r="E807" s="68"/>
      <c r="F807" s="17"/>
      <c r="G807" s="27"/>
    </row>
    <row r="808" spans="2:7" ht="20.25" customHeight="1" x14ac:dyDescent="0.3">
      <c r="B808" s="17"/>
      <c r="C808" s="27"/>
      <c r="D808" s="67"/>
      <c r="E808" s="68"/>
      <c r="F808" s="17"/>
      <c r="G808" s="27"/>
    </row>
    <row r="809" spans="2:7" ht="20.25" customHeight="1" x14ac:dyDescent="0.3">
      <c r="B809" s="17"/>
      <c r="C809" s="27"/>
      <c r="D809" s="67"/>
      <c r="E809" s="68"/>
      <c r="F809" s="17"/>
      <c r="G809" s="27"/>
    </row>
    <row r="810" spans="2:7" ht="20.25" customHeight="1" x14ac:dyDescent="0.3">
      <c r="B810" s="17"/>
      <c r="C810" s="27"/>
      <c r="D810" s="67"/>
      <c r="E810" s="68"/>
      <c r="F810" s="17"/>
      <c r="G810" s="27"/>
    </row>
    <row r="811" spans="2:7" ht="20.25" customHeight="1" x14ac:dyDescent="0.3">
      <c r="B811" s="17"/>
      <c r="C811" s="27"/>
      <c r="D811" s="67"/>
      <c r="E811" s="68"/>
      <c r="F811" s="17"/>
      <c r="G811" s="27"/>
    </row>
    <row r="812" spans="2:7" ht="20.25" customHeight="1" x14ac:dyDescent="0.3">
      <c r="B812" s="17"/>
      <c r="C812" s="27"/>
      <c r="D812" s="67"/>
      <c r="E812" s="68"/>
      <c r="F812" s="17"/>
      <c r="G812" s="27"/>
    </row>
    <row r="813" spans="2:7" ht="20.25" customHeight="1" x14ac:dyDescent="0.3">
      <c r="B813" s="17"/>
      <c r="C813" s="27"/>
      <c r="D813" s="67"/>
      <c r="E813" s="68"/>
      <c r="F813" s="17"/>
      <c r="G813" s="27"/>
    </row>
    <row r="814" spans="2:7" ht="20.25" customHeight="1" x14ac:dyDescent="0.3">
      <c r="B814" s="17"/>
      <c r="C814" s="27"/>
      <c r="D814" s="67"/>
      <c r="E814" s="68"/>
      <c r="F814" s="17"/>
      <c r="G814" s="27"/>
    </row>
    <row r="815" spans="2:7" ht="20.25" customHeight="1" x14ac:dyDescent="0.3">
      <c r="B815" s="17"/>
      <c r="C815" s="27"/>
      <c r="D815" s="67"/>
      <c r="E815" s="68"/>
      <c r="F815" s="17"/>
      <c r="G815" s="27"/>
    </row>
    <row r="816" spans="2:7" ht="20.25" customHeight="1" x14ac:dyDescent="0.3">
      <c r="B816" s="17"/>
      <c r="C816" s="27"/>
      <c r="D816" s="67"/>
      <c r="E816" s="68"/>
      <c r="F816" s="17"/>
      <c r="G816" s="27"/>
    </row>
    <row r="817" spans="2:7" ht="20.25" customHeight="1" x14ac:dyDescent="0.3">
      <c r="B817" s="17"/>
      <c r="C817" s="27"/>
      <c r="D817" s="67"/>
      <c r="E817" s="68"/>
      <c r="F817" s="17"/>
      <c r="G817" s="27"/>
    </row>
    <row r="818" spans="2:7" ht="20.25" customHeight="1" x14ac:dyDescent="0.3">
      <c r="B818" s="17"/>
      <c r="C818" s="27"/>
      <c r="D818" s="67"/>
      <c r="E818" s="68"/>
      <c r="F818" s="17"/>
      <c r="G818" s="27"/>
    </row>
    <row r="819" spans="2:7" ht="20.25" customHeight="1" x14ac:dyDescent="0.3">
      <c r="B819" s="17"/>
      <c r="C819" s="27"/>
      <c r="D819" s="67"/>
      <c r="E819" s="68"/>
      <c r="F819" s="17"/>
      <c r="G819" s="27"/>
    </row>
    <row r="820" spans="2:7" ht="20.25" customHeight="1" x14ac:dyDescent="0.3">
      <c r="B820" s="17"/>
      <c r="C820" s="27"/>
      <c r="D820" s="67"/>
      <c r="E820" s="68"/>
      <c r="F820" s="17"/>
      <c r="G820" s="27"/>
    </row>
    <row r="821" spans="2:7" ht="20.25" customHeight="1" x14ac:dyDescent="0.3">
      <c r="B821" s="17"/>
      <c r="C821" s="27"/>
      <c r="D821" s="67"/>
      <c r="E821" s="68"/>
      <c r="F821" s="17"/>
      <c r="G821" s="27"/>
    </row>
    <row r="822" spans="2:7" ht="20.25" customHeight="1" x14ac:dyDescent="0.3">
      <c r="B822" s="17"/>
      <c r="C822" s="27"/>
      <c r="D822" s="67"/>
      <c r="E822" s="68"/>
      <c r="F822" s="17"/>
      <c r="G822" s="27"/>
    </row>
    <row r="823" spans="2:7" ht="20.25" customHeight="1" x14ac:dyDescent="0.3">
      <c r="B823" s="17"/>
      <c r="C823" s="27"/>
      <c r="D823" s="67"/>
      <c r="E823" s="68"/>
      <c r="F823" s="17"/>
      <c r="G823" s="27"/>
    </row>
    <row r="824" spans="2:7" ht="20.25" customHeight="1" x14ac:dyDescent="0.3">
      <c r="B824" s="17"/>
      <c r="C824" s="27"/>
      <c r="D824" s="67"/>
      <c r="E824" s="68"/>
      <c r="F824" s="17"/>
      <c r="G824" s="27"/>
    </row>
    <row r="825" spans="2:7" ht="20.25" customHeight="1" x14ac:dyDescent="0.3">
      <c r="B825" s="17"/>
      <c r="C825" s="27"/>
      <c r="D825" s="67"/>
      <c r="E825" s="68"/>
      <c r="F825" s="17"/>
      <c r="G825" s="27"/>
    </row>
    <row r="826" spans="2:7" ht="20.25" customHeight="1" x14ac:dyDescent="0.3">
      <c r="B826" s="17"/>
      <c r="C826" s="27"/>
      <c r="D826" s="67"/>
      <c r="E826" s="68"/>
      <c r="F826" s="17"/>
      <c r="G826" s="27"/>
    </row>
    <row r="827" spans="2:7" ht="20.25" customHeight="1" x14ac:dyDescent="0.3">
      <c r="B827" s="17"/>
      <c r="C827" s="27"/>
      <c r="D827" s="67"/>
      <c r="E827" s="68"/>
      <c r="F827" s="17"/>
      <c r="G827" s="27"/>
    </row>
    <row r="828" spans="2:7" ht="20.25" customHeight="1" x14ac:dyDescent="0.3">
      <c r="B828" s="17"/>
      <c r="C828" s="27"/>
      <c r="D828" s="67"/>
      <c r="E828" s="68"/>
      <c r="F828" s="17"/>
      <c r="G828" s="27"/>
    </row>
    <row r="829" spans="2:7" ht="20.25" customHeight="1" x14ac:dyDescent="0.3">
      <c r="B829" s="17"/>
      <c r="C829" s="27"/>
      <c r="D829" s="67"/>
      <c r="E829" s="68"/>
      <c r="F829" s="17"/>
      <c r="G829" s="27"/>
    </row>
    <row r="830" spans="2:7" ht="20.25" customHeight="1" x14ac:dyDescent="0.3">
      <c r="B830" s="17"/>
      <c r="C830" s="27"/>
      <c r="D830" s="67"/>
      <c r="E830" s="68"/>
      <c r="F830" s="17"/>
      <c r="G830" s="27"/>
    </row>
    <row r="831" spans="2:7" ht="20.25" customHeight="1" x14ac:dyDescent="0.3">
      <c r="B831" s="17"/>
      <c r="C831" s="27"/>
      <c r="D831" s="67"/>
      <c r="E831" s="68"/>
      <c r="F831" s="17"/>
      <c r="G831" s="27"/>
    </row>
    <row r="832" spans="2:7" ht="20.25" customHeight="1" x14ac:dyDescent="0.3">
      <c r="B832" s="17"/>
      <c r="C832" s="27"/>
      <c r="D832" s="67"/>
      <c r="E832" s="68"/>
      <c r="F832" s="17"/>
      <c r="G832" s="27"/>
    </row>
    <row r="833" spans="2:7" ht="20.25" customHeight="1" x14ac:dyDescent="0.3">
      <c r="B833" s="17"/>
      <c r="C833" s="27"/>
      <c r="D833" s="67"/>
      <c r="E833" s="68"/>
      <c r="F833" s="17"/>
      <c r="G833" s="27"/>
    </row>
    <row r="834" spans="2:7" ht="20.25" customHeight="1" x14ac:dyDescent="0.3">
      <c r="B834" s="17"/>
      <c r="C834" s="27"/>
      <c r="D834" s="67"/>
      <c r="E834" s="68"/>
      <c r="F834" s="17"/>
      <c r="G834" s="27"/>
    </row>
    <row r="835" spans="2:7" ht="20.25" customHeight="1" x14ac:dyDescent="0.3">
      <c r="B835" s="17"/>
      <c r="C835" s="27"/>
      <c r="D835" s="67"/>
      <c r="E835" s="68"/>
      <c r="F835" s="17"/>
      <c r="G835" s="27"/>
    </row>
    <row r="836" spans="2:7" ht="20.25" customHeight="1" x14ac:dyDescent="0.3">
      <c r="B836" s="17"/>
      <c r="C836" s="27"/>
      <c r="D836" s="67"/>
      <c r="E836" s="68"/>
      <c r="F836" s="17"/>
      <c r="G836" s="27"/>
    </row>
    <row r="837" spans="2:7" ht="20.25" customHeight="1" x14ac:dyDescent="0.3">
      <c r="B837" s="17"/>
      <c r="C837" s="27"/>
      <c r="D837" s="67"/>
      <c r="E837" s="68"/>
      <c r="F837" s="17"/>
      <c r="G837" s="27"/>
    </row>
    <row r="838" spans="2:7" ht="20.25" customHeight="1" x14ac:dyDescent="0.3">
      <c r="B838" s="17"/>
      <c r="C838" s="27"/>
      <c r="D838" s="67"/>
      <c r="E838" s="68"/>
      <c r="F838" s="17"/>
      <c r="G838" s="27"/>
    </row>
    <row r="839" spans="2:7" ht="20.25" customHeight="1" x14ac:dyDescent="0.3">
      <c r="B839" s="17"/>
      <c r="C839" s="27"/>
      <c r="D839" s="67"/>
      <c r="E839" s="68"/>
      <c r="F839" s="17"/>
      <c r="G839" s="27"/>
    </row>
    <row r="840" spans="2:7" ht="20.25" customHeight="1" x14ac:dyDescent="0.3">
      <c r="B840" s="17"/>
      <c r="C840" s="27"/>
      <c r="D840" s="67"/>
      <c r="E840" s="68"/>
      <c r="F840" s="17"/>
      <c r="G840" s="27"/>
    </row>
    <row r="841" spans="2:7" ht="20.25" customHeight="1" x14ac:dyDescent="0.3">
      <c r="B841" s="17"/>
      <c r="C841" s="27"/>
      <c r="D841" s="67"/>
      <c r="E841" s="68"/>
      <c r="F841" s="17"/>
      <c r="G841" s="27"/>
    </row>
    <row r="842" spans="2:7" ht="20.25" customHeight="1" x14ac:dyDescent="0.3">
      <c r="B842" s="17"/>
      <c r="C842" s="27"/>
      <c r="D842" s="67"/>
      <c r="E842" s="68"/>
      <c r="F842" s="17"/>
      <c r="G842" s="27"/>
    </row>
    <row r="843" spans="2:7" ht="20.25" customHeight="1" x14ac:dyDescent="0.3">
      <c r="B843" s="17"/>
      <c r="C843" s="27"/>
      <c r="D843" s="67"/>
      <c r="E843" s="68"/>
      <c r="F843" s="17"/>
      <c r="G843" s="27"/>
    </row>
    <row r="844" spans="2:7" ht="20.25" customHeight="1" x14ac:dyDescent="0.3">
      <c r="B844" s="17"/>
      <c r="C844" s="27"/>
      <c r="D844" s="67"/>
      <c r="E844" s="68"/>
      <c r="F844" s="17"/>
      <c r="G844" s="27"/>
    </row>
    <row r="845" spans="2:7" ht="20.25" customHeight="1" x14ac:dyDescent="0.3">
      <c r="B845" s="17"/>
      <c r="C845" s="27"/>
      <c r="D845" s="67"/>
      <c r="E845" s="68"/>
      <c r="F845" s="17"/>
      <c r="G845" s="27"/>
    </row>
    <row r="846" spans="2:7" ht="20.25" customHeight="1" x14ac:dyDescent="0.3">
      <c r="B846" s="17"/>
      <c r="C846" s="27"/>
      <c r="D846" s="67"/>
      <c r="E846" s="68"/>
      <c r="F846" s="17"/>
      <c r="G846" s="27"/>
    </row>
    <row r="847" spans="2:7" ht="20.25" customHeight="1" x14ac:dyDescent="0.3">
      <c r="B847" s="17"/>
      <c r="C847" s="27"/>
      <c r="D847" s="67"/>
      <c r="E847" s="68"/>
      <c r="F847" s="17"/>
      <c r="G847" s="27"/>
    </row>
    <row r="848" spans="2:7" ht="20.25" customHeight="1" x14ac:dyDescent="0.3">
      <c r="B848" s="17"/>
      <c r="C848" s="27"/>
      <c r="D848" s="67"/>
      <c r="E848" s="68"/>
      <c r="F848" s="17"/>
      <c r="G848" s="27"/>
    </row>
    <row r="849" spans="2:7" ht="20.25" customHeight="1" x14ac:dyDescent="0.3">
      <c r="B849" s="17"/>
      <c r="C849" s="27"/>
      <c r="D849" s="67"/>
      <c r="E849" s="68"/>
      <c r="F849" s="17"/>
      <c r="G849" s="27"/>
    </row>
    <row r="850" spans="2:7" ht="20.25" customHeight="1" x14ac:dyDescent="0.3">
      <c r="B850" s="17"/>
      <c r="C850" s="27"/>
      <c r="D850" s="67"/>
      <c r="E850" s="68"/>
      <c r="F850" s="17"/>
      <c r="G850" s="27"/>
    </row>
    <row r="851" spans="2:7" ht="20.25" customHeight="1" x14ac:dyDescent="0.3">
      <c r="B851" s="17"/>
      <c r="C851" s="27"/>
      <c r="D851" s="67"/>
      <c r="E851" s="68"/>
      <c r="F851" s="17"/>
      <c r="G851" s="27"/>
    </row>
    <row r="852" spans="2:7" ht="20.25" customHeight="1" x14ac:dyDescent="0.3">
      <c r="B852" s="17"/>
      <c r="C852" s="27"/>
      <c r="D852" s="67"/>
      <c r="E852" s="68"/>
      <c r="F852" s="17"/>
      <c r="G852" s="27"/>
    </row>
    <row r="853" spans="2:7" ht="20.25" customHeight="1" x14ac:dyDescent="0.3">
      <c r="B853" s="17"/>
      <c r="C853" s="27"/>
      <c r="D853" s="67"/>
      <c r="E853" s="68"/>
      <c r="F853" s="17"/>
      <c r="G853" s="27"/>
    </row>
    <row r="854" spans="2:7" ht="20.25" customHeight="1" x14ac:dyDescent="0.3">
      <c r="B854" s="17"/>
      <c r="C854" s="27"/>
      <c r="D854" s="67"/>
      <c r="E854" s="68"/>
      <c r="F854" s="17"/>
      <c r="G854" s="27"/>
    </row>
    <row r="855" spans="2:7" ht="20.25" customHeight="1" x14ac:dyDescent="0.3">
      <c r="B855" s="17"/>
      <c r="C855" s="27"/>
      <c r="D855" s="67"/>
      <c r="E855" s="68"/>
      <c r="F855" s="17"/>
      <c r="G855" s="27"/>
    </row>
    <row r="856" spans="2:7" ht="20.25" customHeight="1" x14ac:dyDescent="0.3">
      <c r="B856" s="17"/>
      <c r="C856" s="27"/>
      <c r="D856" s="67"/>
      <c r="E856" s="68"/>
      <c r="F856" s="17"/>
      <c r="G856" s="27"/>
    </row>
    <row r="857" spans="2:7" ht="20.25" customHeight="1" x14ac:dyDescent="0.3">
      <c r="B857" s="17"/>
      <c r="C857" s="27"/>
      <c r="D857" s="67"/>
      <c r="E857" s="68"/>
      <c r="F857" s="17"/>
      <c r="G857" s="27"/>
    </row>
    <row r="858" spans="2:7" ht="20.25" customHeight="1" x14ac:dyDescent="0.3">
      <c r="B858" s="17"/>
      <c r="C858" s="27"/>
      <c r="D858" s="67"/>
      <c r="E858" s="68"/>
      <c r="F858" s="17"/>
      <c r="G858" s="27"/>
    </row>
    <row r="859" spans="2:7" ht="20.25" customHeight="1" x14ac:dyDescent="0.3">
      <c r="B859" s="17"/>
      <c r="C859" s="27"/>
      <c r="D859" s="67"/>
      <c r="E859" s="68"/>
      <c r="F859" s="17"/>
      <c r="G859" s="27"/>
    </row>
    <row r="860" spans="2:7" ht="20.25" customHeight="1" x14ac:dyDescent="0.3">
      <c r="B860" s="17"/>
      <c r="C860" s="27"/>
      <c r="D860" s="67"/>
      <c r="E860" s="68"/>
      <c r="F860" s="17"/>
      <c r="G860" s="27"/>
    </row>
    <row r="861" spans="2:7" ht="20.25" customHeight="1" x14ac:dyDescent="0.3">
      <c r="B861" s="17"/>
      <c r="C861" s="27"/>
      <c r="D861" s="67"/>
      <c r="E861" s="68"/>
      <c r="F861" s="17"/>
      <c r="G861" s="27"/>
    </row>
    <row r="862" spans="2:7" ht="20.25" customHeight="1" x14ac:dyDescent="0.3">
      <c r="B862" s="17"/>
      <c r="C862" s="27"/>
      <c r="D862" s="67"/>
      <c r="E862" s="68"/>
      <c r="F862" s="17"/>
      <c r="G862" s="27"/>
    </row>
    <row r="863" spans="2:7" ht="20.25" customHeight="1" x14ac:dyDescent="0.3">
      <c r="B863" s="17"/>
      <c r="C863" s="27"/>
      <c r="D863" s="67"/>
      <c r="E863" s="68"/>
      <c r="F863" s="17"/>
      <c r="G863" s="27"/>
    </row>
    <row r="864" spans="2:7" ht="20.25" customHeight="1" x14ac:dyDescent="0.3">
      <c r="B864" s="17"/>
      <c r="C864" s="27"/>
      <c r="D864" s="67"/>
      <c r="E864" s="68"/>
      <c r="F864" s="17"/>
      <c r="G864" s="27"/>
    </row>
    <row r="865" spans="2:7" ht="20.25" customHeight="1" x14ac:dyDescent="0.3">
      <c r="B865" s="17"/>
      <c r="C865" s="27"/>
      <c r="D865" s="67"/>
      <c r="E865" s="68"/>
      <c r="F865" s="17"/>
      <c r="G865" s="27"/>
    </row>
    <row r="866" spans="2:7" ht="20.25" customHeight="1" x14ac:dyDescent="0.3">
      <c r="B866" s="17"/>
      <c r="C866" s="27"/>
      <c r="D866" s="67"/>
      <c r="E866" s="68"/>
      <c r="F866" s="17"/>
      <c r="G866" s="27"/>
    </row>
    <row r="867" spans="2:7" ht="20.25" customHeight="1" x14ac:dyDescent="0.3">
      <c r="B867" s="17"/>
      <c r="C867" s="27"/>
      <c r="D867" s="67"/>
      <c r="E867" s="68"/>
      <c r="F867" s="17"/>
      <c r="G867" s="27"/>
    </row>
    <row r="868" spans="2:7" ht="20.25" customHeight="1" x14ac:dyDescent="0.3">
      <c r="B868" s="17"/>
      <c r="C868" s="27"/>
      <c r="D868" s="67"/>
      <c r="E868" s="68"/>
      <c r="F868" s="17"/>
      <c r="G868" s="27"/>
    </row>
    <row r="869" spans="2:7" ht="20.25" customHeight="1" x14ac:dyDescent="0.3">
      <c r="B869" s="17"/>
      <c r="C869" s="27"/>
      <c r="D869" s="67"/>
      <c r="E869" s="68"/>
      <c r="F869" s="17"/>
      <c r="G869" s="27"/>
    </row>
    <row r="870" spans="2:7" ht="20.25" customHeight="1" x14ac:dyDescent="0.3">
      <c r="B870" s="17"/>
      <c r="C870" s="27"/>
      <c r="D870" s="67"/>
      <c r="E870" s="68"/>
      <c r="F870" s="17"/>
      <c r="G870" s="27"/>
    </row>
    <row r="871" spans="2:7" ht="20.25" customHeight="1" x14ac:dyDescent="0.3">
      <c r="B871" s="17"/>
      <c r="C871" s="27"/>
      <c r="D871" s="67"/>
      <c r="E871" s="68"/>
      <c r="F871" s="17"/>
      <c r="G871" s="27"/>
    </row>
    <row r="872" spans="2:7" ht="20.25" customHeight="1" x14ac:dyDescent="0.3">
      <c r="B872" s="17"/>
      <c r="C872" s="27"/>
      <c r="D872" s="67"/>
      <c r="E872" s="68"/>
      <c r="F872" s="17"/>
      <c r="G872" s="27"/>
    </row>
    <row r="873" spans="2:7" ht="20.25" customHeight="1" x14ac:dyDescent="0.3">
      <c r="B873" s="17"/>
      <c r="C873" s="27"/>
      <c r="D873" s="67"/>
      <c r="E873" s="68"/>
      <c r="F873" s="17"/>
      <c r="G873" s="27"/>
    </row>
    <row r="874" spans="2:7" ht="20.25" customHeight="1" x14ac:dyDescent="0.3">
      <c r="B874" s="17"/>
      <c r="C874" s="27"/>
      <c r="D874" s="67"/>
      <c r="E874" s="68"/>
      <c r="F874" s="17"/>
      <c r="G874" s="27"/>
    </row>
    <row r="875" spans="2:7" ht="20.25" customHeight="1" x14ac:dyDescent="0.3">
      <c r="B875" s="17"/>
      <c r="C875" s="27"/>
      <c r="D875" s="67"/>
      <c r="E875" s="68"/>
      <c r="F875" s="17"/>
      <c r="G875" s="27"/>
    </row>
    <row r="876" spans="2:7" ht="20.25" customHeight="1" x14ac:dyDescent="0.3">
      <c r="B876" s="17"/>
      <c r="C876" s="27"/>
      <c r="D876" s="67"/>
      <c r="E876" s="68"/>
      <c r="F876" s="17"/>
      <c r="G876" s="27"/>
    </row>
    <row r="877" spans="2:7" ht="20.25" customHeight="1" x14ac:dyDescent="0.3">
      <c r="B877" s="17"/>
      <c r="C877" s="27"/>
      <c r="D877" s="67"/>
      <c r="E877" s="68"/>
      <c r="F877" s="17"/>
      <c r="G877" s="27"/>
    </row>
    <row r="878" spans="2:7" ht="20.25" customHeight="1" x14ac:dyDescent="0.3">
      <c r="B878" s="17"/>
      <c r="C878" s="27"/>
      <c r="D878" s="67"/>
      <c r="E878" s="68"/>
      <c r="F878" s="17"/>
      <c r="G878" s="27"/>
    </row>
    <row r="879" spans="2:7" ht="20.25" customHeight="1" x14ac:dyDescent="0.3">
      <c r="B879" s="17"/>
      <c r="C879" s="27"/>
      <c r="D879" s="67"/>
      <c r="E879" s="68"/>
      <c r="F879" s="17"/>
      <c r="G879" s="27"/>
    </row>
    <row r="880" spans="2:7" ht="20.25" customHeight="1" x14ac:dyDescent="0.3">
      <c r="B880" s="17"/>
      <c r="C880" s="27"/>
      <c r="D880" s="67"/>
      <c r="E880" s="68"/>
      <c r="F880" s="17"/>
      <c r="G880" s="27"/>
    </row>
    <row r="881" spans="2:7" ht="20.25" customHeight="1" x14ac:dyDescent="0.3">
      <c r="B881" s="17"/>
      <c r="C881" s="27"/>
      <c r="D881" s="67"/>
      <c r="E881" s="68"/>
      <c r="F881" s="17"/>
      <c r="G881" s="27"/>
    </row>
    <row r="882" spans="2:7" ht="20.25" customHeight="1" x14ac:dyDescent="0.3">
      <c r="B882" s="17"/>
      <c r="C882" s="27"/>
      <c r="D882" s="67"/>
      <c r="E882" s="68"/>
      <c r="F882" s="17"/>
      <c r="G882" s="27"/>
    </row>
    <row r="883" spans="2:7" ht="20.25" customHeight="1" x14ac:dyDescent="0.3">
      <c r="B883" s="17"/>
      <c r="C883" s="27"/>
      <c r="D883" s="67"/>
      <c r="E883" s="68"/>
      <c r="F883" s="17"/>
      <c r="G883" s="27"/>
    </row>
    <row r="884" spans="2:7" ht="20.25" customHeight="1" x14ac:dyDescent="0.3">
      <c r="B884" s="17"/>
      <c r="C884" s="27"/>
      <c r="D884" s="67"/>
      <c r="E884" s="68"/>
      <c r="F884" s="17"/>
      <c r="G884" s="27"/>
    </row>
    <row r="885" spans="2:7" ht="20.25" customHeight="1" x14ac:dyDescent="0.3">
      <c r="B885" s="17"/>
      <c r="C885" s="27"/>
      <c r="D885" s="67"/>
      <c r="E885" s="68"/>
      <c r="F885" s="17"/>
      <c r="G885" s="27"/>
    </row>
    <row r="886" spans="2:7" ht="20.25" customHeight="1" x14ac:dyDescent="0.3">
      <c r="B886" s="17"/>
      <c r="C886" s="27"/>
      <c r="D886" s="67"/>
      <c r="E886" s="68"/>
      <c r="F886" s="17"/>
      <c r="G886" s="27"/>
    </row>
    <row r="887" spans="2:7" ht="20.25" customHeight="1" x14ac:dyDescent="0.3">
      <c r="B887" s="17"/>
      <c r="C887" s="27"/>
      <c r="D887" s="67"/>
      <c r="E887" s="68"/>
      <c r="F887" s="17"/>
      <c r="G887" s="27"/>
    </row>
    <row r="888" spans="2:7" ht="20.25" customHeight="1" x14ac:dyDescent="0.3">
      <c r="B888" s="17"/>
      <c r="C888" s="27"/>
      <c r="D888" s="67"/>
      <c r="E888" s="68"/>
      <c r="F888" s="17"/>
      <c r="G888" s="27"/>
    </row>
    <row r="889" spans="2:7" ht="20.25" customHeight="1" x14ac:dyDescent="0.3">
      <c r="B889" s="17"/>
      <c r="C889" s="27"/>
      <c r="D889" s="67"/>
      <c r="E889" s="68"/>
      <c r="F889" s="17"/>
      <c r="G889" s="27"/>
    </row>
    <row r="890" spans="2:7" ht="20.25" customHeight="1" x14ac:dyDescent="0.3">
      <c r="B890" s="17"/>
      <c r="C890" s="27"/>
      <c r="D890" s="67"/>
      <c r="E890" s="68"/>
      <c r="F890" s="17"/>
      <c r="G890" s="27"/>
    </row>
    <row r="891" spans="2:7" ht="20.25" customHeight="1" x14ac:dyDescent="0.3">
      <c r="B891" s="17"/>
      <c r="C891" s="27"/>
      <c r="D891" s="67"/>
      <c r="E891" s="68"/>
      <c r="F891" s="17"/>
      <c r="G891" s="27"/>
    </row>
    <row r="892" spans="2:7" ht="20.25" customHeight="1" x14ac:dyDescent="0.3">
      <c r="B892" s="17"/>
      <c r="C892" s="27"/>
      <c r="D892" s="67"/>
      <c r="E892" s="68"/>
      <c r="F892" s="17"/>
      <c r="G892" s="27"/>
    </row>
    <row r="893" spans="2:7" ht="20.25" customHeight="1" x14ac:dyDescent="0.3">
      <c r="B893" s="17"/>
      <c r="C893" s="27"/>
      <c r="D893" s="67"/>
      <c r="E893" s="68"/>
      <c r="F893" s="17"/>
      <c r="G893" s="27"/>
    </row>
    <row r="894" spans="2:7" ht="20.25" customHeight="1" x14ac:dyDescent="0.3">
      <c r="B894" s="17"/>
      <c r="C894" s="27"/>
      <c r="D894" s="67"/>
      <c r="E894" s="68"/>
      <c r="F894" s="17"/>
      <c r="G894" s="27"/>
    </row>
    <row r="895" spans="2:7" ht="20.25" customHeight="1" x14ac:dyDescent="0.3">
      <c r="B895" s="17"/>
      <c r="C895" s="27"/>
      <c r="D895" s="67"/>
      <c r="E895" s="68"/>
      <c r="F895" s="17"/>
      <c r="G895" s="27"/>
    </row>
    <row r="896" spans="2:7" ht="20.25" customHeight="1" x14ac:dyDescent="0.3">
      <c r="B896" s="17"/>
      <c r="C896" s="27"/>
      <c r="D896" s="67"/>
      <c r="E896" s="68"/>
      <c r="F896" s="17"/>
      <c r="G896" s="27"/>
    </row>
    <row r="897" spans="2:7" ht="20.25" customHeight="1" x14ac:dyDescent="0.3">
      <c r="B897" s="17"/>
      <c r="C897" s="27"/>
      <c r="D897" s="67"/>
      <c r="E897" s="68"/>
      <c r="F897" s="17"/>
      <c r="G897" s="27"/>
    </row>
    <row r="898" spans="2:7" ht="20.25" customHeight="1" x14ac:dyDescent="0.3">
      <c r="B898" s="17"/>
      <c r="C898" s="27"/>
      <c r="D898" s="67"/>
      <c r="E898" s="68"/>
      <c r="F898" s="17"/>
      <c r="G898" s="27"/>
    </row>
    <row r="899" spans="2:7" ht="20.25" customHeight="1" x14ac:dyDescent="0.3">
      <c r="B899" s="17"/>
      <c r="C899" s="27"/>
      <c r="D899" s="67"/>
      <c r="E899" s="68"/>
      <c r="F899" s="17"/>
      <c r="G899" s="27"/>
    </row>
    <row r="900" spans="2:7" ht="20.25" customHeight="1" x14ac:dyDescent="0.3">
      <c r="B900" s="17"/>
      <c r="C900" s="27"/>
      <c r="D900" s="67"/>
      <c r="E900" s="68"/>
      <c r="F900" s="17"/>
      <c r="G900" s="27"/>
    </row>
    <row r="901" spans="2:7" ht="20.25" customHeight="1" x14ac:dyDescent="0.3">
      <c r="B901" s="17"/>
      <c r="C901" s="27"/>
      <c r="D901" s="67"/>
      <c r="E901" s="68"/>
      <c r="F901" s="17"/>
      <c r="G901" s="27"/>
    </row>
    <row r="902" spans="2:7" ht="20.25" customHeight="1" x14ac:dyDescent="0.3">
      <c r="B902" s="17"/>
      <c r="C902" s="27"/>
      <c r="D902" s="67"/>
      <c r="E902" s="68"/>
      <c r="F902" s="17"/>
      <c r="G902" s="27"/>
    </row>
    <row r="903" spans="2:7" ht="20.25" customHeight="1" x14ac:dyDescent="0.3">
      <c r="B903" s="17"/>
      <c r="C903" s="27"/>
      <c r="D903" s="67"/>
      <c r="E903" s="68"/>
      <c r="F903" s="17"/>
      <c r="G903" s="27"/>
    </row>
    <row r="904" spans="2:7" ht="20.25" customHeight="1" x14ac:dyDescent="0.3">
      <c r="B904" s="17"/>
      <c r="C904" s="27"/>
      <c r="D904" s="67"/>
      <c r="E904" s="68"/>
      <c r="F904" s="17"/>
      <c r="G904" s="27"/>
    </row>
    <row r="905" spans="2:7" ht="20.25" customHeight="1" x14ac:dyDescent="0.3">
      <c r="B905" s="17"/>
      <c r="C905" s="27"/>
      <c r="D905" s="67"/>
      <c r="E905" s="68"/>
      <c r="F905" s="17"/>
      <c r="G905" s="27"/>
    </row>
    <row r="906" spans="2:7" ht="20.25" customHeight="1" x14ac:dyDescent="0.3">
      <c r="B906" s="17"/>
      <c r="C906" s="27"/>
      <c r="D906" s="67"/>
      <c r="E906" s="68"/>
      <c r="F906" s="17"/>
      <c r="G906" s="27"/>
    </row>
    <row r="907" spans="2:7" ht="20.25" customHeight="1" x14ac:dyDescent="0.3">
      <c r="B907" s="17"/>
      <c r="C907" s="27"/>
      <c r="D907" s="67"/>
      <c r="E907" s="68"/>
      <c r="F907" s="17"/>
      <c r="G907" s="27"/>
    </row>
    <row r="908" spans="2:7" ht="20.25" customHeight="1" x14ac:dyDescent="0.3">
      <c r="B908" s="17"/>
      <c r="C908" s="27"/>
      <c r="D908" s="67"/>
      <c r="E908" s="68"/>
      <c r="F908" s="17"/>
      <c r="G908" s="27"/>
    </row>
    <row r="909" spans="2:7" ht="20.25" customHeight="1" x14ac:dyDescent="0.3">
      <c r="B909" s="17"/>
      <c r="C909" s="27"/>
      <c r="D909" s="67"/>
      <c r="E909" s="68"/>
      <c r="F909" s="17"/>
      <c r="G909" s="27"/>
    </row>
    <row r="910" spans="2:7" ht="20.25" customHeight="1" x14ac:dyDescent="0.3">
      <c r="B910" s="17"/>
      <c r="C910" s="27"/>
      <c r="D910" s="67"/>
      <c r="E910" s="68"/>
      <c r="F910" s="17"/>
      <c r="G910" s="27"/>
    </row>
    <row r="911" spans="2:7" ht="20.25" customHeight="1" x14ac:dyDescent="0.3">
      <c r="B911" s="17"/>
      <c r="C911" s="27"/>
      <c r="D911" s="67"/>
      <c r="E911" s="68"/>
      <c r="F911" s="17"/>
      <c r="G911" s="27"/>
    </row>
    <row r="912" spans="2:7" ht="20.25" customHeight="1" x14ac:dyDescent="0.3">
      <c r="B912" s="17"/>
      <c r="C912" s="27"/>
      <c r="D912" s="67"/>
      <c r="E912" s="68"/>
      <c r="F912" s="17"/>
      <c r="G912" s="27"/>
    </row>
    <row r="913" spans="2:7" ht="20.25" customHeight="1" x14ac:dyDescent="0.3">
      <c r="B913" s="17"/>
      <c r="C913" s="27"/>
      <c r="D913" s="67"/>
      <c r="E913" s="68"/>
      <c r="F913" s="17"/>
      <c r="G913" s="27"/>
    </row>
    <row r="914" spans="2:7" ht="20.25" customHeight="1" x14ac:dyDescent="0.3">
      <c r="B914" s="17"/>
      <c r="C914" s="27"/>
      <c r="D914" s="67"/>
      <c r="E914" s="68"/>
      <c r="F914" s="17"/>
      <c r="G914" s="27"/>
    </row>
    <row r="915" spans="2:7" ht="20.25" customHeight="1" x14ac:dyDescent="0.3">
      <c r="B915" s="17"/>
      <c r="C915" s="27"/>
      <c r="D915" s="67"/>
      <c r="E915" s="68"/>
      <c r="F915" s="17"/>
      <c r="G915" s="27"/>
    </row>
    <row r="916" spans="2:7" ht="20.25" customHeight="1" x14ac:dyDescent="0.3">
      <c r="B916" s="17"/>
      <c r="C916" s="27"/>
      <c r="D916" s="67"/>
      <c r="E916" s="68"/>
      <c r="F916" s="17"/>
      <c r="G916" s="27"/>
    </row>
    <row r="917" spans="2:7" ht="20.25" customHeight="1" x14ac:dyDescent="0.3">
      <c r="B917" s="17"/>
      <c r="C917" s="27"/>
      <c r="D917" s="67"/>
      <c r="E917" s="68"/>
      <c r="F917" s="17"/>
      <c r="G917" s="27"/>
    </row>
    <row r="918" spans="2:7" ht="20.25" customHeight="1" x14ac:dyDescent="0.3">
      <c r="B918" s="17"/>
      <c r="C918" s="27"/>
      <c r="D918" s="67"/>
      <c r="E918" s="68"/>
      <c r="F918" s="17"/>
      <c r="G918" s="27"/>
    </row>
    <row r="919" spans="2:7" ht="20.25" customHeight="1" x14ac:dyDescent="0.3">
      <c r="B919" s="17"/>
      <c r="C919" s="27"/>
      <c r="D919" s="67"/>
      <c r="E919" s="68"/>
      <c r="F919" s="17"/>
      <c r="G919" s="27"/>
    </row>
    <row r="920" spans="2:7" ht="20.25" customHeight="1" x14ac:dyDescent="0.3">
      <c r="B920" s="17"/>
      <c r="C920" s="27"/>
      <c r="D920" s="67"/>
      <c r="E920" s="68"/>
      <c r="F920" s="17"/>
      <c r="G920" s="27"/>
    </row>
    <row r="921" spans="2:7" ht="20.25" customHeight="1" x14ac:dyDescent="0.3">
      <c r="B921" s="17"/>
      <c r="C921" s="27"/>
      <c r="D921" s="67"/>
      <c r="E921" s="68"/>
      <c r="F921" s="17"/>
      <c r="G921" s="27"/>
    </row>
    <row r="922" spans="2:7" ht="20.25" customHeight="1" x14ac:dyDescent="0.3">
      <c r="B922" s="17"/>
      <c r="C922" s="27"/>
      <c r="D922" s="67"/>
      <c r="E922" s="68"/>
      <c r="F922" s="17"/>
      <c r="G922" s="27"/>
    </row>
    <row r="923" spans="2:7" ht="20.25" customHeight="1" x14ac:dyDescent="0.3">
      <c r="B923" s="17"/>
      <c r="C923" s="27"/>
      <c r="D923" s="67"/>
      <c r="E923" s="68"/>
      <c r="F923" s="17"/>
      <c r="G923" s="27"/>
    </row>
    <row r="924" spans="2:7" ht="20.25" customHeight="1" x14ac:dyDescent="0.3">
      <c r="B924" s="17"/>
      <c r="C924" s="27"/>
      <c r="D924" s="67"/>
      <c r="E924" s="68"/>
      <c r="F924" s="17"/>
      <c r="G924" s="27"/>
    </row>
    <row r="925" spans="2:7" ht="20.25" customHeight="1" x14ac:dyDescent="0.3">
      <c r="B925" s="17"/>
      <c r="C925" s="27"/>
      <c r="D925" s="67"/>
      <c r="E925" s="68"/>
      <c r="F925" s="17"/>
      <c r="G925" s="27"/>
    </row>
    <row r="926" spans="2:7" ht="20.25" customHeight="1" x14ac:dyDescent="0.3">
      <c r="B926" s="17"/>
      <c r="C926" s="27"/>
      <c r="D926" s="67"/>
      <c r="E926" s="68"/>
      <c r="F926" s="17"/>
      <c r="G926" s="27"/>
    </row>
    <row r="927" spans="2:7" ht="20.25" customHeight="1" x14ac:dyDescent="0.3">
      <c r="B927" s="17"/>
      <c r="C927" s="27"/>
      <c r="D927" s="67"/>
      <c r="E927" s="68"/>
      <c r="F927" s="17"/>
      <c r="G927" s="27"/>
    </row>
    <row r="928" spans="2:7" ht="20.25" customHeight="1" x14ac:dyDescent="0.3">
      <c r="B928" s="17"/>
      <c r="C928" s="27"/>
      <c r="D928" s="67"/>
      <c r="E928" s="68"/>
      <c r="F928" s="17"/>
      <c r="G928" s="27"/>
    </row>
    <row r="929" spans="2:7" ht="20.25" customHeight="1" x14ac:dyDescent="0.3">
      <c r="B929" s="17"/>
      <c r="C929" s="27"/>
      <c r="D929" s="67"/>
      <c r="E929" s="68"/>
      <c r="F929" s="17"/>
      <c r="G929" s="27"/>
    </row>
    <row r="930" spans="2:7" ht="20.25" customHeight="1" x14ac:dyDescent="0.3">
      <c r="B930" s="17"/>
      <c r="C930" s="27"/>
      <c r="D930" s="67"/>
      <c r="E930" s="68"/>
      <c r="F930" s="17"/>
      <c r="G930" s="27"/>
    </row>
    <row r="931" spans="2:7" ht="20.25" customHeight="1" x14ac:dyDescent="0.3">
      <c r="B931" s="17"/>
      <c r="C931" s="27"/>
      <c r="D931" s="67"/>
      <c r="E931" s="68"/>
      <c r="F931" s="17"/>
      <c r="G931" s="27"/>
    </row>
    <row r="932" spans="2:7" ht="20.25" customHeight="1" x14ac:dyDescent="0.3">
      <c r="B932" s="17"/>
      <c r="C932" s="27"/>
      <c r="D932" s="67"/>
      <c r="E932" s="68"/>
      <c r="F932" s="17"/>
      <c r="G932" s="27"/>
    </row>
    <row r="933" spans="2:7" ht="20.25" customHeight="1" x14ac:dyDescent="0.3">
      <c r="B933" s="17"/>
      <c r="C933" s="27"/>
      <c r="D933" s="67"/>
      <c r="E933" s="68"/>
      <c r="F933" s="17"/>
      <c r="G933" s="27"/>
    </row>
    <row r="934" spans="2:7" ht="20.25" customHeight="1" x14ac:dyDescent="0.3">
      <c r="B934" s="17"/>
      <c r="C934" s="27"/>
      <c r="D934" s="67"/>
      <c r="E934" s="68"/>
      <c r="F934" s="17"/>
      <c r="G934" s="27"/>
    </row>
    <row r="935" spans="2:7" ht="20.25" customHeight="1" x14ac:dyDescent="0.3">
      <c r="B935" s="17"/>
      <c r="C935" s="27"/>
      <c r="D935" s="67"/>
      <c r="E935" s="68"/>
      <c r="F935" s="17"/>
      <c r="G935" s="27"/>
    </row>
    <row r="936" spans="2:7" ht="20.25" customHeight="1" x14ac:dyDescent="0.3">
      <c r="B936" s="17"/>
      <c r="C936" s="27"/>
      <c r="D936" s="67"/>
      <c r="E936" s="68"/>
      <c r="F936" s="17"/>
      <c r="G936" s="27"/>
    </row>
    <row r="937" spans="2:7" ht="20.25" customHeight="1" x14ac:dyDescent="0.3">
      <c r="B937" s="17"/>
      <c r="C937" s="27"/>
      <c r="D937" s="67"/>
      <c r="E937" s="68"/>
      <c r="F937" s="17"/>
      <c r="G937" s="27"/>
    </row>
    <row r="938" spans="2:7" ht="20.25" customHeight="1" x14ac:dyDescent="0.3">
      <c r="B938" s="17"/>
      <c r="C938" s="27"/>
      <c r="D938" s="67"/>
      <c r="E938" s="68"/>
      <c r="F938" s="17"/>
      <c r="G938" s="27"/>
    </row>
    <row r="939" spans="2:7" ht="20.25" customHeight="1" x14ac:dyDescent="0.3">
      <c r="B939" s="17"/>
      <c r="C939" s="27"/>
      <c r="D939" s="67"/>
      <c r="E939" s="68"/>
      <c r="F939" s="17"/>
      <c r="G939" s="27"/>
    </row>
    <row r="940" spans="2:7" ht="20.25" customHeight="1" x14ac:dyDescent="0.3">
      <c r="B940" s="17"/>
      <c r="C940" s="27"/>
      <c r="D940" s="67"/>
      <c r="E940" s="68"/>
      <c r="F940" s="17"/>
      <c r="G940" s="27"/>
    </row>
    <row r="941" spans="2:7" ht="20.25" customHeight="1" x14ac:dyDescent="0.3">
      <c r="B941" s="17"/>
      <c r="C941" s="27"/>
      <c r="D941" s="67"/>
      <c r="E941" s="68"/>
      <c r="F941" s="17"/>
      <c r="G941" s="27"/>
    </row>
    <row r="942" spans="2:7" ht="20.25" customHeight="1" x14ac:dyDescent="0.3">
      <c r="B942" s="17"/>
      <c r="C942" s="27"/>
      <c r="D942" s="67"/>
      <c r="E942" s="68"/>
      <c r="F942" s="17"/>
      <c r="G942" s="27"/>
    </row>
    <row r="943" spans="2:7" ht="20.25" customHeight="1" x14ac:dyDescent="0.3">
      <c r="B943" s="17"/>
      <c r="C943" s="27"/>
      <c r="D943" s="67"/>
      <c r="E943" s="68"/>
      <c r="F943" s="17"/>
      <c r="G943" s="27"/>
    </row>
    <row r="944" spans="2:7" ht="20.25" customHeight="1" x14ac:dyDescent="0.3">
      <c r="B944" s="17"/>
      <c r="C944" s="27"/>
      <c r="D944" s="67"/>
      <c r="E944" s="68"/>
      <c r="F944" s="17"/>
      <c r="G944" s="27"/>
    </row>
    <row r="945" spans="2:7" ht="20.25" customHeight="1" x14ac:dyDescent="0.3">
      <c r="B945" s="17"/>
      <c r="C945" s="27"/>
      <c r="D945" s="67"/>
      <c r="E945" s="68"/>
      <c r="F945" s="17"/>
      <c r="G945" s="27"/>
    </row>
    <row r="946" spans="2:7" ht="20.25" customHeight="1" x14ac:dyDescent="0.3">
      <c r="B946" s="17"/>
      <c r="C946" s="27"/>
      <c r="D946" s="67"/>
      <c r="E946" s="68"/>
      <c r="F946" s="17"/>
      <c r="G946" s="27"/>
    </row>
    <row r="947" spans="2:7" ht="20.25" customHeight="1" x14ac:dyDescent="0.3">
      <c r="B947" s="17"/>
      <c r="C947" s="27"/>
      <c r="D947" s="67"/>
      <c r="E947" s="68"/>
      <c r="F947" s="17"/>
      <c r="G947" s="27"/>
    </row>
    <row r="948" spans="2:7" ht="20.25" customHeight="1" x14ac:dyDescent="0.3">
      <c r="B948" s="17"/>
      <c r="C948" s="27"/>
      <c r="D948" s="67"/>
      <c r="E948" s="68"/>
      <c r="F948" s="17"/>
      <c r="G948" s="27"/>
    </row>
    <row r="949" spans="2:7" ht="20.25" customHeight="1" x14ac:dyDescent="0.3">
      <c r="B949" s="17"/>
      <c r="C949" s="27"/>
      <c r="D949" s="67"/>
      <c r="E949" s="68"/>
      <c r="F949" s="17"/>
      <c r="G949" s="27"/>
    </row>
    <row r="950" spans="2:7" ht="20.25" customHeight="1" x14ac:dyDescent="0.3">
      <c r="B950" s="17"/>
      <c r="C950" s="27"/>
      <c r="D950" s="67"/>
      <c r="E950" s="68"/>
      <c r="F950" s="17"/>
      <c r="G950" s="27"/>
    </row>
    <row r="951" spans="2:7" ht="20.25" customHeight="1" x14ac:dyDescent="0.3">
      <c r="B951" s="17"/>
      <c r="C951" s="27"/>
      <c r="D951" s="67"/>
      <c r="E951" s="68"/>
      <c r="F951" s="17"/>
      <c r="G951" s="27"/>
    </row>
    <row r="952" spans="2:7" ht="20.25" customHeight="1" x14ac:dyDescent="0.3">
      <c r="B952" s="17"/>
      <c r="C952" s="27"/>
      <c r="D952" s="67"/>
      <c r="E952" s="68"/>
      <c r="F952" s="17"/>
      <c r="G952" s="27"/>
    </row>
    <row r="953" spans="2:7" ht="20.25" customHeight="1" x14ac:dyDescent="0.3">
      <c r="B953" s="17"/>
      <c r="C953" s="27"/>
      <c r="D953" s="67"/>
      <c r="E953" s="68"/>
      <c r="F953" s="17"/>
      <c r="G953" s="27"/>
    </row>
    <row r="954" spans="2:7" ht="20.25" customHeight="1" x14ac:dyDescent="0.3">
      <c r="B954" s="17"/>
      <c r="C954" s="27"/>
      <c r="D954" s="67"/>
      <c r="E954" s="68"/>
      <c r="F954" s="17"/>
      <c r="G954" s="27"/>
    </row>
    <row r="955" spans="2:7" ht="20.25" customHeight="1" x14ac:dyDescent="0.3">
      <c r="B955" s="17"/>
      <c r="C955" s="27"/>
      <c r="D955" s="67"/>
      <c r="E955" s="68"/>
      <c r="F955" s="17"/>
      <c r="G955" s="27"/>
    </row>
    <row r="956" spans="2:7" ht="20.25" customHeight="1" x14ac:dyDescent="0.3">
      <c r="B956" s="17"/>
      <c r="C956" s="27"/>
      <c r="D956" s="67"/>
      <c r="E956" s="68"/>
      <c r="F956" s="17"/>
      <c r="G956" s="27"/>
    </row>
    <row r="957" spans="2:7" ht="20.25" customHeight="1" x14ac:dyDescent="0.3">
      <c r="B957" s="17"/>
      <c r="C957" s="27"/>
      <c r="D957" s="67"/>
      <c r="E957" s="68"/>
      <c r="F957" s="17"/>
      <c r="G957" s="27"/>
    </row>
    <row r="958" spans="2:7" ht="20.25" customHeight="1" x14ac:dyDescent="0.3">
      <c r="B958" s="17"/>
      <c r="C958" s="27"/>
      <c r="D958" s="67"/>
      <c r="E958" s="68"/>
      <c r="F958" s="17"/>
      <c r="G958" s="27"/>
    </row>
    <row r="959" spans="2:7" ht="20.25" customHeight="1" x14ac:dyDescent="0.3">
      <c r="B959" s="17"/>
      <c r="C959" s="27"/>
      <c r="D959" s="67"/>
      <c r="E959" s="68"/>
      <c r="F959" s="17"/>
      <c r="G959" s="27"/>
    </row>
    <row r="960" spans="2:7" ht="20.25" customHeight="1" x14ac:dyDescent="0.3">
      <c r="B960" s="17"/>
      <c r="C960" s="27"/>
      <c r="D960" s="67"/>
      <c r="E960" s="68"/>
      <c r="F960" s="17"/>
      <c r="G960" s="27"/>
    </row>
    <row r="961" spans="2:7" ht="20.25" customHeight="1" x14ac:dyDescent="0.3">
      <c r="B961" s="17"/>
      <c r="C961" s="27"/>
      <c r="D961" s="67"/>
      <c r="E961" s="68"/>
      <c r="F961" s="17"/>
      <c r="G961" s="27"/>
    </row>
    <row r="962" spans="2:7" ht="20.25" customHeight="1" x14ac:dyDescent="0.3">
      <c r="B962" s="17"/>
      <c r="C962" s="27"/>
      <c r="D962" s="67"/>
      <c r="E962" s="68"/>
      <c r="F962" s="17"/>
      <c r="G962" s="27"/>
    </row>
    <row r="963" spans="2:7" ht="20.25" customHeight="1" x14ac:dyDescent="0.3">
      <c r="B963" s="17"/>
      <c r="C963" s="27"/>
      <c r="D963" s="67"/>
      <c r="E963" s="68"/>
      <c r="F963" s="17"/>
      <c r="G963" s="27"/>
    </row>
    <row r="964" spans="2:7" ht="20.25" customHeight="1" x14ac:dyDescent="0.3">
      <c r="B964" s="17"/>
      <c r="C964" s="27"/>
      <c r="D964" s="67"/>
      <c r="E964" s="68"/>
      <c r="F964" s="17"/>
      <c r="G964" s="27"/>
    </row>
    <row r="965" spans="2:7" ht="20.25" customHeight="1" x14ac:dyDescent="0.3">
      <c r="B965" s="17"/>
      <c r="C965" s="27"/>
      <c r="D965" s="67"/>
      <c r="E965" s="68"/>
      <c r="F965" s="17"/>
      <c r="G965" s="27"/>
    </row>
    <row r="966" spans="2:7" ht="20.25" customHeight="1" x14ac:dyDescent="0.3">
      <c r="B966" s="17"/>
      <c r="C966" s="27"/>
      <c r="D966" s="67"/>
      <c r="E966" s="68"/>
      <c r="F966" s="17"/>
      <c r="G966" s="27"/>
    </row>
    <row r="967" spans="2:7" ht="20.25" customHeight="1" x14ac:dyDescent="0.3">
      <c r="B967" s="17"/>
      <c r="C967" s="27"/>
      <c r="D967" s="67"/>
      <c r="E967" s="68"/>
      <c r="F967" s="17"/>
      <c r="G967" s="27"/>
    </row>
    <row r="968" spans="2:7" ht="20.25" customHeight="1" x14ac:dyDescent="0.3">
      <c r="B968" s="17"/>
      <c r="C968" s="27"/>
      <c r="D968" s="67"/>
      <c r="E968" s="68"/>
      <c r="F968" s="17"/>
      <c r="G968" s="27"/>
    </row>
    <row r="969" spans="2:7" ht="20.25" customHeight="1" x14ac:dyDescent="0.3">
      <c r="B969" s="17"/>
      <c r="C969" s="27"/>
      <c r="D969" s="67"/>
      <c r="E969" s="68"/>
      <c r="F969" s="17"/>
      <c r="G969" s="27"/>
    </row>
    <row r="970" spans="2:7" ht="20.25" customHeight="1" x14ac:dyDescent="0.3">
      <c r="B970" s="17"/>
      <c r="C970" s="27"/>
      <c r="D970" s="67"/>
      <c r="E970" s="68"/>
      <c r="F970" s="17"/>
      <c r="G970" s="27"/>
    </row>
    <row r="971" spans="2:7" ht="20.25" customHeight="1" x14ac:dyDescent="0.3">
      <c r="B971" s="17"/>
      <c r="C971" s="27"/>
      <c r="D971" s="67"/>
      <c r="E971" s="68"/>
      <c r="F971" s="17"/>
      <c r="G971" s="27"/>
    </row>
    <row r="972" spans="2:7" ht="20.25" customHeight="1" x14ac:dyDescent="0.3">
      <c r="B972" s="17"/>
      <c r="C972" s="27"/>
      <c r="D972" s="67"/>
      <c r="E972" s="68"/>
      <c r="F972" s="17"/>
      <c r="G972" s="27"/>
    </row>
    <row r="973" spans="2:7" ht="20.25" customHeight="1" x14ac:dyDescent="0.3">
      <c r="B973" s="17"/>
      <c r="C973" s="27"/>
      <c r="D973" s="67"/>
      <c r="E973" s="68"/>
      <c r="F973" s="17"/>
      <c r="G973" s="27"/>
    </row>
    <row r="974" spans="2:7" ht="20.25" customHeight="1" x14ac:dyDescent="0.3">
      <c r="B974" s="17"/>
      <c r="C974" s="27"/>
      <c r="D974" s="67"/>
      <c r="E974" s="68"/>
      <c r="F974" s="17"/>
      <c r="G974" s="27"/>
    </row>
    <row r="975" spans="2:7" ht="20.25" customHeight="1" x14ac:dyDescent="0.3">
      <c r="B975" s="17"/>
      <c r="C975" s="27"/>
      <c r="D975" s="67"/>
      <c r="E975" s="68"/>
      <c r="F975" s="17"/>
      <c r="G975" s="27"/>
    </row>
    <row r="976" spans="2:7" ht="20.25" customHeight="1" x14ac:dyDescent="0.3">
      <c r="B976" s="17"/>
      <c r="C976" s="27"/>
      <c r="D976" s="67"/>
      <c r="E976" s="68"/>
      <c r="F976" s="17"/>
      <c r="G976" s="27"/>
    </row>
    <row r="977" spans="2:7" ht="20.25" customHeight="1" x14ac:dyDescent="0.3">
      <c r="B977" s="17"/>
      <c r="C977" s="27"/>
      <c r="D977" s="67"/>
      <c r="E977" s="68"/>
      <c r="F977" s="17"/>
      <c r="G977" s="27"/>
    </row>
    <row r="978" spans="2:7" ht="20.25" customHeight="1" x14ac:dyDescent="0.3">
      <c r="B978" s="17"/>
      <c r="C978" s="27"/>
      <c r="D978" s="67"/>
      <c r="E978" s="68"/>
      <c r="F978" s="17"/>
      <c r="G978" s="27"/>
    </row>
    <row r="979" spans="2:7" ht="20.25" customHeight="1" x14ac:dyDescent="0.3">
      <c r="B979" s="17"/>
      <c r="C979" s="27"/>
      <c r="D979" s="67"/>
      <c r="E979" s="68"/>
      <c r="F979" s="17"/>
      <c r="G979" s="27"/>
    </row>
    <row r="980" spans="2:7" ht="20.25" customHeight="1" x14ac:dyDescent="0.3">
      <c r="B980" s="17"/>
      <c r="C980" s="27"/>
      <c r="D980" s="67"/>
      <c r="E980" s="68"/>
      <c r="F980" s="17"/>
      <c r="G980" s="27"/>
    </row>
    <row r="981" spans="2:7" ht="20.25" customHeight="1" x14ac:dyDescent="0.3">
      <c r="B981" s="17"/>
      <c r="C981" s="27"/>
      <c r="D981" s="67"/>
      <c r="E981" s="68"/>
      <c r="F981" s="17"/>
      <c r="G981" s="27"/>
    </row>
    <row r="982" spans="2:7" ht="20.25" customHeight="1" x14ac:dyDescent="0.3">
      <c r="B982" s="17"/>
      <c r="C982" s="27"/>
      <c r="D982" s="67"/>
      <c r="E982" s="68"/>
      <c r="F982" s="17"/>
      <c r="G982" s="27"/>
    </row>
    <row r="983" spans="2:7" ht="20.25" customHeight="1" x14ac:dyDescent="0.3">
      <c r="B983" s="17"/>
      <c r="C983" s="27"/>
      <c r="D983" s="67"/>
      <c r="E983" s="68"/>
      <c r="F983" s="17"/>
      <c r="G983" s="27"/>
    </row>
    <row r="984" spans="2:7" ht="20.25" customHeight="1" x14ac:dyDescent="0.3">
      <c r="B984" s="17"/>
      <c r="C984" s="27"/>
      <c r="D984" s="67"/>
      <c r="E984" s="68"/>
      <c r="F984" s="17"/>
      <c r="G984" s="27"/>
    </row>
    <row r="985" spans="2:7" ht="20.25" customHeight="1" x14ac:dyDescent="0.3">
      <c r="B985" s="17"/>
      <c r="C985" s="27"/>
      <c r="D985" s="67"/>
      <c r="E985" s="68"/>
      <c r="F985" s="17"/>
      <c r="G985" s="27"/>
    </row>
    <row r="986" spans="2:7" ht="20.25" customHeight="1" x14ac:dyDescent="0.3">
      <c r="B986" s="17"/>
      <c r="C986" s="27"/>
      <c r="D986" s="67"/>
      <c r="E986" s="68"/>
      <c r="F986" s="17"/>
      <c r="G986" s="27"/>
    </row>
    <row r="987" spans="2:7" ht="20.25" customHeight="1" x14ac:dyDescent="0.3">
      <c r="B987" s="17"/>
      <c r="C987" s="27"/>
      <c r="D987" s="67"/>
      <c r="E987" s="68"/>
      <c r="F987" s="17"/>
      <c r="G987" s="27"/>
    </row>
    <row r="988" spans="2:7" ht="20.25" customHeight="1" x14ac:dyDescent="0.3">
      <c r="B988" s="17"/>
      <c r="C988" s="27"/>
      <c r="D988" s="67"/>
      <c r="E988" s="68"/>
      <c r="F988" s="17"/>
      <c r="G988" s="27"/>
    </row>
    <row r="989" spans="2:7" ht="20.25" customHeight="1" x14ac:dyDescent="0.3">
      <c r="B989" s="17"/>
      <c r="C989" s="27"/>
      <c r="D989" s="67"/>
      <c r="E989" s="68"/>
      <c r="F989" s="17"/>
      <c r="G989" s="27"/>
    </row>
    <row r="990" spans="2:7" ht="20.25" customHeight="1" x14ac:dyDescent="0.3">
      <c r="B990" s="17"/>
      <c r="C990" s="27"/>
      <c r="D990" s="67"/>
      <c r="E990" s="68"/>
      <c r="F990" s="17"/>
      <c r="G990" s="27"/>
    </row>
    <row r="991" spans="2:7" ht="20.25" customHeight="1" x14ac:dyDescent="0.3">
      <c r="B991" s="17"/>
      <c r="C991" s="27"/>
      <c r="D991" s="67"/>
      <c r="E991" s="68"/>
      <c r="F991" s="17"/>
      <c r="G991" s="27"/>
    </row>
    <row r="992" spans="2:7" ht="20.25" customHeight="1" x14ac:dyDescent="0.3">
      <c r="B992" s="17"/>
      <c r="C992" s="27"/>
      <c r="D992" s="67"/>
      <c r="E992" s="68"/>
      <c r="F992" s="17"/>
      <c r="G992" s="27"/>
    </row>
    <row r="993" spans="2:7" ht="20.25" customHeight="1" x14ac:dyDescent="0.3">
      <c r="B993" s="17"/>
      <c r="C993" s="27"/>
      <c r="D993" s="67"/>
      <c r="E993" s="68"/>
      <c r="F993" s="17"/>
      <c r="G993" s="27"/>
    </row>
    <row r="994" spans="2:7" ht="20.25" customHeight="1" x14ac:dyDescent="0.3">
      <c r="B994" s="17"/>
      <c r="C994" s="27"/>
      <c r="D994" s="67"/>
      <c r="E994" s="68"/>
      <c r="F994" s="17"/>
      <c r="G994" s="27"/>
    </row>
    <row r="995" spans="2:7" ht="20.25" customHeight="1" x14ac:dyDescent="0.3">
      <c r="B995" s="17"/>
      <c r="C995" s="27"/>
      <c r="D995" s="67"/>
      <c r="E995" s="68"/>
      <c r="F995" s="17"/>
      <c r="G995" s="27"/>
    </row>
    <row r="996" spans="2:7" ht="20.25" customHeight="1" x14ac:dyDescent="0.3">
      <c r="B996" s="17"/>
      <c r="C996" s="27"/>
      <c r="D996" s="67"/>
      <c r="E996" s="68"/>
      <c r="F996" s="17"/>
      <c r="G996" s="27"/>
    </row>
    <row r="997" spans="2:7" ht="20.25" customHeight="1" x14ac:dyDescent="0.3">
      <c r="B997" s="17"/>
      <c r="C997" s="27"/>
      <c r="D997" s="67"/>
      <c r="E997" s="68"/>
      <c r="F997" s="17"/>
      <c r="G997" s="27"/>
    </row>
    <row r="998" spans="2:7" ht="20.25" customHeight="1" x14ac:dyDescent="0.3">
      <c r="B998" s="17"/>
      <c r="C998" s="27"/>
      <c r="D998" s="67"/>
      <c r="E998" s="68"/>
      <c r="F998" s="17"/>
      <c r="G998" s="27"/>
    </row>
    <row r="999" spans="2:7" ht="20.25" customHeight="1" x14ac:dyDescent="0.3">
      <c r="B999" s="17"/>
      <c r="C999" s="27"/>
      <c r="D999" s="67"/>
      <c r="E999" s="68"/>
      <c r="F999" s="17"/>
      <c r="G999" s="27"/>
    </row>
    <row r="1000" spans="2:7" ht="20.25" customHeight="1" x14ac:dyDescent="0.3">
      <c r="B1000" s="17"/>
      <c r="C1000" s="27"/>
      <c r="D1000" s="67"/>
      <c r="E1000" s="68"/>
      <c r="F1000" s="17"/>
      <c r="G1000" s="27"/>
    </row>
    <row r="1001" spans="2:7" ht="20.25" customHeight="1" x14ac:dyDescent="0.3">
      <c r="B1001" s="17"/>
      <c r="C1001" s="27"/>
      <c r="D1001" s="67"/>
      <c r="E1001" s="68"/>
      <c r="F1001" s="17"/>
      <c r="G1001" s="27"/>
    </row>
    <row r="1002" spans="2:7" ht="20.25" customHeight="1" x14ac:dyDescent="0.3">
      <c r="B1002" s="17"/>
      <c r="C1002" s="27"/>
      <c r="D1002" s="67"/>
      <c r="E1002" s="68"/>
      <c r="F1002" s="17"/>
      <c r="G1002" s="27"/>
    </row>
    <row r="1003" spans="2:7" ht="20.25" customHeight="1" x14ac:dyDescent="0.3">
      <c r="B1003" s="17"/>
      <c r="C1003" s="27"/>
      <c r="D1003" s="67"/>
      <c r="E1003" s="68"/>
      <c r="F1003" s="17"/>
      <c r="G1003" s="27"/>
    </row>
    <row r="1004" spans="2:7" ht="20.25" customHeight="1" x14ac:dyDescent="0.3">
      <c r="B1004" s="17"/>
      <c r="C1004" s="27"/>
      <c r="D1004" s="67"/>
      <c r="E1004" s="68"/>
      <c r="F1004" s="17"/>
      <c r="G1004" s="27"/>
    </row>
    <row r="1005" spans="2:7" ht="20.25" customHeight="1" x14ac:dyDescent="0.3">
      <c r="B1005" s="17"/>
      <c r="C1005" s="27"/>
      <c r="D1005" s="67"/>
      <c r="E1005" s="68"/>
      <c r="F1005" s="17"/>
      <c r="G1005" s="27"/>
    </row>
    <row r="1006" spans="2:7" ht="20.25" customHeight="1" x14ac:dyDescent="0.3">
      <c r="B1006" s="17"/>
      <c r="C1006" s="27"/>
      <c r="D1006" s="67"/>
      <c r="E1006" s="68"/>
      <c r="F1006" s="17"/>
      <c r="G1006" s="27"/>
    </row>
    <row r="1007" spans="2:7" ht="20.25" customHeight="1" x14ac:dyDescent="0.3">
      <c r="B1007" s="17"/>
      <c r="C1007" s="27"/>
      <c r="D1007" s="67"/>
      <c r="E1007" s="68"/>
      <c r="F1007" s="17"/>
      <c r="G1007" s="27"/>
    </row>
    <row r="1008" spans="2:7" ht="20.25" customHeight="1" x14ac:dyDescent="0.3">
      <c r="B1008" s="17"/>
      <c r="C1008" s="27"/>
      <c r="D1008" s="67"/>
      <c r="E1008" s="68"/>
      <c r="F1008" s="17"/>
      <c r="G1008" s="27"/>
    </row>
    <row r="1009" spans="2:7" ht="20.25" customHeight="1" x14ac:dyDescent="0.3">
      <c r="B1009" s="17"/>
      <c r="C1009" s="27"/>
      <c r="D1009" s="67"/>
      <c r="E1009" s="68"/>
      <c r="F1009" s="17"/>
      <c r="G1009" s="27"/>
    </row>
    <row r="1010" spans="2:7" ht="20.25" customHeight="1" x14ac:dyDescent="0.3">
      <c r="B1010" s="17"/>
      <c r="C1010" s="27"/>
      <c r="D1010" s="67"/>
      <c r="E1010" s="68"/>
      <c r="F1010" s="17"/>
      <c r="G1010" s="27"/>
    </row>
    <row r="1011" spans="2:7" ht="20.25" customHeight="1" x14ac:dyDescent="0.3">
      <c r="B1011" s="17"/>
      <c r="C1011" s="27"/>
      <c r="D1011" s="67"/>
      <c r="E1011" s="68"/>
      <c r="F1011" s="17"/>
      <c r="G1011" s="27"/>
    </row>
    <row r="1012" spans="2:7" ht="20.25" customHeight="1" x14ac:dyDescent="0.3">
      <c r="B1012" s="17"/>
      <c r="C1012" s="27"/>
      <c r="D1012" s="67"/>
      <c r="E1012" s="68"/>
      <c r="F1012" s="17"/>
      <c r="G1012" s="27"/>
    </row>
    <row r="1013" spans="2:7" ht="20.25" customHeight="1" x14ac:dyDescent="0.3">
      <c r="B1013" s="17"/>
      <c r="C1013" s="27"/>
      <c r="D1013" s="67"/>
      <c r="E1013" s="68"/>
      <c r="F1013" s="17"/>
      <c r="G1013" s="27"/>
    </row>
    <row r="1014" spans="2:7" ht="20.25" customHeight="1" x14ac:dyDescent="0.3">
      <c r="B1014" s="17"/>
      <c r="C1014" s="27"/>
      <c r="D1014" s="67"/>
      <c r="E1014" s="68"/>
      <c r="F1014" s="17"/>
      <c r="G1014" s="27"/>
    </row>
    <row r="1015" spans="2:7" ht="20.25" customHeight="1" x14ac:dyDescent="0.3">
      <c r="B1015" s="17"/>
      <c r="C1015" s="27"/>
      <c r="D1015" s="67"/>
      <c r="E1015" s="68"/>
      <c r="F1015" s="17"/>
      <c r="G1015" s="27"/>
    </row>
    <row r="1016" spans="2:7" ht="20.25" customHeight="1" x14ac:dyDescent="0.3">
      <c r="B1016" s="17"/>
      <c r="C1016" s="27"/>
      <c r="D1016" s="67"/>
      <c r="E1016" s="68"/>
      <c r="F1016" s="17"/>
      <c r="G1016" s="27"/>
    </row>
    <row r="1017" spans="2:7" ht="20.25" customHeight="1" x14ac:dyDescent="0.3">
      <c r="B1017" s="17"/>
      <c r="C1017" s="27"/>
      <c r="D1017" s="67"/>
      <c r="E1017" s="68"/>
      <c r="F1017" s="17"/>
      <c r="G1017" s="27"/>
    </row>
    <row r="1018" spans="2:7" ht="20.25" customHeight="1" x14ac:dyDescent="0.3">
      <c r="B1018" s="17"/>
      <c r="C1018" s="27"/>
      <c r="D1018" s="67"/>
      <c r="E1018" s="68"/>
      <c r="F1018" s="17"/>
      <c r="G1018" s="27"/>
    </row>
    <row r="1019" spans="2:7" ht="20.25" customHeight="1" x14ac:dyDescent="0.3">
      <c r="B1019" s="17"/>
      <c r="C1019" s="27"/>
      <c r="D1019" s="67"/>
      <c r="E1019" s="68"/>
      <c r="F1019" s="17"/>
      <c r="G1019" s="27"/>
    </row>
    <row r="1020" spans="2:7" ht="20.25" customHeight="1" x14ac:dyDescent="0.3">
      <c r="B1020" s="17"/>
      <c r="C1020" s="27"/>
      <c r="D1020" s="67"/>
      <c r="E1020" s="68"/>
      <c r="F1020" s="17"/>
      <c r="G1020" s="27"/>
    </row>
    <row r="1021" spans="2:7" ht="20.25" customHeight="1" x14ac:dyDescent="0.3">
      <c r="B1021" s="17"/>
      <c r="C1021" s="27"/>
      <c r="D1021" s="67"/>
      <c r="E1021" s="68"/>
      <c r="F1021" s="17"/>
      <c r="G1021" s="27"/>
    </row>
    <row r="1022" spans="2:7" ht="20.25" customHeight="1" x14ac:dyDescent="0.3">
      <c r="B1022" s="17"/>
      <c r="C1022" s="27"/>
      <c r="D1022" s="67"/>
      <c r="E1022" s="68"/>
      <c r="F1022" s="17"/>
      <c r="G1022" s="27"/>
    </row>
    <row r="1023" spans="2:7" ht="20.25" customHeight="1" x14ac:dyDescent="0.3">
      <c r="B1023" s="17"/>
      <c r="C1023" s="27"/>
      <c r="D1023" s="67"/>
      <c r="E1023" s="68"/>
      <c r="F1023" s="17"/>
      <c r="G1023" s="27"/>
    </row>
    <row r="1024" spans="2:7" ht="20.25" customHeight="1" x14ac:dyDescent="0.3">
      <c r="B1024" s="17"/>
      <c r="C1024" s="27"/>
      <c r="D1024" s="67"/>
      <c r="E1024" s="68"/>
      <c r="F1024" s="17"/>
      <c r="G1024" s="27"/>
    </row>
    <row r="1025" spans="2:7" ht="20.25" customHeight="1" x14ac:dyDescent="0.3">
      <c r="B1025" s="17"/>
      <c r="C1025" s="27"/>
      <c r="D1025" s="67"/>
      <c r="E1025" s="68"/>
      <c r="F1025" s="17"/>
      <c r="G1025" s="27"/>
    </row>
    <row r="1026" spans="2:7" ht="20.25" customHeight="1" x14ac:dyDescent="0.3">
      <c r="B1026" s="17"/>
      <c r="C1026" s="27"/>
      <c r="D1026" s="67"/>
      <c r="E1026" s="68"/>
      <c r="F1026" s="17"/>
      <c r="G1026" s="27"/>
    </row>
    <row r="1027" spans="2:7" ht="20.25" customHeight="1" x14ac:dyDescent="0.3">
      <c r="B1027" s="17"/>
      <c r="C1027" s="27"/>
      <c r="D1027" s="67"/>
      <c r="E1027" s="68"/>
      <c r="F1027" s="17"/>
      <c r="G1027" s="27"/>
    </row>
    <row r="1028" spans="2:7" ht="20.25" customHeight="1" x14ac:dyDescent="0.3">
      <c r="B1028" s="17"/>
      <c r="C1028" s="27"/>
      <c r="D1028" s="67"/>
      <c r="E1028" s="68"/>
      <c r="F1028" s="17"/>
      <c r="G1028" s="27"/>
    </row>
    <row r="1029" spans="2:7" ht="20.25" customHeight="1" x14ac:dyDescent="0.3">
      <c r="B1029" s="17"/>
      <c r="C1029" s="27"/>
      <c r="D1029" s="67"/>
      <c r="E1029" s="68"/>
      <c r="F1029" s="17"/>
      <c r="G1029" s="27"/>
    </row>
    <row r="1030" spans="2:7" ht="20.25" customHeight="1" x14ac:dyDescent="0.3">
      <c r="B1030" s="17"/>
      <c r="C1030" s="27"/>
      <c r="D1030" s="67"/>
      <c r="E1030" s="68"/>
      <c r="F1030" s="17"/>
      <c r="G1030" s="27"/>
    </row>
    <row r="1031" spans="2:7" ht="20.25" customHeight="1" x14ac:dyDescent="0.3">
      <c r="B1031" s="17"/>
      <c r="C1031" s="27"/>
      <c r="D1031" s="67"/>
      <c r="E1031" s="68"/>
      <c r="F1031" s="17"/>
      <c r="G1031" s="27"/>
    </row>
    <row r="1032" spans="2:7" ht="20.25" customHeight="1" x14ac:dyDescent="0.3">
      <c r="B1032" s="17"/>
      <c r="C1032" s="27"/>
      <c r="D1032" s="67"/>
      <c r="E1032" s="68"/>
      <c r="F1032" s="17"/>
      <c r="G1032" s="27"/>
    </row>
    <row r="1033" spans="2:7" ht="20.25" customHeight="1" x14ac:dyDescent="0.3">
      <c r="B1033" s="17"/>
      <c r="C1033" s="27"/>
      <c r="D1033" s="67"/>
      <c r="E1033" s="68"/>
      <c r="F1033" s="17"/>
      <c r="G1033" s="27"/>
    </row>
    <row r="1034" spans="2:7" ht="20.25" customHeight="1" x14ac:dyDescent="0.3">
      <c r="B1034" s="17"/>
      <c r="C1034" s="27"/>
      <c r="D1034" s="67"/>
      <c r="E1034" s="68"/>
      <c r="F1034" s="17"/>
      <c r="G1034" s="27"/>
    </row>
    <row r="1035" spans="2:7" ht="20.25" customHeight="1" x14ac:dyDescent="0.3">
      <c r="B1035" s="17"/>
      <c r="C1035" s="27"/>
      <c r="D1035" s="67"/>
      <c r="E1035" s="68"/>
      <c r="F1035" s="17"/>
      <c r="G1035" s="27"/>
    </row>
    <row r="1036" spans="2:7" ht="20.25" customHeight="1" x14ac:dyDescent="0.3">
      <c r="B1036" s="17"/>
      <c r="C1036" s="27"/>
      <c r="D1036" s="67"/>
      <c r="E1036" s="68"/>
      <c r="F1036" s="17"/>
      <c r="G1036" s="27"/>
    </row>
    <row r="1037" spans="2:7" ht="20.25" customHeight="1" x14ac:dyDescent="0.3">
      <c r="B1037" s="17"/>
      <c r="C1037" s="27"/>
      <c r="D1037" s="67"/>
      <c r="E1037" s="68"/>
      <c r="F1037" s="17"/>
      <c r="G1037" s="27"/>
    </row>
    <row r="1038" spans="2:7" ht="20.25" customHeight="1" x14ac:dyDescent="0.3">
      <c r="B1038" s="17"/>
      <c r="C1038" s="27"/>
      <c r="D1038" s="67"/>
      <c r="E1038" s="68"/>
      <c r="F1038" s="17"/>
      <c r="G1038" s="27"/>
    </row>
    <row r="1039" spans="2:7" ht="20.25" customHeight="1" x14ac:dyDescent="0.3">
      <c r="B1039" s="17"/>
      <c r="C1039" s="27"/>
      <c r="D1039" s="67"/>
      <c r="E1039" s="68"/>
      <c r="F1039" s="17"/>
      <c r="G1039" s="27"/>
    </row>
    <row r="1040" spans="2:7" ht="20.25" customHeight="1" x14ac:dyDescent="0.3">
      <c r="B1040" s="17"/>
      <c r="C1040" s="27"/>
      <c r="D1040" s="67"/>
      <c r="E1040" s="68"/>
      <c r="F1040" s="17"/>
      <c r="G1040" s="27"/>
    </row>
    <row r="1041" spans="2:7" ht="20.25" customHeight="1" x14ac:dyDescent="0.3">
      <c r="B1041" s="17"/>
      <c r="C1041" s="27"/>
      <c r="D1041" s="67"/>
      <c r="E1041" s="68"/>
      <c r="F1041" s="17"/>
      <c r="G1041" s="27"/>
    </row>
    <row r="1042" spans="2:7" ht="20.25" customHeight="1" x14ac:dyDescent="0.3">
      <c r="B1042" s="17"/>
      <c r="C1042" s="27"/>
      <c r="D1042" s="67"/>
      <c r="E1042" s="68"/>
      <c r="F1042" s="17"/>
      <c r="G1042" s="27"/>
    </row>
    <row r="1043" spans="2:7" ht="20.25" customHeight="1" x14ac:dyDescent="0.3">
      <c r="B1043" s="17"/>
      <c r="C1043" s="27"/>
      <c r="D1043" s="67"/>
      <c r="E1043" s="68"/>
      <c r="F1043" s="17"/>
      <c r="G1043" s="27"/>
    </row>
    <row r="1044" spans="2:7" ht="20.25" customHeight="1" x14ac:dyDescent="0.3">
      <c r="B1044" s="17"/>
      <c r="C1044" s="27"/>
      <c r="D1044" s="67"/>
      <c r="E1044" s="68"/>
      <c r="F1044" s="17"/>
      <c r="G1044" s="27"/>
    </row>
    <row r="1045" spans="2:7" ht="20.25" customHeight="1" x14ac:dyDescent="0.3">
      <c r="B1045" s="17"/>
      <c r="C1045" s="27"/>
      <c r="D1045" s="67"/>
      <c r="E1045" s="68"/>
      <c r="F1045" s="17"/>
      <c r="G1045" s="27"/>
    </row>
    <row r="1046" spans="2:7" ht="20.25" customHeight="1" x14ac:dyDescent="0.3">
      <c r="B1046" s="17"/>
      <c r="C1046" s="27"/>
      <c r="D1046" s="67"/>
      <c r="E1046" s="68"/>
      <c r="F1046" s="17"/>
      <c r="G1046" s="27"/>
    </row>
    <row r="1047" spans="2:7" ht="20.25" customHeight="1" x14ac:dyDescent="0.3">
      <c r="B1047" s="17"/>
      <c r="C1047" s="27"/>
      <c r="D1047" s="67"/>
      <c r="E1047" s="68"/>
      <c r="F1047" s="17"/>
      <c r="G1047" s="27"/>
    </row>
    <row r="1048" spans="2:7" ht="20.25" customHeight="1" x14ac:dyDescent="0.3">
      <c r="B1048" s="17"/>
      <c r="C1048" s="27"/>
      <c r="D1048" s="67"/>
      <c r="E1048" s="68"/>
      <c r="F1048" s="17"/>
      <c r="G1048" s="27"/>
    </row>
    <row r="1049" spans="2:7" ht="20.25" customHeight="1" x14ac:dyDescent="0.3">
      <c r="B1049" s="17"/>
      <c r="C1049" s="27"/>
      <c r="D1049" s="67"/>
      <c r="E1049" s="68"/>
      <c r="F1049" s="17"/>
      <c r="G1049" s="27"/>
    </row>
    <row r="1050" spans="2:7" ht="20.25" customHeight="1" x14ac:dyDescent="0.3">
      <c r="B1050" s="17"/>
      <c r="C1050" s="27"/>
      <c r="D1050" s="67"/>
      <c r="E1050" s="68"/>
      <c r="F1050" s="17"/>
      <c r="G1050" s="27"/>
    </row>
    <row r="1051" spans="2:7" ht="20.25" customHeight="1" x14ac:dyDescent="0.3">
      <c r="B1051" s="17"/>
      <c r="C1051" s="27"/>
      <c r="D1051" s="67"/>
      <c r="E1051" s="68"/>
      <c r="F1051" s="17"/>
      <c r="G1051" s="27"/>
    </row>
    <row r="1052" spans="2:7" ht="20.25" customHeight="1" x14ac:dyDescent="0.3">
      <c r="B1052" s="17"/>
      <c r="C1052" s="27"/>
      <c r="D1052" s="67"/>
      <c r="E1052" s="68"/>
      <c r="F1052" s="17"/>
      <c r="G1052" s="27"/>
    </row>
    <row r="1053" spans="2:7" ht="20.25" customHeight="1" x14ac:dyDescent="0.3">
      <c r="B1053" s="17"/>
      <c r="C1053" s="27"/>
      <c r="D1053" s="67"/>
      <c r="E1053" s="68"/>
      <c r="F1053" s="17"/>
      <c r="G1053" s="27"/>
    </row>
    <row r="1054" spans="2:7" ht="20.25" customHeight="1" x14ac:dyDescent="0.3">
      <c r="B1054" s="17"/>
      <c r="C1054" s="27"/>
      <c r="D1054" s="67"/>
      <c r="E1054" s="68"/>
      <c r="F1054" s="17"/>
      <c r="G1054" s="27"/>
    </row>
    <row r="1055" spans="2:7" ht="20.25" customHeight="1" x14ac:dyDescent="0.3">
      <c r="B1055" s="17"/>
      <c r="C1055" s="27"/>
      <c r="D1055" s="67"/>
      <c r="E1055" s="68"/>
      <c r="F1055" s="17"/>
      <c r="G1055" s="27"/>
    </row>
    <row r="1056" spans="2:7" ht="20.25" customHeight="1" x14ac:dyDescent="0.3">
      <c r="B1056" s="17"/>
      <c r="C1056" s="27"/>
      <c r="D1056" s="67"/>
      <c r="E1056" s="68"/>
      <c r="F1056" s="17"/>
      <c r="G1056" s="27"/>
    </row>
    <row r="1057" spans="2:7" ht="20.25" customHeight="1" x14ac:dyDescent="0.3">
      <c r="B1057" s="17"/>
      <c r="C1057" s="27"/>
      <c r="D1057" s="67"/>
      <c r="E1057" s="68"/>
      <c r="F1057" s="17"/>
      <c r="G1057" s="27"/>
    </row>
    <row r="1058" spans="2:7" ht="20.25" customHeight="1" x14ac:dyDescent="0.3">
      <c r="B1058" s="17"/>
      <c r="C1058" s="27"/>
      <c r="D1058" s="67"/>
      <c r="E1058" s="68"/>
      <c r="F1058" s="17"/>
      <c r="G1058" s="27"/>
    </row>
    <row r="1059" spans="2:7" ht="20.25" customHeight="1" x14ac:dyDescent="0.3">
      <c r="B1059" s="17"/>
      <c r="C1059" s="27"/>
      <c r="D1059" s="67"/>
      <c r="E1059" s="68"/>
      <c r="F1059" s="17"/>
      <c r="G1059" s="27"/>
    </row>
    <row r="1060" spans="2:7" ht="20.25" customHeight="1" x14ac:dyDescent="0.3">
      <c r="B1060" s="17"/>
      <c r="C1060" s="27"/>
      <c r="D1060" s="67"/>
      <c r="E1060" s="68"/>
      <c r="F1060" s="17"/>
      <c r="G1060" s="27"/>
    </row>
    <row r="1061" spans="2:7" ht="20.25" customHeight="1" x14ac:dyDescent="0.3">
      <c r="B1061" s="17"/>
      <c r="C1061" s="27"/>
      <c r="D1061" s="67"/>
      <c r="E1061" s="68"/>
      <c r="F1061" s="17"/>
      <c r="G1061" s="27"/>
    </row>
    <row r="1062" spans="2:7" ht="20.25" customHeight="1" x14ac:dyDescent="0.3">
      <c r="B1062" s="17"/>
      <c r="C1062" s="27"/>
      <c r="D1062" s="67"/>
      <c r="E1062" s="68"/>
      <c r="F1062" s="17"/>
      <c r="G1062" s="27"/>
    </row>
    <row r="1063" spans="2:7" ht="20.25" customHeight="1" x14ac:dyDescent="0.3">
      <c r="B1063" s="17"/>
      <c r="C1063" s="27"/>
      <c r="D1063" s="67"/>
      <c r="E1063" s="68"/>
      <c r="F1063" s="17"/>
      <c r="G1063" s="27"/>
    </row>
    <row r="1064" spans="2:7" ht="20.25" customHeight="1" x14ac:dyDescent="0.3">
      <c r="B1064" s="17"/>
      <c r="C1064" s="27"/>
      <c r="D1064" s="67"/>
      <c r="E1064" s="68"/>
      <c r="F1064" s="17"/>
      <c r="G1064" s="27"/>
    </row>
    <row r="1065" spans="2:7" ht="20.25" customHeight="1" x14ac:dyDescent="0.3">
      <c r="B1065" s="17"/>
      <c r="C1065" s="27"/>
      <c r="D1065" s="67"/>
      <c r="E1065" s="68"/>
      <c r="F1065" s="17"/>
      <c r="G1065" s="27"/>
    </row>
    <row r="1066" spans="2:7" ht="20.25" customHeight="1" x14ac:dyDescent="0.3">
      <c r="B1066" s="17"/>
      <c r="C1066" s="27"/>
      <c r="D1066" s="67"/>
      <c r="E1066" s="68"/>
      <c r="F1066" s="17"/>
      <c r="G1066" s="27"/>
    </row>
    <row r="1067" spans="2:7" ht="20.25" customHeight="1" x14ac:dyDescent="0.3">
      <c r="B1067" s="17"/>
      <c r="C1067" s="27"/>
      <c r="D1067" s="67"/>
      <c r="E1067" s="68"/>
      <c r="F1067" s="17"/>
      <c r="G1067" s="27"/>
    </row>
    <row r="1068" spans="2:7" ht="20.25" customHeight="1" x14ac:dyDescent="0.3">
      <c r="B1068" s="17"/>
      <c r="C1068" s="27"/>
      <c r="D1068" s="67"/>
      <c r="E1068" s="68"/>
      <c r="F1068" s="17"/>
      <c r="G1068" s="27"/>
    </row>
    <row r="1069" spans="2:7" ht="20.25" customHeight="1" x14ac:dyDescent="0.3">
      <c r="B1069" s="17"/>
      <c r="C1069" s="27"/>
      <c r="D1069" s="67"/>
      <c r="E1069" s="68"/>
      <c r="F1069" s="17"/>
      <c r="G1069" s="27"/>
    </row>
    <row r="1070" spans="2:7" ht="20.25" customHeight="1" x14ac:dyDescent="0.3">
      <c r="B1070" s="17"/>
      <c r="C1070" s="27"/>
      <c r="D1070" s="67"/>
      <c r="E1070" s="68"/>
      <c r="F1070" s="17"/>
      <c r="G1070" s="27"/>
    </row>
    <row r="1071" spans="2:7" ht="20.25" customHeight="1" x14ac:dyDescent="0.3">
      <c r="B1071" s="17"/>
      <c r="C1071" s="27"/>
      <c r="D1071" s="67"/>
      <c r="E1071" s="68"/>
      <c r="F1071" s="17"/>
      <c r="G1071" s="27"/>
    </row>
    <row r="1072" spans="2:7" ht="20.25" customHeight="1" x14ac:dyDescent="0.3">
      <c r="B1072" s="17"/>
      <c r="C1072" s="27"/>
      <c r="D1072" s="67"/>
      <c r="E1072" s="68"/>
      <c r="F1072" s="17"/>
      <c r="G1072" s="27"/>
    </row>
    <row r="1073" spans="2:7" ht="20.25" customHeight="1" x14ac:dyDescent="0.3">
      <c r="B1073" s="17"/>
      <c r="C1073" s="27"/>
      <c r="D1073" s="67"/>
      <c r="E1073" s="68"/>
      <c r="F1073" s="17"/>
      <c r="G1073" s="27"/>
    </row>
    <row r="1074" spans="2:7" ht="20.25" customHeight="1" x14ac:dyDescent="0.3">
      <c r="B1074" s="17"/>
      <c r="C1074" s="27"/>
      <c r="D1074" s="67"/>
      <c r="E1074" s="68"/>
      <c r="F1074" s="17"/>
      <c r="G1074" s="27"/>
    </row>
    <row r="1075" spans="2:7" ht="20.25" customHeight="1" x14ac:dyDescent="0.3">
      <c r="B1075" s="17"/>
      <c r="C1075" s="27"/>
      <c r="D1075" s="67"/>
      <c r="E1075" s="68"/>
      <c r="F1075" s="17"/>
      <c r="G1075" s="27"/>
    </row>
    <row r="1076" spans="2:7" ht="20.25" customHeight="1" x14ac:dyDescent="0.3">
      <c r="B1076" s="17"/>
      <c r="C1076" s="27"/>
      <c r="D1076" s="67"/>
      <c r="E1076" s="68"/>
      <c r="F1076" s="17"/>
      <c r="G1076" s="27"/>
    </row>
    <row r="1077" spans="2:7" ht="20.25" customHeight="1" x14ac:dyDescent="0.3">
      <c r="B1077" s="17"/>
      <c r="C1077" s="27"/>
      <c r="D1077" s="67"/>
      <c r="E1077" s="68"/>
      <c r="F1077" s="17"/>
      <c r="G1077" s="27"/>
    </row>
    <row r="1078" spans="2:7" ht="20.25" customHeight="1" x14ac:dyDescent="0.3">
      <c r="B1078" s="17"/>
      <c r="C1078" s="27"/>
      <c r="D1078" s="67"/>
      <c r="E1078" s="68"/>
      <c r="F1078" s="17"/>
      <c r="G1078" s="27"/>
    </row>
    <row r="1079" spans="2:7" ht="20.25" customHeight="1" x14ac:dyDescent="0.3">
      <c r="B1079" s="17"/>
      <c r="C1079" s="27"/>
      <c r="D1079" s="67"/>
      <c r="E1079" s="68"/>
      <c r="F1079" s="17"/>
      <c r="G1079" s="27"/>
    </row>
    <row r="1080" spans="2:7" ht="20.25" customHeight="1" x14ac:dyDescent="0.3">
      <c r="B1080" s="17"/>
      <c r="C1080" s="27"/>
      <c r="D1080" s="67"/>
      <c r="E1080" s="68"/>
      <c r="F1080" s="17"/>
      <c r="G1080" s="27"/>
    </row>
    <row r="1081" spans="2:7" ht="20.25" customHeight="1" x14ac:dyDescent="0.3">
      <c r="B1081" s="17"/>
      <c r="C1081" s="27"/>
      <c r="D1081" s="67"/>
      <c r="E1081" s="68"/>
      <c r="F1081" s="17"/>
      <c r="G1081" s="27"/>
    </row>
    <row r="1082" spans="2:7" ht="20.25" customHeight="1" x14ac:dyDescent="0.3">
      <c r="B1082" s="17"/>
      <c r="C1082" s="27"/>
      <c r="D1082" s="67"/>
      <c r="E1082" s="68"/>
      <c r="F1082" s="17"/>
      <c r="G1082" s="27"/>
    </row>
    <row r="1083" spans="2:7" ht="20.25" customHeight="1" x14ac:dyDescent="0.3">
      <c r="B1083" s="17"/>
      <c r="C1083" s="27"/>
      <c r="D1083" s="67"/>
      <c r="E1083" s="68"/>
      <c r="F1083" s="17"/>
      <c r="G1083" s="27"/>
    </row>
    <row r="1084" spans="2:7" ht="20.25" customHeight="1" x14ac:dyDescent="0.3">
      <c r="B1084" s="17"/>
      <c r="C1084" s="27"/>
      <c r="D1084" s="67"/>
      <c r="E1084" s="68"/>
      <c r="F1084" s="17"/>
      <c r="G1084" s="27"/>
    </row>
    <row r="1085" spans="2:7" ht="20.25" customHeight="1" x14ac:dyDescent="0.3">
      <c r="B1085" s="17"/>
      <c r="C1085" s="27"/>
      <c r="D1085" s="67"/>
      <c r="E1085" s="68"/>
      <c r="F1085" s="17"/>
      <c r="G1085" s="27"/>
    </row>
    <row r="1086" spans="2:7" ht="20.25" customHeight="1" x14ac:dyDescent="0.3">
      <c r="B1086" s="17"/>
      <c r="C1086" s="27"/>
      <c r="D1086" s="67"/>
      <c r="E1086" s="68"/>
      <c r="F1086" s="17"/>
      <c r="G1086" s="27"/>
    </row>
    <row r="1087" spans="2:7" ht="20.25" customHeight="1" x14ac:dyDescent="0.3">
      <c r="B1087" s="17"/>
      <c r="C1087" s="27"/>
      <c r="D1087" s="67"/>
      <c r="E1087" s="68"/>
      <c r="F1087" s="17"/>
      <c r="G1087" s="27"/>
    </row>
    <row r="1088" spans="2:7" ht="20.25" customHeight="1" x14ac:dyDescent="0.3">
      <c r="B1088" s="17"/>
      <c r="C1088" s="27"/>
      <c r="D1088" s="67"/>
      <c r="E1088" s="68"/>
      <c r="F1088" s="17"/>
      <c r="G1088" s="27"/>
    </row>
    <row r="1089" spans="2:7" ht="20.25" customHeight="1" x14ac:dyDescent="0.3">
      <c r="B1089" s="17"/>
      <c r="C1089" s="27"/>
      <c r="D1089" s="67"/>
      <c r="E1089" s="68"/>
      <c r="F1089" s="17"/>
      <c r="G1089" s="27"/>
    </row>
    <row r="1090" spans="2:7" ht="20.25" customHeight="1" x14ac:dyDescent="0.3">
      <c r="B1090" s="17"/>
      <c r="C1090" s="27"/>
      <c r="D1090" s="67"/>
      <c r="E1090" s="68"/>
      <c r="F1090" s="17"/>
      <c r="G1090" s="27"/>
    </row>
    <row r="1091" spans="2:7" ht="20.25" customHeight="1" x14ac:dyDescent="0.3">
      <c r="B1091" s="17"/>
      <c r="C1091" s="27"/>
      <c r="D1091" s="67"/>
      <c r="E1091" s="68"/>
      <c r="F1091" s="17"/>
      <c r="G1091" s="27"/>
    </row>
    <row r="1092" spans="2:7" ht="20.25" customHeight="1" x14ac:dyDescent="0.3">
      <c r="B1092" s="17"/>
      <c r="C1092" s="27"/>
      <c r="D1092" s="67"/>
      <c r="E1092" s="68"/>
      <c r="F1092" s="17"/>
      <c r="G1092" s="27"/>
    </row>
    <row r="1093" spans="2:7" ht="20.25" customHeight="1" x14ac:dyDescent="0.3">
      <c r="B1093" s="17"/>
      <c r="C1093" s="27"/>
      <c r="D1093" s="67"/>
      <c r="E1093" s="68"/>
      <c r="F1093" s="17"/>
      <c r="G1093" s="27"/>
    </row>
    <row r="1094" spans="2:7" ht="20.25" customHeight="1" x14ac:dyDescent="0.3">
      <c r="B1094" s="17"/>
      <c r="C1094" s="27"/>
      <c r="D1094" s="67"/>
      <c r="E1094" s="68"/>
      <c r="F1094" s="17"/>
      <c r="G1094" s="27"/>
    </row>
    <row r="1095" spans="2:7" ht="20.25" customHeight="1" x14ac:dyDescent="0.3">
      <c r="B1095" s="17"/>
      <c r="C1095" s="27"/>
      <c r="D1095" s="67"/>
      <c r="E1095" s="68"/>
      <c r="F1095" s="17"/>
      <c r="G1095" s="27"/>
    </row>
    <row r="1096" spans="2:7" ht="20.25" customHeight="1" x14ac:dyDescent="0.3">
      <c r="B1096" s="17"/>
      <c r="C1096" s="27"/>
      <c r="D1096" s="67"/>
      <c r="E1096" s="68"/>
      <c r="F1096" s="17"/>
      <c r="G1096" s="27"/>
    </row>
    <row r="1097" spans="2:7" ht="20.25" customHeight="1" x14ac:dyDescent="0.3">
      <c r="B1097" s="17"/>
      <c r="C1097" s="27"/>
      <c r="D1097" s="67"/>
      <c r="E1097" s="68"/>
      <c r="F1097" s="17"/>
      <c r="G1097" s="27"/>
    </row>
    <row r="1098" spans="2:7" ht="20.25" customHeight="1" x14ac:dyDescent="0.3">
      <c r="B1098" s="17"/>
      <c r="C1098" s="27"/>
      <c r="D1098" s="67"/>
      <c r="E1098" s="68"/>
      <c r="F1098" s="17"/>
      <c r="G1098" s="27"/>
    </row>
    <row r="1099" spans="2:7" ht="20.25" customHeight="1" x14ac:dyDescent="0.3">
      <c r="B1099" s="17"/>
      <c r="C1099" s="27"/>
      <c r="D1099" s="67"/>
      <c r="E1099" s="68"/>
      <c r="F1099" s="17"/>
      <c r="G1099" s="27"/>
    </row>
    <row r="1100" spans="2:7" ht="20.25" customHeight="1" x14ac:dyDescent="0.3">
      <c r="B1100" s="17"/>
      <c r="C1100" s="27"/>
      <c r="D1100" s="67"/>
      <c r="E1100" s="68"/>
      <c r="F1100" s="17"/>
      <c r="G1100" s="27"/>
    </row>
    <row r="1101" spans="2:7" ht="20.25" customHeight="1" x14ac:dyDescent="0.3">
      <c r="B1101" s="17"/>
      <c r="C1101" s="27"/>
      <c r="D1101" s="67"/>
      <c r="E1101" s="68"/>
      <c r="F1101" s="17"/>
      <c r="G1101" s="27"/>
    </row>
    <row r="1102" spans="2:7" ht="20.25" customHeight="1" x14ac:dyDescent="0.3">
      <c r="B1102" s="17"/>
      <c r="C1102" s="27"/>
      <c r="D1102" s="67"/>
      <c r="E1102" s="68"/>
      <c r="F1102" s="17"/>
      <c r="G1102" s="27"/>
    </row>
    <row r="1103" spans="2:7" ht="20.25" customHeight="1" x14ac:dyDescent="0.3">
      <c r="B1103" s="17"/>
      <c r="C1103" s="27"/>
      <c r="D1103" s="67"/>
      <c r="E1103" s="68"/>
      <c r="F1103" s="17"/>
      <c r="G1103" s="27"/>
    </row>
    <row r="1104" spans="2:7" ht="20.25" customHeight="1" x14ac:dyDescent="0.3">
      <c r="B1104" s="17"/>
      <c r="C1104" s="27"/>
      <c r="D1104" s="67"/>
      <c r="E1104" s="68"/>
      <c r="F1104" s="17"/>
      <c r="G1104" s="27"/>
    </row>
    <row r="1105" spans="2:7" ht="20.25" customHeight="1" x14ac:dyDescent="0.3">
      <c r="B1105" s="17"/>
      <c r="C1105" s="27"/>
      <c r="D1105" s="67"/>
      <c r="E1105" s="68"/>
      <c r="F1105" s="17"/>
      <c r="G1105" s="27"/>
    </row>
    <row r="1106" spans="2:7" ht="20.25" customHeight="1" x14ac:dyDescent="0.3">
      <c r="B1106" s="17"/>
      <c r="C1106" s="27"/>
      <c r="D1106" s="67"/>
      <c r="E1106" s="68"/>
      <c r="F1106" s="17"/>
      <c r="G1106" s="27"/>
    </row>
    <row r="1107" spans="2:7" ht="20.25" customHeight="1" x14ac:dyDescent="0.3">
      <c r="B1107" s="17"/>
      <c r="C1107" s="27"/>
      <c r="D1107" s="67"/>
      <c r="E1107" s="68"/>
      <c r="F1107" s="17"/>
      <c r="G1107" s="27"/>
    </row>
    <row r="1108" spans="2:7" ht="20.25" customHeight="1" x14ac:dyDescent="0.3">
      <c r="B1108" s="17"/>
      <c r="C1108" s="27"/>
      <c r="D1108" s="67"/>
      <c r="E1108" s="68"/>
      <c r="F1108" s="17"/>
      <c r="G1108" s="27"/>
    </row>
    <row r="1109" spans="2:7" ht="20.25" customHeight="1" x14ac:dyDescent="0.3">
      <c r="B1109" s="17"/>
      <c r="C1109" s="27"/>
      <c r="D1109" s="67"/>
      <c r="E1109" s="68"/>
      <c r="F1109" s="17"/>
      <c r="G1109" s="27"/>
    </row>
    <row r="1110" spans="2:7" ht="20.25" customHeight="1" x14ac:dyDescent="0.3">
      <c r="B1110" s="17"/>
      <c r="C1110" s="27"/>
      <c r="D1110" s="67"/>
      <c r="E1110" s="68"/>
      <c r="F1110" s="17"/>
      <c r="G1110" s="27"/>
    </row>
    <row r="1111" spans="2:7" ht="20.25" customHeight="1" x14ac:dyDescent="0.3">
      <c r="B1111" s="17"/>
      <c r="C1111" s="27"/>
      <c r="D1111" s="67"/>
      <c r="E1111" s="68"/>
      <c r="F1111" s="17"/>
      <c r="G1111" s="27"/>
    </row>
    <row r="1112" spans="2:7" ht="20.25" customHeight="1" x14ac:dyDescent="0.3">
      <c r="B1112" s="17"/>
      <c r="C1112" s="27"/>
      <c r="D1112" s="67"/>
      <c r="E1112" s="68"/>
      <c r="F1112" s="17"/>
      <c r="G1112" s="27"/>
    </row>
    <row r="1113" spans="2:7" ht="20.25" customHeight="1" x14ac:dyDescent="0.3">
      <c r="B1113" s="17"/>
      <c r="C1113" s="27"/>
      <c r="D1113" s="67"/>
      <c r="E1113" s="68"/>
      <c r="F1113" s="17"/>
      <c r="G1113" s="27"/>
    </row>
    <row r="1114" spans="2:7" ht="20.25" customHeight="1" x14ac:dyDescent="0.3">
      <c r="B1114" s="17"/>
      <c r="C1114" s="27"/>
      <c r="D1114" s="67"/>
      <c r="E1114" s="68"/>
      <c r="F1114" s="17"/>
      <c r="G1114" s="27"/>
    </row>
    <row r="1115" spans="2:7" ht="20.25" customHeight="1" x14ac:dyDescent="0.3">
      <c r="B1115" s="17"/>
      <c r="C1115" s="27"/>
      <c r="D1115" s="67"/>
      <c r="E1115" s="68"/>
      <c r="F1115" s="17"/>
      <c r="G1115" s="27"/>
    </row>
    <row r="1116" spans="2:7" ht="20.25" customHeight="1" x14ac:dyDescent="0.3">
      <c r="B1116" s="17"/>
      <c r="C1116" s="27"/>
      <c r="D1116" s="67"/>
      <c r="E1116" s="68"/>
      <c r="F1116" s="17"/>
      <c r="G1116" s="27"/>
    </row>
    <row r="1117" spans="2:7" ht="20.25" customHeight="1" x14ac:dyDescent="0.3">
      <c r="B1117" s="17"/>
      <c r="C1117" s="27"/>
      <c r="D1117" s="67"/>
      <c r="E1117" s="68"/>
      <c r="F1117" s="17"/>
      <c r="G1117" s="27"/>
    </row>
    <row r="1118" spans="2:7" ht="20.25" customHeight="1" x14ac:dyDescent="0.3">
      <c r="B1118" s="17"/>
      <c r="C1118" s="27"/>
      <c r="D1118" s="67"/>
      <c r="E1118" s="68"/>
      <c r="F1118" s="17"/>
      <c r="G1118" s="27"/>
    </row>
    <row r="1119" spans="2:7" ht="20.25" customHeight="1" x14ac:dyDescent="0.3">
      <c r="B1119" s="17"/>
      <c r="C1119" s="27"/>
      <c r="D1119" s="67"/>
      <c r="E1119" s="68"/>
      <c r="F1119" s="17"/>
      <c r="G1119" s="27"/>
    </row>
    <row r="1120" spans="2:7" ht="20.25" customHeight="1" x14ac:dyDescent="0.3">
      <c r="B1120" s="17"/>
      <c r="C1120" s="27"/>
      <c r="D1120" s="67"/>
      <c r="E1120" s="68"/>
      <c r="F1120" s="17"/>
      <c r="G1120" s="27"/>
    </row>
    <row r="1121" spans="2:7" ht="20.25" customHeight="1" x14ac:dyDescent="0.3">
      <c r="B1121" s="17"/>
      <c r="C1121" s="27"/>
      <c r="D1121" s="67"/>
      <c r="E1121" s="68"/>
      <c r="F1121" s="17"/>
      <c r="G1121" s="27"/>
    </row>
    <row r="1122" spans="2:7" ht="20.25" customHeight="1" x14ac:dyDescent="0.3">
      <c r="B1122" s="17"/>
      <c r="C1122" s="27"/>
      <c r="D1122" s="67"/>
      <c r="E1122" s="68"/>
      <c r="F1122" s="17"/>
      <c r="G1122" s="27"/>
    </row>
    <row r="1123" spans="2:7" ht="20.25" customHeight="1" x14ac:dyDescent="0.3">
      <c r="B1123" s="17"/>
      <c r="C1123" s="27"/>
      <c r="D1123" s="67"/>
      <c r="E1123" s="68"/>
      <c r="F1123" s="17"/>
      <c r="G1123" s="27"/>
    </row>
    <row r="1124" spans="2:7" ht="20.25" customHeight="1" x14ac:dyDescent="0.3">
      <c r="B1124" s="17"/>
      <c r="C1124" s="27"/>
      <c r="D1124" s="67"/>
      <c r="E1124" s="68"/>
      <c r="F1124" s="17"/>
      <c r="G1124" s="27"/>
    </row>
    <row r="1125" spans="2:7" ht="20.25" customHeight="1" x14ac:dyDescent="0.3">
      <c r="B1125" s="17"/>
      <c r="C1125" s="27"/>
      <c r="D1125" s="67"/>
      <c r="E1125" s="68"/>
      <c r="F1125" s="17"/>
      <c r="G1125" s="27"/>
    </row>
    <row r="1126" spans="2:7" ht="20.25" customHeight="1" x14ac:dyDescent="0.3">
      <c r="B1126" s="17"/>
      <c r="C1126" s="27"/>
      <c r="D1126" s="67"/>
      <c r="E1126" s="68"/>
      <c r="F1126" s="17"/>
      <c r="G1126" s="27"/>
    </row>
    <row r="1127" spans="2:7" ht="20.25" customHeight="1" x14ac:dyDescent="0.3">
      <c r="B1127" s="17"/>
      <c r="C1127" s="27"/>
      <c r="D1127" s="67"/>
      <c r="E1127" s="68"/>
      <c r="F1127" s="17"/>
      <c r="G1127" s="27"/>
    </row>
    <row r="1128" spans="2:7" ht="20.25" customHeight="1" x14ac:dyDescent="0.3">
      <c r="B1128" s="17"/>
      <c r="C1128" s="27"/>
      <c r="D1128" s="67"/>
      <c r="E1128" s="68"/>
      <c r="F1128" s="17"/>
      <c r="G1128" s="27"/>
    </row>
    <row r="1129" spans="2:7" ht="20.25" customHeight="1" x14ac:dyDescent="0.3">
      <c r="B1129" s="17"/>
      <c r="C1129" s="27"/>
      <c r="D1129" s="67"/>
      <c r="E1129" s="68"/>
      <c r="F1129" s="17"/>
      <c r="G1129" s="27"/>
    </row>
    <row r="1130" spans="2:7" ht="20.25" customHeight="1" x14ac:dyDescent="0.3">
      <c r="B1130" s="17"/>
      <c r="C1130" s="27"/>
      <c r="D1130" s="67"/>
      <c r="E1130" s="68"/>
      <c r="F1130" s="17"/>
      <c r="G1130" s="27"/>
    </row>
    <row r="1131" spans="2:7" ht="20.25" customHeight="1" x14ac:dyDescent="0.3">
      <c r="B1131" s="17"/>
      <c r="C1131" s="27"/>
      <c r="D1131" s="67"/>
      <c r="E1131" s="68"/>
      <c r="F1131" s="17"/>
      <c r="G1131" s="27"/>
    </row>
    <row r="1132" spans="2:7" ht="20.25" customHeight="1" x14ac:dyDescent="0.3">
      <c r="B1132" s="17"/>
      <c r="C1132" s="27"/>
      <c r="D1132" s="67"/>
      <c r="E1132" s="68"/>
      <c r="F1132" s="17"/>
      <c r="G1132" s="27"/>
    </row>
    <row r="1133" spans="2:7" ht="20.25" customHeight="1" x14ac:dyDescent="0.3">
      <c r="B1133" s="17"/>
      <c r="C1133" s="27"/>
      <c r="D1133" s="67"/>
      <c r="E1133" s="68"/>
      <c r="F1133" s="17"/>
      <c r="G1133" s="27"/>
    </row>
    <row r="1134" spans="2:7" ht="20.25" customHeight="1" x14ac:dyDescent="0.3">
      <c r="B1134" s="17"/>
      <c r="C1134" s="27"/>
      <c r="D1134" s="67"/>
      <c r="E1134" s="68"/>
      <c r="F1134" s="17"/>
      <c r="G1134" s="27"/>
    </row>
    <row r="1135" spans="2:7" ht="20.25" customHeight="1" x14ac:dyDescent="0.3">
      <c r="B1135" s="17"/>
      <c r="C1135" s="27"/>
      <c r="D1135" s="67"/>
      <c r="E1135" s="68"/>
      <c r="F1135" s="17"/>
      <c r="G1135" s="27"/>
    </row>
    <row r="1136" spans="2:7" ht="20.25" customHeight="1" x14ac:dyDescent="0.3">
      <c r="B1136" s="17"/>
      <c r="C1136" s="27"/>
      <c r="D1136" s="67"/>
      <c r="E1136" s="68"/>
      <c r="F1136" s="17"/>
      <c r="G1136" s="27"/>
    </row>
    <row r="1137" spans="2:7" ht="20.25" customHeight="1" x14ac:dyDescent="0.3">
      <c r="B1137" s="17"/>
      <c r="C1137" s="27"/>
      <c r="D1137" s="67"/>
      <c r="E1137" s="68"/>
      <c r="F1137" s="17"/>
      <c r="G1137" s="27"/>
    </row>
    <row r="1138" spans="2:7" ht="20.25" customHeight="1" x14ac:dyDescent="0.3">
      <c r="B1138" s="17"/>
      <c r="C1138" s="27"/>
      <c r="D1138" s="67"/>
      <c r="E1138" s="68"/>
      <c r="F1138" s="17"/>
      <c r="G1138" s="27"/>
    </row>
    <row r="1139" spans="2:7" ht="20.25" customHeight="1" x14ac:dyDescent="0.3">
      <c r="B1139" s="17"/>
      <c r="C1139" s="27"/>
      <c r="D1139" s="67"/>
      <c r="E1139" s="68"/>
      <c r="F1139" s="17"/>
      <c r="G1139" s="27"/>
    </row>
    <row r="1140" spans="2:7" ht="20.25" customHeight="1" x14ac:dyDescent="0.3">
      <c r="B1140" s="17"/>
      <c r="C1140" s="27"/>
      <c r="D1140" s="67"/>
      <c r="E1140" s="68"/>
      <c r="F1140" s="17"/>
      <c r="G1140" s="27"/>
    </row>
    <row r="1141" spans="2:7" ht="20.25" customHeight="1" x14ac:dyDescent="0.3">
      <c r="B1141" s="17"/>
      <c r="C1141" s="27"/>
      <c r="D1141" s="67"/>
      <c r="E1141" s="68"/>
      <c r="F1141" s="17"/>
      <c r="G1141" s="27"/>
    </row>
    <row r="1142" spans="2:7" ht="20.25" customHeight="1" x14ac:dyDescent="0.3">
      <c r="B1142" s="17"/>
      <c r="C1142" s="27"/>
      <c r="D1142" s="67"/>
      <c r="E1142" s="68"/>
      <c r="F1142" s="17"/>
      <c r="G1142" s="27"/>
    </row>
    <row r="1143" spans="2:7" ht="20.25" customHeight="1" x14ac:dyDescent="0.3">
      <c r="B1143" s="17"/>
      <c r="C1143" s="27"/>
      <c r="D1143" s="67"/>
      <c r="E1143" s="68"/>
      <c r="F1143" s="17"/>
      <c r="G1143" s="27"/>
    </row>
    <row r="1144" spans="2:7" ht="20.25" customHeight="1" x14ac:dyDescent="0.3">
      <c r="B1144" s="17"/>
      <c r="C1144" s="27"/>
      <c r="D1144" s="67"/>
      <c r="E1144" s="68"/>
      <c r="F1144" s="17"/>
      <c r="G1144" s="27"/>
    </row>
    <row r="1145" spans="2:7" ht="20.25" customHeight="1" x14ac:dyDescent="0.3">
      <c r="B1145" s="17"/>
      <c r="C1145" s="27"/>
      <c r="D1145" s="67"/>
      <c r="E1145" s="68"/>
      <c r="F1145" s="17"/>
      <c r="G1145" s="27"/>
    </row>
    <row r="1146" spans="2:7" ht="20.25" customHeight="1" x14ac:dyDescent="0.3">
      <c r="B1146" s="17"/>
      <c r="C1146" s="27"/>
      <c r="D1146" s="67"/>
      <c r="E1146" s="68"/>
      <c r="F1146" s="17"/>
      <c r="G1146" s="27"/>
    </row>
    <row r="1147" spans="2:7" ht="20.25" customHeight="1" x14ac:dyDescent="0.3">
      <c r="B1147" s="17"/>
      <c r="C1147" s="27"/>
      <c r="D1147" s="67"/>
      <c r="E1147" s="68"/>
      <c r="F1147" s="17"/>
      <c r="G1147" s="27"/>
    </row>
    <row r="1148" spans="2:7" ht="20.25" customHeight="1" x14ac:dyDescent="0.3">
      <c r="B1148" s="17"/>
      <c r="C1148" s="27"/>
      <c r="D1148" s="67"/>
      <c r="E1148" s="68"/>
      <c r="F1148" s="17"/>
      <c r="G1148" s="27"/>
    </row>
    <row r="1149" spans="2:7" ht="20.25" customHeight="1" x14ac:dyDescent="0.3">
      <c r="B1149" s="17"/>
      <c r="C1149" s="27"/>
      <c r="D1149" s="67"/>
      <c r="E1149" s="68"/>
      <c r="F1149" s="17"/>
      <c r="G1149" s="27"/>
    </row>
    <row r="1150" spans="2:7" ht="20.25" customHeight="1" x14ac:dyDescent="0.3">
      <c r="B1150" s="17"/>
      <c r="C1150" s="27"/>
      <c r="D1150" s="67"/>
      <c r="E1150" s="68"/>
      <c r="F1150" s="17"/>
      <c r="G1150" s="27"/>
    </row>
    <row r="1151" spans="2:7" ht="20.25" customHeight="1" x14ac:dyDescent="0.3">
      <c r="B1151" s="17"/>
      <c r="C1151" s="27"/>
      <c r="D1151" s="67"/>
      <c r="E1151" s="68"/>
      <c r="F1151" s="17"/>
      <c r="G1151" s="27"/>
    </row>
    <row r="1152" spans="2:7" ht="20.25" customHeight="1" x14ac:dyDescent="0.3">
      <c r="B1152" s="17"/>
      <c r="C1152" s="27"/>
      <c r="D1152" s="67"/>
      <c r="E1152" s="68"/>
      <c r="F1152" s="17"/>
      <c r="G1152" s="27"/>
    </row>
    <row r="1153" spans="2:7" ht="20.25" customHeight="1" x14ac:dyDescent="0.3">
      <c r="B1153" s="17"/>
      <c r="C1153" s="27"/>
      <c r="D1153" s="67"/>
      <c r="E1153" s="68"/>
      <c r="F1153" s="17"/>
      <c r="G1153" s="27"/>
    </row>
    <row r="1154" spans="2:7" ht="20.25" customHeight="1" x14ac:dyDescent="0.3">
      <c r="B1154" s="17"/>
      <c r="C1154" s="27"/>
      <c r="D1154" s="67"/>
      <c r="E1154" s="68"/>
      <c r="F1154" s="17"/>
      <c r="G1154" s="27"/>
    </row>
    <row r="1155" spans="2:7" ht="20.25" customHeight="1" x14ac:dyDescent="0.3">
      <c r="B1155" s="17"/>
      <c r="C1155" s="27"/>
      <c r="D1155" s="67"/>
      <c r="E1155" s="68"/>
      <c r="F1155" s="17"/>
      <c r="G1155" s="27"/>
    </row>
    <row r="1156" spans="2:7" ht="20.25" customHeight="1" x14ac:dyDescent="0.3">
      <c r="B1156" s="17"/>
      <c r="C1156" s="27"/>
      <c r="D1156" s="67"/>
      <c r="E1156" s="68"/>
      <c r="F1156" s="17"/>
      <c r="G1156" s="27"/>
    </row>
    <row r="1157" spans="2:7" ht="20.25" customHeight="1" x14ac:dyDescent="0.3">
      <c r="B1157" s="17"/>
      <c r="C1157" s="27"/>
      <c r="D1157" s="67"/>
      <c r="E1157" s="68"/>
      <c r="F1157" s="17"/>
      <c r="G1157" s="27"/>
    </row>
    <row r="1158" spans="2:7" ht="20.25" customHeight="1" x14ac:dyDescent="0.3">
      <c r="B1158" s="17"/>
      <c r="C1158" s="27"/>
      <c r="D1158" s="67"/>
      <c r="E1158" s="68"/>
      <c r="F1158" s="17"/>
      <c r="G1158" s="27"/>
    </row>
    <row r="1159" spans="2:7" ht="20.25" customHeight="1" x14ac:dyDescent="0.3">
      <c r="B1159" s="17"/>
      <c r="C1159" s="27"/>
      <c r="D1159" s="67"/>
      <c r="E1159" s="68"/>
      <c r="F1159" s="17"/>
      <c r="G1159" s="27"/>
    </row>
    <row r="1160" spans="2:7" ht="20.25" customHeight="1" x14ac:dyDescent="0.3">
      <c r="B1160" s="17"/>
      <c r="C1160" s="27"/>
      <c r="D1160" s="67"/>
      <c r="E1160" s="68"/>
      <c r="F1160" s="17"/>
      <c r="G1160" s="27"/>
    </row>
    <row r="1161" spans="2:7" ht="20.25" customHeight="1" x14ac:dyDescent="0.3">
      <c r="B1161" s="17"/>
      <c r="C1161" s="27"/>
      <c r="D1161" s="67"/>
      <c r="E1161" s="68"/>
      <c r="F1161" s="17"/>
      <c r="G1161" s="27"/>
    </row>
    <row r="1162" spans="2:7" ht="20.25" customHeight="1" x14ac:dyDescent="0.3">
      <c r="B1162" s="17"/>
      <c r="C1162" s="27"/>
      <c r="D1162" s="67"/>
      <c r="E1162" s="68"/>
      <c r="F1162" s="17"/>
      <c r="G1162" s="27"/>
    </row>
    <row r="1163" spans="2:7" ht="20.25" customHeight="1" x14ac:dyDescent="0.3">
      <c r="B1163" s="17"/>
      <c r="C1163" s="27"/>
      <c r="D1163" s="67"/>
      <c r="E1163" s="68"/>
      <c r="F1163" s="17"/>
      <c r="G1163" s="27"/>
    </row>
    <row r="1164" spans="2:7" ht="20.25" customHeight="1" x14ac:dyDescent="0.3">
      <c r="B1164" s="17"/>
      <c r="C1164" s="27"/>
      <c r="D1164" s="67"/>
      <c r="E1164" s="68"/>
      <c r="F1164" s="17"/>
      <c r="G1164" s="27"/>
    </row>
    <row r="1165" spans="2:7" ht="20.25" customHeight="1" x14ac:dyDescent="0.3">
      <c r="B1165" s="17"/>
      <c r="C1165" s="27"/>
      <c r="D1165" s="67"/>
      <c r="E1165" s="68"/>
      <c r="F1165" s="17"/>
      <c r="G1165" s="27"/>
    </row>
    <row r="1166" spans="2:7" ht="20.25" customHeight="1" x14ac:dyDescent="0.3">
      <c r="B1166" s="17"/>
      <c r="C1166" s="27"/>
      <c r="D1166" s="67"/>
      <c r="E1166" s="68"/>
      <c r="F1166" s="17"/>
      <c r="G1166" s="27"/>
    </row>
    <row r="1167" spans="2:7" ht="20.25" customHeight="1" x14ac:dyDescent="0.3">
      <c r="B1167" s="17"/>
      <c r="C1167" s="27"/>
      <c r="D1167" s="67"/>
      <c r="E1167" s="68"/>
      <c r="F1167" s="17"/>
      <c r="G1167" s="27"/>
    </row>
    <row r="1168" spans="2:7" ht="20.25" customHeight="1" x14ac:dyDescent="0.3">
      <c r="B1168" s="17"/>
      <c r="C1168" s="27"/>
      <c r="D1168" s="67"/>
      <c r="E1168" s="68"/>
      <c r="F1168" s="17"/>
      <c r="G1168" s="27"/>
    </row>
    <row r="1169" spans="2:7" ht="20.25" customHeight="1" x14ac:dyDescent="0.3">
      <c r="B1169" s="17"/>
      <c r="C1169" s="27"/>
      <c r="D1169" s="67"/>
      <c r="E1169" s="68"/>
      <c r="F1169" s="17"/>
      <c r="G1169" s="27"/>
    </row>
    <row r="1170" spans="2:7" ht="20.25" customHeight="1" x14ac:dyDescent="0.3">
      <c r="B1170" s="17"/>
      <c r="C1170" s="27"/>
      <c r="D1170" s="67"/>
      <c r="E1170" s="68"/>
      <c r="F1170" s="17"/>
      <c r="G1170" s="27"/>
    </row>
    <row r="1171" spans="2:7" ht="20.25" customHeight="1" x14ac:dyDescent="0.3">
      <c r="B1171" s="17"/>
      <c r="C1171" s="27"/>
      <c r="D1171" s="67"/>
      <c r="E1171" s="68"/>
      <c r="F1171" s="17"/>
      <c r="G1171" s="27"/>
    </row>
    <row r="1172" spans="2:7" ht="20.25" customHeight="1" x14ac:dyDescent="0.3">
      <c r="B1172" s="17"/>
      <c r="C1172" s="27"/>
      <c r="D1172" s="67"/>
      <c r="E1172" s="68"/>
      <c r="F1172" s="17"/>
      <c r="G1172" s="27"/>
    </row>
    <row r="1173" spans="2:7" ht="20.25" customHeight="1" x14ac:dyDescent="0.3">
      <c r="B1173" s="17"/>
      <c r="C1173" s="27"/>
      <c r="D1173" s="67"/>
      <c r="E1173" s="68"/>
      <c r="F1173" s="17"/>
      <c r="G1173" s="27"/>
    </row>
    <row r="1174" spans="2:7" ht="20.25" customHeight="1" x14ac:dyDescent="0.3">
      <c r="B1174" s="17"/>
      <c r="C1174" s="27"/>
      <c r="D1174" s="67"/>
      <c r="E1174" s="68"/>
      <c r="F1174" s="17"/>
      <c r="G1174" s="27"/>
    </row>
    <row r="1175" spans="2:7" ht="20.25" customHeight="1" x14ac:dyDescent="0.3">
      <c r="B1175" s="17"/>
      <c r="C1175" s="27"/>
      <c r="D1175" s="67"/>
      <c r="E1175" s="68"/>
      <c r="F1175" s="17"/>
      <c r="G1175" s="27"/>
    </row>
    <row r="1176" spans="2:7" ht="20.25" customHeight="1" x14ac:dyDescent="0.3">
      <c r="B1176" s="17"/>
      <c r="C1176" s="27"/>
      <c r="D1176" s="67"/>
      <c r="E1176" s="68"/>
      <c r="F1176" s="17"/>
      <c r="G1176" s="27"/>
    </row>
    <row r="1177" spans="2:7" ht="20.25" customHeight="1" x14ac:dyDescent="0.3">
      <c r="B1177" s="17"/>
      <c r="C1177" s="27"/>
      <c r="D1177" s="67"/>
      <c r="E1177" s="68"/>
      <c r="F1177" s="17"/>
      <c r="G1177" s="27"/>
    </row>
    <row r="1178" spans="2:7" ht="20.25" customHeight="1" x14ac:dyDescent="0.3">
      <c r="B1178" s="17"/>
      <c r="C1178" s="27"/>
      <c r="D1178" s="67"/>
      <c r="E1178" s="68"/>
      <c r="F1178" s="17"/>
      <c r="G1178" s="27"/>
    </row>
    <row r="1179" spans="2:7" ht="20.25" customHeight="1" x14ac:dyDescent="0.3">
      <c r="B1179" s="17"/>
      <c r="C1179" s="27"/>
      <c r="D1179" s="67"/>
      <c r="E1179" s="68"/>
      <c r="F1179" s="17"/>
      <c r="G1179" s="27"/>
    </row>
    <row r="1180" spans="2:7" ht="20.25" customHeight="1" x14ac:dyDescent="0.3">
      <c r="B1180" s="17"/>
      <c r="C1180" s="27"/>
      <c r="D1180" s="67"/>
      <c r="E1180" s="68"/>
      <c r="F1180" s="17"/>
      <c r="G1180" s="27"/>
    </row>
    <row r="1181" spans="2:7" ht="20.25" customHeight="1" x14ac:dyDescent="0.3">
      <c r="B1181" s="17"/>
      <c r="C1181" s="27"/>
      <c r="D1181" s="67"/>
      <c r="E1181" s="68"/>
      <c r="F1181" s="17"/>
      <c r="G1181" s="27"/>
    </row>
    <row r="1182" spans="2:7" ht="20.25" customHeight="1" x14ac:dyDescent="0.3">
      <c r="B1182" s="17"/>
      <c r="C1182" s="27"/>
      <c r="D1182" s="67"/>
      <c r="E1182" s="68"/>
      <c r="F1182" s="17"/>
      <c r="G1182" s="27"/>
    </row>
    <row r="1183" spans="2:7" ht="20.25" customHeight="1" x14ac:dyDescent="0.3">
      <c r="B1183" s="17"/>
      <c r="C1183" s="27"/>
      <c r="D1183" s="67"/>
      <c r="E1183" s="68"/>
      <c r="F1183" s="17"/>
      <c r="G1183" s="27"/>
    </row>
    <row r="1184" spans="2:7" ht="20.25" customHeight="1" x14ac:dyDescent="0.3">
      <c r="B1184" s="17"/>
      <c r="C1184" s="27"/>
      <c r="D1184" s="67"/>
      <c r="E1184" s="68"/>
      <c r="F1184" s="17"/>
      <c r="G1184" s="27"/>
    </row>
    <row r="1185" spans="2:7" ht="20.25" customHeight="1" x14ac:dyDescent="0.3">
      <c r="B1185" s="17"/>
      <c r="C1185" s="27"/>
      <c r="D1185" s="67"/>
      <c r="E1185" s="68"/>
      <c r="F1185" s="17"/>
      <c r="G1185" s="27"/>
    </row>
    <row r="1186" spans="2:7" ht="20.25" customHeight="1" x14ac:dyDescent="0.3">
      <c r="B1186" s="17"/>
      <c r="C1186" s="27"/>
      <c r="D1186" s="67"/>
      <c r="E1186" s="68"/>
      <c r="F1186" s="17"/>
      <c r="G1186" s="27"/>
    </row>
    <row r="1187" spans="2:7" ht="20.25" customHeight="1" x14ac:dyDescent="0.3">
      <c r="B1187" s="17"/>
      <c r="C1187" s="27"/>
      <c r="D1187" s="67"/>
      <c r="E1187" s="68"/>
      <c r="F1187" s="17"/>
      <c r="G1187" s="27"/>
    </row>
    <row r="1188" spans="2:7" ht="20.25" customHeight="1" x14ac:dyDescent="0.3">
      <c r="B1188" s="17"/>
      <c r="C1188" s="27"/>
      <c r="D1188" s="67"/>
      <c r="E1188" s="68"/>
      <c r="F1188" s="17"/>
      <c r="G1188" s="27"/>
    </row>
    <row r="1189" spans="2:7" ht="20.25" customHeight="1" x14ac:dyDescent="0.3">
      <c r="B1189" s="17"/>
      <c r="C1189" s="27"/>
      <c r="D1189" s="67"/>
      <c r="E1189" s="68"/>
      <c r="F1189" s="17"/>
      <c r="G1189" s="27"/>
    </row>
    <row r="1190" spans="2:7" ht="20.25" customHeight="1" x14ac:dyDescent="0.3">
      <c r="B1190" s="17"/>
      <c r="C1190" s="27"/>
      <c r="D1190" s="67"/>
      <c r="E1190" s="68"/>
      <c r="F1190" s="17"/>
      <c r="G1190" s="27"/>
    </row>
    <row r="1191" spans="2:7" ht="20.25" customHeight="1" x14ac:dyDescent="0.3">
      <c r="B1191" s="17"/>
      <c r="C1191" s="27"/>
      <c r="D1191" s="67"/>
      <c r="E1191" s="68"/>
      <c r="F1191" s="17"/>
      <c r="G1191" s="27"/>
    </row>
    <row r="1192" spans="2:7" ht="20.25" customHeight="1" x14ac:dyDescent="0.3">
      <c r="B1192" s="17"/>
      <c r="C1192" s="27"/>
      <c r="D1192" s="67"/>
      <c r="E1192" s="68"/>
      <c r="F1192" s="17"/>
      <c r="G1192" s="27"/>
    </row>
    <row r="1193" spans="2:7" ht="20.25" customHeight="1" x14ac:dyDescent="0.3">
      <c r="B1193" s="17"/>
      <c r="C1193" s="27"/>
      <c r="D1193" s="67"/>
      <c r="E1193" s="68"/>
      <c r="F1193" s="17"/>
      <c r="G1193" s="27"/>
    </row>
    <row r="1194" spans="2:7" ht="20.25" customHeight="1" x14ac:dyDescent="0.3">
      <c r="B1194" s="17"/>
      <c r="C1194" s="27"/>
      <c r="D1194" s="67"/>
      <c r="E1194" s="68"/>
      <c r="F1194" s="17"/>
      <c r="G1194" s="27"/>
    </row>
    <row r="1195" spans="2:7" ht="20.25" customHeight="1" x14ac:dyDescent="0.3">
      <c r="B1195" s="17"/>
      <c r="C1195" s="27"/>
      <c r="D1195" s="67"/>
      <c r="E1195" s="68"/>
      <c r="F1195" s="17"/>
      <c r="G1195" s="27"/>
    </row>
    <row r="1196" spans="2:7" ht="20.25" customHeight="1" x14ac:dyDescent="0.3">
      <c r="B1196" s="17"/>
      <c r="C1196" s="27"/>
      <c r="D1196" s="67"/>
      <c r="E1196" s="68"/>
      <c r="F1196" s="17"/>
      <c r="G1196" s="27"/>
    </row>
    <row r="1197" spans="2:7" ht="20.25" customHeight="1" x14ac:dyDescent="0.3">
      <c r="B1197" s="17"/>
      <c r="C1197" s="27"/>
      <c r="D1197" s="67"/>
      <c r="E1197" s="68"/>
      <c r="F1197" s="17"/>
      <c r="G1197" s="27"/>
    </row>
    <row r="1198" spans="2:7" ht="20.25" customHeight="1" x14ac:dyDescent="0.3">
      <c r="B1198" s="17"/>
      <c r="C1198" s="27"/>
      <c r="D1198" s="67"/>
      <c r="E1198" s="68"/>
      <c r="F1198" s="17"/>
      <c r="G1198" s="27"/>
    </row>
    <row r="1199" spans="2:7" ht="20.25" customHeight="1" x14ac:dyDescent="0.3">
      <c r="B1199" s="17"/>
      <c r="C1199" s="27"/>
      <c r="D1199" s="67"/>
      <c r="E1199" s="68"/>
      <c r="F1199" s="17"/>
      <c r="G1199" s="27"/>
    </row>
    <row r="1200" spans="2:7" ht="20.25" customHeight="1" x14ac:dyDescent="0.3">
      <c r="B1200" s="17"/>
      <c r="C1200" s="27"/>
      <c r="D1200" s="67"/>
      <c r="E1200" s="68"/>
      <c r="F1200" s="17"/>
      <c r="G1200" s="27"/>
    </row>
    <row r="1201" spans="2:7" ht="20.25" customHeight="1" x14ac:dyDescent="0.3">
      <c r="B1201" s="17"/>
      <c r="C1201" s="27"/>
      <c r="D1201" s="67"/>
      <c r="E1201" s="68"/>
      <c r="F1201" s="17"/>
      <c r="G1201" s="27"/>
    </row>
    <row r="1202" spans="2:7" ht="20.25" customHeight="1" x14ac:dyDescent="0.3">
      <c r="B1202" s="17"/>
      <c r="C1202" s="27"/>
      <c r="D1202" s="67"/>
      <c r="E1202" s="68"/>
      <c r="F1202" s="17"/>
      <c r="G1202" s="27"/>
    </row>
    <row r="1203" spans="2:7" ht="20.25" customHeight="1" x14ac:dyDescent="0.3">
      <c r="B1203" s="17"/>
      <c r="C1203" s="27"/>
      <c r="D1203" s="67"/>
      <c r="E1203" s="68"/>
      <c r="F1203" s="17"/>
      <c r="G1203" s="27"/>
    </row>
    <row r="1204" spans="2:7" ht="20.25" customHeight="1" x14ac:dyDescent="0.3">
      <c r="B1204" s="17"/>
      <c r="C1204" s="27"/>
      <c r="D1204" s="67"/>
      <c r="E1204" s="68"/>
      <c r="F1204" s="17"/>
      <c r="G1204" s="27"/>
    </row>
    <row r="1205" spans="2:7" ht="20.25" customHeight="1" x14ac:dyDescent="0.3">
      <c r="B1205" s="17"/>
      <c r="C1205" s="27"/>
      <c r="D1205" s="67"/>
      <c r="E1205" s="68"/>
      <c r="F1205" s="17"/>
      <c r="G1205" s="27"/>
    </row>
    <row r="1206" spans="2:7" ht="20.25" customHeight="1" x14ac:dyDescent="0.3">
      <c r="B1206" s="17"/>
      <c r="C1206" s="27"/>
      <c r="D1206" s="67"/>
      <c r="E1206" s="68"/>
      <c r="F1206" s="17"/>
      <c r="G1206" s="27"/>
    </row>
    <row r="1207" spans="2:7" ht="20.25" customHeight="1" x14ac:dyDescent="0.3">
      <c r="B1207" s="17"/>
      <c r="C1207" s="27"/>
      <c r="D1207" s="67"/>
      <c r="E1207" s="68"/>
      <c r="F1207" s="17"/>
      <c r="G1207" s="27"/>
    </row>
    <row r="1208" spans="2:7" ht="20.25" customHeight="1" x14ac:dyDescent="0.3">
      <c r="B1208" s="17"/>
      <c r="C1208" s="27"/>
      <c r="D1208" s="67"/>
      <c r="E1208" s="68"/>
      <c r="F1208" s="17"/>
      <c r="G1208" s="27"/>
    </row>
    <row r="1209" spans="2:7" ht="20.25" customHeight="1" x14ac:dyDescent="0.3">
      <c r="B1209" s="17"/>
      <c r="C1209" s="27"/>
      <c r="D1209" s="67"/>
      <c r="E1209" s="68"/>
      <c r="F1209" s="17"/>
      <c r="G1209" s="27"/>
    </row>
    <row r="1210" spans="2:7" ht="20.25" customHeight="1" x14ac:dyDescent="0.3">
      <c r="B1210" s="17"/>
      <c r="C1210" s="27"/>
      <c r="D1210" s="67"/>
      <c r="E1210" s="68"/>
      <c r="F1210" s="17"/>
      <c r="G1210" s="27"/>
    </row>
    <row r="1211" spans="2:7" ht="20.25" customHeight="1" x14ac:dyDescent="0.3">
      <c r="B1211" s="17"/>
      <c r="C1211" s="27"/>
      <c r="D1211" s="67"/>
      <c r="E1211" s="68"/>
      <c r="F1211" s="17"/>
      <c r="G1211" s="27"/>
    </row>
    <row r="1212" spans="2:7" ht="20.25" customHeight="1" x14ac:dyDescent="0.3">
      <c r="B1212" s="17"/>
      <c r="C1212" s="27"/>
      <c r="D1212" s="67"/>
      <c r="E1212" s="68"/>
      <c r="F1212" s="17"/>
      <c r="G1212" s="27"/>
    </row>
    <row r="1213" spans="2:7" ht="20.25" customHeight="1" x14ac:dyDescent="0.3">
      <c r="B1213" s="17"/>
      <c r="C1213" s="27"/>
      <c r="D1213" s="67"/>
      <c r="E1213" s="68"/>
      <c r="F1213" s="17"/>
      <c r="G1213" s="27"/>
    </row>
    <row r="1214" spans="2:7" ht="20.25" customHeight="1" x14ac:dyDescent="0.3">
      <c r="B1214" s="17"/>
      <c r="C1214" s="27"/>
      <c r="D1214" s="67"/>
      <c r="E1214" s="68"/>
      <c r="F1214" s="17"/>
      <c r="G1214" s="27"/>
    </row>
    <row r="1215" spans="2:7" ht="20.25" customHeight="1" x14ac:dyDescent="0.3">
      <c r="B1215" s="17"/>
      <c r="C1215" s="27"/>
      <c r="D1215" s="67"/>
      <c r="E1215" s="68"/>
      <c r="F1215" s="17"/>
      <c r="G1215" s="27"/>
    </row>
    <row r="1216" spans="2:7" ht="20.25" customHeight="1" x14ac:dyDescent="0.3">
      <c r="B1216" s="17"/>
      <c r="C1216" s="27"/>
      <c r="D1216" s="67"/>
      <c r="E1216" s="68"/>
      <c r="F1216" s="17"/>
      <c r="G1216" s="27"/>
    </row>
    <row r="1217" spans="2:7" ht="20.25" customHeight="1" x14ac:dyDescent="0.3">
      <c r="B1217" s="17"/>
      <c r="C1217" s="27"/>
      <c r="D1217" s="67"/>
      <c r="E1217" s="68"/>
      <c r="F1217" s="17"/>
      <c r="G1217" s="27"/>
    </row>
    <row r="1218" spans="2:7" ht="20.25" customHeight="1" x14ac:dyDescent="0.3">
      <c r="B1218" s="17"/>
      <c r="C1218" s="27"/>
      <c r="D1218" s="67"/>
      <c r="E1218" s="68"/>
      <c r="F1218" s="17"/>
      <c r="G1218" s="27"/>
    </row>
    <row r="1219" spans="2:7" ht="20.25" customHeight="1" x14ac:dyDescent="0.3">
      <c r="B1219" s="17"/>
      <c r="C1219" s="27"/>
      <c r="D1219" s="67"/>
      <c r="E1219" s="68"/>
      <c r="F1219" s="17"/>
      <c r="G1219" s="27"/>
    </row>
    <row r="1220" spans="2:7" ht="20.25" customHeight="1" x14ac:dyDescent="0.3">
      <c r="B1220" s="17"/>
      <c r="C1220" s="27"/>
      <c r="D1220" s="67"/>
      <c r="E1220" s="68"/>
      <c r="F1220" s="17"/>
      <c r="G1220" s="27"/>
    </row>
    <row r="1221" spans="2:7" ht="20.25" customHeight="1" x14ac:dyDescent="0.3">
      <c r="B1221" s="17"/>
      <c r="C1221" s="27"/>
      <c r="D1221" s="67"/>
      <c r="E1221" s="68"/>
      <c r="F1221" s="17"/>
      <c r="G1221" s="27"/>
    </row>
    <row r="1222" spans="2:7" ht="20.25" customHeight="1" x14ac:dyDescent="0.3">
      <c r="B1222" s="17"/>
      <c r="C1222" s="27"/>
      <c r="D1222" s="67"/>
      <c r="E1222" s="68"/>
      <c r="F1222" s="17"/>
      <c r="G1222" s="27"/>
    </row>
    <row r="1223" spans="2:7" ht="20.25" customHeight="1" x14ac:dyDescent="0.3">
      <c r="B1223" s="17"/>
      <c r="C1223" s="27"/>
      <c r="D1223" s="67"/>
      <c r="E1223" s="68"/>
      <c r="F1223" s="17"/>
      <c r="G1223" s="27"/>
    </row>
    <row r="1224" spans="2:7" ht="20.25" customHeight="1" x14ac:dyDescent="0.3">
      <c r="B1224" s="17"/>
      <c r="C1224" s="27"/>
      <c r="D1224" s="67"/>
      <c r="E1224" s="68"/>
      <c r="F1224" s="17"/>
      <c r="G1224" s="27"/>
    </row>
    <row r="1225" spans="2:7" ht="20.25" customHeight="1" x14ac:dyDescent="0.3">
      <c r="B1225" s="17"/>
      <c r="C1225" s="27"/>
      <c r="D1225" s="67"/>
      <c r="E1225" s="68"/>
      <c r="F1225" s="17"/>
      <c r="G1225" s="27"/>
    </row>
    <row r="1226" spans="2:7" ht="20.25" customHeight="1" x14ac:dyDescent="0.3">
      <c r="B1226" s="17"/>
      <c r="C1226" s="27"/>
      <c r="D1226" s="67"/>
      <c r="E1226" s="68"/>
      <c r="F1226" s="17"/>
      <c r="G1226" s="27"/>
    </row>
    <row r="1227" spans="2:7" ht="20.25" customHeight="1" x14ac:dyDescent="0.3">
      <c r="B1227" s="17"/>
      <c r="C1227" s="27"/>
      <c r="D1227" s="67"/>
      <c r="E1227" s="68"/>
      <c r="F1227" s="17"/>
      <c r="G1227" s="27"/>
    </row>
    <row r="1228" spans="2:7" ht="20.25" customHeight="1" x14ac:dyDescent="0.3">
      <c r="B1228" s="17"/>
      <c r="C1228" s="27"/>
      <c r="D1228" s="67"/>
      <c r="E1228" s="68"/>
      <c r="F1228" s="17"/>
      <c r="G1228" s="27"/>
    </row>
    <row r="1229" spans="2:7" ht="20.25" customHeight="1" x14ac:dyDescent="0.3">
      <c r="B1229" s="17"/>
      <c r="C1229" s="27"/>
      <c r="D1229" s="67"/>
      <c r="E1229" s="68"/>
      <c r="F1229" s="17"/>
      <c r="G1229" s="27"/>
    </row>
    <row r="1230" spans="2:7" ht="20.25" customHeight="1" x14ac:dyDescent="0.3">
      <c r="B1230" s="17"/>
      <c r="C1230" s="27"/>
      <c r="D1230" s="67"/>
      <c r="E1230" s="68"/>
      <c r="F1230" s="17"/>
      <c r="G1230" s="27"/>
    </row>
    <row r="1231" spans="2:7" ht="20.25" customHeight="1" x14ac:dyDescent="0.3">
      <c r="B1231" s="17"/>
      <c r="C1231" s="27"/>
      <c r="D1231" s="67"/>
      <c r="E1231" s="68"/>
      <c r="F1231" s="17"/>
      <c r="G1231" s="27"/>
    </row>
    <row r="1232" spans="2:7" ht="20.25" customHeight="1" x14ac:dyDescent="0.3">
      <c r="B1232" s="17"/>
      <c r="C1232" s="27"/>
      <c r="D1232" s="67"/>
      <c r="E1232" s="68"/>
      <c r="F1232" s="17"/>
      <c r="G1232" s="27"/>
    </row>
    <row r="1233" spans="2:7" ht="20.25" customHeight="1" x14ac:dyDescent="0.3">
      <c r="B1233" s="17"/>
      <c r="C1233" s="27"/>
      <c r="D1233" s="67"/>
      <c r="E1233" s="68"/>
      <c r="F1233" s="17"/>
      <c r="G1233" s="27"/>
    </row>
    <row r="1234" spans="2:7" ht="20.25" customHeight="1" x14ac:dyDescent="0.3">
      <c r="B1234" s="17"/>
      <c r="C1234" s="27"/>
      <c r="D1234" s="67"/>
      <c r="E1234" s="68"/>
      <c r="F1234" s="17"/>
      <c r="G1234" s="27"/>
    </row>
    <row r="1235" spans="2:7" ht="20.25" customHeight="1" x14ac:dyDescent="0.3">
      <c r="B1235" s="17"/>
      <c r="C1235" s="27"/>
      <c r="D1235" s="67"/>
      <c r="E1235" s="68"/>
      <c r="F1235" s="17"/>
      <c r="G1235" s="27"/>
    </row>
    <row r="1236" spans="2:7" ht="20.25" customHeight="1" x14ac:dyDescent="0.3">
      <c r="B1236" s="17"/>
      <c r="C1236" s="27"/>
      <c r="D1236" s="67"/>
      <c r="E1236" s="68"/>
      <c r="F1236" s="17"/>
      <c r="G1236" s="27"/>
    </row>
    <row r="1237" spans="2:7" ht="20.25" customHeight="1" x14ac:dyDescent="0.3">
      <c r="B1237" s="17"/>
      <c r="C1237" s="27"/>
      <c r="D1237" s="67"/>
      <c r="E1237" s="68"/>
      <c r="F1237" s="17"/>
      <c r="G1237" s="27"/>
    </row>
    <row r="1238" spans="2:7" ht="20.25" customHeight="1" x14ac:dyDescent="0.3">
      <c r="B1238" s="17"/>
      <c r="C1238" s="27"/>
      <c r="D1238" s="67"/>
      <c r="E1238" s="68"/>
      <c r="F1238" s="17"/>
      <c r="G1238" s="27"/>
    </row>
    <row r="1239" spans="2:7" ht="20.25" customHeight="1" x14ac:dyDescent="0.3">
      <c r="B1239" s="17"/>
      <c r="C1239" s="27"/>
      <c r="D1239" s="67"/>
      <c r="E1239" s="68"/>
      <c r="F1239" s="17"/>
      <c r="G1239" s="27"/>
    </row>
    <row r="1240" spans="2:7" ht="20.25" customHeight="1" x14ac:dyDescent="0.3">
      <c r="B1240" s="17"/>
      <c r="C1240" s="27"/>
      <c r="D1240" s="67"/>
      <c r="E1240" s="68"/>
      <c r="F1240" s="17"/>
      <c r="G1240" s="27"/>
    </row>
    <row r="1241" spans="2:7" ht="20.25" customHeight="1" x14ac:dyDescent="0.3">
      <c r="B1241" s="17"/>
      <c r="C1241" s="27"/>
      <c r="D1241" s="67"/>
      <c r="E1241" s="68"/>
      <c r="F1241" s="17"/>
      <c r="G1241" s="27"/>
    </row>
    <row r="1242" spans="2:7" ht="20.25" customHeight="1" x14ac:dyDescent="0.3">
      <c r="B1242" s="17"/>
      <c r="C1242" s="27"/>
      <c r="D1242" s="67"/>
      <c r="E1242" s="68"/>
      <c r="F1242" s="17"/>
      <c r="G1242" s="27"/>
    </row>
    <row r="1243" spans="2:7" ht="20.25" customHeight="1" x14ac:dyDescent="0.3">
      <c r="B1243" s="17"/>
      <c r="C1243" s="27"/>
      <c r="D1243" s="67"/>
      <c r="E1243" s="68"/>
      <c r="F1243" s="17"/>
      <c r="G1243" s="27"/>
    </row>
    <row r="1244" spans="2:7" ht="20.25" customHeight="1" x14ac:dyDescent="0.3">
      <c r="B1244" s="17"/>
      <c r="C1244" s="27"/>
      <c r="D1244" s="67"/>
      <c r="E1244" s="68"/>
      <c r="F1244" s="17"/>
      <c r="G1244" s="27"/>
    </row>
    <row r="1245" spans="2:7" ht="20.25" customHeight="1" x14ac:dyDescent="0.3">
      <c r="B1245" s="17"/>
      <c r="C1245" s="27"/>
      <c r="D1245" s="67"/>
      <c r="E1245" s="68"/>
      <c r="F1245" s="17"/>
      <c r="G1245" s="27"/>
    </row>
    <row r="1246" spans="2:7" ht="20.25" customHeight="1" x14ac:dyDescent="0.3">
      <c r="B1246" s="17"/>
      <c r="C1246" s="27"/>
      <c r="D1246" s="67"/>
      <c r="E1246" s="68"/>
      <c r="F1246" s="17"/>
      <c r="G1246" s="27"/>
    </row>
    <row r="1247" spans="2:7" ht="20.25" customHeight="1" x14ac:dyDescent="0.3">
      <c r="B1247" s="17"/>
      <c r="C1247" s="27"/>
      <c r="D1247" s="67"/>
      <c r="E1247" s="68"/>
      <c r="F1247" s="17"/>
      <c r="G1247" s="27"/>
    </row>
    <row r="1248" spans="2:7" ht="20.25" customHeight="1" x14ac:dyDescent="0.3">
      <c r="B1248" s="17"/>
      <c r="C1248" s="27"/>
      <c r="D1248" s="67"/>
      <c r="E1248" s="68"/>
      <c r="F1248" s="17"/>
      <c r="G1248" s="27"/>
    </row>
    <row r="1249" spans="2:7" ht="20.25" customHeight="1" x14ac:dyDescent="0.3">
      <c r="B1249" s="17"/>
      <c r="C1249" s="27"/>
      <c r="D1249" s="67"/>
      <c r="E1249" s="68"/>
      <c r="F1249" s="17"/>
      <c r="G1249" s="27"/>
    </row>
    <row r="1250" spans="2:7" ht="20.25" customHeight="1" x14ac:dyDescent="0.3">
      <c r="B1250" s="17"/>
      <c r="C1250" s="27"/>
      <c r="D1250" s="67"/>
      <c r="E1250" s="68"/>
      <c r="F1250" s="17"/>
      <c r="G1250" s="27"/>
    </row>
    <row r="1251" spans="2:7" ht="20.25" customHeight="1" x14ac:dyDescent="0.3">
      <c r="B1251" s="17"/>
      <c r="C1251" s="27"/>
      <c r="D1251" s="67"/>
      <c r="E1251" s="68"/>
      <c r="F1251" s="17"/>
      <c r="G1251" s="27"/>
    </row>
    <row r="1252" spans="2:7" ht="20.25" customHeight="1" x14ac:dyDescent="0.3">
      <c r="B1252" s="17"/>
      <c r="C1252" s="27"/>
      <c r="D1252" s="67"/>
      <c r="E1252" s="68"/>
      <c r="F1252" s="17"/>
      <c r="G1252" s="27"/>
    </row>
    <row r="1253" spans="2:7" ht="20.25" customHeight="1" x14ac:dyDescent="0.3">
      <c r="B1253" s="17"/>
      <c r="C1253" s="27"/>
      <c r="D1253" s="67"/>
      <c r="E1253" s="68"/>
      <c r="F1253" s="17"/>
      <c r="G1253" s="27"/>
    </row>
    <row r="1254" spans="2:7" ht="20.25" customHeight="1" x14ac:dyDescent="0.3">
      <c r="B1254" s="17"/>
      <c r="C1254" s="27"/>
      <c r="D1254" s="67"/>
      <c r="E1254" s="68"/>
      <c r="F1254" s="17"/>
      <c r="G1254" s="27"/>
    </row>
    <row r="1255" spans="2:7" ht="20.25" customHeight="1" x14ac:dyDescent="0.3">
      <c r="B1255" s="17"/>
      <c r="C1255" s="27"/>
      <c r="D1255" s="67"/>
      <c r="E1255" s="68"/>
      <c r="F1255" s="17"/>
      <c r="G1255" s="27"/>
    </row>
    <row r="1256" spans="2:7" ht="20.25" customHeight="1" x14ac:dyDescent="0.3">
      <c r="B1256" s="17"/>
      <c r="C1256" s="27"/>
      <c r="D1256" s="67"/>
      <c r="E1256" s="68"/>
      <c r="F1256" s="17"/>
      <c r="G1256" s="27"/>
    </row>
    <row r="1257" spans="2:7" ht="20.25" customHeight="1" x14ac:dyDescent="0.3">
      <c r="B1257" s="17"/>
      <c r="C1257" s="27"/>
      <c r="D1257" s="67"/>
      <c r="E1257" s="68"/>
      <c r="F1257" s="17"/>
      <c r="G1257" s="27"/>
    </row>
    <row r="1258" spans="2:7" ht="20.25" customHeight="1" x14ac:dyDescent="0.3">
      <c r="B1258" s="17"/>
      <c r="C1258" s="27"/>
      <c r="D1258" s="67"/>
      <c r="E1258" s="68"/>
      <c r="F1258" s="17"/>
      <c r="G1258" s="27"/>
    </row>
    <row r="1259" spans="2:7" ht="20.25" customHeight="1" x14ac:dyDescent="0.3">
      <c r="B1259" s="17"/>
      <c r="C1259" s="27"/>
      <c r="D1259" s="67"/>
      <c r="E1259" s="68"/>
      <c r="F1259" s="17"/>
      <c r="G1259" s="27"/>
    </row>
    <row r="1260" spans="2:7" ht="20.25" customHeight="1" x14ac:dyDescent="0.3">
      <c r="B1260" s="17"/>
      <c r="C1260" s="27"/>
      <c r="D1260" s="67"/>
      <c r="E1260" s="68"/>
      <c r="F1260" s="17"/>
      <c r="G1260" s="27"/>
    </row>
    <row r="1261" spans="2:7" ht="20.25" customHeight="1" x14ac:dyDescent="0.3">
      <c r="B1261" s="17"/>
      <c r="C1261" s="27"/>
      <c r="D1261" s="67"/>
      <c r="E1261" s="68"/>
      <c r="F1261" s="17"/>
      <c r="G1261" s="27"/>
    </row>
    <row r="1262" spans="2:7" ht="20.25" customHeight="1" x14ac:dyDescent="0.3">
      <c r="B1262" s="17"/>
      <c r="C1262" s="27"/>
      <c r="D1262" s="67"/>
      <c r="E1262" s="68"/>
      <c r="F1262" s="17"/>
      <c r="G1262" s="27"/>
    </row>
    <row r="1263" spans="2:7" ht="20.25" customHeight="1" x14ac:dyDescent="0.3">
      <c r="B1263" s="17"/>
      <c r="C1263" s="27"/>
      <c r="D1263" s="67"/>
      <c r="E1263" s="68"/>
      <c r="F1263" s="17"/>
      <c r="G1263" s="27"/>
    </row>
    <row r="1264" spans="2:7" ht="20.25" customHeight="1" x14ac:dyDescent="0.3">
      <c r="B1264" s="17"/>
      <c r="C1264" s="27"/>
      <c r="D1264" s="67"/>
      <c r="E1264" s="68"/>
      <c r="F1264" s="17"/>
      <c r="G1264" s="27"/>
    </row>
    <row r="1265" spans="2:7" ht="20.25" customHeight="1" x14ac:dyDescent="0.3">
      <c r="B1265" s="17"/>
      <c r="C1265" s="27"/>
      <c r="D1265" s="67"/>
      <c r="E1265" s="68"/>
      <c r="F1265" s="17"/>
      <c r="G1265" s="27"/>
    </row>
    <row r="1266" spans="2:7" ht="20.25" customHeight="1" x14ac:dyDescent="0.3">
      <c r="B1266" s="17"/>
      <c r="C1266" s="27"/>
      <c r="D1266" s="67"/>
      <c r="E1266" s="68"/>
      <c r="F1266" s="17"/>
      <c r="G1266" s="27"/>
    </row>
    <row r="1267" spans="2:7" ht="20.25" customHeight="1" x14ac:dyDescent="0.3">
      <c r="B1267" s="17"/>
      <c r="C1267" s="27"/>
      <c r="D1267" s="67"/>
      <c r="E1267" s="68"/>
      <c r="F1267" s="17"/>
      <c r="G1267" s="27"/>
    </row>
    <row r="1268" spans="2:7" ht="20.25" customHeight="1" x14ac:dyDescent="0.3">
      <c r="B1268" s="17"/>
      <c r="C1268" s="27"/>
      <c r="D1268" s="67"/>
      <c r="E1268" s="68"/>
      <c r="F1268" s="17"/>
      <c r="G1268" s="27"/>
    </row>
    <row r="1269" spans="2:7" ht="20.25" customHeight="1" x14ac:dyDescent="0.3">
      <c r="B1269" s="17"/>
      <c r="C1269" s="27"/>
      <c r="D1269" s="67"/>
      <c r="E1269" s="68"/>
      <c r="F1269" s="17"/>
      <c r="G1269" s="27"/>
    </row>
    <row r="1270" spans="2:7" ht="20.25" customHeight="1" x14ac:dyDescent="0.3">
      <c r="B1270" s="17"/>
      <c r="C1270" s="27"/>
      <c r="D1270" s="67"/>
      <c r="E1270" s="68"/>
      <c r="F1270" s="17"/>
      <c r="G1270" s="27"/>
    </row>
    <row r="1271" spans="2:7" ht="20.25" customHeight="1" x14ac:dyDescent="0.3">
      <c r="B1271" s="17"/>
      <c r="C1271" s="27"/>
      <c r="D1271" s="67"/>
      <c r="E1271" s="68"/>
      <c r="F1271" s="17"/>
      <c r="G1271" s="27"/>
    </row>
    <row r="1272" spans="2:7" ht="20.25" customHeight="1" x14ac:dyDescent="0.3">
      <c r="B1272" s="17"/>
      <c r="C1272" s="27"/>
      <c r="D1272" s="67"/>
      <c r="E1272" s="68"/>
      <c r="F1272" s="17"/>
      <c r="G1272" s="27"/>
    </row>
    <row r="1273" spans="2:7" ht="20.25" customHeight="1" x14ac:dyDescent="0.3">
      <c r="B1273" s="17"/>
      <c r="C1273" s="27"/>
      <c r="D1273" s="67"/>
      <c r="E1273" s="68"/>
      <c r="F1273" s="17"/>
      <c r="G1273" s="27"/>
    </row>
    <row r="1274" spans="2:7" ht="20.25" customHeight="1" x14ac:dyDescent="0.3">
      <c r="B1274" s="17"/>
      <c r="C1274" s="27"/>
      <c r="D1274" s="67"/>
      <c r="E1274" s="68"/>
      <c r="F1274" s="17"/>
      <c r="G1274" s="27"/>
    </row>
    <row r="1275" spans="2:7" ht="20.25" customHeight="1" x14ac:dyDescent="0.3">
      <c r="B1275" s="17"/>
      <c r="C1275" s="27"/>
      <c r="D1275" s="67"/>
      <c r="E1275" s="68"/>
      <c r="F1275" s="17"/>
      <c r="G1275" s="27"/>
    </row>
    <row r="1276" spans="2:7" ht="20.25" customHeight="1" x14ac:dyDescent="0.3">
      <c r="B1276" s="17"/>
      <c r="C1276" s="27"/>
      <c r="D1276" s="67"/>
      <c r="E1276" s="68"/>
      <c r="F1276" s="17"/>
      <c r="G1276" s="27"/>
    </row>
    <row r="1277" spans="2:7" ht="20.25" customHeight="1" x14ac:dyDescent="0.3">
      <c r="B1277" s="17"/>
      <c r="C1277" s="27"/>
      <c r="D1277" s="67"/>
      <c r="E1277" s="68"/>
      <c r="F1277" s="17"/>
      <c r="G1277" s="27"/>
    </row>
    <row r="1278" spans="2:7" ht="20.25" customHeight="1" x14ac:dyDescent="0.3">
      <c r="B1278" s="17"/>
      <c r="C1278" s="27"/>
      <c r="D1278" s="67"/>
      <c r="E1278" s="68"/>
      <c r="F1278" s="17"/>
      <c r="G1278" s="27"/>
    </row>
    <row r="1279" spans="2:7" ht="20.25" customHeight="1" x14ac:dyDescent="0.3">
      <c r="B1279" s="17"/>
      <c r="C1279" s="27"/>
      <c r="D1279" s="67"/>
      <c r="E1279" s="68"/>
      <c r="F1279" s="17"/>
      <c r="G1279" s="27"/>
    </row>
    <row r="1280" spans="2:7" ht="20.25" customHeight="1" x14ac:dyDescent="0.3">
      <c r="B1280" s="17"/>
      <c r="C1280" s="27"/>
      <c r="D1280" s="67"/>
      <c r="E1280" s="68"/>
      <c r="F1280" s="17"/>
      <c r="G1280" s="27"/>
    </row>
    <row r="1281" spans="2:7" ht="20.25" customHeight="1" x14ac:dyDescent="0.3">
      <c r="B1281" s="17"/>
      <c r="C1281" s="27"/>
      <c r="D1281" s="67"/>
      <c r="E1281" s="68"/>
      <c r="F1281" s="17"/>
      <c r="G1281" s="27"/>
    </row>
    <row r="1282" spans="2:7" ht="20.25" customHeight="1" x14ac:dyDescent="0.3">
      <c r="B1282" s="17"/>
      <c r="C1282" s="27"/>
      <c r="D1282" s="67"/>
      <c r="E1282" s="68"/>
      <c r="F1282" s="17"/>
      <c r="G1282" s="27"/>
    </row>
    <row r="1283" spans="2:7" ht="20.25" customHeight="1" x14ac:dyDescent="0.3">
      <c r="B1283" s="17"/>
      <c r="C1283" s="27"/>
      <c r="D1283" s="67"/>
      <c r="E1283" s="68"/>
      <c r="F1283" s="17"/>
      <c r="G1283" s="27"/>
    </row>
    <row r="1284" spans="2:7" ht="20.25" customHeight="1" x14ac:dyDescent="0.3">
      <c r="B1284" s="17"/>
      <c r="C1284" s="27"/>
      <c r="D1284" s="67"/>
      <c r="E1284" s="68"/>
      <c r="F1284" s="17"/>
      <c r="G1284" s="27"/>
    </row>
    <row r="1285" spans="2:7" ht="20.25" customHeight="1" x14ac:dyDescent="0.3">
      <c r="B1285" s="17"/>
      <c r="C1285" s="27"/>
      <c r="D1285" s="67"/>
      <c r="E1285" s="68"/>
      <c r="F1285" s="17"/>
      <c r="G1285" s="27"/>
    </row>
    <row r="1286" spans="2:7" ht="20.25" customHeight="1" x14ac:dyDescent="0.3">
      <c r="B1286" s="17"/>
      <c r="C1286" s="27"/>
      <c r="D1286" s="67"/>
      <c r="E1286" s="68"/>
      <c r="F1286" s="17"/>
      <c r="G1286" s="27"/>
    </row>
    <row r="1287" spans="2:7" ht="20.25" customHeight="1" x14ac:dyDescent="0.3">
      <c r="B1287" s="17"/>
      <c r="C1287" s="27"/>
      <c r="D1287" s="67"/>
      <c r="E1287" s="68"/>
      <c r="F1287" s="17"/>
      <c r="G1287" s="27"/>
    </row>
    <row r="1288" spans="2:7" ht="20.25" customHeight="1" x14ac:dyDescent="0.3">
      <c r="B1288" s="17"/>
      <c r="C1288" s="27"/>
      <c r="D1288" s="67"/>
      <c r="E1288" s="68"/>
      <c r="F1288" s="17"/>
      <c r="G1288" s="27"/>
    </row>
    <row r="1289" spans="2:7" ht="20.25" customHeight="1" x14ac:dyDescent="0.3">
      <c r="B1289" s="17"/>
      <c r="C1289" s="27"/>
      <c r="D1289" s="67"/>
      <c r="E1289" s="68"/>
      <c r="F1289" s="17"/>
      <c r="G1289" s="27"/>
    </row>
    <row r="1290" spans="2:7" ht="20.25" customHeight="1" x14ac:dyDescent="0.3">
      <c r="B1290" s="17"/>
      <c r="C1290" s="27"/>
      <c r="D1290" s="67"/>
      <c r="E1290" s="68"/>
      <c r="F1290" s="17"/>
      <c r="G1290" s="27"/>
    </row>
    <row r="1291" spans="2:7" ht="20.25" customHeight="1" x14ac:dyDescent="0.3">
      <c r="B1291" s="17"/>
      <c r="C1291" s="27"/>
      <c r="D1291" s="67"/>
      <c r="E1291" s="68"/>
      <c r="F1291" s="17"/>
      <c r="G1291" s="27"/>
    </row>
    <row r="1292" spans="2:7" ht="20.25" customHeight="1" x14ac:dyDescent="0.3">
      <c r="B1292" s="17"/>
      <c r="C1292" s="27"/>
      <c r="D1292" s="67"/>
      <c r="E1292" s="68"/>
      <c r="F1292" s="17"/>
      <c r="G1292" s="27"/>
    </row>
    <row r="1293" spans="2:7" ht="20.25" customHeight="1" x14ac:dyDescent="0.3">
      <c r="B1293" s="17"/>
      <c r="C1293" s="27"/>
      <c r="D1293" s="67"/>
      <c r="E1293" s="68"/>
      <c r="F1293" s="17"/>
      <c r="G1293" s="27"/>
    </row>
    <row r="1294" spans="2:7" ht="20.25" customHeight="1" x14ac:dyDescent="0.3">
      <c r="B1294" s="17"/>
      <c r="C1294" s="27"/>
      <c r="D1294" s="67"/>
      <c r="E1294" s="68"/>
      <c r="F1294" s="17"/>
      <c r="G1294" s="27"/>
    </row>
    <row r="1295" spans="2:7" ht="20.25" customHeight="1" x14ac:dyDescent="0.3">
      <c r="B1295" s="17"/>
      <c r="C1295" s="27"/>
      <c r="D1295" s="67"/>
      <c r="E1295" s="68"/>
      <c r="F1295" s="17"/>
      <c r="G1295" s="27"/>
    </row>
    <row r="1296" spans="2:7" ht="20.25" customHeight="1" x14ac:dyDescent="0.3">
      <c r="B1296" s="17"/>
      <c r="C1296" s="27"/>
      <c r="D1296" s="67"/>
      <c r="E1296" s="68"/>
      <c r="F1296" s="17"/>
      <c r="G1296" s="27"/>
    </row>
    <row r="1297" spans="2:7" ht="20.25" customHeight="1" x14ac:dyDescent="0.3">
      <c r="B1297" s="17"/>
      <c r="C1297" s="27"/>
      <c r="D1297" s="67"/>
      <c r="E1297" s="68"/>
      <c r="F1297" s="17"/>
      <c r="G1297" s="27"/>
    </row>
    <row r="1298" spans="2:7" ht="20.25" customHeight="1" x14ac:dyDescent="0.3">
      <c r="B1298" s="17"/>
      <c r="C1298" s="27"/>
      <c r="D1298" s="67"/>
      <c r="E1298" s="68"/>
      <c r="F1298" s="17"/>
      <c r="G1298" s="27"/>
    </row>
    <row r="1299" spans="2:7" ht="20.25" customHeight="1" x14ac:dyDescent="0.3">
      <c r="B1299" s="17"/>
      <c r="C1299" s="27"/>
      <c r="D1299" s="67"/>
      <c r="E1299" s="68"/>
      <c r="F1299" s="17"/>
      <c r="G1299" s="27"/>
    </row>
    <row r="1300" spans="2:7" ht="20.25" customHeight="1" x14ac:dyDescent="0.3">
      <c r="B1300" s="17"/>
      <c r="C1300" s="27"/>
      <c r="D1300" s="67"/>
      <c r="E1300" s="68"/>
      <c r="F1300" s="17"/>
      <c r="G1300" s="27"/>
    </row>
    <row r="1301" spans="2:7" ht="20.25" customHeight="1" x14ac:dyDescent="0.3">
      <c r="B1301" s="17"/>
      <c r="C1301" s="27"/>
      <c r="D1301" s="67"/>
      <c r="E1301" s="68"/>
      <c r="F1301" s="17"/>
      <c r="G1301" s="27"/>
    </row>
    <row r="1302" spans="2:7" ht="20.25" customHeight="1" x14ac:dyDescent="0.3">
      <c r="B1302" s="17"/>
      <c r="C1302" s="27"/>
      <c r="D1302" s="67"/>
      <c r="E1302" s="68"/>
      <c r="F1302" s="17"/>
      <c r="G1302" s="27"/>
    </row>
    <row r="1303" spans="2:7" ht="20.25" customHeight="1" x14ac:dyDescent="0.3">
      <c r="B1303" s="17"/>
      <c r="C1303" s="27"/>
      <c r="D1303" s="67"/>
      <c r="E1303" s="68"/>
      <c r="F1303" s="17"/>
      <c r="G1303" s="27"/>
    </row>
    <row r="1304" spans="2:7" ht="20.25" customHeight="1" x14ac:dyDescent="0.3">
      <c r="B1304" s="17"/>
      <c r="C1304" s="27"/>
      <c r="D1304" s="67"/>
      <c r="E1304" s="68"/>
      <c r="F1304" s="17"/>
      <c r="G1304" s="27"/>
    </row>
    <row r="1305" spans="2:7" ht="20.25" customHeight="1" x14ac:dyDescent="0.3">
      <c r="B1305" s="17"/>
      <c r="C1305" s="27"/>
      <c r="D1305" s="67"/>
      <c r="E1305" s="68"/>
      <c r="F1305" s="17"/>
      <c r="G1305" s="27"/>
    </row>
    <row r="1306" spans="2:7" ht="20.25" customHeight="1" x14ac:dyDescent="0.3">
      <c r="B1306" s="17"/>
      <c r="C1306" s="27"/>
      <c r="D1306" s="67"/>
      <c r="E1306" s="68"/>
      <c r="F1306" s="17"/>
      <c r="G1306" s="27"/>
    </row>
    <row r="1307" spans="2:7" ht="20.25" customHeight="1" x14ac:dyDescent="0.3">
      <c r="B1307" s="17"/>
      <c r="C1307" s="27"/>
      <c r="D1307" s="67"/>
      <c r="E1307" s="68"/>
      <c r="F1307" s="17"/>
      <c r="G1307" s="27"/>
    </row>
    <row r="1308" spans="2:7" ht="20.25" customHeight="1" x14ac:dyDescent="0.3">
      <c r="B1308" s="17"/>
      <c r="C1308" s="27"/>
      <c r="D1308" s="67"/>
      <c r="E1308" s="68"/>
      <c r="F1308" s="17"/>
      <c r="G1308" s="27"/>
    </row>
    <row r="1309" spans="2:7" ht="20.25" customHeight="1" x14ac:dyDescent="0.3">
      <c r="B1309" s="17"/>
      <c r="C1309" s="27"/>
      <c r="D1309" s="67"/>
      <c r="E1309" s="68"/>
      <c r="F1309" s="17"/>
      <c r="G1309" s="27"/>
    </row>
    <row r="1310" spans="2:7" ht="20.25" customHeight="1" x14ac:dyDescent="0.3">
      <c r="B1310" s="17"/>
      <c r="C1310" s="27"/>
      <c r="D1310" s="67"/>
      <c r="E1310" s="68"/>
      <c r="F1310" s="17"/>
      <c r="G1310" s="27"/>
    </row>
    <row r="1311" spans="2:7" ht="20.25" customHeight="1" x14ac:dyDescent="0.3">
      <c r="B1311" s="17"/>
      <c r="C1311" s="27"/>
      <c r="D1311" s="67"/>
      <c r="E1311" s="68"/>
      <c r="F1311" s="17"/>
      <c r="G1311" s="27"/>
    </row>
    <row r="1312" spans="2:7" ht="20.25" customHeight="1" x14ac:dyDescent="0.3">
      <c r="B1312" s="17"/>
      <c r="C1312" s="27"/>
      <c r="D1312" s="67"/>
      <c r="E1312" s="68"/>
      <c r="F1312" s="17"/>
      <c r="G1312" s="27"/>
    </row>
    <row r="1313" spans="2:7" ht="20.25" customHeight="1" x14ac:dyDescent="0.3">
      <c r="B1313" s="17"/>
      <c r="C1313" s="27"/>
      <c r="D1313" s="67"/>
      <c r="E1313" s="68"/>
      <c r="F1313" s="17"/>
      <c r="G1313" s="27"/>
    </row>
    <row r="1314" spans="2:7" ht="20.25" customHeight="1" x14ac:dyDescent="0.3">
      <c r="B1314" s="17"/>
      <c r="C1314" s="27"/>
      <c r="D1314" s="67"/>
      <c r="E1314" s="68"/>
      <c r="F1314" s="17"/>
      <c r="G1314" s="27"/>
    </row>
    <row r="1315" spans="2:7" ht="20.25" customHeight="1" x14ac:dyDescent="0.3">
      <c r="B1315" s="17"/>
      <c r="C1315" s="27"/>
      <c r="D1315" s="67"/>
      <c r="E1315" s="68"/>
      <c r="F1315" s="17"/>
      <c r="G1315" s="27"/>
    </row>
    <row r="1316" spans="2:7" ht="20.25" customHeight="1" x14ac:dyDescent="0.3">
      <c r="B1316" s="17"/>
      <c r="C1316" s="27"/>
      <c r="D1316" s="67"/>
      <c r="E1316" s="68"/>
      <c r="F1316" s="17"/>
      <c r="G1316" s="27"/>
    </row>
    <row r="1317" spans="2:7" ht="20.25" customHeight="1" x14ac:dyDescent="0.3">
      <c r="B1317" s="17"/>
      <c r="C1317" s="27"/>
      <c r="D1317" s="67"/>
      <c r="E1317" s="68"/>
      <c r="F1317" s="17"/>
      <c r="G1317" s="27"/>
    </row>
    <row r="1318" spans="2:7" ht="20.25" customHeight="1" x14ac:dyDescent="0.3">
      <c r="B1318" s="17"/>
      <c r="C1318" s="27"/>
      <c r="D1318" s="67"/>
      <c r="E1318" s="68"/>
      <c r="F1318" s="17"/>
      <c r="G1318" s="27"/>
    </row>
    <row r="1319" spans="2:7" ht="20.25" customHeight="1" x14ac:dyDescent="0.3">
      <c r="B1319" s="17"/>
      <c r="C1319" s="27"/>
      <c r="D1319" s="67"/>
      <c r="E1319" s="68"/>
      <c r="F1319" s="17"/>
      <c r="G1319" s="27"/>
    </row>
    <row r="1320" spans="2:7" ht="20.25" customHeight="1" x14ac:dyDescent="0.3">
      <c r="B1320" s="17"/>
      <c r="C1320" s="27"/>
      <c r="D1320" s="67"/>
      <c r="E1320" s="68"/>
      <c r="F1320" s="17"/>
      <c r="G1320" s="27"/>
    </row>
    <row r="1321" spans="2:7" ht="20.25" customHeight="1" x14ac:dyDescent="0.3">
      <c r="B1321" s="17"/>
      <c r="C1321" s="27"/>
      <c r="D1321" s="67"/>
      <c r="E1321" s="68"/>
      <c r="F1321" s="17"/>
      <c r="G1321" s="27"/>
    </row>
    <row r="1322" spans="2:7" ht="20.25" customHeight="1" x14ac:dyDescent="0.3">
      <c r="B1322" s="17"/>
      <c r="C1322" s="27"/>
      <c r="D1322" s="67"/>
      <c r="E1322" s="68"/>
      <c r="F1322" s="17"/>
      <c r="G1322" s="27"/>
    </row>
    <row r="1323" spans="2:7" ht="20.25" customHeight="1" x14ac:dyDescent="0.3">
      <c r="B1323" s="17"/>
      <c r="C1323" s="27"/>
      <c r="D1323" s="67"/>
      <c r="E1323" s="68"/>
      <c r="F1323" s="17"/>
      <c r="G1323" s="27"/>
    </row>
    <row r="1324" spans="2:7" ht="20.25" customHeight="1" x14ac:dyDescent="0.3">
      <c r="B1324" s="17"/>
      <c r="C1324" s="27"/>
      <c r="D1324" s="67"/>
      <c r="E1324" s="68"/>
      <c r="F1324" s="17"/>
      <c r="G1324" s="27"/>
    </row>
    <row r="1325" spans="2:7" ht="20.25" customHeight="1" x14ac:dyDescent="0.3">
      <c r="B1325" s="17"/>
      <c r="C1325" s="27"/>
      <c r="D1325" s="67"/>
      <c r="E1325" s="68"/>
      <c r="F1325" s="17"/>
      <c r="G1325" s="27"/>
    </row>
    <row r="1326" spans="2:7" ht="20.25" customHeight="1" x14ac:dyDescent="0.3">
      <c r="B1326" s="17"/>
      <c r="C1326" s="27"/>
      <c r="D1326" s="67"/>
      <c r="E1326" s="68"/>
      <c r="F1326" s="17"/>
      <c r="G1326" s="27"/>
    </row>
    <row r="1327" spans="2:7" ht="20.25" customHeight="1" x14ac:dyDescent="0.3">
      <c r="B1327" s="17"/>
      <c r="C1327" s="27"/>
      <c r="D1327" s="67"/>
      <c r="E1327" s="68"/>
      <c r="F1327" s="17"/>
      <c r="G1327" s="27"/>
    </row>
    <row r="1328" spans="2:7" ht="20.25" customHeight="1" x14ac:dyDescent="0.3">
      <c r="B1328" s="17"/>
      <c r="C1328" s="27"/>
      <c r="D1328" s="67"/>
      <c r="E1328" s="68"/>
      <c r="F1328" s="17"/>
      <c r="G1328" s="27"/>
    </row>
    <row r="1329" spans="2:7" ht="20.25" customHeight="1" x14ac:dyDescent="0.3">
      <c r="B1329" s="17"/>
      <c r="C1329" s="27"/>
      <c r="D1329" s="67"/>
      <c r="E1329" s="68"/>
      <c r="F1329" s="17"/>
      <c r="G1329" s="27"/>
    </row>
    <row r="1330" spans="2:7" ht="20.25" customHeight="1" x14ac:dyDescent="0.3">
      <c r="B1330" s="17"/>
      <c r="C1330" s="27"/>
      <c r="D1330" s="67"/>
      <c r="E1330" s="68"/>
      <c r="F1330" s="17"/>
      <c r="G1330" s="27"/>
    </row>
    <row r="1331" spans="2:7" ht="20.25" customHeight="1" x14ac:dyDescent="0.3">
      <c r="B1331" s="17"/>
      <c r="C1331" s="27"/>
      <c r="D1331" s="67"/>
      <c r="E1331" s="68"/>
      <c r="F1331" s="17"/>
      <c r="G1331" s="27"/>
    </row>
    <row r="1332" spans="2:7" ht="20.25" customHeight="1" x14ac:dyDescent="0.3">
      <c r="B1332" s="17"/>
      <c r="C1332" s="27"/>
      <c r="D1332" s="67"/>
      <c r="E1332" s="68"/>
      <c r="F1332" s="17"/>
      <c r="G1332" s="27"/>
    </row>
    <row r="1333" spans="2:7" ht="20.25" customHeight="1" x14ac:dyDescent="0.3">
      <c r="B1333" s="17"/>
      <c r="C1333" s="27"/>
      <c r="D1333" s="67"/>
      <c r="E1333" s="68"/>
      <c r="F1333" s="17"/>
      <c r="G1333" s="27"/>
    </row>
    <row r="1334" spans="2:7" ht="20.25" customHeight="1" x14ac:dyDescent="0.3">
      <c r="B1334" s="17"/>
      <c r="C1334" s="27"/>
      <c r="D1334" s="67"/>
      <c r="E1334" s="68"/>
      <c r="F1334" s="17"/>
      <c r="G1334" s="27"/>
    </row>
    <row r="1335" spans="2:7" ht="20.25" customHeight="1" x14ac:dyDescent="0.3">
      <c r="B1335" s="17"/>
      <c r="C1335" s="27"/>
      <c r="D1335" s="67"/>
      <c r="E1335" s="68"/>
      <c r="F1335" s="17"/>
      <c r="G1335" s="27"/>
    </row>
    <row r="1336" spans="2:7" ht="20.25" customHeight="1" x14ac:dyDescent="0.3">
      <c r="B1336" s="17"/>
      <c r="C1336" s="27"/>
      <c r="D1336" s="67"/>
      <c r="E1336" s="68"/>
      <c r="F1336" s="17"/>
      <c r="G1336" s="27"/>
    </row>
    <row r="1337" spans="2:7" ht="20.25" customHeight="1" x14ac:dyDescent="0.3">
      <c r="B1337" s="17"/>
      <c r="C1337" s="27"/>
      <c r="D1337" s="67"/>
      <c r="E1337" s="68"/>
      <c r="F1337" s="17"/>
      <c r="G1337" s="27"/>
    </row>
    <row r="1338" spans="2:7" ht="20.25" customHeight="1" x14ac:dyDescent="0.3">
      <c r="B1338" s="17"/>
      <c r="C1338" s="27"/>
      <c r="D1338" s="67"/>
      <c r="E1338" s="68"/>
      <c r="F1338" s="17"/>
      <c r="G1338" s="27"/>
    </row>
    <row r="1339" spans="2:7" ht="20.25" customHeight="1" x14ac:dyDescent="0.3">
      <c r="B1339" s="17"/>
      <c r="C1339" s="27"/>
      <c r="D1339" s="67"/>
      <c r="E1339" s="68"/>
      <c r="F1339" s="17"/>
      <c r="G1339" s="27"/>
    </row>
    <row r="1340" spans="2:7" ht="20.25" customHeight="1" x14ac:dyDescent="0.3">
      <c r="B1340" s="17"/>
      <c r="C1340" s="27"/>
      <c r="D1340" s="67"/>
      <c r="E1340" s="68"/>
      <c r="F1340" s="17"/>
      <c r="G1340" s="27"/>
    </row>
    <row r="1341" spans="2:7" ht="20.25" customHeight="1" x14ac:dyDescent="0.3">
      <c r="B1341" s="17"/>
      <c r="C1341" s="27"/>
      <c r="D1341" s="67"/>
      <c r="E1341" s="68"/>
      <c r="F1341" s="17"/>
      <c r="G1341" s="27"/>
    </row>
    <row r="1342" spans="2:7" ht="20.25" customHeight="1" x14ac:dyDescent="0.3">
      <c r="B1342" s="17"/>
      <c r="C1342" s="27"/>
      <c r="D1342" s="67"/>
      <c r="E1342" s="68"/>
      <c r="F1342" s="17"/>
      <c r="G1342" s="27"/>
    </row>
    <row r="1343" spans="2:7" ht="20.25" customHeight="1" x14ac:dyDescent="0.3">
      <c r="B1343" s="17"/>
      <c r="C1343" s="27"/>
      <c r="D1343" s="67"/>
      <c r="E1343" s="68"/>
      <c r="F1343" s="17"/>
      <c r="G1343" s="27"/>
    </row>
    <row r="1344" spans="2:7" ht="20.25" customHeight="1" x14ac:dyDescent="0.3">
      <c r="B1344" s="17"/>
      <c r="C1344" s="27"/>
      <c r="D1344" s="67"/>
      <c r="E1344" s="68"/>
      <c r="F1344" s="17"/>
      <c r="G1344" s="27"/>
    </row>
    <row r="1345" spans="2:7" ht="20.25" customHeight="1" x14ac:dyDescent="0.3">
      <c r="B1345" s="17"/>
      <c r="C1345" s="27"/>
      <c r="D1345" s="67"/>
      <c r="E1345" s="68"/>
      <c r="F1345" s="17"/>
      <c r="G1345" s="27"/>
    </row>
    <row r="1346" spans="2:7" ht="20.25" customHeight="1" x14ac:dyDescent="0.3">
      <c r="B1346" s="17"/>
      <c r="C1346" s="27"/>
      <c r="D1346" s="67"/>
      <c r="E1346" s="68"/>
      <c r="F1346" s="17"/>
      <c r="G1346" s="27"/>
    </row>
    <row r="1347" spans="2:7" ht="20.25" customHeight="1" x14ac:dyDescent="0.3">
      <c r="B1347" s="17"/>
      <c r="C1347" s="27"/>
      <c r="D1347" s="67"/>
      <c r="E1347" s="68"/>
      <c r="F1347" s="17"/>
      <c r="G1347" s="27"/>
    </row>
    <row r="1348" spans="2:7" ht="20.25" customHeight="1" x14ac:dyDescent="0.3">
      <c r="B1348" s="17"/>
      <c r="C1348" s="27"/>
      <c r="D1348" s="67"/>
      <c r="E1348" s="68"/>
      <c r="F1348" s="17"/>
      <c r="G1348" s="27"/>
    </row>
    <row r="1349" spans="2:7" ht="20.25" customHeight="1" x14ac:dyDescent="0.3">
      <c r="B1349" s="17"/>
      <c r="C1349" s="27"/>
      <c r="D1349" s="67"/>
      <c r="E1349" s="68"/>
      <c r="F1349" s="17"/>
      <c r="G1349" s="27"/>
    </row>
    <row r="1350" spans="2:7" ht="20.25" customHeight="1" x14ac:dyDescent="0.3">
      <c r="B1350" s="17"/>
      <c r="C1350" s="27"/>
      <c r="D1350" s="67"/>
      <c r="E1350" s="68"/>
      <c r="F1350" s="17"/>
      <c r="G1350" s="27"/>
    </row>
    <row r="1351" spans="2:7" ht="20.25" customHeight="1" x14ac:dyDescent="0.3">
      <c r="B1351" s="17"/>
      <c r="C1351" s="27"/>
      <c r="D1351" s="67"/>
      <c r="E1351" s="68"/>
      <c r="F1351" s="17"/>
      <c r="G1351" s="27"/>
    </row>
    <row r="1352" spans="2:7" ht="20.25" customHeight="1" x14ac:dyDescent="0.3">
      <c r="B1352" s="17"/>
      <c r="C1352" s="27"/>
      <c r="D1352" s="67"/>
      <c r="E1352" s="68"/>
      <c r="F1352" s="17"/>
      <c r="G1352" s="27"/>
    </row>
    <row r="1353" spans="2:7" ht="20.25" customHeight="1" x14ac:dyDescent="0.3">
      <c r="B1353" s="17"/>
      <c r="C1353" s="27"/>
      <c r="D1353" s="67"/>
      <c r="E1353" s="68"/>
      <c r="F1353" s="17"/>
      <c r="G1353" s="27"/>
    </row>
    <row r="1354" spans="2:7" ht="20.25" customHeight="1" x14ac:dyDescent="0.3">
      <c r="B1354" s="17"/>
      <c r="C1354" s="27"/>
      <c r="D1354" s="67"/>
      <c r="E1354" s="68"/>
      <c r="F1354" s="17"/>
      <c r="G1354" s="27"/>
    </row>
    <row r="1355" spans="2:7" ht="20.25" customHeight="1" x14ac:dyDescent="0.3">
      <c r="B1355" s="17"/>
      <c r="C1355" s="27"/>
      <c r="D1355" s="67"/>
      <c r="E1355" s="68"/>
      <c r="F1355" s="17"/>
      <c r="G1355" s="27"/>
    </row>
    <row r="1356" spans="2:7" ht="20.25" customHeight="1" x14ac:dyDescent="0.3">
      <c r="B1356" s="17"/>
      <c r="C1356" s="27"/>
      <c r="D1356" s="67"/>
      <c r="E1356" s="68"/>
      <c r="F1356" s="17"/>
      <c r="G1356" s="27"/>
    </row>
    <row r="1357" spans="2:7" ht="20.25" customHeight="1" x14ac:dyDescent="0.3">
      <c r="B1357" s="17"/>
      <c r="C1357" s="27"/>
      <c r="D1357" s="67"/>
      <c r="E1357" s="68"/>
      <c r="F1357" s="17"/>
      <c r="G1357" s="27"/>
    </row>
    <row r="1358" spans="2:7" ht="20.25" customHeight="1" x14ac:dyDescent="0.3">
      <c r="B1358" s="17"/>
      <c r="C1358" s="27"/>
      <c r="D1358" s="67"/>
      <c r="E1358" s="68"/>
      <c r="F1358" s="17"/>
      <c r="G1358" s="27"/>
    </row>
    <row r="1359" spans="2:7" ht="20.25" customHeight="1" x14ac:dyDescent="0.3">
      <c r="B1359" s="17"/>
      <c r="C1359" s="27"/>
      <c r="D1359" s="67"/>
      <c r="E1359" s="68"/>
      <c r="F1359" s="17"/>
      <c r="G1359" s="27"/>
    </row>
    <row r="1360" spans="2:7" ht="20.25" customHeight="1" x14ac:dyDescent="0.3">
      <c r="B1360" s="17"/>
      <c r="C1360" s="27"/>
      <c r="D1360" s="67"/>
      <c r="E1360" s="68"/>
      <c r="F1360" s="17"/>
      <c r="G1360" s="27"/>
    </row>
    <row r="1361" spans="2:7" ht="20.25" customHeight="1" x14ac:dyDescent="0.3">
      <c r="B1361" s="17"/>
      <c r="C1361" s="27"/>
      <c r="D1361" s="67"/>
      <c r="E1361" s="68"/>
      <c r="F1361" s="17"/>
      <c r="G1361" s="27"/>
    </row>
    <row r="1362" spans="2:7" ht="20.25" customHeight="1" x14ac:dyDescent="0.3">
      <c r="B1362" s="17"/>
      <c r="C1362" s="27"/>
      <c r="D1362" s="67"/>
      <c r="E1362" s="68"/>
      <c r="F1362" s="17"/>
      <c r="G1362" s="27"/>
    </row>
    <row r="1363" spans="2:7" ht="20.25" customHeight="1" x14ac:dyDescent="0.3">
      <c r="B1363" s="17"/>
      <c r="C1363" s="27"/>
      <c r="D1363" s="67"/>
      <c r="E1363" s="68"/>
      <c r="F1363" s="17"/>
      <c r="G1363" s="27"/>
    </row>
    <row r="1364" spans="2:7" ht="20.25" customHeight="1" x14ac:dyDescent="0.3">
      <c r="B1364" s="17"/>
      <c r="C1364" s="27"/>
      <c r="D1364" s="67"/>
      <c r="E1364" s="68"/>
      <c r="F1364" s="17"/>
      <c r="G1364" s="27"/>
    </row>
    <row r="1365" spans="2:7" ht="20.25" customHeight="1" x14ac:dyDescent="0.3">
      <c r="B1365" s="17"/>
      <c r="C1365" s="27"/>
      <c r="D1365" s="67"/>
      <c r="E1365" s="68"/>
      <c r="F1365" s="17"/>
      <c r="G1365" s="27"/>
    </row>
    <row r="1366" spans="2:7" ht="20.25" customHeight="1" x14ac:dyDescent="0.3">
      <c r="B1366" s="17"/>
      <c r="C1366" s="27"/>
      <c r="D1366" s="67"/>
      <c r="E1366" s="68"/>
      <c r="F1366" s="17"/>
      <c r="G1366" s="27"/>
    </row>
    <row r="1367" spans="2:7" ht="20.25" customHeight="1" x14ac:dyDescent="0.3">
      <c r="B1367" s="17"/>
      <c r="C1367" s="27"/>
      <c r="D1367" s="67"/>
      <c r="E1367" s="68"/>
      <c r="F1367" s="17"/>
      <c r="G1367" s="27"/>
    </row>
    <row r="1368" spans="2:7" ht="20.25" customHeight="1" x14ac:dyDescent="0.3">
      <c r="B1368" s="17"/>
      <c r="C1368" s="27"/>
      <c r="D1368" s="67"/>
      <c r="E1368" s="68"/>
      <c r="F1368" s="17"/>
      <c r="G1368" s="27"/>
    </row>
    <row r="1369" spans="2:7" ht="20.25" customHeight="1" x14ac:dyDescent="0.3">
      <c r="B1369" s="17"/>
      <c r="C1369" s="27"/>
      <c r="D1369" s="67"/>
      <c r="E1369" s="68"/>
      <c r="F1369" s="17"/>
      <c r="G1369" s="27"/>
    </row>
    <row r="1370" spans="2:7" ht="20.25" customHeight="1" x14ac:dyDescent="0.3">
      <c r="B1370" s="17"/>
      <c r="C1370" s="27"/>
      <c r="D1370" s="67"/>
      <c r="E1370" s="68"/>
      <c r="F1370" s="17"/>
      <c r="G1370" s="27"/>
    </row>
    <row r="1371" spans="2:7" ht="20.25" customHeight="1" x14ac:dyDescent="0.3">
      <c r="B1371" s="17"/>
      <c r="C1371" s="27"/>
      <c r="D1371" s="67"/>
      <c r="E1371" s="68"/>
      <c r="F1371" s="17"/>
      <c r="G1371" s="27"/>
    </row>
    <row r="1372" spans="2:7" ht="20.25" customHeight="1" x14ac:dyDescent="0.3">
      <c r="B1372" s="17"/>
      <c r="C1372" s="27"/>
      <c r="D1372" s="67"/>
      <c r="E1372" s="68"/>
      <c r="F1372" s="17"/>
      <c r="G1372" s="27"/>
    </row>
    <row r="1373" spans="2:7" ht="20.25" customHeight="1" x14ac:dyDescent="0.3">
      <c r="B1373" s="17"/>
      <c r="C1373" s="27"/>
      <c r="D1373" s="67"/>
      <c r="E1373" s="68"/>
      <c r="F1373" s="17"/>
      <c r="G1373" s="27"/>
    </row>
    <row r="1374" spans="2:7" ht="20.25" customHeight="1" x14ac:dyDescent="0.3">
      <c r="B1374" s="17"/>
      <c r="C1374" s="27"/>
      <c r="D1374" s="67"/>
      <c r="E1374" s="68"/>
      <c r="F1374" s="17"/>
      <c r="G1374" s="27"/>
    </row>
    <row r="1375" spans="2:7" ht="20.25" customHeight="1" x14ac:dyDescent="0.3">
      <c r="B1375" s="17"/>
      <c r="C1375" s="27"/>
      <c r="D1375" s="67"/>
      <c r="E1375" s="68"/>
      <c r="F1375" s="17"/>
      <c r="G1375" s="27"/>
    </row>
    <row r="1376" spans="2:7" ht="20.25" customHeight="1" x14ac:dyDescent="0.3">
      <c r="B1376" s="17"/>
      <c r="C1376" s="27"/>
      <c r="D1376" s="67"/>
      <c r="E1376" s="68"/>
      <c r="F1376" s="17"/>
      <c r="G1376" s="27"/>
    </row>
    <row r="1377" spans="2:7" ht="20.25" customHeight="1" x14ac:dyDescent="0.3">
      <c r="B1377" s="17"/>
      <c r="C1377" s="27"/>
      <c r="D1377" s="67"/>
      <c r="E1377" s="68"/>
      <c r="F1377" s="17"/>
      <c r="G1377" s="27"/>
    </row>
    <row r="1378" spans="2:7" ht="20.25" customHeight="1" x14ac:dyDescent="0.3">
      <c r="B1378" s="17"/>
      <c r="C1378" s="27"/>
      <c r="D1378" s="67"/>
      <c r="E1378" s="68"/>
      <c r="F1378" s="17"/>
      <c r="G1378" s="27"/>
    </row>
    <row r="1379" spans="2:7" ht="20.25" customHeight="1" x14ac:dyDescent="0.3">
      <c r="B1379" s="17"/>
      <c r="C1379" s="27"/>
      <c r="D1379" s="67"/>
      <c r="E1379" s="68"/>
      <c r="F1379" s="17"/>
      <c r="G1379" s="27"/>
    </row>
    <row r="1380" spans="2:7" ht="20.25" customHeight="1" x14ac:dyDescent="0.3">
      <c r="B1380" s="17"/>
      <c r="C1380" s="27"/>
      <c r="D1380" s="67"/>
      <c r="E1380" s="68"/>
      <c r="F1380" s="17"/>
      <c r="G1380" s="27"/>
    </row>
    <row r="1381" spans="2:7" ht="20.25" customHeight="1" x14ac:dyDescent="0.3">
      <c r="B1381" s="17"/>
      <c r="C1381" s="27"/>
      <c r="D1381" s="67"/>
      <c r="E1381" s="68"/>
      <c r="F1381" s="17"/>
      <c r="G1381" s="27"/>
    </row>
    <row r="1382" spans="2:7" ht="20.25" customHeight="1" x14ac:dyDescent="0.3">
      <c r="B1382" s="17"/>
      <c r="C1382" s="27"/>
      <c r="D1382" s="67"/>
      <c r="E1382" s="68"/>
      <c r="F1382" s="17"/>
      <c r="G1382" s="27"/>
    </row>
    <row r="1383" spans="2:7" ht="20.25" customHeight="1" x14ac:dyDescent="0.3">
      <c r="B1383" s="17"/>
      <c r="C1383" s="27"/>
      <c r="D1383" s="67"/>
      <c r="E1383" s="68"/>
      <c r="F1383" s="17"/>
      <c r="G1383" s="27"/>
    </row>
    <row r="1384" spans="2:7" ht="20.25" customHeight="1" x14ac:dyDescent="0.3">
      <c r="B1384" s="17"/>
      <c r="C1384" s="27"/>
      <c r="D1384" s="67"/>
      <c r="E1384" s="68"/>
      <c r="F1384" s="17"/>
      <c r="G1384" s="27"/>
    </row>
    <row r="1385" spans="2:7" ht="20.25" customHeight="1" x14ac:dyDescent="0.3">
      <c r="B1385" s="17"/>
      <c r="C1385" s="27"/>
      <c r="D1385" s="67"/>
      <c r="E1385" s="68"/>
      <c r="F1385" s="17"/>
      <c r="G1385" s="27"/>
    </row>
    <row r="1386" spans="2:7" ht="20.25" customHeight="1" x14ac:dyDescent="0.3">
      <c r="B1386" s="17"/>
      <c r="C1386" s="27"/>
      <c r="D1386" s="67"/>
      <c r="E1386" s="68"/>
      <c r="F1386" s="17"/>
      <c r="G1386" s="27"/>
    </row>
    <row r="1387" spans="2:7" ht="20.25" customHeight="1" x14ac:dyDescent="0.3">
      <c r="B1387" s="17"/>
      <c r="C1387" s="27"/>
      <c r="D1387" s="67"/>
      <c r="E1387" s="68"/>
      <c r="F1387" s="17"/>
      <c r="G1387" s="27"/>
    </row>
    <row r="1388" spans="2:7" ht="20.25" customHeight="1" x14ac:dyDescent="0.3">
      <c r="B1388" s="17"/>
      <c r="C1388" s="27"/>
      <c r="D1388" s="67"/>
      <c r="E1388" s="68"/>
      <c r="F1388" s="17"/>
      <c r="G1388" s="27"/>
    </row>
    <row r="1389" spans="2:7" ht="20.25" customHeight="1" x14ac:dyDescent="0.3">
      <c r="B1389" s="17"/>
      <c r="C1389" s="27"/>
      <c r="D1389" s="67"/>
      <c r="E1389" s="68"/>
      <c r="F1389" s="17"/>
      <c r="G1389" s="27"/>
    </row>
    <row r="1390" spans="2:7" ht="20.25" customHeight="1" x14ac:dyDescent="0.3">
      <c r="B1390" s="17"/>
      <c r="C1390" s="27"/>
      <c r="D1390" s="67"/>
      <c r="E1390" s="68"/>
      <c r="F1390" s="17"/>
      <c r="G1390" s="27"/>
    </row>
    <row r="1391" spans="2:7" ht="20.25" customHeight="1" x14ac:dyDescent="0.3">
      <c r="B1391" s="17"/>
      <c r="C1391" s="27"/>
      <c r="D1391" s="67"/>
      <c r="E1391" s="68"/>
      <c r="F1391" s="17"/>
      <c r="G1391" s="27"/>
    </row>
    <row r="1392" spans="2:7" ht="20.25" customHeight="1" x14ac:dyDescent="0.3">
      <c r="B1392" s="17"/>
      <c r="C1392" s="27"/>
      <c r="D1392" s="67"/>
      <c r="E1392" s="68"/>
      <c r="F1392" s="17"/>
      <c r="G1392" s="27"/>
    </row>
    <row r="1393" spans="2:7" ht="20.25" customHeight="1" x14ac:dyDescent="0.3">
      <c r="B1393" s="17"/>
      <c r="C1393" s="27"/>
      <c r="D1393" s="67"/>
      <c r="E1393" s="68"/>
      <c r="F1393" s="17"/>
      <c r="G1393" s="27"/>
    </row>
    <row r="1394" spans="2:7" ht="20.25" customHeight="1" x14ac:dyDescent="0.3">
      <c r="B1394" s="17"/>
      <c r="C1394" s="27"/>
      <c r="D1394" s="67"/>
      <c r="E1394" s="68"/>
      <c r="F1394" s="17"/>
      <c r="G1394" s="27"/>
    </row>
    <row r="1395" spans="2:7" ht="20.25" customHeight="1" x14ac:dyDescent="0.3">
      <c r="B1395" s="17"/>
      <c r="C1395" s="27"/>
      <c r="D1395" s="67"/>
      <c r="E1395" s="68"/>
      <c r="F1395" s="17"/>
      <c r="G1395" s="27"/>
    </row>
    <row r="1396" spans="2:7" ht="20.25" customHeight="1" x14ac:dyDescent="0.3">
      <c r="B1396" s="17"/>
      <c r="C1396" s="27"/>
      <c r="D1396" s="67"/>
      <c r="E1396" s="68"/>
      <c r="F1396" s="17"/>
      <c r="G1396" s="27"/>
    </row>
    <row r="1397" spans="2:7" ht="20.25" customHeight="1" x14ac:dyDescent="0.3">
      <c r="B1397" s="17"/>
      <c r="C1397" s="27"/>
      <c r="D1397" s="67"/>
      <c r="E1397" s="68"/>
      <c r="F1397" s="17"/>
      <c r="G1397" s="27"/>
    </row>
    <row r="1398" spans="2:7" ht="20.25" customHeight="1" x14ac:dyDescent="0.3">
      <c r="B1398" s="17"/>
      <c r="C1398" s="27"/>
      <c r="D1398" s="67"/>
      <c r="E1398" s="68"/>
      <c r="F1398" s="17"/>
      <c r="G1398" s="27"/>
    </row>
    <row r="1399" spans="2:7" ht="20.25" customHeight="1" x14ac:dyDescent="0.3">
      <c r="B1399" s="17"/>
      <c r="C1399" s="27"/>
      <c r="D1399" s="67"/>
      <c r="E1399" s="68"/>
      <c r="F1399" s="17"/>
      <c r="G1399" s="27"/>
    </row>
    <row r="1400" spans="2:7" ht="20.25" customHeight="1" x14ac:dyDescent="0.3">
      <c r="B1400" s="17"/>
      <c r="C1400" s="27"/>
      <c r="D1400" s="67"/>
      <c r="E1400" s="68"/>
      <c r="F1400" s="17"/>
      <c r="G1400" s="27"/>
    </row>
    <row r="1401" spans="2:7" ht="20.25" customHeight="1" x14ac:dyDescent="0.3">
      <c r="B1401" s="17"/>
      <c r="C1401" s="27"/>
      <c r="D1401" s="67"/>
      <c r="E1401" s="68"/>
      <c r="F1401" s="17"/>
      <c r="G1401" s="27"/>
    </row>
    <row r="1402" spans="2:7" ht="20.25" customHeight="1" x14ac:dyDescent="0.3">
      <c r="B1402" s="17"/>
      <c r="C1402" s="27"/>
      <c r="D1402" s="67"/>
      <c r="E1402" s="68"/>
      <c r="F1402" s="17"/>
      <c r="G1402" s="27"/>
    </row>
    <row r="1403" spans="2:7" ht="20.25" customHeight="1" x14ac:dyDescent="0.3">
      <c r="B1403" s="17"/>
      <c r="C1403" s="27"/>
      <c r="D1403" s="67"/>
      <c r="E1403" s="68"/>
      <c r="F1403" s="17"/>
      <c r="G1403" s="27"/>
    </row>
    <row r="1404" spans="2:7" ht="20.25" customHeight="1" x14ac:dyDescent="0.3">
      <c r="B1404" s="17"/>
      <c r="C1404" s="27"/>
      <c r="D1404" s="67"/>
      <c r="E1404" s="68"/>
      <c r="F1404" s="17"/>
      <c r="G1404" s="27"/>
    </row>
    <row r="1405" spans="2:7" ht="20.25" customHeight="1" x14ac:dyDescent="0.3">
      <c r="B1405" s="17"/>
      <c r="C1405" s="27"/>
      <c r="D1405" s="67"/>
      <c r="E1405" s="68"/>
      <c r="F1405" s="17"/>
      <c r="G1405" s="27"/>
    </row>
    <row r="1406" spans="2:7" ht="20.25" customHeight="1" x14ac:dyDescent="0.3">
      <c r="B1406" s="17"/>
      <c r="C1406" s="27"/>
      <c r="D1406" s="67"/>
      <c r="E1406" s="68"/>
      <c r="F1406" s="17"/>
      <c r="G1406" s="27"/>
    </row>
    <row r="1407" spans="2:7" ht="20.25" customHeight="1" x14ac:dyDescent="0.3">
      <c r="B1407" s="17"/>
      <c r="C1407" s="27"/>
      <c r="D1407" s="67"/>
      <c r="E1407" s="68"/>
      <c r="F1407" s="17"/>
      <c r="G1407" s="27"/>
    </row>
    <row r="1408" spans="2:7" ht="20.25" customHeight="1" x14ac:dyDescent="0.3">
      <c r="B1408" s="17"/>
      <c r="C1408" s="27"/>
      <c r="D1408" s="67"/>
      <c r="E1408" s="68"/>
      <c r="F1408" s="17"/>
      <c r="G1408" s="27"/>
    </row>
    <row r="1409" spans="2:7" ht="20.25" customHeight="1" x14ac:dyDescent="0.3">
      <c r="B1409" s="17"/>
      <c r="C1409" s="27"/>
      <c r="D1409" s="67"/>
      <c r="E1409" s="68"/>
      <c r="F1409" s="17"/>
      <c r="G1409" s="27"/>
    </row>
    <row r="1410" spans="2:7" ht="20.25" customHeight="1" x14ac:dyDescent="0.3">
      <c r="B1410" s="17"/>
      <c r="C1410" s="27"/>
      <c r="D1410" s="67"/>
      <c r="E1410" s="68"/>
      <c r="F1410" s="17"/>
      <c r="G1410" s="27"/>
    </row>
    <row r="1411" spans="2:7" ht="20.25" customHeight="1" x14ac:dyDescent="0.3">
      <c r="B1411" s="17"/>
      <c r="C1411" s="27"/>
      <c r="D1411" s="67"/>
      <c r="E1411" s="68"/>
      <c r="F1411" s="17"/>
      <c r="G1411" s="27"/>
    </row>
    <row r="1412" spans="2:7" ht="20.25" customHeight="1" x14ac:dyDescent="0.3">
      <c r="B1412" s="17"/>
      <c r="C1412" s="27"/>
      <c r="D1412" s="67"/>
      <c r="E1412" s="68"/>
      <c r="F1412" s="17"/>
      <c r="G1412" s="27"/>
    </row>
    <row r="1413" spans="2:7" ht="20.25" customHeight="1" x14ac:dyDescent="0.3">
      <c r="B1413" s="17"/>
      <c r="C1413" s="27"/>
      <c r="D1413" s="67"/>
      <c r="E1413" s="68"/>
      <c r="F1413" s="17"/>
      <c r="G1413" s="27"/>
    </row>
    <row r="1414" spans="2:7" ht="20.25" customHeight="1" x14ac:dyDescent="0.3">
      <c r="B1414" s="17"/>
      <c r="C1414" s="27"/>
      <c r="D1414" s="67"/>
      <c r="E1414" s="68"/>
      <c r="F1414" s="17"/>
      <c r="G1414" s="27"/>
    </row>
    <row r="1415" spans="2:7" ht="20.25" customHeight="1" x14ac:dyDescent="0.3">
      <c r="B1415" s="17"/>
      <c r="C1415" s="27"/>
      <c r="D1415" s="67"/>
      <c r="E1415" s="68"/>
      <c r="F1415" s="17"/>
      <c r="G1415" s="27"/>
    </row>
    <row r="1416" spans="2:7" ht="20.25" customHeight="1" x14ac:dyDescent="0.3">
      <c r="B1416" s="17"/>
      <c r="C1416" s="27"/>
      <c r="D1416" s="67"/>
      <c r="E1416" s="68"/>
      <c r="F1416" s="17"/>
      <c r="G1416" s="27"/>
    </row>
    <row r="1417" spans="2:7" ht="20.25" customHeight="1" x14ac:dyDescent="0.3">
      <c r="B1417" s="17"/>
      <c r="C1417" s="27"/>
      <c r="D1417" s="67"/>
      <c r="E1417" s="68"/>
      <c r="F1417" s="17"/>
      <c r="G1417" s="27"/>
    </row>
    <row r="1418" spans="2:7" ht="20.25" customHeight="1" x14ac:dyDescent="0.3">
      <c r="B1418" s="17"/>
      <c r="C1418" s="27"/>
      <c r="D1418" s="67"/>
      <c r="E1418" s="68"/>
      <c r="F1418" s="17"/>
      <c r="G1418" s="27"/>
    </row>
    <row r="1419" spans="2:7" ht="20.25" customHeight="1" x14ac:dyDescent="0.3">
      <c r="B1419" s="17"/>
      <c r="C1419" s="27"/>
      <c r="D1419" s="67"/>
      <c r="E1419" s="68"/>
      <c r="F1419" s="17"/>
      <c r="G1419" s="27"/>
    </row>
    <row r="1420" spans="2:7" ht="20.25" customHeight="1" x14ac:dyDescent="0.3">
      <c r="B1420" s="17"/>
      <c r="C1420" s="27"/>
      <c r="D1420" s="67"/>
      <c r="E1420" s="68"/>
      <c r="F1420" s="17"/>
      <c r="G1420" s="27"/>
    </row>
    <row r="1421" spans="2:7" ht="20.25" customHeight="1" x14ac:dyDescent="0.3">
      <c r="B1421" s="17"/>
      <c r="C1421" s="27"/>
      <c r="D1421" s="67"/>
      <c r="E1421" s="68"/>
      <c r="F1421" s="17"/>
      <c r="G1421" s="27"/>
    </row>
    <row r="1422" spans="2:7" ht="20.25" customHeight="1" x14ac:dyDescent="0.3">
      <c r="B1422" s="17"/>
      <c r="C1422" s="27"/>
      <c r="D1422" s="67"/>
      <c r="E1422" s="68"/>
      <c r="F1422" s="17"/>
      <c r="G1422" s="27"/>
    </row>
    <row r="1423" spans="2:7" ht="20.25" customHeight="1" x14ac:dyDescent="0.3">
      <c r="B1423" s="17"/>
      <c r="C1423" s="27"/>
      <c r="D1423" s="67"/>
      <c r="E1423" s="68"/>
      <c r="F1423" s="17"/>
      <c r="G1423" s="27"/>
    </row>
    <row r="1424" spans="2:7" ht="20.25" customHeight="1" x14ac:dyDescent="0.3">
      <c r="B1424" s="17"/>
      <c r="C1424" s="27"/>
      <c r="D1424" s="67"/>
      <c r="E1424" s="68"/>
      <c r="F1424" s="17"/>
      <c r="G1424" s="27"/>
    </row>
    <row r="1425" spans="2:7" ht="20.25" customHeight="1" x14ac:dyDescent="0.3">
      <c r="B1425" s="17"/>
      <c r="C1425" s="27"/>
      <c r="D1425" s="67"/>
      <c r="E1425" s="68"/>
      <c r="F1425" s="17"/>
      <c r="G1425" s="27"/>
    </row>
    <row r="1426" spans="2:7" ht="20.25" customHeight="1" x14ac:dyDescent="0.3">
      <c r="B1426" s="17"/>
      <c r="C1426" s="27"/>
      <c r="D1426" s="67"/>
      <c r="E1426" s="68"/>
      <c r="F1426" s="17"/>
      <c r="G1426" s="27"/>
    </row>
    <row r="1427" spans="2:7" ht="20.25" customHeight="1" x14ac:dyDescent="0.3">
      <c r="B1427" s="17"/>
      <c r="C1427" s="27"/>
      <c r="D1427" s="67"/>
      <c r="E1427" s="68"/>
      <c r="F1427" s="17"/>
      <c r="G1427" s="27"/>
    </row>
    <row r="1428" spans="2:7" ht="20.25" customHeight="1" x14ac:dyDescent="0.3">
      <c r="B1428" s="17"/>
      <c r="C1428" s="27"/>
      <c r="D1428" s="67"/>
      <c r="E1428" s="68"/>
      <c r="F1428" s="17"/>
      <c r="G1428" s="27"/>
    </row>
    <row r="1429" spans="2:7" ht="20.25" customHeight="1" x14ac:dyDescent="0.3">
      <c r="B1429" s="17"/>
      <c r="C1429" s="27"/>
      <c r="D1429" s="67"/>
      <c r="E1429" s="68"/>
      <c r="F1429" s="17"/>
      <c r="G1429" s="27"/>
    </row>
    <row r="1430" spans="2:7" ht="20.25" customHeight="1" x14ac:dyDescent="0.3">
      <c r="B1430" s="17"/>
      <c r="C1430" s="27"/>
      <c r="D1430" s="67"/>
      <c r="E1430" s="68"/>
      <c r="F1430" s="17"/>
      <c r="G1430" s="27"/>
    </row>
    <row r="1431" spans="2:7" ht="20.25" customHeight="1" x14ac:dyDescent="0.3">
      <c r="B1431" s="17"/>
      <c r="C1431" s="27"/>
      <c r="D1431" s="67"/>
      <c r="E1431" s="68"/>
      <c r="F1431" s="17"/>
      <c r="G1431" s="27"/>
    </row>
    <row r="1432" spans="2:7" ht="20.25" customHeight="1" x14ac:dyDescent="0.3">
      <c r="B1432" s="17"/>
      <c r="C1432" s="27"/>
      <c r="D1432" s="67"/>
      <c r="E1432" s="68"/>
      <c r="F1432" s="17"/>
      <c r="G1432" s="27"/>
    </row>
    <row r="1433" spans="2:7" ht="20.25" customHeight="1" x14ac:dyDescent="0.3">
      <c r="B1433" s="17"/>
      <c r="C1433" s="27"/>
      <c r="D1433" s="67"/>
      <c r="E1433" s="68"/>
      <c r="F1433" s="17"/>
      <c r="G1433" s="27"/>
    </row>
    <row r="1434" spans="2:7" ht="20.25" customHeight="1" x14ac:dyDescent="0.3">
      <c r="B1434" s="17"/>
      <c r="C1434" s="27"/>
      <c r="D1434" s="67"/>
      <c r="E1434" s="68"/>
      <c r="F1434" s="17"/>
      <c r="G1434" s="27"/>
    </row>
    <row r="1435" spans="2:7" ht="20.25" customHeight="1" x14ac:dyDescent="0.3">
      <c r="B1435" s="17"/>
      <c r="C1435" s="27"/>
      <c r="D1435" s="67"/>
      <c r="E1435" s="68"/>
      <c r="F1435" s="17"/>
      <c r="G1435" s="27"/>
    </row>
    <row r="1436" spans="2:7" ht="20.25" customHeight="1" x14ac:dyDescent="0.3">
      <c r="B1436" s="17"/>
      <c r="C1436" s="27"/>
      <c r="D1436" s="67"/>
      <c r="E1436" s="68"/>
      <c r="F1436" s="17"/>
      <c r="G1436" s="27"/>
    </row>
    <row r="1437" spans="2:7" ht="20.25" customHeight="1" x14ac:dyDescent="0.3">
      <c r="B1437" s="17"/>
      <c r="C1437" s="27"/>
      <c r="D1437" s="67"/>
      <c r="E1437" s="68"/>
      <c r="F1437" s="17"/>
      <c r="G1437" s="27"/>
    </row>
    <row r="1438" spans="2:7" ht="20.25" customHeight="1" x14ac:dyDescent="0.3">
      <c r="B1438" s="17"/>
      <c r="C1438" s="27"/>
      <c r="D1438" s="67"/>
      <c r="E1438" s="68"/>
      <c r="F1438" s="17"/>
      <c r="G1438" s="27"/>
    </row>
    <row r="1439" spans="2:7" ht="20.25" customHeight="1" x14ac:dyDescent="0.3">
      <c r="B1439" s="17"/>
      <c r="C1439" s="27"/>
      <c r="D1439" s="67"/>
      <c r="E1439" s="68"/>
      <c r="F1439" s="17"/>
      <c r="G1439" s="27"/>
    </row>
    <row r="1440" spans="2:7" ht="20.25" customHeight="1" x14ac:dyDescent="0.3">
      <c r="B1440" s="17"/>
      <c r="C1440" s="27"/>
      <c r="D1440" s="67"/>
      <c r="E1440" s="68"/>
      <c r="F1440" s="17"/>
      <c r="G1440" s="27"/>
    </row>
    <row r="1441" spans="2:7" ht="20.25" customHeight="1" x14ac:dyDescent="0.3">
      <c r="B1441" s="17"/>
      <c r="C1441" s="27"/>
      <c r="D1441" s="67"/>
      <c r="E1441" s="68"/>
      <c r="F1441" s="17"/>
      <c r="G1441" s="27"/>
    </row>
    <row r="1442" spans="2:7" ht="20.25" customHeight="1" x14ac:dyDescent="0.3">
      <c r="B1442" s="17"/>
      <c r="C1442" s="27"/>
      <c r="D1442" s="67"/>
      <c r="E1442" s="68"/>
      <c r="F1442" s="17"/>
      <c r="G1442" s="27"/>
    </row>
    <row r="1443" spans="2:7" ht="20.25" customHeight="1" x14ac:dyDescent="0.3">
      <c r="B1443" s="17"/>
      <c r="C1443" s="27"/>
      <c r="D1443" s="67"/>
      <c r="E1443" s="68"/>
      <c r="F1443" s="17"/>
      <c r="G1443" s="27"/>
    </row>
    <row r="1444" spans="2:7" ht="20.25" customHeight="1" x14ac:dyDescent="0.3">
      <c r="B1444" s="17"/>
      <c r="C1444" s="27"/>
      <c r="D1444" s="67"/>
      <c r="E1444" s="68"/>
      <c r="F1444" s="17"/>
      <c r="G1444" s="27"/>
    </row>
    <row r="1445" spans="2:7" ht="20.25" customHeight="1" x14ac:dyDescent="0.3">
      <c r="B1445" s="17"/>
      <c r="C1445" s="27"/>
      <c r="D1445" s="67"/>
      <c r="E1445" s="68"/>
      <c r="F1445" s="17"/>
      <c r="G1445" s="27"/>
    </row>
    <row r="1446" spans="2:7" ht="20.25" customHeight="1" x14ac:dyDescent="0.3">
      <c r="B1446" s="17"/>
      <c r="C1446" s="27"/>
      <c r="D1446" s="67"/>
      <c r="E1446" s="68"/>
      <c r="F1446" s="17"/>
      <c r="G1446" s="27"/>
    </row>
    <row r="1447" spans="2:7" ht="20.25" customHeight="1" x14ac:dyDescent="0.3">
      <c r="B1447" s="17"/>
      <c r="C1447" s="27"/>
      <c r="D1447" s="67"/>
      <c r="E1447" s="68"/>
      <c r="F1447" s="17"/>
      <c r="G1447" s="27"/>
    </row>
    <row r="1448" spans="2:7" ht="20.25" customHeight="1" x14ac:dyDescent="0.3">
      <c r="B1448" s="17"/>
      <c r="C1448" s="27"/>
      <c r="D1448" s="67"/>
      <c r="E1448" s="68"/>
      <c r="F1448" s="17"/>
      <c r="G1448" s="27"/>
    </row>
    <row r="1449" spans="2:7" ht="20.25" customHeight="1" x14ac:dyDescent="0.3">
      <c r="B1449" s="17"/>
      <c r="C1449" s="27"/>
      <c r="D1449" s="67"/>
      <c r="E1449" s="68"/>
      <c r="F1449" s="17"/>
      <c r="G1449" s="27"/>
    </row>
    <row r="1450" spans="2:7" ht="20.25" customHeight="1" x14ac:dyDescent="0.3">
      <c r="B1450" s="17"/>
      <c r="C1450" s="27"/>
      <c r="D1450" s="67"/>
      <c r="E1450" s="68"/>
      <c r="F1450" s="17"/>
      <c r="G1450" s="27"/>
    </row>
    <row r="1451" spans="2:7" ht="20.25" customHeight="1" x14ac:dyDescent="0.3">
      <c r="B1451" s="17"/>
      <c r="C1451" s="27"/>
      <c r="D1451" s="67"/>
      <c r="E1451" s="68"/>
      <c r="F1451" s="17"/>
      <c r="G1451" s="27"/>
    </row>
    <row r="1452" spans="2:7" ht="20.25" customHeight="1" x14ac:dyDescent="0.3">
      <c r="B1452" s="17"/>
      <c r="C1452" s="27"/>
      <c r="D1452" s="67"/>
      <c r="E1452" s="68"/>
      <c r="F1452" s="17"/>
      <c r="G1452" s="27"/>
    </row>
    <row r="1453" spans="2:7" ht="20.25" customHeight="1" x14ac:dyDescent="0.3">
      <c r="B1453" s="17"/>
      <c r="C1453" s="27"/>
      <c r="D1453" s="67"/>
      <c r="E1453" s="68"/>
      <c r="F1453" s="17"/>
      <c r="G1453" s="27"/>
    </row>
    <row r="1454" spans="2:7" ht="20.25" customHeight="1" x14ac:dyDescent="0.3">
      <c r="B1454" s="17"/>
      <c r="C1454" s="27"/>
      <c r="D1454" s="67"/>
      <c r="E1454" s="68"/>
      <c r="F1454" s="17"/>
      <c r="G1454" s="27"/>
    </row>
    <row r="1455" spans="2:7" ht="20.25" customHeight="1" x14ac:dyDescent="0.3">
      <c r="B1455" s="17"/>
      <c r="C1455" s="27"/>
      <c r="D1455" s="67"/>
      <c r="E1455" s="68"/>
      <c r="F1455" s="17"/>
      <c r="G1455" s="27"/>
    </row>
    <row r="1456" spans="2:7" ht="20.25" customHeight="1" x14ac:dyDescent="0.3">
      <c r="B1456" s="17"/>
      <c r="C1456" s="27"/>
      <c r="D1456" s="67"/>
      <c r="E1456" s="68"/>
      <c r="F1456" s="17"/>
      <c r="G1456" s="27"/>
    </row>
    <row r="1457" spans="2:7" ht="20.25" customHeight="1" x14ac:dyDescent="0.3">
      <c r="B1457" s="17"/>
      <c r="C1457" s="27"/>
      <c r="D1457" s="67"/>
      <c r="E1457" s="68"/>
      <c r="F1457" s="17"/>
      <c r="G1457" s="27"/>
    </row>
    <row r="1458" spans="2:7" ht="20.25" customHeight="1" x14ac:dyDescent="0.3">
      <c r="B1458" s="17"/>
      <c r="C1458" s="27"/>
      <c r="D1458" s="67"/>
      <c r="E1458" s="68"/>
      <c r="F1458" s="17"/>
      <c r="G1458" s="27"/>
    </row>
    <row r="1459" spans="2:7" ht="20.25" customHeight="1" x14ac:dyDescent="0.3">
      <c r="B1459" s="17"/>
      <c r="C1459" s="27"/>
      <c r="D1459" s="67"/>
      <c r="E1459" s="68"/>
      <c r="F1459" s="17"/>
      <c r="G1459" s="27"/>
    </row>
    <row r="1460" spans="2:7" ht="20.25" customHeight="1" x14ac:dyDescent="0.3">
      <c r="B1460" s="17"/>
      <c r="C1460" s="27"/>
      <c r="D1460" s="67"/>
      <c r="E1460" s="68"/>
      <c r="F1460" s="17"/>
      <c r="G1460" s="27"/>
    </row>
    <row r="1461" spans="2:7" ht="20.25" customHeight="1" x14ac:dyDescent="0.3">
      <c r="B1461" s="17"/>
      <c r="C1461" s="27"/>
      <c r="D1461" s="67"/>
      <c r="E1461" s="68"/>
      <c r="F1461" s="17"/>
      <c r="G1461" s="27"/>
    </row>
    <row r="1462" spans="2:7" ht="20.25" customHeight="1" x14ac:dyDescent="0.3">
      <c r="B1462" s="17"/>
      <c r="C1462" s="27"/>
      <c r="D1462" s="67"/>
      <c r="E1462" s="68"/>
      <c r="F1462" s="17"/>
      <c r="G1462" s="27"/>
    </row>
    <row r="1463" spans="2:7" ht="20.25" customHeight="1" x14ac:dyDescent="0.3">
      <c r="B1463" s="17"/>
      <c r="C1463" s="27"/>
      <c r="D1463" s="67"/>
      <c r="E1463" s="68"/>
      <c r="F1463" s="17"/>
      <c r="G1463" s="27"/>
    </row>
    <row r="1464" spans="2:7" ht="20.25" customHeight="1" x14ac:dyDescent="0.3">
      <c r="B1464" s="17"/>
      <c r="C1464" s="27"/>
      <c r="D1464" s="67"/>
      <c r="E1464" s="68"/>
      <c r="F1464" s="17"/>
      <c r="G1464" s="27"/>
    </row>
    <row r="1465" spans="2:7" ht="20.25" customHeight="1" x14ac:dyDescent="0.3">
      <c r="B1465" s="17"/>
      <c r="C1465" s="27"/>
      <c r="D1465" s="67"/>
      <c r="E1465" s="68"/>
      <c r="F1465" s="17"/>
      <c r="G1465" s="27"/>
    </row>
    <row r="1466" spans="2:7" ht="20.25" customHeight="1" x14ac:dyDescent="0.3">
      <c r="B1466" s="17"/>
      <c r="C1466" s="27"/>
      <c r="D1466" s="67"/>
      <c r="E1466" s="68"/>
      <c r="F1466" s="17"/>
      <c r="G1466" s="27"/>
    </row>
    <row r="1467" spans="2:7" ht="20.25" customHeight="1" x14ac:dyDescent="0.3">
      <c r="B1467" s="17"/>
      <c r="C1467" s="27"/>
      <c r="D1467" s="67"/>
      <c r="E1467" s="68"/>
      <c r="F1467" s="17"/>
      <c r="G1467" s="27"/>
    </row>
    <row r="1468" spans="2:7" ht="20.25" customHeight="1" x14ac:dyDescent="0.3">
      <c r="B1468" s="17"/>
      <c r="C1468" s="27"/>
      <c r="D1468" s="67"/>
      <c r="E1468" s="68"/>
      <c r="F1468" s="17"/>
      <c r="G1468" s="27"/>
    </row>
    <row r="1469" spans="2:7" ht="20.25" customHeight="1" x14ac:dyDescent="0.3">
      <c r="B1469" s="17"/>
      <c r="C1469" s="27"/>
      <c r="D1469" s="67"/>
      <c r="E1469" s="68"/>
      <c r="F1469" s="17"/>
      <c r="G1469" s="27"/>
    </row>
    <row r="1470" spans="2:7" ht="20.25" customHeight="1" x14ac:dyDescent="0.3">
      <c r="B1470" s="17"/>
      <c r="C1470" s="27"/>
      <c r="D1470" s="67"/>
      <c r="E1470" s="68"/>
      <c r="F1470" s="17"/>
      <c r="G1470" s="27"/>
    </row>
    <row r="1471" spans="2:7" ht="20.25" customHeight="1" x14ac:dyDescent="0.3">
      <c r="B1471" s="17"/>
      <c r="C1471" s="27"/>
      <c r="D1471" s="67"/>
      <c r="E1471" s="68"/>
      <c r="F1471" s="17"/>
      <c r="G1471" s="27"/>
    </row>
    <row r="1472" spans="2:7" ht="20.25" customHeight="1" x14ac:dyDescent="0.3">
      <c r="B1472" s="17"/>
      <c r="C1472" s="27"/>
      <c r="D1472" s="67"/>
      <c r="E1472" s="68"/>
      <c r="F1472" s="17"/>
      <c r="G1472" s="27"/>
    </row>
    <row r="1473" spans="2:7" ht="20.25" customHeight="1" x14ac:dyDescent="0.3">
      <c r="B1473" s="17"/>
      <c r="C1473" s="27"/>
      <c r="D1473" s="67"/>
      <c r="E1473" s="68"/>
      <c r="F1473" s="17"/>
      <c r="G1473" s="27"/>
    </row>
    <row r="1474" spans="2:7" ht="20.25" customHeight="1" x14ac:dyDescent="0.3">
      <c r="B1474" s="17"/>
      <c r="C1474" s="27"/>
      <c r="D1474" s="67"/>
      <c r="E1474" s="68"/>
      <c r="F1474" s="17"/>
      <c r="G1474" s="27"/>
    </row>
    <row r="1475" spans="2:7" ht="20.25" customHeight="1" x14ac:dyDescent="0.3">
      <c r="B1475" s="17"/>
      <c r="C1475" s="27"/>
      <c r="D1475" s="67"/>
      <c r="E1475" s="68"/>
      <c r="F1475" s="17"/>
      <c r="G1475" s="27"/>
    </row>
    <row r="1476" spans="2:7" ht="20.25" customHeight="1" x14ac:dyDescent="0.3">
      <c r="B1476" s="17"/>
      <c r="C1476" s="27"/>
      <c r="D1476" s="67"/>
      <c r="E1476" s="68"/>
      <c r="F1476" s="17"/>
      <c r="G1476" s="27"/>
    </row>
    <row r="1477" spans="2:7" ht="20.25" customHeight="1" x14ac:dyDescent="0.3">
      <c r="B1477" s="17"/>
      <c r="C1477" s="27"/>
      <c r="D1477" s="67"/>
      <c r="E1477" s="68"/>
      <c r="F1477" s="17"/>
      <c r="G1477" s="27"/>
    </row>
    <row r="1478" spans="2:7" ht="20.25" customHeight="1" x14ac:dyDescent="0.3">
      <c r="B1478" s="17"/>
      <c r="C1478" s="27"/>
      <c r="D1478" s="67"/>
      <c r="E1478" s="68"/>
      <c r="F1478" s="17"/>
      <c r="G1478" s="27"/>
    </row>
    <row r="1479" spans="2:7" ht="20.25" customHeight="1" x14ac:dyDescent="0.3">
      <c r="B1479" s="17"/>
      <c r="C1479" s="27"/>
      <c r="D1479" s="67"/>
      <c r="E1479" s="68"/>
      <c r="F1479" s="17"/>
      <c r="G1479" s="27"/>
    </row>
    <row r="1480" spans="2:7" ht="20.25" customHeight="1" x14ac:dyDescent="0.3">
      <c r="B1480" s="17"/>
      <c r="C1480" s="27"/>
      <c r="D1480" s="67"/>
      <c r="E1480" s="68"/>
      <c r="F1480" s="17"/>
      <c r="G1480" s="27"/>
    </row>
    <row r="1481" spans="2:7" ht="20.25" customHeight="1" x14ac:dyDescent="0.3">
      <c r="B1481" s="17"/>
      <c r="C1481" s="27"/>
      <c r="D1481" s="67"/>
      <c r="E1481" s="68"/>
      <c r="F1481" s="17"/>
      <c r="G1481" s="27"/>
    </row>
    <row r="1482" spans="2:7" ht="20.25" customHeight="1" x14ac:dyDescent="0.3">
      <c r="B1482" s="17"/>
      <c r="C1482" s="27"/>
      <c r="D1482" s="67"/>
      <c r="E1482" s="68"/>
      <c r="F1482" s="17"/>
      <c r="G1482" s="27"/>
    </row>
    <row r="1483" spans="2:7" ht="20.25" customHeight="1" x14ac:dyDescent="0.3">
      <c r="B1483" s="17"/>
      <c r="C1483" s="27"/>
      <c r="D1483" s="67"/>
      <c r="E1483" s="68"/>
      <c r="F1483" s="17"/>
      <c r="G1483" s="27"/>
    </row>
    <row r="1484" spans="2:7" ht="20.25" customHeight="1" x14ac:dyDescent="0.3">
      <c r="B1484" s="17"/>
      <c r="C1484" s="27"/>
      <c r="D1484" s="67"/>
      <c r="E1484" s="68"/>
      <c r="F1484" s="17"/>
      <c r="G1484" s="27"/>
    </row>
    <row r="1485" spans="2:7" ht="20.25" customHeight="1" x14ac:dyDescent="0.3">
      <c r="B1485" s="17"/>
      <c r="C1485" s="27"/>
      <c r="D1485" s="67"/>
      <c r="E1485" s="68"/>
      <c r="F1485" s="17"/>
      <c r="G1485" s="27"/>
    </row>
    <row r="1486" spans="2:7" ht="20.25" customHeight="1" x14ac:dyDescent="0.3">
      <c r="B1486" s="17"/>
      <c r="C1486" s="27"/>
      <c r="D1486" s="67"/>
      <c r="E1486" s="68"/>
      <c r="F1486" s="17"/>
      <c r="G1486" s="27"/>
    </row>
    <row r="1487" spans="2:7" ht="20.25" customHeight="1" x14ac:dyDescent="0.3">
      <c r="B1487" s="17"/>
      <c r="C1487" s="27"/>
      <c r="D1487" s="67"/>
      <c r="E1487" s="68"/>
      <c r="F1487" s="17"/>
      <c r="G1487" s="27"/>
    </row>
    <row r="1488" spans="2:7" ht="20.25" customHeight="1" x14ac:dyDescent="0.3">
      <c r="B1488" s="17"/>
      <c r="C1488" s="27"/>
      <c r="D1488" s="67"/>
      <c r="E1488" s="68"/>
      <c r="F1488" s="17"/>
      <c r="G1488" s="27"/>
    </row>
    <row r="1489" spans="2:7" ht="20.25" customHeight="1" x14ac:dyDescent="0.3">
      <c r="B1489" s="17"/>
      <c r="C1489" s="27"/>
      <c r="D1489" s="67"/>
      <c r="E1489" s="68"/>
      <c r="F1489" s="17"/>
      <c r="G1489" s="27"/>
    </row>
    <row r="1490" spans="2:7" ht="20.25" customHeight="1" x14ac:dyDescent="0.3">
      <c r="B1490" s="17"/>
      <c r="C1490" s="27"/>
      <c r="D1490" s="67"/>
      <c r="E1490" s="68"/>
      <c r="F1490" s="17"/>
      <c r="G1490" s="27"/>
    </row>
    <row r="1491" spans="2:7" ht="20.25" customHeight="1" x14ac:dyDescent="0.3">
      <c r="B1491" s="17"/>
      <c r="C1491" s="27"/>
      <c r="D1491" s="67"/>
      <c r="E1491" s="68"/>
      <c r="F1491" s="17"/>
      <c r="G1491" s="27"/>
    </row>
    <row r="1492" spans="2:7" ht="20.25" customHeight="1" x14ac:dyDescent="0.3">
      <c r="B1492" s="17"/>
      <c r="C1492" s="27"/>
      <c r="D1492" s="67"/>
      <c r="E1492" s="68"/>
      <c r="F1492" s="17"/>
      <c r="G1492" s="27"/>
    </row>
    <row r="1493" spans="2:7" ht="20.25" customHeight="1" x14ac:dyDescent="0.3">
      <c r="B1493" s="17"/>
      <c r="C1493" s="27"/>
      <c r="D1493" s="67"/>
      <c r="E1493" s="68"/>
      <c r="F1493" s="17"/>
      <c r="G1493" s="27"/>
    </row>
    <row r="1494" spans="2:7" ht="20.25" customHeight="1" x14ac:dyDescent="0.3">
      <c r="B1494" s="17"/>
      <c r="C1494" s="27"/>
      <c r="D1494" s="67"/>
      <c r="E1494" s="68"/>
      <c r="F1494" s="17"/>
      <c r="G1494" s="27"/>
    </row>
    <row r="1495" spans="2:7" ht="20.25" customHeight="1" x14ac:dyDescent="0.3">
      <c r="B1495" s="17"/>
      <c r="C1495" s="27"/>
      <c r="D1495" s="67"/>
      <c r="E1495" s="68"/>
      <c r="F1495" s="17"/>
      <c r="G1495" s="27"/>
    </row>
    <row r="1496" spans="2:7" ht="20.25" customHeight="1" x14ac:dyDescent="0.3">
      <c r="B1496" s="17"/>
      <c r="C1496" s="27"/>
      <c r="D1496" s="67"/>
      <c r="E1496" s="68"/>
      <c r="F1496" s="17"/>
      <c r="G1496" s="27"/>
    </row>
    <row r="1497" spans="2:7" ht="20.25" customHeight="1" x14ac:dyDescent="0.3">
      <c r="B1497" s="17"/>
      <c r="C1497" s="27"/>
      <c r="D1497" s="67"/>
      <c r="E1497" s="68"/>
      <c r="F1497" s="17"/>
      <c r="G1497" s="27"/>
    </row>
    <row r="1498" spans="2:7" ht="20.25" customHeight="1" x14ac:dyDescent="0.3">
      <c r="B1498" s="17"/>
      <c r="C1498" s="27"/>
      <c r="D1498" s="67"/>
      <c r="E1498" s="68"/>
      <c r="F1498" s="17"/>
      <c r="G1498" s="27"/>
    </row>
    <row r="1499" spans="2:7" ht="20.25" customHeight="1" x14ac:dyDescent="0.3">
      <c r="B1499" s="17"/>
      <c r="C1499" s="27"/>
      <c r="D1499" s="67"/>
      <c r="E1499" s="68"/>
      <c r="F1499" s="17"/>
      <c r="G1499" s="27"/>
    </row>
    <row r="1500" spans="2:7" ht="20.25" customHeight="1" x14ac:dyDescent="0.3">
      <c r="B1500" s="17"/>
      <c r="C1500" s="27"/>
      <c r="D1500" s="67"/>
      <c r="E1500" s="68"/>
      <c r="F1500" s="17"/>
      <c r="G1500" s="27"/>
    </row>
    <row r="1501" spans="2:7" ht="20.25" customHeight="1" x14ac:dyDescent="0.3">
      <c r="B1501" s="17"/>
      <c r="C1501" s="27"/>
      <c r="D1501" s="67"/>
      <c r="E1501" s="68"/>
      <c r="F1501" s="17"/>
      <c r="G1501" s="27"/>
    </row>
    <row r="1502" spans="2:7" ht="20.25" customHeight="1" x14ac:dyDescent="0.3">
      <c r="B1502" s="17"/>
      <c r="C1502" s="27"/>
      <c r="D1502" s="67"/>
      <c r="E1502" s="68"/>
      <c r="F1502" s="17"/>
      <c r="G1502" s="27"/>
    </row>
    <row r="1503" spans="2:7" ht="20.25" customHeight="1" x14ac:dyDescent="0.3">
      <c r="B1503" s="17"/>
      <c r="C1503" s="27"/>
      <c r="D1503" s="67"/>
      <c r="E1503" s="68"/>
      <c r="F1503" s="17"/>
      <c r="G1503" s="27"/>
    </row>
    <row r="1504" spans="2:7" ht="20.25" customHeight="1" x14ac:dyDescent="0.3">
      <c r="B1504" s="17"/>
      <c r="C1504" s="27"/>
      <c r="D1504" s="67"/>
      <c r="E1504" s="68"/>
      <c r="F1504" s="17"/>
      <c r="G1504" s="27"/>
    </row>
    <row r="1505" spans="2:7" ht="20.25" customHeight="1" x14ac:dyDescent="0.3">
      <c r="B1505" s="17"/>
      <c r="C1505" s="27"/>
      <c r="D1505" s="67"/>
      <c r="E1505" s="68"/>
      <c r="F1505" s="17"/>
      <c r="G1505" s="27"/>
    </row>
    <row r="1506" spans="2:7" ht="20.25" customHeight="1" x14ac:dyDescent="0.3">
      <c r="B1506" s="17"/>
      <c r="C1506" s="27"/>
      <c r="D1506" s="67"/>
      <c r="E1506" s="68"/>
      <c r="F1506" s="17"/>
      <c r="G1506" s="27"/>
    </row>
    <row r="1507" spans="2:7" ht="20.25" customHeight="1" x14ac:dyDescent="0.3">
      <c r="B1507" s="17"/>
      <c r="C1507" s="27"/>
      <c r="D1507" s="67"/>
      <c r="E1507" s="68"/>
      <c r="F1507" s="17"/>
      <c r="G1507" s="27"/>
    </row>
    <row r="1508" spans="2:7" ht="20.25" customHeight="1" x14ac:dyDescent="0.3">
      <c r="B1508" s="17"/>
      <c r="C1508" s="27"/>
      <c r="D1508" s="67"/>
      <c r="E1508" s="68"/>
      <c r="F1508" s="17"/>
      <c r="G1508" s="27"/>
    </row>
    <row r="1509" spans="2:7" ht="20.25" customHeight="1" x14ac:dyDescent="0.3">
      <c r="B1509" s="17"/>
      <c r="C1509" s="27"/>
      <c r="D1509" s="67"/>
      <c r="E1509" s="68"/>
      <c r="F1509" s="17"/>
      <c r="G1509" s="27"/>
    </row>
    <row r="1510" spans="2:7" ht="20.25" customHeight="1" x14ac:dyDescent="0.3">
      <c r="B1510" s="17"/>
      <c r="C1510" s="27"/>
      <c r="D1510" s="67"/>
      <c r="E1510" s="68"/>
      <c r="F1510" s="17"/>
      <c r="G1510" s="27"/>
    </row>
    <row r="1511" spans="2:7" ht="20.25" customHeight="1" x14ac:dyDescent="0.3">
      <c r="B1511" s="17"/>
      <c r="C1511" s="27"/>
      <c r="D1511" s="67"/>
      <c r="E1511" s="68"/>
      <c r="F1511" s="17"/>
      <c r="G1511" s="27"/>
    </row>
    <row r="1512" spans="2:7" ht="20.25" customHeight="1" x14ac:dyDescent="0.3">
      <c r="B1512" s="17"/>
      <c r="C1512" s="27"/>
      <c r="D1512" s="67"/>
      <c r="E1512" s="68"/>
      <c r="F1512" s="17"/>
      <c r="G1512" s="27"/>
    </row>
    <row r="1513" spans="2:7" ht="20.25" customHeight="1" x14ac:dyDescent="0.3">
      <c r="B1513" s="17"/>
      <c r="C1513" s="27"/>
      <c r="D1513" s="67"/>
      <c r="E1513" s="68"/>
      <c r="F1513" s="17"/>
      <c r="G1513" s="27"/>
    </row>
    <row r="1514" spans="2:7" ht="20.25" customHeight="1" x14ac:dyDescent="0.3">
      <c r="B1514" s="17"/>
      <c r="C1514" s="27"/>
      <c r="D1514" s="67"/>
      <c r="E1514" s="68"/>
      <c r="F1514" s="17"/>
      <c r="G1514" s="27"/>
    </row>
    <row r="1515" spans="2:7" ht="20.25" customHeight="1" x14ac:dyDescent="0.3">
      <c r="B1515" s="17"/>
      <c r="C1515" s="27"/>
      <c r="D1515" s="67"/>
      <c r="E1515" s="68"/>
      <c r="F1515" s="17"/>
      <c r="G1515" s="27"/>
    </row>
    <row r="1516" spans="2:7" ht="20.25" customHeight="1" x14ac:dyDescent="0.3">
      <c r="B1516" s="17"/>
      <c r="C1516" s="27"/>
      <c r="D1516" s="67"/>
      <c r="E1516" s="68"/>
      <c r="F1516" s="17"/>
      <c r="G1516" s="27"/>
    </row>
    <row r="1517" spans="2:7" ht="20.25" customHeight="1" x14ac:dyDescent="0.3">
      <c r="B1517" s="17"/>
      <c r="C1517" s="27"/>
      <c r="D1517" s="67"/>
      <c r="E1517" s="68"/>
      <c r="F1517" s="17"/>
      <c r="G1517" s="27"/>
    </row>
    <row r="1518" spans="2:7" ht="20.25" customHeight="1" x14ac:dyDescent="0.3">
      <c r="B1518" s="17"/>
      <c r="C1518" s="27"/>
      <c r="D1518" s="67"/>
      <c r="E1518" s="68"/>
      <c r="F1518" s="17"/>
      <c r="G1518" s="27"/>
    </row>
    <row r="1519" spans="2:7" ht="20.25" customHeight="1" x14ac:dyDescent="0.3">
      <c r="B1519" s="17"/>
      <c r="C1519" s="27"/>
      <c r="D1519" s="67"/>
      <c r="E1519" s="68"/>
      <c r="F1519" s="17"/>
      <c r="G1519" s="27"/>
    </row>
    <row r="1520" spans="2:7" ht="20.25" customHeight="1" x14ac:dyDescent="0.3">
      <c r="B1520" s="17"/>
      <c r="C1520" s="27"/>
      <c r="D1520" s="67"/>
      <c r="E1520" s="68"/>
      <c r="F1520" s="17"/>
      <c r="G1520" s="27"/>
    </row>
    <row r="1521" spans="2:7" ht="20.25" customHeight="1" x14ac:dyDescent="0.3">
      <c r="B1521" s="17"/>
      <c r="C1521" s="27"/>
      <c r="D1521" s="67"/>
      <c r="E1521" s="68"/>
      <c r="F1521" s="17"/>
      <c r="G1521" s="27"/>
    </row>
    <row r="1522" spans="2:7" ht="20.25" customHeight="1" x14ac:dyDescent="0.3">
      <c r="B1522" s="17"/>
      <c r="C1522" s="27"/>
      <c r="D1522" s="67"/>
      <c r="E1522" s="68"/>
      <c r="F1522" s="17"/>
      <c r="G1522" s="27"/>
    </row>
    <row r="1523" spans="2:7" ht="20.25" customHeight="1" x14ac:dyDescent="0.3">
      <c r="B1523" s="17"/>
      <c r="C1523" s="27"/>
      <c r="D1523" s="67"/>
      <c r="E1523" s="68"/>
      <c r="F1523" s="17"/>
      <c r="G1523" s="27"/>
    </row>
    <row r="1524" spans="2:7" ht="20.25" customHeight="1" x14ac:dyDescent="0.3">
      <c r="B1524" s="17"/>
      <c r="C1524" s="27"/>
      <c r="D1524" s="67"/>
      <c r="E1524" s="68"/>
      <c r="F1524" s="17"/>
      <c r="G1524" s="27"/>
    </row>
    <row r="1525" spans="2:7" ht="20.25" customHeight="1" x14ac:dyDescent="0.3">
      <c r="B1525" s="17"/>
      <c r="C1525" s="27"/>
      <c r="D1525" s="67"/>
      <c r="E1525" s="68"/>
      <c r="F1525" s="17"/>
      <c r="G1525" s="27"/>
    </row>
    <row r="1526" spans="2:7" ht="20.25" customHeight="1" x14ac:dyDescent="0.3">
      <c r="B1526" s="17"/>
      <c r="C1526" s="27"/>
      <c r="D1526" s="67"/>
      <c r="E1526" s="68"/>
      <c r="F1526" s="17"/>
      <c r="G1526" s="27"/>
    </row>
    <row r="1527" spans="2:7" ht="20.25" customHeight="1" x14ac:dyDescent="0.3">
      <c r="B1527" s="17"/>
      <c r="C1527" s="27"/>
      <c r="D1527" s="67"/>
      <c r="E1527" s="68"/>
      <c r="F1527" s="17"/>
      <c r="G1527" s="27"/>
    </row>
    <row r="1528" spans="2:7" ht="20.25" customHeight="1" x14ac:dyDescent="0.3">
      <c r="B1528" s="17"/>
      <c r="C1528" s="27"/>
      <c r="D1528" s="67"/>
      <c r="E1528" s="68"/>
      <c r="F1528" s="17"/>
      <c r="G1528" s="27"/>
    </row>
    <row r="1529" spans="2:7" ht="20.25" customHeight="1" x14ac:dyDescent="0.3">
      <c r="B1529" s="17"/>
      <c r="C1529" s="27"/>
      <c r="D1529" s="67"/>
      <c r="E1529" s="68"/>
      <c r="F1529" s="17"/>
      <c r="G1529" s="27"/>
    </row>
    <row r="1530" spans="2:7" ht="20.25" customHeight="1" x14ac:dyDescent="0.3">
      <c r="B1530" s="17"/>
      <c r="C1530" s="27"/>
      <c r="D1530" s="67"/>
      <c r="E1530" s="68"/>
      <c r="F1530" s="17"/>
      <c r="G1530" s="27"/>
    </row>
    <row r="1531" spans="2:7" ht="20.25" customHeight="1" x14ac:dyDescent="0.3">
      <c r="B1531" s="17"/>
      <c r="C1531" s="27"/>
      <c r="D1531" s="67"/>
      <c r="E1531" s="68"/>
      <c r="F1531" s="17"/>
      <c r="G1531" s="27"/>
    </row>
    <row r="1532" spans="2:7" ht="20.25" customHeight="1" x14ac:dyDescent="0.3">
      <c r="B1532" s="17"/>
      <c r="C1532" s="27"/>
      <c r="D1532" s="67"/>
      <c r="E1532" s="68"/>
      <c r="F1532" s="17"/>
      <c r="G1532" s="27"/>
    </row>
    <row r="1533" spans="2:7" ht="20.25" customHeight="1" x14ac:dyDescent="0.3">
      <c r="B1533" s="17"/>
      <c r="C1533" s="27"/>
      <c r="D1533" s="67"/>
      <c r="E1533" s="68"/>
      <c r="F1533" s="17"/>
      <c r="G1533" s="27"/>
    </row>
    <row r="1534" spans="2:7" ht="20.25" customHeight="1" x14ac:dyDescent="0.3">
      <c r="B1534" s="17"/>
      <c r="C1534" s="27"/>
      <c r="D1534" s="67"/>
      <c r="E1534" s="68"/>
      <c r="F1534" s="17"/>
      <c r="G1534" s="27"/>
    </row>
    <row r="1535" spans="2:7" ht="20.25" customHeight="1" x14ac:dyDescent="0.3">
      <c r="B1535" s="17"/>
      <c r="C1535" s="27"/>
      <c r="D1535" s="67"/>
      <c r="E1535" s="68"/>
      <c r="F1535" s="17"/>
      <c r="G1535" s="27"/>
    </row>
    <row r="1536" spans="2:7" ht="20.25" customHeight="1" x14ac:dyDescent="0.3">
      <c r="B1536" s="17"/>
      <c r="C1536" s="27"/>
      <c r="D1536" s="67"/>
      <c r="E1536" s="68"/>
      <c r="F1536" s="17"/>
      <c r="G1536" s="27"/>
    </row>
    <row r="1537" spans="2:7" ht="20.25" customHeight="1" x14ac:dyDescent="0.3">
      <c r="B1537" s="17"/>
      <c r="C1537" s="27"/>
      <c r="D1537" s="67"/>
      <c r="E1537" s="68"/>
      <c r="F1537" s="17"/>
      <c r="G1537" s="27"/>
    </row>
    <row r="1538" spans="2:7" ht="20.25" customHeight="1" x14ac:dyDescent="0.3">
      <c r="B1538" s="17"/>
      <c r="C1538" s="27"/>
      <c r="D1538" s="67"/>
      <c r="E1538" s="68"/>
      <c r="F1538" s="17"/>
      <c r="G1538" s="27"/>
    </row>
    <row r="1539" spans="2:7" ht="20.25" customHeight="1" x14ac:dyDescent="0.3">
      <c r="B1539" s="17"/>
      <c r="C1539" s="27"/>
      <c r="D1539" s="67"/>
      <c r="E1539" s="68"/>
      <c r="F1539" s="17"/>
      <c r="G1539" s="27"/>
    </row>
    <row r="1540" spans="2:7" ht="20.25" customHeight="1" x14ac:dyDescent="0.3">
      <c r="B1540" s="17"/>
      <c r="C1540" s="27"/>
      <c r="D1540" s="67"/>
      <c r="E1540" s="68"/>
      <c r="F1540" s="17"/>
      <c r="G1540" s="27"/>
    </row>
    <row r="1541" spans="2:7" ht="20.25" customHeight="1" x14ac:dyDescent="0.3">
      <c r="B1541" s="17"/>
      <c r="C1541" s="27"/>
      <c r="D1541" s="67"/>
      <c r="E1541" s="68"/>
      <c r="F1541" s="17"/>
      <c r="G1541" s="27"/>
    </row>
    <row r="1542" spans="2:7" ht="20.25" customHeight="1" x14ac:dyDescent="0.3">
      <c r="B1542" s="17"/>
      <c r="C1542" s="27"/>
      <c r="D1542" s="67"/>
      <c r="E1542" s="68"/>
      <c r="F1542" s="17"/>
      <c r="G1542" s="27"/>
    </row>
    <row r="1543" spans="2:7" ht="20.25" customHeight="1" x14ac:dyDescent="0.3">
      <c r="B1543" s="17"/>
      <c r="C1543" s="27"/>
      <c r="D1543" s="67"/>
      <c r="E1543" s="68"/>
      <c r="F1543" s="17"/>
      <c r="G1543" s="27"/>
    </row>
    <row r="1544" spans="2:7" ht="20.25" customHeight="1" x14ac:dyDescent="0.3">
      <c r="B1544" s="17"/>
      <c r="C1544" s="27"/>
      <c r="D1544" s="67"/>
      <c r="E1544" s="68"/>
      <c r="F1544" s="17"/>
      <c r="G1544" s="27"/>
    </row>
    <row r="1545" spans="2:7" ht="20.25" customHeight="1" x14ac:dyDescent="0.3">
      <c r="B1545" s="17"/>
      <c r="C1545" s="27"/>
      <c r="D1545" s="67"/>
      <c r="E1545" s="68"/>
      <c r="F1545" s="17"/>
      <c r="G1545" s="27"/>
    </row>
    <row r="1546" spans="2:7" ht="20.25" customHeight="1" x14ac:dyDescent="0.3">
      <c r="B1546" s="17"/>
      <c r="C1546" s="27"/>
      <c r="D1546" s="67"/>
      <c r="E1546" s="68"/>
      <c r="F1546" s="17"/>
      <c r="G1546" s="27"/>
    </row>
    <row r="1547" spans="2:7" ht="20.25" customHeight="1" x14ac:dyDescent="0.3">
      <c r="B1547" s="17"/>
      <c r="C1547" s="27"/>
      <c r="D1547" s="67"/>
      <c r="E1547" s="68"/>
      <c r="F1547" s="17"/>
      <c r="G1547" s="27"/>
    </row>
    <row r="1548" spans="2:7" ht="20.25" customHeight="1" x14ac:dyDescent="0.3">
      <c r="B1548" s="17"/>
      <c r="C1548" s="27"/>
      <c r="D1548" s="67"/>
      <c r="E1548" s="68"/>
      <c r="F1548" s="17"/>
      <c r="G1548" s="27"/>
    </row>
    <row r="1549" spans="2:7" ht="20.25" customHeight="1" x14ac:dyDescent="0.3">
      <c r="B1549" s="17"/>
      <c r="C1549" s="27"/>
      <c r="D1549" s="67"/>
      <c r="E1549" s="68"/>
      <c r="F1549" s="17"/>
      <c r="G1549" s="27"/>
    </row>
    <row r="1550" spans="2:7" ht="20.25" customHeight="1" x14ac:dyDescent="0.3">
      <c r="B1550" s="17"/>
      <c r="C1550" s="27"/>
      <c r="D1550" s="67"/>
      <c r="E1550" s="68"/>
      <c r="F1550" s="17"/>
      <c r="G1550" s="27"/>
    </row>
    <row r="1551" spans="2:7" ht="20.25" customHeight="1" x14ac:dyDescent="0.3">
      <c r="B1551" s="17"/>
      <c r="C1551" s="27"/>
      <c r="D1551" s="67"/>
      <c r="E1551" s="68"/>
      <c r="F1551" s="17"/>
      <c r="G1551" s="27"/>
    </row>
    <row r="1552" spans="2:7" ht="20.25" customHeight="1" x14ac:dyDescent="0.3">
      <c r="B1552" s="17"/>
      <c r="C1552" s="27"/>
      <c r="D1552" s="67"/>
      <c r="E1552" s="68"/>
      <c r="F1552" s="17"/>
      <c r="G1552" s="27"/>
    </row>
    <row r="1553" spans="2:7" ht="20.25" customHeight="1" x14ac:dyDescent="0.3">
      <c r="B1553" s="17"/>
      <c r="C1553" s="27"/>
      <c r="D1553" s="67"/>
      <c r="E1553" s="68"/>
      <c r="F1553" s="17"/>
      <c r="G1553" s="27"/>
    </row>
    <row r="1554" spans="2:7" ht="20.25" customHeight="1" x14ac:dyDescent="0.3">
      <c r="B1554" s="17"/>
      <c r="C1554" s="27"/>
      <c r="D1554" s="67"/>
      <c r="E1554" s="68"/>
      <c r="F1554" s="17"/>
      <c r="G1554" s="27"/>
    </row>
    <row r="1555" spans="2:7" ht="20.25" customHeight="1" x14ac:dyDescent="0.3">
      <c r="B1555" s="17"/>
      <c r="C1555" s="27"/>
      <c r="D1555" s="67"/>
      <c r="E1555" s="68"/>
      <c r="F1555" s="17"/>
      <c r="G1555" s="27"/>
    </row>
    <row r="1556" spans="2:7" ht="20.25" customHeight="1" x14ac:dyDescent="0.3">
      <c r="B1556" s="17"/>
      <c r="C1556" s="27"/>
      <c r="D1556" s="67"/>
      <c r="E1556" s="68"/>
      <c r="F1556" s="17"/>
      <c r="G1556" s="27"/>
    </row>
    <row r="1557" spans="2:7" ht="20.25" customHeight="1" x14ac:dyDescent="0.3">
      <c r="B1557" s="17"/>
      <c r="C1557" s="27"/>
      <c r="D1557" s="67"/>
      <c r="E1557" s="68"/>
      <c r="F1557" s="17"/>
      <c r="G1557" s="27"/>
    </row>
    <row r="1558" spans="2:7" ht="20.25" customHeight="1" x14ac:dyDescent="0.3">
      <c r="B1558" s="17"/>
      <c r="C1558" s="27"/>
      <c r="D1558" s="67"/>
      <c r="E1558" s="68"/>
      <c r="F1558" s="17"/>
      <c r="G1558" s="27"/>
    </row>
    <row r="1559" spans="2:7" ht="20.25" customHeight="1" x14ac:dyDescent="0.3">
      <c r="B1559" s="17"/>
      <c r="C1559" s="27"/>
      <c r="D1559" s="67"/>
      <c r="E1559" s="68"/>
      <c r="F1559" s="17"/>
      <c r="G1559" s="27"/>
    </row>
    <row r="1560" spans="2:7" ht="20.25" customHeight="1" x14ac:dyDescent="0.3">
      <c r="B1560" s="17"/>
      <c r="C1560" s="27"/>
      <c r="D1560" s="67"/>
      <c r="E1560" s="68"/>
      <c r="F1560" s="17"/>
      <c r="G1560" s="27"/>
    </row>
    <row r="1561" spans="2:7" ht="20.25" customHeight="1" x14ac:dyDescent="0.3">
      <c r="B1561" s="17"/>
      <c r="C1561" s="27"/>
      <c r="D1561" s="67"/>
      <c r="E1561" s="68"/>
      <c r="F1561" s="17"/>
      <c r="G1561" s="27"/>
    </row>
    <row r="1562" spans="2:7" ht="20.25" customHeight="1" x14ac:dyDescent="0.3">
      <c r="B1562" s="17"/>
      <c r="C1562" s="27"/>
      <c r="D1562" s="67"/>
      <c r="E1562" s="68"/>
      <c r="F1562" s="17"/>
      <c r="G1562" s="27"/>
    </row>
    <row r="1563" spans="2:7" ht="20.25" customHeight="1" x14ac:dyDescent="0.3">
      <c r="B1563" s="17"/>
      <c r="C1563" s="27"/>
      <c r="D1563" s="67"/>
      <c r="E1563" s="68"/>
      <c r="F1563" s="17"/>
      <c r="G1563" s="27"/>
    </row>
    <row r="1564" spans="2:7" ht="20.25" customHeight="1" x14ac:dyDescent="0.3">
      <c r="B1564" s="17"/>
      <c r="C1564" s="27"/>
      <c r="D1564" s="67"/>
      <c r="E1564" s="68"/>
      <c r="F1564" s="17"/>
      <c r="G1564" s="27"/>
    </row>
    <row r="1565" spans="2:7" ht="20.25" customHeight="1" x14ac:dyDescent="0.3">
      <c r="B1565" s="17"/>
      <c r="C1565" s="27"/>
      <c r="D1565" s="67"/>
      <c r="E1565" s="68"/>
      <c r="F1565" s="17"/>
      <c r="G1565" s="27"/>
    </row>
    <row r="1566" spans="2:7" ht="20.25" customHeight="1" x14ac:dyDescent="0.3">
      <c r="B1566" s="17"/>
      <c r="C1566" s="27"/>
      <c r="D1566" s="67"/>
      <c r="E1566" s="68"/>
      <c r="F1566" s="17"/>
      <c r="G1566" s="27"/>
    </row>
    <row r="1567" spans="2:7" ht="20.25" customHeight="1" x14ac:dyDescent="0.3">
      <c r="B1567" s="17"/>
      <c r="C1567" s="27"/>
      <c r="D1567" s="67"/>
      <c r="E1567" s="68"/>
      <c r="F1567" s="17"/>
      <c r="G1567" s="27"/>
    </row>
    <row r="1568" spans="2:7" ht="20.25" customHeight="1" x14ac:dyDescent="0.3">
      <c r="B1568" s="17"/>
      <c r="C1568" s="27"/>
      <c r="D1568" s="67"/>
      <c r="E1568" s="68"/>
      <c r="F1568" s="17"/>
      <c r="G1568" s="27"/>
    </row>
    <row r="1569" spans="2:7" ht="20.25" customHeight="1" x14ac:dyDescent="0.3">
      <c r="B1569" s="17"/>
      <c r="C1569" s="27"/>
      <c r="D1569" s="67"/>
      <c r="E1569" s="68"/>
      <c r="F1569" s="17"/>
      <c r="G1569" s="27"/>
    </row>
    <row r="1570" spans="2:7" ht="20.25" customHeight="1" x14ac:dyDescent="0.3">
      <c r="B1570" s="17"/>
      <c r="C1570" s="27"/>
      <c r="D1570" s="67"/>
      <c r="E1570" s="68"/>
      <c r="F1570" s="17"/>
      <c r="G1570" s="27"/>
    </row>
    <row r="1571" spans="2:7" ht="20.25" customHeight="1" x14ac:dyDescent="0.3">
      <c r="B1571" s="17"/>
      <c r="C1571" s="27"/>
      <c r="D1571" s="67"/>
      <c r="E1571" s="68"/>
      <c r="F1571" s="17"/>
      <c r="G1571" s="27"/>
    </row>
    <row r="1572" spans="2:7" ht="20.25" customHeight="1" x14ac:dyDescent="0.3">
      <c r="B1572" s="17"/>
      <c r="C1572" s="27"/>
      <c r="D1572" s="67"/>
      <c r="E1572" s="68"/>
      <c r="F1572" s="17"/>
      <c r="G1572" s="27"/>
    </row>
    <row r="1573" spans="2:7" ht="20.25" customHeight="1" x14ac:dyDescent="0.3">
      <c r="B1573" s="17"/>
      <c r="C1573" s="27"/>
      <c r="D1573" s="67"/>
      <c r="E1573" s="68"/>
      <c r="F1573" s="17"/>
      <c r="G1573" s="27"/>
    </row>
    <row r="1574" spans="2:7" ht="20.25" customHeight="1" x14ac:dyDescent="0.3">
      <c r="B1574" s="17"/>
      <c r="C1574" s="27"/>
      <c r="D1574" s="67"/>
      <c r="E1574" s="68"/>
      <c r="F1574" s="17"/>
      <c r="G1574" s="27"/>
    </row>
    <row r="1575" spans="2:7" ht="20.25" customHeight="1" x14ac:dyDescent="0.3">
      <c r="B1575" s="17"/>
      <c r="C1575" s="27"/>
      <c r="D1575" s="67"/>
      <c r="E1575" s="68"/>
      <c r="F1575" s="17"/>
      <c r="G1575" s="27"/>
    </row>
    <row r="1576" spans="2:7" ht="20.25" customHeight="1" x14ac:dyDescent="0.3">
      <c r="B1576" s="17"/>
      <c r="C1576" s="27"/>
      <c r="D1576" s="67"/>
      <c r="E1576" s="68"/>
      <c r="F1576" s="17"/>
      <c r="G1576" s="27"/>
    </row>
    <row r="1577" spans="2:7" ht="20.25" customHeight="1" x14ac:dyDescent="0.3">
      <c r="B1577" s="17"/>
      <c r="C1577" s="27"/>
      <c r="D1577" s="67"/>
      <c r="E1577" s="68"/>
      <c r="F1577" s="17"/>
      <c r="G1577" s="27"/>
    </row>
    <row r="1578" spans="2:7" ht="20.25" customHeight="1" x14ac:dyDescent="0.3">
      <c r="B1578" s="17"/>
      <c r="C1578" s="27"/>
      <c r="D1578" s="67"/>
      <c r="E1578" s="68"/>
      <c r="F1578" s="17"/>
      <c r="G1578" s="27"/>
    </row>
    <row r="1579" spans="2:7" ht="20.25" customHeight="1" x14ac:dyDescent="0.3">
      <c r="B1579" s="17"/>
      <c r="C1579" s="27"/>
      <c r="D1579" s="67"/>
      <c r="E1579" s="68"/>
      <c r="F1579" s="17"/>
      <c r="G1579" s="27"/>
    </row>
    <row r="1580" spans="2:7" ht="20.25" customHeight="1" x14ac:dyDescent="0.3">
      <c r="B1580" s="17"/>
      <c r="C1580" s="27"/>
      <c r="D1580" s="67"/>
      <c r="E1580" s="68"/>
      <c r="F1580" s="17"/>
      <c r="G1580" s="27"/>
    </row>
    <row r="1581" spans="2:7" ht="20.25" customHeight="1" x14ac:dyDescent="0.3">
      <c r="B1581" s="17"/>
      <c r="C1581" s="27"/>
      <c r="D1581" s="67"/>
      <c r="E1581" s="68"/>
      <c r="F1581" s="17"/>
      <c r="G1581" s="27"/>
    </row>
    <row r="1582" spans="2:7" ht="20.25" customHeight="1" x14ac:dyDescent="0.3">
      <c r="B1582" s="17"/>
      <c r="C1582" s="27"/>
      <c r="D1582" s="67"/>
      <c r="E1582" s="68"/>
      <c r="F1582" s="17"/>
      <c r="G1582" s="27"/>
    </row>
    <row r="1583" spans="2:7" ht="20.25" customHeight="1" x14ac:dyDescent="0.3">
      <c r="B1583" s="17"/>
      <c r="C1583" s="27"/>
      <c r="D1583" s="67"/>
      <c r="E1583" s="68"/>
      <c r="F1583" s="17"/>
      <c r="G1583" s="27"/>
    </row>
    <row r="1584" spans="2:7" ht="20.25" customHeight="1" x14ac:dyDescent="0.3">
      <c r="B1584" s="17"/>
      <c r="C1584" s="27"/>
      <c r="D1584" s="67"/>
      <c r="E1584" s="68"/>
      <c r="F1584" s="17"/>
      <c r="G1584" s="27"/>
    </row>
    <row r="1585" spans="2:7" ht="20.25" customHeight="1" x14ac:dyDescent="0.3">
      <c r="B1585" s="17"/>
      <c r="C1585" s="27"/>
      <c r="D1585" s="67"/>
      <c r="E1585" s="68"/>
      <c r="F1585" s="17"/>
      <c r="G1585" s="27"/>
    </row>
    <row r="1586" spans="2:7" ht="20.25" customHeight="1" x14ac:dyDescent="0.3">
      <c r="B1586" s="17"/>
      <c r="C1586" s="27"/>
      <c r="D1586" s="67"/>
      <c r="E1586" s="68"/>
      <c r="F1586" s="17"/>
      <c r="G1586" s="27"/>
    </row>
    <row r="1587" spans="2:7" ht="20.25" customHeight="1" x14ac:dyDescent="0.3">
      <c r="B1587" s="17"/>
      <c r="C1587" s="27"/>
      <c r="D1587" s="67"/>
      <c r="E1587" s="68"/>
      <c r="F1587" s="17"/>
      <c r="G1587" s="27"/>
    </row>
    <row r="1588" spans="2:7" ht="20.25" customHeight="1" x14ac:dyDescent="0.3">
      <c r="B1588" s="17"/>
      <c r="C1588" s="27"/>
      <c r="D1588" s="67"/>
      <c r="E1588" s="68"/>
      <c r="F1588" s="17"/>
      <c r="G1588" s="27"/>
    </row>
    <row r="1589" spans="2:7" ht="20.25" customHeight="1" x14ac:dyDescent="0.3">
      <c r="B1589" s="17"/>
      <c r="C1589" s="27"/>
      <c r="D1589" s="67"/>
      <c r="E1589" s="68"/>
      <c r="F1589" s="17"/>
      <c r="G1589" s="27"/>
    </row>
    <row r="1590" spans="2:7" ht="20.25" customHeight="1" x14ac:dyDescent="0.3">
      <c r="B1590" s="17"/>
      <c r="C1590" s="27"/>
      <c r="D1590" s="67"/>
      <c r="E1590" s="68"/>
      <c r="F1590" s="17"/>
      <c r="G1590" s="27"/>
    </row>
    <row r="1591" spans="2:7" ht="20.25" customHeight="1" x14ac:dyDescent="0.3">
      <c r="B1591" s="17"/>
      <c r="C1591" s="27"/>
      <c r="D1591" s="67"/>
      <c r="E1591" s="68"/>
      <c r="F1591" s="17"/>
      <c r="G1591" s="27"/>
    </row>
    <row r="1592" spans="2:7" ht="20.25" customHeight="1" x14ac:dyDescent="0.3">
      <c r="B1592" s="17"/>
      <c r="C1592" s="27"/>
      <c r="D1592" s="67"/>
      <c r="E1592" s="68"/>
      <c r="F1592" s="17"/>
      <c r="G1592" s="27"/>
    </row>
    <row r="1593" spans="2:7" ht="20.25" customHeight="1" x14ac:dyDescent="0.3">
      <c r="B1593" s="17"/>
      <c r="C1593" s="27"/>
      <c r="D1593" s="67"/>
      <c r="E1593" s="68"/>
      <c r="F1593" s="17"/>
      <c r="G1593" s="27"/>
    </row>
    <row r="1594" spans="2:7" ht="20.25" customHeight="1" x14ac:dyDescent="0.3">
      <c r="B1594" s="17"/>
      <c r="C1594" s="27"/>
      <c r="D1594" s="67"/>
      <c r="E1594" s="68"/>
      <c r="F1594" s="17"/>
      <c r="G1594" s="27"/>
    </row>
    <row r="1595" spans="2:7" ht="20.25" customHeight="1" x14ac:dyDescent="0.3">
      <c r="B1595" s="17"/>
      <c r="C1595" s="27"/>
      <c r="D1595" s="67"/>
      <c r="E1595" s="68"/>
      <c r="F1595" s="17"/>
      <c r="G1595" s="27"/>
    </row>
    <row r="1596" spans="2:7" ht="20.25" customHeight="1" x14ac:dyDescent="0.3">
      <c r="B1596" s="17"/>
      <c r="C1596" s="27"/>
      <c r="D1596" s="67"/>
      <c r="E1596" s="68"/>
      <c r="F1596" s="17"/>
      <c r="G1596" s="27"/>
    </row>
    <row r="1597" spans="2:7" ht="20.25" customHeight="1" x14ac:dyDescent="0.3">
      <c r="B1597" s="17"/>
      <c r="C1597" s="27"/>
      <c r="D1597" s="67"/>
      <c r="E1597" s="68"/>
      <c r="F1597" s="17"/>
      <c r="G1597" s="27"/>
    </row>
    <row r="1598" spans="2:7" ht="20.25" customHeight="1" x14ac:dyDescent="0.3">
      <c r="B1598" s="17"/>
      <c r="C1598" s="27"/>
      <c r="D1598" s="67"/>
      <c r="E1598" s="68"/>
      <c r="F1598" s="17"/>
      <c r="G1598" s="27"/>
    </row>
    <row r="1599" spans="2:7" ht="20.25" customHeight="1" x14ac:dyDescent="0.3">
      <c r="B1599" s="17"/>
      <c r="C1599" s="27"/>
      <c r="D1599" s="67"/>
      <c r="E1599" s="68"/>
      <c r="F1599" s="17"/>
      <c r="G1599" s="27"/>
    </row>
    <row r="1600" spans="2:7" ht="20.25" customHeight="1" x14ac:dyDescent="0.3">
      <c r="B1600" s="17"/>
      <c r="C1600" s="27"/>
      <c r="D1600" s="67"/>
      <c r="E1600" s="68"/>
      <c r="F1600" s="17"/>
      <c r="G1600" s="27"/>
    </row>
    <row r="1601" spans="2:7" ht="20.25" customHeight="1" x14ac:dyDescent="0.3">
      <c r="B1601" s="17"/>
      <c r="C1601" s="27"/>
      <c r="D1601" s="67"/>
      <c r="E1601" s="68"/>
      <c r="F1601" s="17"/>
      <c r="G1601" s="27"/>
    </row>
    <row r="1602" spans="2:7" ht="20.25" customHeight="1" x14ac:dyDescent="0.3">
      <c r="B1602" s="17"/>
      <c r="C1602" s="27"/>
      <c r="D1602" s="67"/>
      <c r="E1602" s="68"/>
      <c r="F1602" s="17"/>
      <c r="G1602" s="27"/>
    </row>
    <row r="1603" spans="2:7" ht="20.25" customHeight="1" x14ac:dyDescent="0.3">
      <c r="B1603" s="17"/>
      <c r="C1603" s="27"/>
      <c r="D1603" s="67"/>
      <c r="E1603" s="68"/>
      <c r="F1603" s="17"/>
      <c r="G1603" s="27"/>
    </row>
    <row r="1604" spans="2:7" ht="20.25" customHeight="1" x14ac:dyDescent="0.3">
      <c r="B1604" s="17"/>
      <c r="C1604" s="27"/>
      <c r="D1604" s="67"/>
      <c r="E1604" s="68"/>
      <c r="F1604" s="17"/>
      <c r="G1604" s="27"/>
    </row>
    <row r="1605" spans="2:7" ht="20.25" customHeight="1" x14ac:dyDescent="0.3">
      <c r="B1605" s="17"/>
      <c r="C1605" s="27"/>
      <c r="D1605" s="67"/>
      <c r="E1605" s="68"/>
      <c r="F1605" s="17"/>
      <c r="G1605" s="27"/>
    </row>
    <row r="1606" spans="2:7" ht="20.25" customHeight="1" x14ac:dyDescent="0.3">
      <c r="B1606" s="17"/>
      <c r="C1606" s="27"/>
      <c r="D1606" s="67"/>
      <c r="E1606" s="68"/>
      <c r="F1606" s="17"/>
      <c r="G1606" s="27"/>
    </row>
    <row r="1607" spans="2:7" ht="20.25" customHeight="1" x14ac:dyDescent="0.3">
      <c r="B1607" s="17"/>
      <c r="C1607" s="27"/>
      <c r="D1607" s="67"/>
      <c r="E1607" s="68"/>
      <c r="F1607" s="17"/>
      <c r="G1607" s="27"/>
    </row>
    <row r="1608" spans="2:7" ht="20.25" customHeight="1" x14ac:dyDescent="0.3">
      <c r="B1608" s="17"/>
      <c r="C1608" s="27"/>
      <c r="D1608" s="67"/>
      <c r="E1608" s="68"/>
      <c r="F1608" s="17"/>
      <c r="G1608" s="27"/>
    </row>
    <row r="1609" spans="2:7" ht="20.25" customHeight="1" x14ac:dyDescent="0.3">
      <c r="B1609" s="17"/>
      <c r="C1609" s="27"/>
      <c r="D1609" s="67"/>
      <c r="E1609" s="68"/>
      <c r="F1609" s="17"/>
      <c r="G1609" s="27"/>
    </row>
    <row r="1610" spans="2:7" ht="20.25" customHeight="1" x14ac:dyDescent="0.3">
      <c r="B1610" s="17"/>
      <c r="C1610" s="27"/>
      <c r="D1610" s="67"/>
      <c r="E1610" s="68"/>
      <c r="F1610" s="17"/>
      <c r="G1610" s="27"/>
    </row>
    <row r="1611" spans="2:7" ht="20.25" customHeight="1" x14ac:dyDescent="0.3">
      <c r="B1611" s="17"/>
      <c r="C1611" s="27"/>
      <c r="D1611" s="67"/>
      <c r="E1611" s="68"/>
      <c r="F1611" s="17"/>
      <c r="G1611" s="27"/>
    </row>
    <row r="1612" spans="2:7" ht="20.25" customHeight="1" x14ac:dyDescent="0.3">
      <c r="B1612" s="17"/>
      <c r="C1612" s="27"/>
      <c r="D1612" s="67"/>
      <c r="E1612" s="68"/>
      <c r="F1612" s="17"/>
      <c r="G1612" s="27"/>
    </row>
    <row r="1613" spans="2:7" ht="20.25" customHeight="1" x14ac:dyDescent="0.3">
      <c r="B1613" s="17"/>
      <c r="C1613" s="27"/>
      <c r="D1613" s="67"/>
      <c r="E1613" s="68"/>
      <c r="F1613" s="17"/>
      <c r="G1613" s="27"/>
    </row>
    <row r="1614" spans="2:7" ht="20.25" customHeight="1" x14ac:dyDescent="0.3">
      <c r="B1614" s="17"/>
      <c r="C1614" s="27"/>
      <c r="D1614" s="67"/>
      <c r="E1614" s="68"/>
      <c r="F1614" s="17"/>
      <c r="G1614" s="27"/>
    </row>
    <row r="1615" spans="2:7" ht="20.25" customHeight="1" x14ac:dyDescent="0.3">
      <c r="B1615" s="17"/>
      <c r="C1615" s="27"/>
      <c r="D1615" s="67"/>
      <c r="E1615" s="68"/>
      <c r="F1615" s="17"/>
      <c r="G1615" s="27"/>
    </row>
    <row r="1616" spans="2:7" ht="20.25" customHeight="1" x14ac:dyDescent="0.3">
      <c r="B1616" s="17"/>
      <c r="C1616" s="27"/>
      <c r="D1616" s="67"/>
      <c r="E1616" s="68"/>
      <c r="F1616" s="17"/>
      <c r="G1616" s="27"/>
    </row>
    <row r="1617" spans="2:7" ht="20.25" customHeight="1" x14ac:dyDescent="0.3">
      <c r="B1617" s="17"/>
      <c r="C1617" s="27"/>
      <c r="D1617" s="67"/>
      <c r="E1617" s="68"/>
      <c r="F1617" s="17"/>
      <c r="G1617" s="27"/>
    </row>
    <row r="1618" spans="2:7" ht="20.25" customHeight="1" x14ac:dyDescent="0.3">
      <c r="B1618" s="17"/>
      <c r="C1618" s="27"/>
      <c r="D1618" s="67"/>
      <c r="E1618" s="68"/>
      <c r="F1618" s="17"/>
      <c r="G1618" s="27"/>
    </row>
    <row r="1619" spans="2:7" ht="20.25" customHeight="1" x14ac:dyDescent="0.3">
      <c r="B1619" s="17"/>
      <c r="C1619" s="27"/>
      <c r="D1619" s="67"/>
      <c r="E1619" s="68"/>
      <c r="F1619" s="17"/>
      <c r="G1619" s="27"/>
    </row>
    <row r="1620" spans="2:7" ht="20.25" customHeight="1" x14ac:dyDescent="0.3">
      <c r="B1620" s="17"/>
      <c r="C1620" s="27"/>
      <c r="D1620" s="67"/>
      <c r="E1620" s="68"/>
      <c r="F1620" s="17"/>
      <c r="G1620" s="27"/>
    </row>
    <row r="1621" spans="2:7" ht="20.25" customHeight="1" x14ac:dyDescent="0.3">
      <c r="B1621" s="17"/>
      <c r="C1621" s="27"/>
      <c r="D1621" s="67"/>
      <c r="E1621" s="68"/>
      <c r="F1621" s="17"/>
      <c r="G1621" s="27"/>
    </row>
    <row r="1622" spans="2:7" ht="20.25" customHeight="1" x14ac:dyDescent="0.3">
      <c r="B1622" s="17"/>
      <c r="C1622" s="27"/>
      <c r="D1622" s="67"/>
      <c r="E1622" s="68"/>
      <c r="F1622" s="17"/>
      <c r="G1622" s="27"/>
    </row>
    <row r="1623" spans="2:7" ht="20.25" customHeight="1" x14ac:dyDescent="0.3">
      <c r="B1623" s="17"/>
      <c r="C1623" s="27"/>
      <c r="D1623" s="67"/>
      <c r="E1623" s="68"/>
      <c r="F1623" s="17"/>
      <c r="G1623" s="27"/>
    </row>
    <row r="1624" spans="2:7" ht="20.25" customHeight="1" x14ac:dyDescent="0.3">
      <c r="B1624" s="17"/>
      <c r="C1624" s="27"/>
      <c r="D1624" s="67"/>
      <c r="E1624" s="68"/>
      <c r="F1624" s="17"/>
      <c r="G1624" s="27"/>
    </row>
    <row r="1625" spans="2:7" ht="20.25" customHeight="1" x14ac:dyDescent="0.3">
      <c r="B1625" s="17"/>
      <c r="C1625" s="27"/>
      <c r="D1625" s="67"/>
      <c r="E1625" s="68"/>
      <c r="F1625" s="17"/>
      <c r="G1625" s="27"/>
    </row>
    <row r="1626" spans="2:7" ht="20.25" customHeight="1" x14ac:dyDescent="0.3">
      <c r="B1626" s="17"/>
      <c r="C1626" s="27"/>
      <c r="D1626" s="67"/>
      <c r="E1626" s="68"/>
      <c r="F1626" s="17"/>
      <c r="G1626" s="27"/>
    </row>
    <row r="1627" spans="2:7" ht="20.25" customHeight="1" x14ac:dyDescent="0.3">
      <c r="B1627" s="17"/>
      <c r="C1627" s="27"/>
      <c r="D1627" s="67"/>
      <c r="E1627" s="68"/>
      <c r="F1627" s="17"/>
      <c r="G1627" s="27"/>
    </row>
    <row r="1628" spans="2:7" ht="20.25" customHeight="1" x14ac:dyDescent="0.3">
      <c r="B1628" s="17"/>
      <c r="C1628" s="27"/>
      <c r="D1628" s="67"/>
      <c r="E1628" s="68"/>
      <c r="F1628" s="17"/>
      <c r="G1628" s="27"/>
    </row>
    <row r="1629" spans="2:7" ht="20.25" customHeight="1" x14ac:dyDescent="0.3">
      <c r="B1629" s="17"/>
      <c r="C1629" s="27"/>
      <c r="D1629" s="67"/>
      <c r="E1629" s="68"/>
      <c r="F1629" s="17"/>
      <c r="G1629" s="27"/>
    </row>
    <row r="1630" spans="2:7" ht="20.25" customHeight="1" x14ac:dyDescent="0.3">
      <c r="B1630" s="17"/>
      <c r="C1630" s="27"/>
      <c r="D1630" s="67"/>
      <c r="E1630" s="68"/>
      <c r="F1630" s="17"/>
      <c r="G1630" s="27"/>
    </row>
    <row r="1631" spans="2:7" ht="20.25" customHeight="1" x14ac:dyDescent="0.3">
      <c r="B1631" s="17"/>
      <c r="C1631" s="27"/>
      <c r="D1631" s="67"/>
      <c r="E1631" s="68"/>
      <c r="F1631" s="17"/>
      <c r="G1631" s="27"/>
    </row>
    <row r="1632" spans="2:7" ht="20.25" customHeight="1" x14ac:dyDescent="0.3">
      <c r="B1632" s="17"/>
      <c r="C1632" s="27"/>
      <c r="D1632" s="67"/>
      <c r="E1632" s="68"/>
      <c r="F1632" s="17"/>
      <c r="G1632" s="27"/>
    </row>
    <row r="1633" spans="2:7" ht="20.25" customHeight="1" x14ac:dyDescent="0.3">
      <c r="B1633" s="17"/>
      <c r="C1633" s="27"/>
      <c r="D1633" s="67"/>
      <c r="E1633" s="68"/>
      <c r="F1633" s="17"/>
      <c r="G1633" s="27"/>
    </row>
    <row r="1634" spans="2:7" ht="20.25" customHeight="1" x14ac:dyDescent="0.3">
      <c r="B1634" s="17"/>
      <c r="C1634" s="27"/>
      <c r="D1634" s="67"/>
      <c r="E1634" s="68"/>
      <c r="F1634" s="17"/>
      <c r="G1634" s="27"/>
    </row>
    <row r="1635" spans="2:7" ht="20.25" customHeight="1" x14ac:dyDescent="0.3">
      <c r="B1635" s="17"/>
      <c r="C1635" s="27"/>
      <c r="D1635" s="67"/>
      <c r="E1635" s="68"/>
      <c r="F1635" s="17"/>
      <c r="G1635" s="27"/>
    </row>
    <row r="1636" spans="2:7" ht="20.25" customHeight="1" x14ac:dyDescent="0.3">
      <c r="B1636" s="17"/>
      <c r="C1636" s="27"/>
      <c r="D1636" s="67"/>
      <c r="E1636" s="68"/>
      <c r="F1636" s="17"/>
      <c r="G1636" s="27"/>
    </row>
    <row r="1637" spans="2:7" ht="20.25" customHeight="1" x14ac:dyDescent="0.3">
      <c r="B1637" s="17"/>
      <c r="C1637" s="27"/>
      <c r="D1637" s="67"/>
      <c r="E1637" s="68"/>
      <c r="F1637" s="17"/>
      <c r="G1637" s="27"/>
    </row>
    <row r="1638" spans="2:7" ht="20.25" customHeight="1" x14ac:dyDescent="0.3">
      <c r="B1638" s="17"/>
      <c r="C1638" s="27"/>
      <c r="D1638" s="67"/>
      <c r="E1638" s="68"/>
      <c r="F1638" s="17"/>
      <c r="G1638" s="27"/>
    </row>
    <row r="1639" spans="2:7" ht="20.25" customHeight="1" x14ac:dyDescent="0.3">
      <c r="B1639" s="17"/>
      <c r="C1639" s="27"/>
      <c r="D1639" s="67"/>
      <c r="E1639" s="68"/>
      <c r="F1639" s="17"/>
      <c r="G1639" s="27"/>
    </row>
    <row r="1640" spans="2:7" ht="20.25" customHeight="1" x14ac:dyDescent="0.3">
      <c r="B1640" s="17"/>
      <c r="C1640" s="27"/>
      <c r="D1640" s="67"/>
      <c r="E1640" s="68"/>
      <c r="F1640" s="17"/>
      <c r="G1640" s="27"/>
    </row>
    <row r="1641" spans="2:7" ht="20.25" customHeight="1" x14ac:dyDescent="0.3">
      <c r="B1641" s="17"/>
      <c r="C1641" s="27"/>
      <c r="D1641" s="67"/>
      <c r="E1641" s="68"/>
      <c r="F1641" s="17"/>
      <c r="G1641" s="27"/>
    </row>
    <row r="1642" spans="2:7" ht="20.25" customHeight="1" x14ac:dyDescent="0.3">
      <c r="B1642" s="17"/>
      <c r="C1642" s="27"/>
      <c r="D1642" s="67"/>
      <c r="E1642" s="68"/>
      <c r="F1642" s="17"/>
      <c r="G1642" s="27"/>
    </row>
    <row r="1643" spans="2:7" ht="20.25" customHeight="1" x14ac:dyDescent="0.3">
      <c r="B1643" s="17"/>
      <c r="C1643" s="27"/>
      <c r="D1643" s="67"/>
      <c r="E1643" s="68"/>
      <c r="F1643" s="17"/>
      <c r="G1643" s="27"/>
    </row>
    <row r="1644" spans="2:7" ht="20.25" customHeight="1" x14ac:dyDescent="0.3">
      <c r="B1644" s="17"/>
      <c r="C1644" s="27"/>
      <c r="D1644" s="67"/>
      <c r="E1644" s="68"/>
      <c r="F1644" s="17"/>
      <c r="G1644" s="27"/>
    </row>
    <row r="1645" spans="2:7" ht="20.25" customHeight="1" x14ac:dyDescent="0.3">
      <c r="B1645" s="17"/>
      <c r="C1645" s="27"/>
      <c r="D1645" s="67"/>
      <c r="E1645" s="68"/>
      <c r="F1645" s="17"/>
      <c r="G1645" s="27"/>
    </row>
    <row r="1646" spans="2:7" ht="20.25" customHeight="1" x14ac:dyDescent="0.3">
      <c r="B1646" s="17"/>
      <c r="C1646" s="27"/>
      <c r="D1646" s="67"/>
      <c r="E1646" s="68"/>
      <c r="F1646" s="17"/>
      <c r="G1646" s="27"/>
    </row>
    <row r="1647" spans="2:7" ht="20.25" customHeight="1" x14ac:dyDescent="0.3">
      <c r="B1647" s="17"/>
      <c r="C1647" s="27"/>
      <c r="D1647" s="67"/>
      <c r="E1647" s="68"/>
      <c r="F1647" s="17"/>
      <c r="G1647" s="27"/>
    </row>
    <row r="1648" spans="2:7" ht="20.25" customHeight="1" x14ac:dyDescent="0.3">
      <c r="B1648" s="17"/>
      <c r="C1648" s="27"/>
      <c r="D1648" s="67"/>
      <c r="E1648" s="68"/>
      <c r="F1648" s="17"/>
      <c r="G1648" s="27"/>
    </row>
    <row r="1649" spans="2:7" ht="20.25" customHeight="1" x14ac:dyDescent="0.3">
      <c r="B1649" s="17"/>
      <c r="C1649" s="27"/>
      <c r="D1649" s="67"/>
      <c r="E1649" s="68"/>
      <c r="F1649" s="17"/>
      <c r="G1649" s="27"/>
    </row>
    <row r="1650" spans="2:7" ht="20.25" customHeight="1" x14ac:dyDescent="0.3">
      <c r="B1650" s="17"/>
      <c r="C1650" s="27"/>
      <c r="D1650" s="67"/>
      <c r="E1650" s="68"/>
      <c r="F1650" s="17"/>
      <c r="G1650" s="27"/>
    </row>
    <row r="1651" spans="2:7" ht="20.25" customHeight="1" x14ac:dyDescent="0.3">
      <c r="B1651" s="17"/>
      <c r="C1651" s="27"/>
      <c r="D1651" s="67"/>
      <c r="E1651" s="68"/>
      <c r="F1651" s="17"/>
      <c r="G1651" s="27"/>
    </row>
    <row r="1652" spans="2:7" ht="20.25" customHeight="1" x14ac:dyDescent="0.3">
      <c r="B1652" s="17"/>
      <c r="C1652" s="27"/>
      <c r="D1652" s="67"/>
      <c r="E1652" s="68"/>
      <c r="F1652" s="17"/>
      <c r="G1652" s="27"/>
    </row>
    <row r="1653" spans="2:7" ht="20.25" customHeight="1" x14ac:dyDescent="0.3">
      <c r="B1653" s="17"/>
      <c r="C1653" s="27"/>
      <c r="D1653" s="67"/>
      <c r="E1653" s="68"/>
      <c r="F1653" s="17"/>
      <c r="G1653" s="27"/>
    </row>
    <row r="1654" spans="2:7" ht="20.25" customHeight="1" x14ac:dyDescent="0.3">
      <c r="B1654" s="17"/>
      <c r="C1654" s="27"/>
      <c r="D1654" s="67"/>
      <c r="E1654" s="68"/>
      <c r="F1654" s="17"/>
      <c r="G1654" s="27"/>
    </row>
    <row r="1655" spans="2:7" ht="20.25" customHeight="1" x14ac:dyDescent="0.3">
      <c r="B1655" s="17"/>
      <c r="C1655" s="27"/>
      <c r="D1655" s="67"/>
      <c r="E1655" s="68"/>
      <c r="F1655" s="17"/>
      <c r="G1655" s="27"/>
    </row>
    <row r="1656" spans="2:7" ht="20.25" customHeight="1" x14ac:dyDescent="0.3">
      <c r="B1656" s="17"/>
      <c r="C1656" s="27"/>
      <c r="D1656" s="67"/>
      <c r="E1656" s="68"/>
      <c r="F1656" s="17"/>
      <c r="G1656" s="27"/>
    </row>
    <row r="1657" spans="2:7" ht="20.25" customHeight="1" x14ac:dyDescent="0.3">
      <c r="B1657" s="17"/>
      <c r="C1657" s="27"/>
      <c r="D1657" s="67"/>
      <c r="E1657" s="68"/>
      <c r="F1657" s="17"/>
      <c r="G1657" s="27"/>
    </row>
    <row r="1658" spans="2:7" ht="20.25" customHeight="1" x14ac:dyDescent="0.3">
      <c r="B1658" s="17"/>
      <c r="C1658" s="27"/>
      <c r="D1658" s="67"/>
      <c r="E1658" s="68"/>
      <c r="F1658" s="17"/>
      <c r="G1658" s="27"/>
    </row>
    <row r="1659" spans="2:7" ht="20.25" customHeight="1" x14ac:dyDescent="0.3">
      <c r="B1659" s="17"/>
      <c r="C1659" s="27"/>
      <c r="D1659" s="67"/>
      <c r="E1659" s="68"/>
      <c r="F1659" s="17"/>
      <c r="G1659" s="27"/>
    </row>
    <row r="1660" spans="2:7" ht="20.25" customHeight="1" x14ac:dyDescent="0.3">
      <c r="B1660" s="17"/>
      <c r="C1660" s="27"/>
      <c r="D1660" s="67"/>
      <c r="E1660" s="68"/>
      <c r="F1660" s="17"/>
      <c r="G1660" s="27"/>
    </row>
    <row r="1661" spans="2:7" ht="20.25" customHeight="1" x14ac:dyDescent="0.3">
      <c r="B1661" s="17"/>
      <c r="C1661" s="27"/>
      <c r="D1661" s="67"/>
      <c r="E1661" s="68"/>
      <c r="F1661" s="17"/>
      <c r="G1661" s="27"/>
    </row>
    <row r="1662" spans="2:7" ht="20.25" customHeight="1" x14ac:dyDescent="0.3">
      <c r="B1662" s="17"/>
      <c r="C1662" s="27"/>
      <c r="D1662" s="67"/>
      <c r="E1662" s="68"/>
      <c r="F1662" s="17"/>
      <c r="G1662" s="27"/>
    </row>
    <row r="1663" spans="2:7" ht="20.25" customHeight="1" x14ac:dyDescent="0.3">
      <c r="B1663" s="17"/>
      <c r="C1663" s="27"/>
      <c r="D1663" s="67"/>
      <c r="E1663" s="68"/>
      <c r="F1663" s="17"/>
      <c r="G1663" s="27"/>
    </row>
    <row r="1664" spans="2:7" ht="20.25" customHeight="1" x14ac:dyDescent="0.3">
      <c r="B1664" s="17"/>
      <c r="C1664" s="27"/>
      <c r="D1664" s="67"/>
      <c r="E1664" s="68"/>
      <c r="F1664" s="17"/>
      <c r="G1664" s="27"/>
    </row>
    <row r="1665" spans="2:7" ht="20.25" customHeight="1" x14ac:dyDescent="0.3">
      <c r="B1665" s="17"/>
      <c r="C1665" s="27"/>
      <c r="D1665" s="67"/>
      <c r="E1665" s="68"/>
      <c r="F1665" s="17"/>
      <c r="G1665" s="27"/>
    </row>
    <row r="1666" spans="2:7" ht="20.25" customHeight="1" x14ac:dyDescent="0.3">
      <c r="B1666" s="17"/>
      <c r="C1666" s="27"/>
      <c r="D1666" s="67"/>
      <c r="E1666" s="68"/>
      <c r="F1666" s="17"/>
      <c r="G1666" s="27"/>
    </row>
    <row r="1667" spans="2:7" ht="20.25" customHeight="1" x14ac:dyDescent="0.3">
      <c r="B1667" s="17"/>
      <c r="C1667" s="27"/>
      <c r="D1667" s="67"/>
      <c r="E1667" s="68"/>
      <c r="F1667" s="17"/>
      <c r="G1667" s="27"/>
    </row>
    <row r="1668" spans="2:7" ht="20.25" customHeight="1" x14ac:dyDescent="0.3">
      <c r="B1668" s="17"/>
      <c r="C1668" s="27"/>
      <c r="D1668" s="67"/>
      <c r="E1668" s="68"/>
      <c r="F1668" s="17"/>
      <c r="G1668" s="27"/>
    </row>
    <row r="1669" spans="2:7" ht="20.25" customHeight="1" x14ac:dyDescent="0.3">
      <c r="B1669" s="17"/>
      <c r="C1669" s="27"/>
      <c r="D1669" s="67"/>
      <c r="E1669" s="68"/>
      <c r="F1669" s="17"/>
      <c r="G1669" s="27"/>
    </row>
    <row r="1670" spans="2:7" ht="20.25" customHeight="1" x14ac:dyDescent="0.3">
      <c r="B1670" s="17"/>
      <c r="C1670" s="27"/>
      <c r="D1670" s="67"/>
      <c r="E1670" s="68"/>
      <c r="F1670" s="17"/>
      <c r="G1670" s="27"/>
    </row>
    <row r="1671" spans="2:7" ht="20.25" customHeight="1" x14ac:dyDescent="0.3">
      <c r="B1671" s="17"/>
      <c r="C1671" s="27"/>
      <c r="D1671" s="67"/>
      <c r="E1671" s="68"/>
      <c r="F1671" s="17"/>
      <c r="G1671" s="27"/>
    </row>
    <row r="1672" spans="2:7" ht="20.25" customHeight="1" x14ac:dyDescent="0.3">
      <c r="B1672" s="17"/>
      <c r="C1672" s="27"/>
      <c r="D1672" s="67"/>
      <c r="E1672" s="68"/>
      <c r="F1672" s="17"/>
      <c r="G1672" s="27"/>
    </row>
    <row r="1673" spans="2:7" ht="20.25" customHeight="1" x14ac:dyDescent="0.3">
      <c r="B1673" s="17"/>
      <c r="C1673" s="27"/>
      <c r="D1673" s="67"/>
      <c r="E1673" s="68"/>
      <c r="F1673" s="17"/>
      <c r="G1673" s="27"/>
    </row>
    <row r="1674" spans="2:7" ht="20.25" customHeight="1" x14ac:dyDescent="0.3">
      <c r="B1674" s="17"/>
      <c r="C1674" s="27"/>
      <c r="D1674" s="67"/>
      <c r="E1674" s="68"/>
      <c r="F1674" s="17"/>
      <c r="G1674" s="27"/>
    </row>
    <row r="1675" spans="2:7" ht="20.25" customHeight="1" x14ac:dyDescent="0.3">
      <c r="B1675" s="17"/>
      <c r="C1675" s="27"/>
      <c r="D1675" s="67"/>
      <c r="E1675" s="68"/>
      <c r="F1675" s="17"/>
      <c r="G1675" s="27"/>
    </row>
    <row r="1676" spans="2:7" ht="20.25" customHeight="1" x14ac:dyDescent="0.3">
      <c r="B1676" s="17"/>
      <c r="C1676" s="27"/>
      <c r="D1676" s="67"/>
      <c r="E1676" s="68"/>
      <c r="F1676" s="17"/>
      <c r="G1676" s="27"/>
    </row>
    <row r="1677" spans="2:7" ht="20.25" customHeight="1" x14ac:dyDescent="0.3">
      <c r="B1677" s="17"/>
      <c r="C1677" s="27"/>
      <c r="D1677" s="67"/>
      <c r="E1677" s="68"/>
      <c r="F1677" s="17"/>
      <c r="G1677" s="27"/>
    </row>
    <row r="1678" spans="2:7" ht="20.25" customHeight="1" x14ac:dyDescent="0.3">
      <c r="B1678" s="17"/>
      <c r="C1678" s="27"/>
      <c r="D1678" s="67"/>
      <c r="E1678" s="68"/>
      <c r="F1678" s="17"/>
      <c r="G1678" s="27"/>
    </row>
    <row r="1679" spans="2:7" ht="20.25" customHeight="1" x14ac:dyDescent="0.3">
      <c r="B1679" s="17"/>
      <c r="C1679" s="27"/>
      <c r="D1679" s="67"/>
      <c r="E1679" s="68"/>
      <c r="F1679" s="17"/>
      <c r="G1679" s="27"/>
    </row>
    <row r="1680" spans="2:7" ht="20.25" customHeight="1" x14ac:dyDescent="0.3">
      <c r="B1680" s="17"/>
      <c r="C1680" s="27"/>
      <c r="D1680" s="67"/>
      <c r="E1680" s="68"/>
      <c r="F1680" s="17"/>
      <c r="G1680" s="27"/>
    </row>
    <row r="1681" spans="2:7" ht="20.25" customHeight="1" x14ac:dyDescent="0.3">
      <c r="B1681" s="17"/>
      <c r="C1681" s="27"/>
      <c r="D1681" s="67"/>
      <c r="E1681" s="68"/>
      <c r="F1681" s="17"/>
      <c r="G1681" s="27"/>
    </row>
    <row r="1682" spans="2:7" ht="20.25" customHeight="1" x14ac:dyDescent="0.3">
      <c r="B1682" s="17"/>
      <c r="C1682" s="27"/>
      <c r="D1682" s="67"/>
      <c r="E1682" s="68"/>
      <c r="F1682" s="17"/>
      <c r="G1682" s="27"/>
    </row>
    <row r="1683" spans="2:7" ht="20.25" customHeight="1" x14ac:dyDescent="0.3">
      <c r="B1683" s="17"/>
      <c r="C1683" s="27"/>
      <c r="D1683" s="67"/>
      <c r="E1683" s="68"/>
      <c r="F1683" s="17"/>
      <c r="G1683" s="27"/>
    </row>
    <row r="1684" spans="2:7" ht="20.25" customHeight="1" x14ac:dyDescent="0.3">
      <c r="B1684" s="17"/>
      <c r="C1684" s="27"/>
      <c r="D1684" s="67"/>
      <c r="E1684" s="68"/>
      <c r="F1684" s="17"/>
      <c r="G1684" s="27"/>
    </row>
    <row r="1685" spans="2:7" ht="20.25" customHeight="1" x14ac:dyDescent="0.3">
      <c r="B1685" s="17"/>
      <c r="C1685" s="27"/>
      <c r="D1685" s="67"/>
      <c r="E1685" s="68"/>
      <c r="F1685" s="17"/>
      <c r="G1685" s="27"/>
    </row>
    <row r="1686" spans="2:7" ht="20.25" customHeight="1" x14ac:dyDescent="0.3">
      <c r="B1686" s="17"/>
      <c r="C1686" s="27"/>
      <c r="D1686" s="67"/>
      <c r="E1686" s="68"/>
      <c r="F1686" s="17"/>
      <c r="G1686" s="27"/>
    </row>
    <row r="1687" spans="2:7" ht="20.25" customHeight="1" x14ac:dyDescent="0.3">
      <c r="B1687" s="17"/>
      <c r="C1687" s="27"/>
      <c r="D1687" s="67"/>
      <c r="E1687" s="68"/>
      <c r="F1687" s="17"/>
      <c r="G1687" s="27"/>
    </row>
    <row r="1688" spans="2:7" ht="20.25" customHeight="1" x14ac:dyDescent="0.3">
      <c r="B1688" s="17"/>
      <c r="C1688" s="27"/>
      <c r="D1688" s="67"/>
      <c r="E1688" s="68"/>
      <c r="F1688" s="17"/>
      <c r="G1688" s="27"/>
    </row>
    <row r="1689" spans="2:7" ht="20.25" customHeight="1" x14ac:dyDescent="0.3">
      <c r="B1689" s="17"/>
      <c r="C1689" s="27"/>
      <c r="D1689" s="67"/>
      <c r="E1689" s="68"/>
      <c r="F1689" s="17"/>
      <c r="G1689" s="27"/>
    </row>
    <row r="1690" spans="2:7" ht="20.25" customHeight="1" x14ac:dyDescent="0.3">
      <c r="B1690" s="17"/>
      <c r="C1690" s="27"/>
      <c r="D1690" s="67"/>
      <c r="E1690" s="68"/>
      <c r="F1690" s="17"/>
      <c r="G1690" s="27"/>
    </row>
    <row r="1691" spans="2:7" ht="20.25" customHeight="1" x14ac:dyDescent="0.3">
      <c r="B1691" s="17"/>
      <c r="C1691" s="27"/>
      <c r="D1691" s="67"/>
      <c r="E1691" s="68"/>
      <c r="F1691" s="17"/>
      <c r="G1691" s="27"/>
    </row>
    <row r="1692" spans="2:7" ht="20.25" customHeight="1" x14ac:dyDescent="0.3">
      <c r="B1692" s="17"/>
      <c r="C1692" s="27"/>
      <c r="D1692" s="67"/>
      <c r="E1692" s="68"/>
      <c r="F1692" s="17"/>
      <c r="G1692" s="27"/>
    </row>
    <row r="1693" spans="2:7" ht="20.25" customHeight="1" x14ac:dyDescent="0.3">
      <c r="B1693" s="17"/>
      <c r="C1693" s="27"/>
      <c r="D1693" s="67"/>
      <c r="E1693" s="68"/>
      <c r="F1693" s="17"/>
      <c r="G1693" s="27"/>
    </row>
    <row r="1694" spans="2:7" ht="20.25" customHeight="1" x14ac:dyDescent="0.3">
      <c r="B1694" s="17"/>
      <c r="C1694" s="27"/>
      <c r="D1694" s="67"/>
      <c r="E1694" s="68"/>
      <c r="F1694" s="17"/>
      <c r="G1694" s="27"/>
    </row>
    <row r="1695" spans="2:7" ht="20.25" customHeight="1" x14ac:dyDescent="0.3">
      <c r="B1695" s="17"/>
      <c r="C1695" s="27"/>
      <c r="D1695" s="67"/>
      <c r="E1695" s="68"/>
      <c r="F1695" s="17"/>
      <c r="G1695" s="27"/>
    </row>
    <row r="1696" spans="2:7" ht="20.25" customHeight="1" x14ac:dyDescent="0.3">
      <c r="B1696" s="17"/>
      <c r="C1696" s="27"/>
      <c r="D1696" s="67"/>
      <c r="E1696" s="68"/>
      <c r="F1696" s="17"/>
      <c r="G1696" s="27"/>
    </row>
    <row r="1697" spans="2:7" ht="20.25" customHeight="1" x14ac:dyDescent="0.3">
      <c r="B1697" s="17"/>
      <c r="C1697" s="27"/>
      <c r="D1697" s="67"/>
      <c r="E1697" s="68"/>
      <c r="F1697" s="17"/>
      <c r="G1697" s="27"/>
    </row>
    <row r="1698" spans="2:7" ht="20.25" customHeight="1" x14ac:dyDescent="0.3">
      <c r="B1698" s="17"/>
      <c r="C1698" s="27"/>
      <c r="D1698" s="67"/>
      <c r="E1698" s="68"/>
      <c r="F1698" s="17"/>
      <c r="G1698" s="27"/>
    </row>
    <row r="1699" spans="2:7" ht="20.25" customHeight="1" x14ac:dyDescent="0.3">
      <c r="B1699" s="17"/>
      <c r="C1699" s="27"/>
      <c r="D1699" s="67"/>
      <c r="E1699" s="68"/>
      <c r="F1699" s="17"/>
      <c r="G1699" s="27"/>
    </row>
    <row r="1700" spans="2:7" ht="20.25" customHeight="1" x14ac:dyDescent="0.3">
      <c r="B1700" s="17"/>
      <c r="C1700" s="27"/>
      <c r="D1700" s="67"/>
      <c r="E1700" s="68"/>
      <c r="F1700" s="17"/>
      <c r="G1700" s="27"/>
    </row>
    <row r="1701" spans="2:7" ht="20.25" customHeight="1" x14ac:dyDescent="0.3">
      <c r="B1701" s="17"/>
      <c r="C1701" s="27"/>
      <c r="D1701" s="67"/>
      <c r="E1701" s="68"/>
      <c r="F1701" s="17"/>
      <c r="G1701" s="27"/>
    </row>
    <row r="1702" spans="2:7" ht="20.25" customHeight="1" x14ac:dyDescent="0.3">
      <c r="B1702" s="17"/>
      <c r="C1702" s="27"/>
      <c r="D1702" s="67"/>
      <c r="E1702" s="68"/>
      <c r="F1702" s="17"/>
      <c r="G1702" s="27"/>
    </row>
    <row r="1703" spans="2:7" ht="20.25" customHeight="1" x14ac:dyDescent="0.3">
      <c r="B1703" s="17"/>
      <c r="C1703" s="27"/>
      <c r="D1703" s="67"/>
      <c r="E1703" s="68"/>
      <c r="F1703" s="17"/>
      <c r="G1703" s="27"/>
    </row>
    <row r="1704" spans="2:7" ht="20.25" customHeight="1" x14ac:dyDescent="0.3">
      <c r="B1704" s="17"/>
      <c r="C1704" s="27"/>
      <c r="D1704" s="67"/>
      <c r="E1704" s="68"/>
      <c r="F1704" s="17"/>
      <c r="G1704" s="27"/>
    </row>
    <row r="1705" spans="2:7" ht="20.25" customHeight="1" x14ac:dyDescent="0.3">
      <c r="B1705" s="17"/>
      <c r="C1705" s="27"/>
      <c r="D1705" s="67"/>
      <c r="E1705" s="68"/>
      <c r="F1705" s="17"/>
      <c r="G1705" s="27"/>
    </row>
    <row r="1706" spans="2:7" ht="20.25" customHeight="1" x14ac:dyDescent="0.3">
      <c r="B1706" s="17"/>
      <c r="C1706" s="27"/>
      <c r="D1706" s="67"/>
      <c r="E1706" s="68"/>
      <c r="F1706" s="17"/>
      <c r="G1706" s="27"/>
    </row>
    <row r="1707" spans="2:7" ht="20.25" customHeight="1" x14ac:dyDescent="0.3">
      <c r="B1707" s="17"/>
      <c r="C1707" s="27"/>
      <c r="D1707" s="67"/>
      <c r="E1707" s="68"/>
      <c r="F1707" s="17"/>
      <c r="G1707" s="27"/>
    </row>
    <row r="1708" spans="2:7" ht="20.25" customHeight="1" x14ac:dyDescent="0.3">
      <c r="B1708" s="17"/>
      <c r="C1708" s="27"/>
      <c r="D1708" s="67"/>
      <c r="E1708" s="68"/>
      <c r="F1708" s="17"/>
      <c r="G1708" s="27"/>
    </row>
    <row r="1709" spans="2:7" ht="20.25" customHeight="1" x14ac:dyDescent="0.3">
      <c r="B1709" s="17"/>
      <c r="C1709" s="27"/>
      <c r="D1709" s="67"/>
      <c r="E1709" s="68"/>
      <c r="F1709" s="17"/>
      <c r="G1709" s="27"/>
    </row>
    <row r="1710" spans="2:7" ht="20.25" customHeight="1" x14ac:dyDescent="0.3">
      <c r="B1710" s="17"/>
      <c r="C1710" s="27"/>
      <c r="D1710" s="67"/>
      <c r="E1710" s="68"/>
      <c r="F1710" s="17"/>
      <c r="G1710" s="27"/>
    </row>
    <row r="1711" spans="2:7" ht="20.25" customHeight="1" x14ac:dyDescent="0.3">
      <c r="B1711" s="17"/>
      <c r="C1711" s="27"/>
      <c r="D1711" s="67"/>
      <c r="E1711" s="68"/>
      <c r="F1711" s="17"/>
      <c r="G1711" s="27"/>
    </row>
    <row r="1712" spans="2:7" ht="20.25" customHeight="1" x14ac:dyDescent="0.3">
      <c r="B1712" s="17"/>
      <c r="C1712" s="27"/>
      <c r="D1712" s="67"/>
      <c r="E1712" s="68"/>
      <c r="F1712" s="17"/>
      <c r="G1712" s="27"/>
    </row>
    <row r="1713" spans="2:7" ht="20.25" customHeight="1" x14ac:dyDescent="0.3">
      <c r="B1713" s="17"/>
      <c r="C1713" s="27"/>
      <c r="D1713" s="67"/>
      <c r="E1713" s="68"/>
      <c r="F1713" s="17"/>
      <c r="G1713" s="27"/>
    </row>
    <row r="1714" spans="2:7" ht="20.25" customHeight="1" x14ac:dyDescent="0.3">
      <c r="B1714" s="17"/>
      <c r="C1714" s="27"/>
      <c r="D1714" s="67"/>
      <c r="E1714" s="68"/>
      <c r="F1714" s="17"/>
      <c r="G1714" s="27"/>
    </row>
    <row r="1715" spans="2:7" ht="20.25" customHeight="1" x14ac:dyDescent="0.3">
      <c r="B1715" s="17"/>
      <c r="C1715" s="27"/>
      <c r="D1715" s="67"/>
      <c r="E1715" s="68"/>
      <c r="F1715" s="17"/>
      <c r="G1715" s="27"/>
    </row>
    <row r="1716" spans="2:7" ht="20.25" customHeight="1" x14ac:dyDescent="0.3">
      <c r="B1716" s="17"/>
      <c r="C1716" s="27"/>
      <c r="D1716" s="67"/>
      <c r="E1716" s="68"/>
      <c r="F1716" s="17"/>
      <c r="G1716" s="27"/>
    </row>
    <row r="1717" spans="2:7" ht="20.25" customHeight="1" x14ac:dyDescent="0.3">
      <c r="B1717" s="17"/>
      <c r="C1717" s="27"/>
      <c r="D1717" s="67"/>
      <c r="E1717" s="68"/>
      <c r="F1717" s="17"/>
      <c r="G1717" s="27"/>
    </row>
    <row r="1718" spans="2:7" ht="20.25" customHeight="1" x14ac:dyDescent="0.3">
      <c r="B1718" s="17"/>
      <c r="C1718" s="27"/>
      <c r="D1718" s="67"/>
      <c r="E1718" s="68"/>
      <c r="F1718" s="17"/>
      <c r="G1718" s="27"/>
    </row>
    <row r="1719" spans="2:7" ht="20.25" customHeight="1" x14ac:dyDescent="0.3">
      <c r="B1719" s="17"/>
      <c r="C1719" s="27"/>
      <c r="D1719" s="67"/>
      <c r="E1719" s="68"/>
      <c r="F1719" s="17"/>
      <c r="G1719" s="27"/>
    </row>
    <row r="1720" spans="2:7" ht="20.25" customHeight="1" x14ac:dyDescent="0.3">
      <c r="B1720" s="17"/>
      <c r="C1720" s="27"/>
      <c r="D1720" s="67"/>
      <c r="E1720" s="68"/>
      <c r="F1720" s="17"/>
      <c r="G1720" s="27"/>
    </row>
    <row r="1721" spans="2:7" ht="20.25" customHeight="1" x14ac:dyDescent="0.3">
      <c r="B1721" s="17"/>
      <c r="C1721" s="27"/>
      <c r="D1721" s="67"/>
      <c r="E1721" s="68"/>
      <c r="F1721" s="17"/>
      <c r="G1721" s="27"/>
    </row>
    <row r="1722" spans="2:7" ht="20.25" customHeight="1" x14ac:dyDescent="0.3">
      <c r="B1722" s="17"/>
      <c r="C1722" s="27"/>
      <c r="D1722" s="67"/>
      <c r="E1722" s="68"/>
      <c r="F1722" s="17"/>
      <c r="G1722" s="27"/>
    </row>
    <row r="1723" spans="2:7" ht="20.25" customHeight="1" x14ac:dyDescent="0.3">
      <c r="B1723" s="17"/>
      <c r="C1723" s="27"/>
      <c r="D1723" s="67"/>
      <c r="E1723" s="68"/>
      <c r="F1723" s="17"/>
      <c r="G1723" s="27"/>
    </row>
    <row r="1724" spans="2:7" ht="20.25" customHeight="1" x14ac:dyDescent="0.3">
      <c r="B1724" s="17"/>
      <c r="C1724" s="27"/>
      <c r="D1724" s="67"/>
      <c r="E1724" s="68"/>
      <c r="F1724" s="17"/>
      <c r="G1724" s="27"/>
    </row>
    <row r="1725" spans="2:7" ht="20.25" customHeight="1" x14ac:dyDescent="0.3">
      <c r="B1725" s="17"/>
      <c r="C1725" s="27"/>
      <c r="D1725" s="67"/>
      <c r="E1725" s="68"/>
      <c r="F1725" s="17"/>
      <c r="G1725" s="27"/>
    </row>
    <row r="1726" spans="2:7" ht="20.25" customHeight="1" x14ac:dyDescent="0.3">
      <c r="B1726" s="17"/>
      <c r="C1726" s="27"/>
      <c r="D1726" s="67"/>
      <c r="E1726" s="68"/>
      <c r="F1726" s="17"/>
      <c r="G1726" s="27"/>
    </row>
    <row r="1727" spans="2:7" ht="20.25" customHeight="1" x14ac:dyDescent="0.3">
      <c r="B1727" s="17"/>
      <c r="C1727" s="27"/>
      <c r="D1727" s="67"/>
      <c r="E1727" s="68"/>
      <c r="F1727" s="17"/>
      <c r="G1727" s="27"/>
    </row>
    <row r="1728" spans="2:7" ht="20.25" customHeight="1" x14ac:dyDescent="0.3">
      <c r="B1728" s="17"/>
      <c r="C1728" s="27"/>
      <c r="D1728" s="67"/>
      <c r="E1728" s="68"/>
      <c r="F1728" s="17"/>
      <c r="G1728" s="27"/>
    </row>
    <row r="1729" spans="2:7" ht="20.25" customHeight="1" x14ac:dyDescent="0.3">
      <c r="B1729" s="17"/>
      <c r="C1729" s="27"/>
      <c r="D1729" s="67"/>
      <c r="E1729" s="68"/>
      <c r="F1729" s="17"/>
      <c r="G1729" s="27"/>
    </row>
    <row r="1730" spans="2:7" ht="20.25" customHeight="1" x14ac:dyDescent="0.3">
      <c r="B1730" s="17"/>
      <c r="C1730" s="27"/>
      <c r="D1730" s="67"/>
      <c r="E1730" s="68"/>
      <c r="F1730" s="17"/>
      <c r="G1730" s="27"/>
    </row>
    <row r="1731" spans="2:7" ht="20.25" customHeight="1" x14ac:dyDescent="0.3">
      <c r="B1731" s="17"/>
      <c r="C1731" s="27"/>
      <c r="D1731" s="67"/>
      <c r="E1731" s="68"/>
      <c r="F1731" s="17"/>
      <c r="G1731" s="27"/>
    </row>
    <row r="1732" spans="2:7" ht="20.25" customHeight="1" x14ac:dyDescent="0.3">
      <c r="B1732" s="17"/>
      <c r="C1732" s="27"/>
      <c r="D1732" s="67"/>
      <c r="E1732" s="68"/>
      <c r="F1732" s="17"/>
      <c r="G1732" s="27"/>
    </row>
    <row r="1733" spans="2:7" ht="20.25" customHeight="1" x14ac:dyDescent="0.3">
      <c r="B1733" s="17"/>
      <c r="C1733" s="27"/>
      <c r="D1733" s="67"/>
      <c r="E1733" s="68"/>
      <c r="F1733" s="17"/>
      <c r="G1733" s="27"/>
    </row>
    <row r="1734" spans="2:7" ht="20.25" customHeight="1" x14ac:dyDescent="0.3">
      <c r="B1734" s="17"/>
      <c r="C1734" s="27"/>
      <c r="D1734" s="67"/>
      <c r="E1734" s="68"/>
      <c r="F1734" s="17"/>
      <c r="G1734" s="27"/>
    </row>
    <row r="1735" spans="2:7" ht="20.25" customHeight="1" x14ac:dyDescent="0.3">
      <c r="B1735" s="17"/>
      <c r="C1735" s="27"/>
      <c r="D1735" s="67"/>
      <c r="E1735" s="68"/>
      <c r="F1735" s="17"/>
      <c r="G1735" s="27"/>
    </row>
    <row r="1736" spans="2:7" ht="20.25" customHeight="1" x14ac:dyDescent="0.3">
      <c r="B1736" s="17"/>
      <c r="C1736" s="27"/>
      <c r="D1736" s="67"/>
      <c r="E1736" s="68"/>
      <c r="F1736" s="17"/>
      <c r="G1736" s="27"/>
    </row>
    <row r="1737" spans="2:7" ht="20.25" customHeight="1" x14ac:dyDescent="0.3">
      <c r="B1737" s="17"/>
      <c r="C1737" s="27"/>
      <c r="D1737" s="67"/>
      <c r="E1737" s="68"/>
      <c r="F1737" s="17"/>
      <c r="G1737" s="27"/>
    </row>
    <row r="1738" spans="2:7" ht="20.25" customHeight="1" x14ac:dyDescent="0.3">
      <c r="B1738" s="17"/>
      <c r="C1738" s="27"/>
      <c r="D1738" s="67"/>
      <c r="E1738" s="68"/>
      <c r="F1738" s="17"/>
      <c r="G1738" s="27"/>
    </row>
    <row r="1739" spans="2:7" ht="20.25" customHeight="1" x14ac:dyDescent="0.3">
      <c r="B1739" s="17"/>
      <c r="C1739" s="27"/>
      <c r="D1739" s="67"/>
      <c r="E1739" s="68"/>
      <c r="F1739" s="17"/>
      <c r="G1739" s="27"/>
    </row>
    <row r="1740" spans="2:7" ht="20.25" customHeight="1" x14ac:dyDescent="0.3">
      <c r="B1740" s="17"/>
      <c r="C1740" s="27"/>
      <c r="D1740" s="67"/>
      <c r="E1740" s="68"/>
      <c r="F1740" s="17"/>
      <c r="G1740" s="27"/>
    </row>
    <row r="1741" spans="2:7" ht="20.25" customHeight="1" x14ac:dyDescent="0.3">
      <c r="B1741" s="17"/>
      <c r="C1741" s="27"/>
      <c r="D1741" s="67"/>
      <c r="E1741" s="68"/>
      <c r="F1741" s="17"/>
      <c r="G1741" s="27"/>
    </row>
    <row r="1742" spans="2:7" ht="20.25" customHeight="1" x14ac:dyDescent="0.3">
      <c r="B1742" s="17"/>
      <c r="C1742" s="27"/>
      <c r="D1742" s="67"/>
      <c r="E1742" s="68"/>
      <c r="F1742" s="17"/>
      <c r="G1742" s="27"/>
    </row>
    <row r="1743" spans="2:7" ht="20.25" customHeight="1" x14ac:dyDescent="0.3">
      <c r="B1743" s="17"/>
      <c r="C1743" s="27"/>
      <c r="D1743" s="67"/>
      <c r="E1743" s="68"/>
      <c r="F1743" s="17"/>
      <c r="G1743" s="27"/>
    </row>
    <row r="1744" spans="2:7" ht="20.25" customHeight="1" x14ac:dyDescent="0.3">
      <c r="B1744" s="17"/>
      <c r="C1744" s="27"/>
      <c r="D1744" s="67"/>
      <c r="E1744" s="68"/>
      <c r="F1744" s="17"/>
      <c r="G1744" s="27"/>
    </row>
    <row r="1745" spans="2:7" ht="20.25" customHeight="1" x14ac:dyDescent="0.3">
      <c r="B1745" s="17"/>
      <c r="C1745" s="27"/>
      <c r="D1745" s="67"/>
      <c r="E1745" s="68"/>
      <c r="F1745" s="17"/>
      <c r="G1745" s="27"/>
    </row>
    <row r="1746" spans="2:7" ht="20.25" customHeight="1" x14ac:dyDescent="0.3">
      <c r="B1746" s="17"/>
      <c r="C1746" s="27"/>
      <c r="D1746" s="67"/>
      <c r="E1746" s="68"/>
      <c r="F1746" s="17"/>
      <c r="G1746" s="27"/>
    </row>
    <row r="1747" spans="2:7" ht="20.25" customHeight="1" x14ac:dyDescent="0.3">
      <c r="B1747" s="17"/>
      <c r="C1747" s="27"/>
      <c r="D1747" s="67"/>
      <c r="E1747" s="68"/>
      <c r="F1747" s="17"/>
      <c r="G1747" s="27"/>
    </row>
    <row r="1748" spans="2:7" ht="20.25" customHeight="1" x14ac:dyDescent="0.3">
      <c r="B1748" s="17"/>
      <c r="C1748" s="27"/>
      <c r="D1748" s="67"/>
      <c r="E1748" s="68"/>
      <c r="F1748" s="17"/>
      <c r="G1748" s="27"/>
    </row>
    <row r="1749" spans="2:7" ht="20.25" customHeight="1" x14ac:dyDescent="0.3">
      <c r="B1749" s="17"/>
      <c r="C1749" s="27"/>
      <c r="D1749" s="67"/>
      <c r="E1749" s="68"/>
      <c r="F1749" s="17"/>
      <c r="G1749" s="27"/>
    </row>
    <row r="1750" spans="2:7" ht="20.25" customHeight="1" x14ac:dyDescent="0.3">
      <c r="B1750" s="17"/>
      <c r="C1750" s="27"/>
      <c r="D1750" s="67"/>
      <c r="E1750" s="68"/>
      <c r="F1750" s="17"/>
      <c r="G1750" s="27"/>
    </row>
    <row r="1751" spans="2:7" ht="20.25" customHeight="1" x14ac:dyDescent="0.3">
      <c r="B1751" s="17"/>
      <c r="C1751" s="27"/>
      <c r="D1751" s="67"/>
      <c r="E1751" s="68"/>
      <c r="F1751" s="17"/>
      <c r="G1751" s="27"/>
    </row>
    <row r="1752" spans="2:7" ht="20.25" customHeight="1" x14ac:dyDescent="0.3">
      <c r="B1752" s="17"/>
      <c r="C1752" s="27"/>
      <c r="D1752" s="67"/>
      <c r="E1752" s="68"/>
      <c r="F1752" s="17"/>
      <c r="G1752" s="27"/>
    </row>
    <row r="1753" spans="2:7" ht="20.25" customHeight="1" x14ac:dyDescent="0.3">
      <c r="B1753" s="17"/>
      <c r="C1753" s="27"/>
      <c r="D1753" s="67"/>
      <c r="E1753" s="68"/>
      <c r="F1753" s="17"/>
      <c r="G1753" s="27"/>
    </row>
    <row r="1754" spans="2:7" ht="20.25" customHeight="1" x14ac:dyDescent="0.3">
      <c r="B1754" s="17"/>
      <c r="C1754" s="27"/>
      <c r="D1754" s="67"/>
      <c r="E1754" s="68"/>
      <c r="F1754" s="17"/>
      <c r="G1754" s="27"/>
    </row>
    <row r="1755" spans="2:7" ht="20.25" customHeight="1" x14ac:dyDescent="0.3">
      <c r="B1755" s="17"/>
      <c r="C1755" s="27"/>
      <c r="D1755" s="67"/>
      <c r="E1755" s="68"/>
      <c r="F1755" s="17"/>
      <c r="G1755" s="27"/>
    </row>
    <row r="1756" spans="2:7" ht="20.25" customHeight="1" x14ac:dyDescent="0.3">
      <c r="B1756" s="17"/>
      <c r="C1756" s="27"/>
      <c r="D1756" s="67"/>
      <c r="E1756" s="68"/>
      <c r="F1756" s="17"/>
      <c r="G1756" s="27"/>
    </row>
    <row r="1757" spans="2:7" ht="20.25" customHeight="1" x14ac:dyDescent="0.3">
      <c r="B1757" s="17"/>
      <c r="C1757" s="27"/>
      <c r="D1757" s="67"/>
      <c r="E1757" s="68"/>
      <c r="F1757" s="17"/>
      <c r="G1757" s="27"/>
    </row>
    <row r="1758" spans="2:7" ht="20.25" customHeight="1" x14ac:dyDescent="0.3">
      <c r="B1758" s="17"/>
      <c r="C1758" s="27"/>
      <c r="D1758" s="67"/>
      <c r="E1758" s="68"/>
      <c r="F1758" s="17"/>
      <c r="G1758" s="27"/>
    </row>
    <row r="1759" spans="2:7" ht="20.25" customHeight="1" x14ac:dyDescent="0.3">
      <c r="B1759" s="17"/>
      <c r="C1759" s="27"/>
      <c r="D1759" s="67"/>
      <c r="E1759" s="68"/>
      <c r="F1759" s="17"/>
      <c r="G1759" s="27"/>
    </row>
    <row r="1760" spans="2:7" ht="20.25" customHeight="1" x14ac:dyDescent="0.3">
      <c r="B1760" s="17"/>
      <c r="C1760" s="27"/>
      <c r="D1760" s="67"/>
      <c r="E1760" s="68"/>
      <c r="F1760" s="17"/>
      <c r="G1760" s="27"/>
    </row>
    <row r="1761" spans="2:7" ht="20.25" customHeight="1" x14ac:dyDescent="0.3">
      <c r="B1761" s="17"/>
      <c r="C1761" s="27"/>
      <c r="D1761" s="67"/>
      <c r="E1761" s="68"/>
      <c r="F1761" s="17"/>
      <c r="G1761" s="27"/>
    </row>
    <row r="1762" spans="2:7" ht="20.25" customHeight="1" x14ac:dyDescent="0.3">
      <c r="B1762" s="17"/>
      <c r="C1762" s="27"/>
      <c r="D1762" s="67"/>
      <c r="E1762" s="68"/>
      <c r="F1762" s="17"/>
      <c r="G1762" s="27"/>
    </row>
    <row r="1763" spans="2:7" ht="20.25" customHeight="1" x14ac:dyDescent="0.3">
      <c r="B1763" s="17"/>
      <c r="C1763" s="27"/>
      <c r="D1763" s="67"/>
      <c r="E1763" s="68"/>
      <c r="F1763" s="17"/>
      <c r="G1763" s="27"/>
    </row>
    <row r="1764" spans="2:7" ht="20.25" customHeight="1" x14ac:dyDescent="0.3">
      <c r="B1764" s="17"/>
      <c r="C1764" s="27"/>
      <c r="D1764" s="67"/>
      <c r="E1764" s="68"/>
      <c r="F1764" s="17"/>
      <c r="G1764" s="27"/>
    </row>
    <row r="1765" spans="2:7" ht="20.25" customHeight="1" x14ac:dyDescent="0.3">
      <c r="B1765" s="17"/>
      <c r="C1765" s="27"/>
      <c r="D1765" s="67"/>
      <c r="E1765" s="68"/>
      <c r="F1765" s="17"/>
      <c r="G1765" s="27"/>
    </row>
    <row r="1766" spans="2:7" ht="20.25" customHeight="1" x14ac:dyDescent="0.3">
      <c r="B1766" s="17"/>
      <c r="C1766" s="27"/>
      <c r="D1766" s="67"/>
      <c r="E1766" s="68"/>
      <c r="F1766" s="17"/>
      <c r="G1766" s="27"/>
    </row>
    <row r="1767" spans="2:7" ht="20.25" customHeight="1" x14ac:dyDescent="0.3">
      <c r="B1767" s="17"/>
      <c r="C1767" s="27"/>
      <c r="D1767" s="67"/>
      <c r="E1767" s="68"/>
      <c r="F1767" s="17"/>
      <c r="G1767" s="27"/>
    </row>
    <row r="1768" spans="2:7" ht="20.25" customHeight="1" x14ac:dyDescent="0.3">
      <c r="B1768" s="17"/>
      <c r="C1768" s="27"/>
      <c r="D1768" s="67"/>
      <c r="E1768" s="68"/>
      <c r="F1768" s="17"/>
      <c r="G1768" s="27"/>
    </row>
    <row r="1769" spans="2:7" ht="20.25" customHeight="1" x14ac:dyDescent="0.3">
      <c r="B1769" s="17"/>
      <c r="C1769" s="27"/>
      <c r="D1769" s="67"/>
      <c r="E1769" s="68"/>
      <c r="F1769" s="17"/>
      <c r="G1769" s="27"/>
    </row>
    <row r="1770" spans="2:7" ht="20.25" customHeight="1" x14ac:dyDescent="0.3">
      <c r="B1770" s="17"/>
      <c r="C1770" s="27"/>
      <c r="D1770" s="67"/>
      <c r="E1770" s="68"/>
      <c r="F1770" s="17"/>
      <c r="G1770" s="27"/>
    </row>
    <row r="1771" spans="2:7" ht="20.25" customHeight="1" x14ac:dyDescent="0.3">
      <c r="B1771" s="17"/>
      <c r="C1771" s="27"/>
      <c r="D1771" s="67"/>
      <c r="E1771" s="68"/>
      <c r="F1771" s="17"/>
      <c r="G1771" s="27"/>
    </row>
    <row r="1772" spans="2:7" ht="20.25" customHeight="1" x14ac:dyDescent="0.3">
      <c r="B1772" s="17"/>
      <c r="C1772" s="27"/>
      <c r="D1772" s="67"/>
      <c r="E1772" s="68"/>
      <c r="F1772" s="17"/>
      <c r="G1772" s="27"/>
    </row>
    <row r="1773" spans="2:7" ht="20.25" customHeight="1" x14ac:dyDescent="0.3">
      <c r="B1773" s="17"/>
      <c r="C1773" s="27"/>
      <c r="D1773" s="67"/>
      <c r="E1773" s="68"/>
      <c r="F1773" s="17"/>
      <c r="G1773" s="27"/>
    </row>
    <row r="1774" spans="2:7" ht="20.25" customHeight="1" x14ac:dyDescent="0.3">
      <c r="B1774" s="17"/>
      <c r="C1774" s="27"/>
      <c r="D1774" s="67"/>
      <c r="E1774" s="68"/>
      <c r="F1774" s="17"/>
      <c r="G1774" s="27"/>
    </row>
    <row r="1775" spans="2:7" ht="20.25" customHeight="1" x14ac:dyDescent="0.3">
      <c r="B1775" s="17"/>
      <c r="C1775" s="27"/>
      <c r="D1775" s="67"/>
      <c r="E1775" s="68"/>
      <c r="F1775" s="17"/>
      <c r="G1775" s="27"/>
    </row>
    <row r="1776" spans="2:7" ht="20.25" customHeight="1" x14ac:dyDescent="0.3">
      <c r="B1776" s="17"/>
      <c r="C1776" s="27"/>
      <c r="D1776" s="67"/>
      <c r="E1776" s="68"/>
      <c r="F1776" s="17"/>
      <c r="G1776" s="27"/>
    </row>
    <row r="1777" spans="2:7" ht="20.25" customHeight="1" x14ac:dyDescent="0.3">
      <c r="B1777" s="17"/>
      <c r="C1777" s="27"/>
      <c r="D1777" s="67"/>
      <c r="E1777" s="68"/>
      <c r="F1777" s="17"/>
      <c r="G1777" s="27"/>
    </row>
    <row r="1778" spans="2:7" ht="20.25" customHeight="1" x14ac:dyDescent="0.3">
      <c r="B1778" s="17"/>
      <c r="C1778" s="27"/>
      <c r="D1778" s="67"/>
      <c r="E1778" s="68"/>
      <c r="F1778" s="17"/>
      <c r="G1778" s="27"/>
    </row>
    <row r="1779" spans="2:7" ht="20.25" customHeight="1" x14ac:dyDescent="0.3">
      <c r="B1779" s="17"/>
      <c r="C1779" s="27"/>
      <c r="D1779" s="67"/>
      <c r="E1779" s="68"/>
      <c r="F1779" s="17"/>
      <c r="G1779" s="27"/>
    </row>
    <row r="1780" spans="2:7" ht="20.25" customHeight="1" x14ac:dyDescent="0.3">
      <c r="B1780" s="17"/>
      <c r="C1780" s="27"/>
      <c r="D1780" s="67"/>
      <c r="E1780" s="68"/>
      <c r="F1780" s="17"/>
      <c r="G1780" s="27"/>
    </row>
    <row r="1781" spans="2:7" ht="20.25" customHeight="1" x14ac:dyDescent="0.3">
      <c r="B1781" s="17"/>
      <c r="C1781" s="27"/>
      <c r="D1781" s="67"/>
      <c r="E1781" s="68"/>
      <c r="F1781" s="17"/>
      <c r="G1781" s="27"/>
    </row>
    <row r="1782" spans="2:7" ht="20.25" customHeight="1" x14ac:dyDescent="0.3">
      <c r="B1782" s="17"/>
      <c r="C1782" s="27"/>
      <c r="D1782" s="67"/>
      <c r="E1782" s="68"/>
      <c r="F1782" s="17"/>
      <c r="G1782" s="27"/>
    </row>
    <row r="1783" spans="2:7" ht="20.25" customHeight="1" x14ac:dyDescent="0.3">
      <c r="B1783" s="17"/>
      <c r="C1783" s="27"/>
      <c r="D1783" s="67"/>
      <c r="E1783" s="68"/>
      <c r="F1783" s="17"/>
      <c r="G1783" s="27"/>
    </row>
    <row r="1784" spans="2:7" ht="20.25" customHeight="1" x14ac:dyDescent="0.3">
      <c r="B1784" s="17"/>
      <c r="C1784" s="27"/>
      <c r="D1784" s="67"/>
      <c r="E1784" s="68"/>
      <c r="F1784" s="17"/>
      <c r="G1784" s="27"/>
    </row>
    <row r="1785" spans="2:7" ht="20.25" customHeight="1" x14ac:dyDescent="0.3">
      <c r="B1785" s="17"/>
      <c r="C1785" s="27"/>
      <c r="D1785" s="67"/>
      <c r="E1785" s="68"/>
      <c r="F1785" s="17"/>
      <c r="G1785" s="27"/>
    </row>
    <row r="1786" spans="2:7" ht="20.25" customHeight="1" x14ac:dyDescent="0.3">
      <c r="B1786" s="17"/>
      <c r="C1786" s="27"/>
      <c r="D1786" s="67"/>
      <c r="E1786" s="68"/>
      <c r="F1786" s="17"/>
      <c r="G1786" s="27"/>
    </row>
    <row r="1787" spans="2:7" ht="20.25" customHeight="1" x14ac:dyDescent="0.3">
      <c r="B1787" s="17"/>
      <c r="C1787" s="27"/>
      <c r="D1787" s="67"/>
      <c r="E1787" s="68"/>
      <c r="F1787" s="17"/>
      <c r="G1787" s="27"/>
    </row>
    <row r="1788" spans="2:7" ht="20.25" customHeight="1" x14ac:dyDescent="0.3">
      <c r="B1788" s="17"/>
      <c r="C1788" s="27"/>
      <c r="D1788" s="67"/>
      <c r="E1788" s="68"/>
      <c r="F1788" s="17"/>
      <c r="G1788" s="27"/>
    </row>
    <row r="1789" spans="2:7" ht="20.25" customHeight="1" x14ac:dyDescent="0.3">
      <c r="B1789" s="17"/>
      <c r="C1789" s="27"/>
      <c r="D1789" s="67"/>
      <c r="E1789" s="68"/>
      <c r="F1789" s="17"/>
      <c r="G1789" s="27"/>
    </row>
    <row r="1790" spans="2:7" ht="20.25" customHeight="1" x14ac:dyDescent="0.3">
      <c r="B1790" s="17"/>
      <c r="C1790" s="27"/>
      <c r="D1790" s="67"/>
      <c r="E1790" s="68"/>
      <c r="F1790" s="17"/>
      <c r="G1790" s="27"/>
    </row>
    <row r="1791" spans="2:7" ht="20.25" customHeight="1" x14ac:dyDescent="0.3">
      <c r="B1791" s="17"/>
      <c r="C1791" s="27"/>
      <c r="D1791" s="67"/>
      <c r="E1791" s="68"/>
      <c r="F1791" s="17"/>
      <c r="G1791" s="27"/>
    </row>
    <row r="1792" spans="2:7" ht="20.25" customHeight="1" x14ac:dyDescent="0.3">
      <c r="B1792" s="17"/>
      <c r="C1792" s="27"/>
      <c r="D1792" s="67"/>
      <c r="E1792" s="68"/>
      <c r="F1792" s="17"/>
      <c r="G1792" s="27"/>
    </row>
    <row r="1793" spans="2:7" ht="20.25" customHeight="1" x14ac:dyDescent="0.3">
      <c r="B1793" s="17"/>
      <c r="C1793" s="27"/>
      <c r="D1793" s="67"/>
      <c r="E1793" s="68"/>
      <c r="F1793" s="17"/>
      <c r="G1793" s="27"/>
    </row>
    <row r="1794" spans="2:7" ht="20.25" customHeight="1" x14ac:dyDescent="0.3">
      <c r="B1794" s="17"/>
      <c r="C1794" s="27"/>
      <c r="D1794" s="67"/>
      <c r="E1794" s="68"/>
      <c r="F1794" s="17"/>
      <c r="G1794" s="27"/>
    </row>
    <row r="1795" spans="2:7" ht="20.25" customHeight="1" x14ac:dyDescent="0.3">
      <c r="B1795" s="17"/>
      <c r="C1795" s="27"/>
      <c r="D1795" s="67"/>
      <c r="E1795" s="68"/>
      <c r="F1795" s="17"/>
      <c r="G1795" s="27"/>
    </row>
    <row r="1796" spans="2:7" ht="20.25" customHeight="1" x14ac:dyDescent="0.3">
      <c r="B1796" s="17"/>
      <c r="C1796" s="27"/>
      <c r="D1796" s="67"/>
      <c r="E1796" s="68"/>
      <c r="F1796" s="17"/>
      <c r="G1796" s="27"/>
    </row>
    <row r="1797" spans="2:7" ht="20.25" customHeight="1" x14ac:dyDescent="0.3">
      <c r="B1797" s="17"/>
      <c r="C1797" s="27"/>
      <c r="D1797" s="67"/>
      <c r="E1797" s="68"/>
      <c r="F1797" s="17"/>
      <c r="G1797" s="27"/>
    </row>
    <row r="1798" spans="2:7" ht="20.25" customHeight="1" x14ac:dyDescent="0.3">
      <c r="B1798" s="17"/>
      <c r="C1798" s="27"/>
      <c r="D1798" s="67"/>
      <c r="E1798" s="68"/>
      <c r="F1798" s="17"/>
      <c r="G1798" s="27"/>
    </row>
    <row r="1799" spans="2:7" ht="20.25" customHeight="1" x14ac:dyDescent="0.3">
      <c r="B1799" s="17"/>
      <c r="C1799" s="27"/>
      <c r="D1799" s="67"/>
      <c r="E1799" s="68"/>
      <c r="F1799" s="17"/>
      <c r="G1799" s="27"/>
    </row>
    <row r="1800" spans="2:7" ht="20.25" customHeight="1" x14ac:dyDescent="0.3">
      <c r="B1800" s="17"/>
      <c r="C1800" s="27"/>
      <c r="D1800" s="67"/>
      <c r="E1800" s="68"/>
      <c r="F1800" s="17"/>
      <c r="G1800" s="27"/>
    </row>
    <row r="1801" spans="2:7" ht="20.25" customHeight="1" x14ac:dyDescent="0.3">
      <c r="B1801" s="17"/>
      <c r="C1801" s="27"/>
      <c r="D1801" s="67"/>
      <c r="E1801" s="68"/>
      <c r="F1801" s="17"/>
      <c r="G1801" s="27"/>
    </row>
    <row r="1802" spans="2:7" ht="20.25" customHeight="1" x14ac:dyDescent="0.3">
      <c r="B1802" s="17"/>
      <c r="C1802" s="27"/>
      <c r="D1802" s="67"/>
      <c r="E1802" s="68"/>
      <c r="F1802" s="17"/>
      <c r="G1802" s="27"/>
    </row>
    <row r="1803" spans="2:7" ht="20.25" customHeight="1" x14ac:dyDescent="0.3">
      <c r="B1803" s="17"/>
      <c r="C1803" s="27"/>
      <c r="D1803" s="67"/>
      <c r="E1803" s="68"/>
      <c r="F1803" s="17"/>
      <c r="G1803" s="27"/>
    </row>
    <row r="1804" spans="2:7" ht="20.25" customHeight="1" x14ac:dyDescent="0.3">
      <c r="B1804" s="17"/>
      <c r="C1804" s="27"/>
      <c r="D1804" s="67"/>
      <c r="E1804" s="68"/>
      <c r="F1804" s="17"/>
      <c r="G1804" s="27"/>
    </row>
    <row r="1805" spans="2:7" ht="20.25" customHeight="1" x14ac:dyDescent="0.3">
      <c r="B1805" s="17"/>
      <c r="C1805" s="27"/>
      <c r="D1805" s="67"/>
      <c r="E1805" s="68"/>
      <c r="F1805" s="17"/>
      <c r="G1805" s="27"/>
    </row>
    <row r="1806" spans="2:7" ht="20.25" customHeight="1" x14ac:dyDescent="0.3">
      <c r="B1806" s="17"/>
      <c r="C1806" s="27"/>
      <c r="D1806" s="67"/>
      <c r="E1806" s="68"/>
      <c r="F1806" s="17"/>
      <c r="G1806" s="27"/>
    </row>
    <row r="1807" spans="2:7" ht="20.25" customHeight="1" x14ac:dyDescent="0.3">
      <c r="B1807" s="17"/>
      <c r="C1807" s="27"/>
      <c r="D1807" s="67"/>
      <c r="E1807" s="68"/>
      <c r="F1807" s="17"/>
      <c r="G1807" s="27"/>
    </row>
    <row r="1808" spans="2:7" ht="20.25" customHeight="1" x14ac:dyDescent="0.3">
      <c r="B1808" s="17"/>
      <c r="C1808" s="27"/>
      <c r="D1808" s="67"/>
      <c r="E1808" s="68"/>
      <c r="F1808" s="17"/>
      <c r="G1808" s="27"/>
    </row>
    <row r="1809" spans="2:7" ht="20.25" customHeight="1" x14ac:dyDescent="0.3">
      <c r="B1809" s="17"/>
      <c r="C1809" s="27"/>
      <c r="D1809" s="67"/>
      <c r="E1809" s="68"/>
      <c r="F1809" s="17"/>
      <c r="G1809" s="27"/>
    </row>
    <row r="1810" spans="2:7" ht="20.25" customHeight="1" x14ac:dyDescent="0.3">
      <c r="B1810" s="17"/>
      <c r="C1810" s="27"/>
      <c r="D1810" s="67"/>
      <c r="E1810" s="68"/>
      <c r="F1810" s="17"/>
      <c r="G1810" s="27"/>
    </row>
    <row r="1811" spans="2:7" ht="20.25" customHeight="1" x14ac:dyDescent="0.3">
      <c r="B1811" s="17"/>
      <c r="C1811" s="27"/>
      <c r="D1811" s="67"/>
      <c r="E1811" s="68"/>
      <c r="F1811" s="17"/>
      <c r="G1811" s="27"/>
    </row>
    <row r="1812" spans="2:7" ht="20.25" customHeight="1" x14ac:dyDescent="0.3">
      <c r="B1812" s="17"/>
      <c r="C1812" s="27"/>
      <c r="D1812" s="67"/>
      <c r="E1812" s="68"/>
      <c r="F1812" s="17"/>
      <c r="G1812" s="27"/>
    </row>
    <row r="1813" spans="2:7" ht="20.25" customHeight="1" x14ac:dyDescent="0.3">
      <c r="B1813" s="17"/>
      <c r="C1813" s="27"/>
      <c r="D1813" s="67"/>
      <c r="E1813" s="68"/>
      <c r="F1813" s="17"/>
      <c r="G1813" s="27"/>
    </row>
    <row r="1814" spans="2:7" ht="20.25" customHeight="1" x14ac:dyDescent="0.3">
      <c r="B1814" s="17"/>
      <c r="C1814" s="27"/>
      <c r="D1814" s="67"/>
      <c r="E1814" s="68"/>
      <c r="F1814" s="17"/>
      <c r="G1814" s="27"/>
    </row>
    <row r="1815" spans="2:7" ht="20.25" customHeight="1" x14ac:dyDescent="0.3">
      <c r="B1815" s="17"/>
      <c r="C1815" s="27"/>
      <c r="D1815" s="67"/>
      <c r="E1815" s="68"/>
      <c r="F1815" s="17"/>
      <c r="G1815" s="27"/>
    </row>
    <row r="1816" spans="2:7" ht="20.25" customHeight="1" x14ac:dyDescent="0.3">
      <c r="B1816" s="17"/>
      <c r="C1816" s="27"/>
      <c r="D1816" s="67"/>
      <c r="E1816" s="68"/>
      <c r="F1816" s="17"/>
      <c r="G1816" s="27"/>
    </row>
    <row r="1817" spans="2:7" ht="20.25" customHeight="1" x14ac:dyDescent="0.3">
      <c r="B1817" s="17"/>
      <c r="C1817" s="27"/>
      <c r="D1817" s="67"/>
      <c r="E1817" s="68"/>
      <c r="F1817" s="17"/>
      <c r="G1817" s="27"/>
    </row>
    <row r="1818" spans="2:7" ht="20.25" customHeight="1" x14ac:dyDescent="0.3">
      <c r="B1818" s="17"/>
      <c r="C1818" s="27"/>
      <c r="D1818" s="67"/>
      <c r="E1818" s="68"/>
      <c r="F1818" s="17"/>
      <c r="G1818" s="27"/>
    </row>
    <row r="1819" spans="2:7" ht="20.25" customHeight="1" x14ac:dyDescent="0.3">
      <c r="B1819" s="17"/>
      <c r="C1819" s="27"/>
      <c r="D1819" s="67"/>
      <c r="E1819" s="68"/>
      <c r="F1819" s="17"/>
      <c r="G1819" s="27"/>
    </row>
    <row r="1820" spans="2:7" ht="20.25" customHeight="1" x14ac:dyDescent="0.3">
      <c r="B1820" s="17"/>
      <c r="C1820" s="27"/>
      <c r="D1820" s="67"/>
      <c r="E1820" s="68"/>
      <c r="F1820" s="17"/>
      <c r="G1820" s="27"/>
    </row>
    <row r="1821" spans="2:7" ht="20.25" customHeight="1" x14ac:dyDescent="0.3">
      <c r="B1821" s="17"/>
      <c r="C1821" s="27"/>
      <c r="D1821" s="67"/>
      <c r="E1821" s="68"/>
      <c r="F1821" s="17"/>
      <c r="G1821" s="27"/>
    </row>
    <row r="1822" spans="2:7" ht="20.25" customHeight="1" x14ac:dyDescent="0.3">
      <c r="B1822" s="17"/>
      <c r="C1822" s="27"/>
      <c r="D1822" s="67"/>
      <c r="E1822" s="68"/>
      <c r="F1822" s="17"/>
      <c r="G1822" s="27"/>
    </row>
    <row r="1823" spans="2:7" ht="20.25" customHeight="1" x14ac:dyDescent="0.3">
      <c r="B1823" s="17"/>
      <c r="C1823" s="27"/>
      <c r="D1823" s="67"/>
      <c r="E1823" s="68"/>
      <c r="F1823" s="17"/>
      <c r="G1823" s="27"/>
    </row>
    <row r="1824" spans="2:7" ht="20.25" customHeight="1" x14ac:dyDescent="0.3">
      <c r="B1824" s="17"/>
      <c r="C1824" s="27"/>
      <c r="D1824" s="67"/>
      <c r="E1824" s="68"/>
      <c r="F1824" s="17"/>
      <c r="G1824" s="27"/>
    </row>
    <row r="1825" spans="2:7" ht="20.25" customHeight="1" x14ac:dyDescent="0.3">
      <c r="B1825" s="17"/>
      <c r="C1825" s="27"/>
      <c r="D1825" s="67"/>
      <c r="E1825" s="68"/>
      <c r="F1825" s="17"/>
      <c r="G1825" s="27"/>
    </row>
    <row r="1826" spans="2:7" ht="20.25" customHeight="1" x14ac:dyDescent="0.3">
      <c r="B1826" s="17"/>
      <c r="C1826" s="27"/>
      <c r="D1826" s="67"/>
      <c r="E1826" s="68"/>
      <c r="F1826" s="17"/>
      <c r="G1826" s="27"/>
    </row>
    <row r="1827" spans="2:7" ht="20.25" customHeight="1" x14ac:dyDescent="0.3">
      <c r="B1827" s="17"/>
      <c r="C1827" s="27"/>
      <c r="D1827" s="67"/>
      <c r="E1827" s="68"/>
      <c r="F1827" s="17"/>
      <c r="G1827" s="27"/>
    </row>
    <row r="1828" spans="2:7" ht="20.25" customHeight="1" x14ac:dyDescent="0.3">
      <c r="B1828" s="17"/>
      <c r="C1828" s="27"/>
      <c r="D1828" s="67"/>
      <c r="E1828" s="68"/>
      <c r="F1828" s="17"/>
      <c r="G1828" s="27"/>
    </row>
    <row r="1829" spans="2:7" ht="20.25" customHeight="1" x14ac:dyDescent="0.3">
      <c r="B1829" s="17"/>
      <c r="C1829" s="27"/>
      <c r="D1829" s="67"/>
      <c r="E1829" s="68"/>
      <c r="F1829" s="17"/>
      <c r="G1829" s="27"/>
    </row>
    <row r="1830" spans="2:7" ht="20.25" customHeight="1" x14ac:dyDescent="0.3">
      <c r="B1830" s="17"/>
      <c r="C1830" s="27"/>
      <c r="D1830" s="67"/>
      <c r="E1830" s="68"/>
      <c r="F1830" s="17"/>
      <c r="G1830" s="27"/>
    </row>
    <row r="1831" spans="2:7" ht="20.25" customHeight="1" x14ac:dyDescent="0.3">
      <c r="B1831" s="17"/>
      <c r="C1831" s="27"/>
      <c r="D1831" s="67"/>
      <c r="E1831" s="68"/>
      <c r="F1831" s="17"/>
      <c r="G1831" s="27"/>
    </row>
    <row r="1832" spans="2:7" ht="20.25" customHeight="1" x14ac:dyDescent="0.3">
      <c r="B1832" s="17"/>
      <c r="C1832" s="27"/>
      <c r="D1832" s="67"/>
      <c r="E1832" s="68"/>
      <c r="F1832" s="17"/>
      <c r="G1832" s="27"/>
    </row>
    <row r="1833" spans="2:7" ht="20.25" customHeight="1" x14ac:dyDescent="0.3">
      <c r="B1833" s="17"/>
      <c r="C1833" s="27"/>
      <c r="D1833" s="67"/>
      <c r="E1833" s="68"/>
      <c r="F1833" s="17"/>
      <c r="G1833" s="27"/>
    </row>
    <row r="1834" spans="2:7" ht="20.25" customHeight="1" x14ac:dyDescent="0.3">
      <c r="B1834" s="17"/>
      <c r="C1834" s="27"/>
      <c r="D1834" s="67"/>
      <c r="E1834" s="68"/>
      <c r="F1834" s="17"/>
      <c r="G1834" s="27"/>
    </row>
    <row r="1835" spans="2:7" ht="20.25" customHeight="1" x14ac:dyDescent="0.3">
      <c r="B1835" s="17"/>
      <c r="C1835" s="27"/>
      <c r="D1835" s="67"/>
      <c r="E1835" s="68"/>
      <c r="F1835" s="17"/>
      <c r="G1835" s="27"/>
    </row>
    <row r="1836" spans="2:7" ht="20.25" customHeight="1" x14ac:dyDescent="0.3">
      <c r="B1836" s="17"/>
      <c r="C1836" s="27"/>
      <c r="D1836" s="67"/>
      <c r="E1836" s="68"/>
      <c r="F1836" s="17"/>
      <c r="G1836" s="27"/>
    </row>
    <row r="1837" spans="2:7" ht="20.25" customHeight="1" x14ac:dyDescent="0.3">
      <c r="B1837" s="17"/>
      <c r="C1837" s="27"/>
      <c r="D1837" s="67"/>
      <c r="E1837" s="68"/>
      <c r="F1837" s="17"/>
      <c r="G1837" s="27"/>
    </row>
    <row r="1838" spans="2:7" ht="20.25" customHeight="1" x14ac:dyDescent="0.3">
      <c r="B1838" s="17"/>
      <c r="C1838" s="27"/>
      <c r="D1838" s="67"/>
      <c r="E1838" s="68"/>
      <c r="F1838" s="17"/>
      <c r="G1838" s="27"/>
    </row>
    <row r="1839" spans="2:7" ht="20.25" customHeight="1" x14ac:dyDescent="0.3">
      <c r="B1839" s="17"/>
      <c r="C1839" s="27"/>
      <c r="D1839" s="67"/>
      <c r="E1839" s="68"/>
      <c r="F1839" s="17"/>
      <c r="G1839" s="27"/>
    </row>
    <row r="1840" spans="2:7" ht="20.25" customHeight="1" x14ac:dyDescent="0.3">
      <c r="B1840" s="17"/>
      <c r="C1840" s="27"/>
      <c r="D1840" s="67"/>
      <c r="E1840" s="68"/>
      <c r="F1840" s="17"/>
      <c r="G1840" s="27"/>
    </row>
    <row r="1841" spans="2:7" ht="20.25" customHeight="1" x14ac:dyDescent="0.3">
      <c r="B1841" s="17"/>
      <c r="C1841" s="27"/>
      <c r="D1841" s="67"/>
      <c r="E1841" s="68"/>
      <c r="F1841" s="17"/>
      <c r="G1841" s="27"/>
    </row>
    <row r="1842" spans="2:7" ht="20.25" customHeight="1" x14ac:dyDescent="0.3">
      <c r="B1842" s="17"/>
      <c r="C1842" s="27"/>
      <c r="D1842" s="67"/>
      <c r="E1842" s="68"/>
      <c r="F1842" s="17"/>
      <c r="G1842" s="27"/>
    </row>
    <row r="1843" spans="2:7" ht="20.25" customHeight="1" x14ac:dyDescent="0.3">
      <c r="B1843" s="17"/>
      <c r="C1843" s="27"/>
      <c r="D1843" s="67"/>
      <c r="E1843" s="68"/>
      <c r="F1843" s="17"/>
      <c r="G1843" s="27"/>
    </row>
    <row r="1844" spans="2:7" ht="20.25" customHeight="1" x14ac:dyDescent="0.3">
      <c r="B1844" s="17"/>
      <c r="C1844" s="27"/>
      <c r="D1844" s="67"/>
      <c r="E1844" s="68"/>
      <c r="F1844" s="17"/>
      <c r="G1844" s="27"/>
    </row>
    <row r="1845" spans="2:7" ht="20.25" customHeight="1" x14ac:dyDescent="0.3">
      <c r="B1845" s="17"/>
      <c r="C1845" s="27"/>
      <c r="D1845" s="67"/>
      <c r="E1845" s="68"/>
      <c r="F1845" s="17"/>
      <c r="G1845" s="27"/>
    </row>
    <row r="1846" spans="2:7" ht="20.25" customHeight="1" x14ac:dyDescent="0.3">
      <c r="B1846" s="17"/>
      <c r="C1846" s="27"/>
      <c r="D1846" s="67"/>
      <c r="E1846" s="68"/>
      <c r="F1846" s="17"/>
      <c r="G1846" s="27"/>
    </row>
    <row r="1847" spans="2:7" ht="20.25" customHeight="1" x14ac:dyDescent="0.3">
      <c r="B1847" s="17"/>
      <c r="C1847" s="27"/>
      <c r="D1847" s="67"/>
      <c r="E1847" s="68"/>
      <c r="F1847" s="17"/>
      <c r="G1847" s="27"/>
    </row>
    <row r="1848" spans="2:7" ht="20.25" customHeight="1" x14ac:dyDescent="0.3">
      <c r="B1848" s="17"/>
      <c r="C1848" s="27"/>
      <c r="D1848" s="67"/>
      <c r="E1848" s="68"/>
      <c r="F1848" s="17"/>
      <c r="G1848" s="27"/>
    </row>
    <row r="1849" spans="2:7" ht="20.25" customHeight="1" x14ac:dyDescent="0.3">
      <c r="B1849" s="17"/>
      <c r="C1849" s="27"/>
      <c r="D1849" s="67"/>
      <c r="E1849" s="68"/>
      <c r="F1849" s="17"/>
      <c r="G1849" s="27"/>
    </row>
    <row r="1850" spans="2:7" ht="20.25" customHeight="1" x14ac:dyDescent="0.3">
      <c r="B1850" s="17"/>
      <c r="C1850" s="27"/>
      <c r="D1850" s="67"/>
      <c r="E1850" s="68"/>
      <c r="F1850" s="17"/>
      <c r="G1850" s="27"/>
    </row>
    <row r="1851" spans="2:7" ht="20.25" customHeight="1" x14ac:dyDescent="0.3">
      <c r="B1851" s="17"/>
      <c r="C1851" s="27"/>
      <c r="D1851" s="67"/>
      <c r="E1851" s="68"/>
      <c r="F1851" s="17"/>
      <c r="G1851" s="27"/>
    </row>
    <row r="1852" spans="2:7" ht="20.25" customHeight="1" x14ac:dyDescent="0.3">
      <c r="B1852" s="17"/>
      <c r="C1852" s="27"/>
      <c r="D1852" s="67"/>
      <c r="E1852" s="68"/>
      <c r="F1852" s="17"/>
      <c r="G1852" s="27"/>
    </row>
    <row r="1853" spans="2:7" ht="20.25" customHeight="1" x14ac:dyDescent="0.3">
      <c r="B1853" s="17"/>
      <c r="C1853" s="27"/>
      <c r="D1853" s="67"/>
      <c r="E1853" s="68"/>
      <c r="F1853" s="17"/>
      <c r="G1853" s="27"/>
    </row>
    <row r="1854" spans="2:7" ht="20.25" customHeight="1" x14ac:dyDescent="0.3">
      <c r="B1854" s="17"/>
      <c r="C1854" s="27"/>
      <c r="D1854" s="67"/>
      <c r="E1854" s="68"/>
      <c r="F1854" s="17"/>
      <c r="G1854" s="27"/>
    </row>
    <row r="1855" spans="2:7" ht="20.25" customHeight="1" x14ac:dyDescent="0.3">
      <c r="B1855" s="17"/>
      <c r="C1855" s="27"/>
      <c r="D1855" s="67"/>
      <c r="E1855" s="68"/>
      <c r="F1855" s="17"/>
      <c r="G1855" s="27"/>
    </row>
    <row r="1856" spans="2:7" ht="20.25" customHeight="1" x14ac:dyDescent="0.3">
      <c r="B1856" s="17"/>
      <c r="C1856" s="27"/>
      <c r="D1856" s="67"/>
      <c r="E1856" s="68"/>
      <c r="F1856" s="17"/>
      <c r="G1856" s="27"/>
    </row>
    <row r="1857" spans="2:7" ht="20.25" customHeight="1" x14ac:dyDescent="0.3">
      <c r="B1857" s="17"/>
      <c r="C1857" s="27"/>
      <c r="D1857" s="67"/>
      <c r="E1857" s="68"/>
      <c r="F1857" s="17"/>
      <c r="G1857" s="27"/>
    </row>
    <row r="1858" spans="2:7" ht="20.25" customHeight="1" x14ac:dyDescent="0.3">
      <c r="B1858" s="17"/>
      <c r="C1858" s="27"/>
      <c r="D1858" s="67"/>
      <c r="E1858" s="68"/>
      <c r="F1858" s="17"/>
      <c r="G1858" s="27"/>
    </row>
    <row r="1859" spans="2:7" ht="20.25" customHeight="1" x14ac:dyDescent="0.3">
      <c r="B1859" s="17"/>
      <c r="C1859" s="27"/>
      <c r="D1859" s="67"/>
      <c r="E1859" s="68"/>
      <c r="F1859" s="17"/>
      <c r="G1859" s="27"/>
    </row>
    <row r="1860" spans="2:7" ht="20.25" customHeight="1" x14ac:dyDescent="0.3">
      <c r="B1860" s="17"/>
      <c r="C1860" s="27"/>
      <c r="D1860" s="67"/>
      <c r="E1860" s="68"/>
      <c r="F1860" s="17"/>
      <c r="G1860" s="27"/>
    </row>
    <row r="1861" spans="2:7" ht="20.25" customHeight="1" x14ac:dyDescent="0.3">
      <c r="B1861" s="17"/>
      <c r="C1861" s="27"/>
      <c r="D1861" s="67"/>
      <c r="E1861" s="68"/>
      <c r="F1861" s="17"/>
      <c r="G1861" s="27"/>
    </row>
    <row r="1862" spans="2:7" ht="20.25" customHeight="1" x14ac:dyDescent="0.3">
      <c r="B1862" s="17"/>
      <c r="C1862" s="27"/>
      <c r="D1862" s="67"/>
      <c r="E1862" s="68"/>
      <c r="F1862" s="17"/>
      <c r="G1862" s="27"/>
    </row>
    <row r="1863" spans="2:7" ht="20.25" customHeight="1" x14ac:dyDescent="0.3">
      <c r="B1863" s="17"/>
      <c r="C1863" s="27"/>
      <c r="D1863" s="67"/>
      <c r="E1863" s="68"/>
      <c r="F1863" s="17"/>
      <c r="G1863" s="27"/>
    </row>
    <row r="1864" spans="2:7" ht="20.25" customHeight="1" x14ac:dyDescent="0.3">
      <c r="B1864" s="17"/>
      <c r="C1864" s="27"/>
      <c r="D1864" s="67"/>
      <c r="E1864" s="68"/>
      <c r="F1864" s="17"/>
      <c r="G1864" s="27"/>
    </row>
    <row r="1865" spans="2:7" ht="20.25" customHeight="1" x14ac:dyDescent="0.3">
      <c r="B1865" s="17"/>
      <c r="C1865" s="27"/>
      <c r="D1865" s="67"/>
      <c r="E1865" s="68"/>
      <c r="F1865" s="17"/>
      <c r="G1865" s="27"/>
    </row>
    <row r="1866" spans="2:7" ht="20.25" customHeight="1" x14ac:dyDescent="0.3">
      <c r="B1866" s="17"/>
      <c r="C1866" s="27"/>
      <c r="D1866" s="67"/>
      <c r="E1866" s="68"/>
      <c r="F1866" s="17"/>
      <c r="G1866" s="27"/>
    </row>
    <row r="1867" spans="2:7" ht="20.25" customHeight="1" x14ac:dyDescent="0.3">
      <c r="B1867" s="17"/>
      <c r="C1867" s="27"/>
      <c r="D1867" s="67"/>
      <c r="E1867" s="68"/>
      <c r="F1867" s="17"/>
      <c r="G1867" s="27"/>
    </row>
    <row r="1868" spans="2:7" ht="20.25" customHeight="1" x14ac:dyDescent="0.3">
      <c r="B1868" s="17"/>
      <c r="C1868" s="27"/>
      <c r="D1868" s="67"/>
      <c r="E1868" s="68"/>
      <c r="F1868" s="17"/>
      <c r="G1868" s="27"/>
    </row>
    <row r="1869" spans="2:7" ht="20.25" customHeight="1" x14ac:dyDescent="0.3">
      <c r="B1869" s="17"/>
      <c r="C1869" s="27"/>
      <c r="D1869" s="67"/>
      <c r="E1869" s="68"/>
      <c r="F1869" s="17"/>
      <c r="G1869" s="27"/>
    </row>
    <row r="1870" spans="2:7" ht="20.25" customHeight="1" x14ac:dyDescent="0.3">
      <c r="B1870" s="17"/>
      <c r="C1870" s="27"/>
      <c r="D1870" s="67"/>
      <c r="E1870" s="68"/>
      <c r="F1870" s="17"/>
      <c r="G1870" s="27"/>
    </row>
    <row r="1871" spans="2:7" ht="20.25" customHeight="1" x14ac:dyDescent="0.3">
      <c r="B1871" s="17"/>
      <c r="C1871" s="27"/>
      <c r="D1871" s="67"/>
      <c r="E1871" s="68"/>
      <c r="F1871" s="17"/>
      <c r="G1871" s="27"/>
    </row>
    <row r="1872" spans="2:7" ht="20.25" customHeight="1" x14ac:dyDescent="0.3">
      <c r="B1872" s="17"/>
      <c r="C1872" s="27"/>
      <c r="D1872" s="67"/>
      <c r="E1872" s="68"/>
      <c r="F1872" s="17"/>
      <c r="G1872" s="27"/>
    </row>
    <row r="1873" spans="2:7" ht="20.25" customHeight="1" x14ac:dyDescent="0.3">
      <c r="B1873" s="17"/>
      <c r="C1873" s="27"/>
      <c r="D1873" s="67"/>
      <c r="E1873" s="68"/>
      <c r="F1873" s="17"/>
      <c r="G1873" s="27"/>
    </row>
    <row r="1874" spans="2:7" ht="20.25" customHeight="1" x14ac:dyDescent="0.3">
      <c r="B1874" s="17"/>
      <c r="C1874" s="27"/>
      <c r="D1874" s="67"/>
      <c r="E1874" s="68"/>
      <c r="F1874" s="17"/>
      <c r="G1874" s="27"/>
    </row>
    <row r="1875" spans="2:7" ht="20.25" customHeight="1" x14ac:dyDescent="0.3">
      <c r="B1875" s="17"/>
      <c r="C1875" s="27"/>
      <c r="D1875" s="67"/>
      <c r="E1875" s="68"/>
      <c r="F1875" s="17"/>
      <c r="G1875" s="27"/>
    </row>
    <row r="1876" spans="2:7" ht="20.25" customHeight="1" x14ac:dyDescent="0.3">
      <c r="B1876" s="17"/>
      <c r="C1876" s="27"/>
      <c r="D1876" s="67"/>
      <c r="E1876" s="68"/>
      <c r="F1876" s="17"/>
      <c r="G1876" s="27"/>
    </row>
    <row r="1877" spans="2:7" ht="20.25" customHeight="1" x14ac:dyDescent="0.3">
      <c r="B1877" s="17"/>
      <c r="C1877" s="27"/>
      <c r="D1877" s="67"/>
      <c r="E1877" s="68"/>
      <c r="F1877" s="17"/>
      <c r="G1877" s="27"/>
    </row>
    <row r="1878" spans="2:7" ht="20.25" customHeight="1" x14ac:dyDescent="0.3">
      <c r="B1878" s="17"/>
      <c r="C1878" s="27"/>
      <c r="D1878" s="67"/>
      <c r="E1878" s="68"/>
      <c r="F1878" s="17"/>
      <c r="G1878" s="27"/>
    </row>
    <row r="1879" spans="2:7" ht="20.25" customHeight="1" x14ac:dyDescent="0.3">
      <c r="B1879" s="17"/>
      <c r="C1879" s="27"/>
      <c r="D1879" s="67"/>
      <c r="E1879" s="68"/>
      <c r="F1879" s="17"/>
      <c r="G1879" s="27"/>
    </row>
    <row r="1880" spans="2:7" ht="20.25" customHeight="1" x14ac:dyDescent="0.3">
      <c r="B1880" s="17"/>
      <c r="C1880" s="27"/>
      <c r="D1880" s="67"/>
      <c r="E1880" s="68"/>
      <c r="F1880" s="17"/>
      <c r="G1880" s="27"/>
    </row>
    <row r="1881" spans="2:7" ht="20.25" customHeight="1" x14ac:dyDescent="0.3">
      <c r="B1881" s="17"/>
      <c r="C1881" s="27"/>
      <c r="D1881" s="67"/>
      <c r="E1881" s="68"/>
      <c r="F1881" s="17"/>
      <c r="G1881" s="27"/>
    </row>
    <row r="1882" spans="2:7" ht="20.25" customHeight="1" x14ac:dyDescent="0.3">
      <c r="B1882" s="17"/>
      <c r="C1882" s="27"/>
      <c r="D1882" s="67"/>
      <c r="E1882" s="68"/>
      <c r="F1882" s="17"/>
      <c r="G1882" s="27"/>
    </row>
    <row r="1883" spans="2:7" ht="20.25" customHeight="1" x14ac:dyDescent="0.3">
      <c r="B1883" s="17"/>
      <c r="C1883" s="27"/>
      <c r="D1883" s="67"/>
      <c r="E1883" s="68"/>
      <c r="F1883" s="17"/>
      <c r="G1883" s="27"/>
    </row>
    <row r="1884" spans="2:7" ht="20.25" customHeight="1" x14ac:dyDescent="0.3">
      <c r="B1884" s="17"/>
      <c r="C1884" s="27"/>
      <c r="D1884" s="67"/>
      <c r="E1884" s="68"/>
      <c r="F1884" s="17"/>
      <c r="G1884" s="27"/>
    </row>
    <row r="1885" spans="2:7" ht="20.25" customHeight="1" x14ac:dyDescent="0.3">
      <c r="B1885" s="17"/>
      <c r="C1885" s="27"/>
      <c r="D1885" s="67"/>
      <c r="E1885" s="68"/>
      <c r="F1885" s="17"/>
      <c r="G1885" s="27"/>
    </row>
    <row r="1886" spans="2:7" ht="20.25" customHeight="1" x14ac:dyDescent="0.3">
      <c r="B1886" s="17"/>
      <c r="C1886" s="27"/>
      <c r="D1886" s="67"/>
      <c r="E1886" s="68"/>
      <c r="F1886" s="17"/>
      <c r="G1886" s="27"/>
    </row>
    <row r="1887" spans="2:7" ht="20.25" customHeight="1" x14ac:dyDescent="0.3">
      <c r="B1887" s="17"/>
      <c r="C1887" s="27"/>
      <c r="D1887" s="67"/>
      <c r="E1887" s="68"/>
      <c r="F1887" s="17"/>
      <c r="G1887" s="27"/>
    </row>
    <row r="1888" spans="2:7" ht="20.25" customHeight="1" x14ac:dyDescent="0.3">
      <c r="B1888" s="17"/>
      <c r="C1888" s="27"/>
      <c r="D1888" s="67"/>
      <c r="E1888" s="68"/>
      <c r="F1888" s="17"/>
      <c r="G1888" s="27"/>
    </row>
    <row r="1889" spans="2:7" ht="20.25" customHeight="1" x14ac:dyDescent="0.3">
      <c r="B1889" s="17"/>
      <c r="C1889" s="27"/>
      <c r="D1889" s="67"/>
      <c r="E1889" s="68"/>
      <c r="F1889" s="17"/>
      <c r="G1889" s="27"/>
    </row>
    <row r="1890" spans="2:7" ht="20.25" customHeight="1" x14ac:dyDescent="0.3">
      <c r="B1890" s="17"/>
      <c r="C1890" s="27"/>
      <c r="D1890" s="67"/>
      <c r="E1890" s="68"/>
      <c r="F1890" s="17"/>
      <c r="G1890" s="27"/>
    </row>
    <row r="1891" spans="2:7" ht="20.25" customHeight="1" x14ac:dyDescent="0.3">
      <c r="B1891" s="17"/>
      <c r="C1891" s="27"/>
      <c r="D1891" s="67"/>
      <c r="E1891" s="68"/>
      <c r="F1891" s="17"/>
      <c r="G1891" s="27"/>
    </row>
    <row r="1892" spans="2:7" ht="20.25" customHeight="1" x14ac:dyDescent="0.3">
      <c r="B1892" s="17"/>
      <c r="C1892" s="27"/>
      <c r="D1892" s="67"/>
      <c r="E1892" s="68"/>
      <c r="F1892" s="17"/>
      <c r="G1892" s="27"/>
    </row>
    <row r="1893" spans="2:7" ht="20.25" customHeight="1" x14ac:dyDescent="0.3">
      <c r="B1893" s="17"/>
      <c r="C1893" s="27"/>
      <c r="D1893" s="67"/>
      <c r="E1893" s="68"/>
      <c r="F1893" s="17"/>
      <c r="G1893" s="27"/>
    </row>
    <row r="1894" spans="2:7" ht="20.25" customHeight="1" x14ac:dyDescent="0.3">
      <c r="B1894" s="17"/>
      <c r="C1894" s="27"/>
      <c r="D1894" s="67"/>
      <c r="E1894" s="68"/>
      <c r="F1894" s="17"/>
      <c r="G1894" s="27"/>
    </row>
    <row r="1895" spans="2:7" ht="20.25" customHeight="1" x14ac:dyDescent="0.3">
      <c r="B1895" s="17"/>
      <c r="C1895" s="27"/>
      <c r="D1895" s="67"/>
      <c r="E1895" s="68"/>
      <c r="F1895" s="17"/>
      <c r="G1895" s="27"/>
    </row>
    <row r="1896" spans="2:7" ht="20.25" customHeight="1" x14ac:dyDescent="0.3">
      <c r="B1896" s="17"/>
      <c r="C1896" s="27"/>
      <c r="D1896" s="67"/>
      <c r="E1896" s="68"/>
      <c r="F1896" s="17"/>
      <c r="G1896" s="27"/>
    </row>
    <row r="1897" spans="2:7" ht="20.25" customHeight="1" x14ac:dyDescent="0.3">
      <c r="B1897" s="17"/>
      <c r="C1897" s="27"/>
      <c r="D1897" s="67"/>
      <c r="E1897" s="68"/>
      <c r="F1897" s="17"/>
      <c r="G1897" s="27"/>
    </row>
    <row r="1898" spans="2:7" ht="20.25" customHeight="1" x14ac:dyDescent="0.3">
      <c r="B1898" s="17"/>
      <c r="C1898" s="27"/>
      <c r="D1898" s="67"/>
      <c r="E1898" s="68"/>
      <c r="F1898" s="17"/>
      <c r="G1898" s="27"/>
    </row>
    <row r="1899" spans="2:7" ht="20.25" customHeight="1" x14ac:dyDescent="0.3">
      <c r="B1899" s="17"/>
      <c r="C1899" s="27"/>
      <c r="D1899" s="67"/>
      <c r="E1899" s="68"/>
      <c r="F1899" s="17"/>
      <c r="G1899" s="27"/>
    </row>
    <row r="1900" spans="2:7" ht="20.25" customHeight="1" x14ac:dyDescent="0.3">
      <c r="B1900" s="17"/>
      <c r="C1900" s="27"/>
      <c r="D1900" s="67"/>
      <c r="E1900" s="68"/>
      <c r="F1900" s="17"/>
      <c r="G1900" s="27"/>
    </row>
    <row r="1901" spans="2:7" ht="20.25" customHeight="1" x14ac:dyDescent="0.3">
      <c r="B1901" s="17"/>
      <c r="C1901" s="27"/>
      <c r="D1901" s="67"/>
      <c r="E1901" s="68"/>
      <c r="F1901" s="17"/>
      <c r="G1901" s="27"/>
    </row>
    <row r="1902" spans="2:7" ht="20.25" customHeight="1" x14ac:dyDescent="0.3">
      <c r="B1902" s="17"/>
      <c r="C1902" s="27"/>
      <c r="D1902" s="67"/>
      <c r="E1902" s="68"/>
      <c r="F1902" s="17"/>
      <c r="G1902" s="27"/>
    </row>
    <row r="1903" spans="2:7" ht="20.25" customHeight="1" x14ac:dyDescent="0.3">
      <c r="B1903" s="17"/>
      <c r="C1903" s="27"/>
      <c r="D1903" s="67"/>
      <c r="E1903" s="68"/>
      <c r="F1903" s="17"/>
      <c r="G1903" s="27"/>
    </row>
    <row r="1904" spans="2:7" ht="20.25" customHeight="1" x14ac:dyDescent="0.3">
      <c r="B1904" s="17"/>
      <c r="C1904" s="27"/>
      <c r="D1904" s="67"/>
      <c r="E1904" s="68"/>
      <c r="F1904" s="17"/>
      <c r="G1904" s="27"/>
    </row>
    <row r="1905" spans="2:7" ht="20.25" customHeight="1" x14ac:dyDescent="0.3">
      <c r="B1905" s="17"/>
      <c r="C1905" s="27"/>
      <c r="D1905" s="67"/>
      <c r="E1905" s="68"/>
      <c r="F1905" s="17"/>
      <c r="G1905" s="27"/>
    </row>
    <row r="1906" spans="2:7" ht="20.25" customHeight="1" x14ac:dyDescent="0.3">
      <c r="B1906" s="17"/>
      <c r="C1906" s="27"/>
      <c r="D1906" s="67"/>
      <c r="E1906" s="68"/>
      <c r="F1906" s="17"/>
      <c r="G1906" s="27"/>
    </row>
    <row r="1907" spans="2:7" ht="20.25" customHeight="1" x14ac:dyDescent="0.3">
      <c r="B1907" s="17"/>
      <c r="C1907" s="27"/>
      <c r="D1907" s="67"/>
      <c r="E1907" s="68"/>
      <c r="F1907" s="17"/>
      <c r="G1907" s="27"/>
    </row>
    <row r="1908" spans="2:7" ht="20.25" customHeight="1" x14ac:dyDescent="0.3">
      <c r="B1908" s="17"/>
      <c r="C1908" s="27"/>
      <c r="D1908" s="67"/>
      <c r="E1908" s="68"/>
      <c r="F1908" s="17"/>
      <c r="G1908" s="27"/>
    </row>
    <row r="1909" spans="2:7" ht="20.25" customHeight="1" x14ac:dyDescent="0.3">
      <c r="B1909" s="17"/>
      <c r="C1909" s="27"/>
      <c r="D1909" s="67"/>
      <c r="E1909" s="68"/>
      <c r="F1909" s="17"/>
      <c r="G1909" s="27"/>
    </row>
    <row r="1910" spans="2:7" ht="20.25" customHeight="1" x14ac:dyDescent="0.3">
      <c r="B1910" s="17"/>
      <c r="C1910" s="27"/>
      <c r="D1910" s="67"/>
      <c r="E1910" s="68"/>
      <c r="F1910" s="17"/>
      <c r="G1910" s="27"/>
    </row>
    <row r="1911" spans="2:7" ht="20.25" customHeight="1" x14ac:dyDescent="0.3">
      <c r="B1911" s="17"/>
      <c r="C1911" s="27"/>
      <c r="D1911" s="67"/>
      <c r="E1911" s="68"/>
      <c r="F1911" s="17"/>
      <c r="G1911" s="27"/>
    </row>
    <row r="1912" spans="2:7" ht="20.25" customHeight="1" x14ac:dyDescent="0.3">
      <c r="B1912" s="17"/>
      <c r="C1912" s="27"/>
      <c r="D1912" s="67"/>
      <c r="E1912" s="68"/>
      <c r="F1912" s="17"/>
      <c r="G1912" s="27"/>
    </row>
    <row r="1913" spans="2:7" ht="20.25" customHeight="1" x14ac:dyDescent="0.3">
      <c r="B1913" s="17"/>
      <c r="C1913" s="27"/>
      <c r="D1913" s="67"/>
      <c r="E1913" s="68"/>
      <c r="F1913" s="17"/>
      <c r="G1913" s="27"/>
    </row>
    <row r="1914" spans="2:7" ht="20.25" customHeight="1" x14ac:dyDescent="0.3">
      <c r="B1914" s="17"/>
      <c r="C1914" s="27"/>
      <c r="D1914" s="67"/>
      <c r="E1914" s="68"/>
      <c r="F1914" s="17"/>
      <c r="G1914" s="27"/>
    </row>
    <row r="1915" spans="2:7" ht="20.25" customHeight="1" x14ac:dyDescent="0.3">
      <c r="B1915" s="17"/>
      <c r="C1915" s="27"/>
      <c r="D1915" s="67"/>
      <c r="E1915" s="68"/>
      <c r="F1915" s="17"/>
      <c r="G1915" s="27"/>
    </row>
    <row r="1916" spans="2:7" ht="20.25" customHeight="1" x14ac:dyDescent="0.3">
      <c r="B1916" s="17"/>
      <c r="C1916" s="27"/>
      <c r="D1916" s="67"/>
      <c r="E1916" s="68"/>
      <c r="F1916" s="17"/>
      <c r="G1916" s="27"/>
    </row>
    <row r="1917" spans="2:7" ht="20.25" customHeight="1" x14ac:dyDescent="0.3">
      <c r="B1917" s="17"/>
      <c r="C1917" s="27"/>
      <c r="D1917" s="67"/>
      <c r="E1917" s="68"/>
      <c r="F1917" s="17"/>
      <c r="G1917" s="27"/>
    </row>
    <row r="1918" spans="2:7" ht="20.25" customHeight="1" x14ac:dyDescent="0.3">
      <c r="B1918" s="17"/>
      <c r="C1918" s="27"/>
      <c r="D1918" s="67"/>
      <c r="E1918" s="68"/>
      <c r="F1918" s="17"/>
      <c r="G1918" s="27"/>
    </row>
    <row r="1919" spans="2:7" ht="20.25" customHeight="1" x14ac:dyDescent="0.3">
      <c r="B1919" s="17"/>
      <c r="C1919" s="27"/>
      <c r="D1919" s="67"/>
      <c r="E1919" s="68"/>
      <c r="F1919" s="17"/>
      <c r="G1919" s="27"/>
    </row>
    <row r="1920" spans="2:7" ht="20.25" customHeight="1" x14ac:dyDescent="0.3">
      <c r="B1920" s="17"/>
      <c r="C1920" s="27"/>
      <c r="D1920" s="67"/>
      <c r="E1920" s="68"/>
      <c r="F1920" s="17"/>
      <c r="G1920" s="27"/>
    </row>
    <row r="1921" spans="2:7" ht="20.25" customHeight="1" x14ac:dyDescent="0.3">
      <c r="B1921" s="17"/>
      <c r="C1921" s="27"/>
      <c r="D1921" s="67"/>
      <c r="E1921" s="68"/>
      <c r="F1921" s="17"/>
      <c r="G1921" s="27"/>
    </row>
    <row r="1922" spans="2:7" ht="20.25" customHeight="1" x14ac:dyDescent="0.3">
      <c r="B1922" s="17"/>
      <c r="C1922" s="27"/>
      <c r="D1922" s="67"/>
      <c r="E1922" s="68"/>
      <c r="F1922" s="17"/>
      <c r="G1922" s="27"/>
    </row>
    <row r="1923" spans="2:7" ht="20.25" customHeight="1" x14ac:dyDescent="0.3">
      <c r="B1923" s="17"/>
      <c r="C1923" s="27"/>
      <c r="D1923" s="67"/>
      <c r="E1923" s="68"/>
      <c r="F1923" s="17"/>
      <c r="G1923" s="27"/>
    </row>
    <row r="1924" spans="2:7" ht="20.25" customHeight="1" x14ac:dyDescent="0.3">
      <c r="B1924" s="17"/>
      <c r="C1924" s="27"/>
      <c r="D1924" s="67"/>
      <c r="E1924" s="68"/>
      <c r="F1924" s="17"/>
      <c r="G1924" s="27"/>
    </row>
    <row r="1925" spans="2:7" ht="20.25" customHeight="1" x14ac:dyDescent="0.3">
      <c r="B1925" s="17"/>
      <c r="C1925" s="27"/>
      <c r="D1925" s="67"/>
      <c r="E1925" s="68"/>
      <c r="F1925" s="17"/>
      <c r="G1925" s="27"/>
    </row>
    <row r="1926" spans="2:7" ht="20.25" customHeight="1" x14ac:dyDescent="0.3">
      <c r="B1926" s="17"/>
      <c r="C1926" s="27"/>
      <c r="D1926" s="67"/>
      <c r="E1926" s="68"/>
      <c r="F1926" s="17"/>
      <c r="G1926" s="27"/>
    </row>
    <row r="1927" spans="2:7" ht="20.25" customHeight="1" x14ac:dyDescent="0.3">
      <c r="B1927" s="17"/>
      <c r="C1927" s="27"/>
      <c r="D1927" s="67"/>
      <c r="E1927" s="68"/>
      <c r="F1927" s="17"/>
      <c r="G1927" s="27"/>
    </row>
    <row r="1928" spans="2:7" ht="20.25" customHeight="1" x14ac:dyDescent="0.3">
      <c r="B1928" s="17"/>
      <c r="C1928" s="27"/>
      <c r="D1928" s="67"/>
      <c r="E1928" s="68"/>
      <c r="F1928" s="17"/>
      <c r="G1928" s="27"/>
    </row>
    <row r="1929" spans="2:7" ht="20.25" customHeight="1" x14ac:dyDescent="0.3">
      <c r="B1929" s="17"/>
      <c r="C1929" s="27"/>
      <c r="D1929" s="67"/>
      <c r="E1929" s="68"/>
      <c r="F1929" s="17"/>
      <c r="G1929" s="27"/>
    </row>
    <row r="1930" spans="2:7" ht="20.25" customHeight="1" x14ac:dyDescent="0.3">
      <c r="B1930" s="17"/>
      <c r="C1930" s="27"/>
      <c r="D1930" s="67"/>
      <c r="E1930" s="68"/>
      <c r="F1930" s="17"/>
      <c r="G1930" s="27"/>
    </row>
    <row r="1931" spans="2:7" ht="20.25" customHeight="1" x14ac:dyDescent="0.3">
      <c r="B1931" s="17"/>
      <c r="C1931" s="27"/>
      <c r="D1931" s="67"/>
      <c r="E1931" s="68"/>
      <c r="F1931" s="17"/>
      <c r="G1931" s="27"/>
    </row>
    <row r="1932" spans="2:7" ht="20.25" customHeight="1" x14ac:dyDescent="0.3">
      <c r="B1932" s="17"/>
      <c r="C1932" s="27"/>
      <c r="D1932" s="67"/>
      <c r="E1932" s="68"/>
      <c r="F1932" s="17"/>
      <c r="G1932" s="27"/>
    </row>
    <row r="1933" spans="2:7" ht="20.25" customHeight="1" x14ac:dyDescent="0.3">
      <c r="B1933" s="17"/>
      <c r="C1933" s="27"/>
      <c r="D1933" s="67"/>
      <c r="E1933" s="68"/>
      <c r="F1933" s="17"/>
      <c r="G1933" s="27"/>
    </row>
    <row r="1934" spans="2:7" ht="20.25" customHeight="1" x14ac:dyDescent="0.3">
      <c r="B1934" s="17"/>
      <c r="C1934" s="27"/>
      <c r="D1934" s="67"/>
      <c r="E1934" s="68"/>
      <c r="F1934" s="17"/>
      <c r="G1934" s="27"/>
    </row>
    <row r="1935" spans="2:7" ht="20.25" customHeight="1" x14ac:dyDescent="0.3">
      <c r="B1935" s="17"/>
      <c r="C1935" s="27"/>
      <c r="D1935" s="67"/>
      <c r="E1935" s="68"/>
      <c r="F1935" s="17"/>
      <c r="G1935" s="27"/>
    </row>
    <row r="1936" spans="2:7" ht="20.25" customHeight="1" x14ac:dyDescent="0.3">
      <c r="B1936" s="17"/>
      <c r="C1936" s="27"/>
      <c r="D1936" s="67"/>
      <c r="E1936" s="68"/>
      <c r="F1936" s="17"/>
      <c r="G1936" s="27"/>
    </row>
    <row r="1937" spans="2:7" ht="20.25" customHeight="1" x14ac:dyDescent="0.3">
      <c r="B1937" s="17"/>
      <c r="C1937" s="27"/>
      <c r="D1937" s="67"/>
      <c r="E1937" s="68"/>
      <c r="F1937" s="17"/>
      <c r="G1937" s="27"/>
    </row>
    <row r="1938" spans="2:7" ht="20.25" customHeight="1" x14ac:dyDescent="0.3">
      <c r="B1938" s="17"/>
      <c r="C1938" s="27"/>
      <c r="D1938" s="67"/>
      <c r="E1938" s="68"/>
      <c r="F1938" s="17"/>
      <c r="G1938" s="27"/>
    </row>
    <row r="1939" spans="2:7" ht="20.25" customHeight="1" x14ac:dyDescent="0.3">
      <c r="B1939" s="17"/>
      <c r="C1939" s="27"/>
      <c r="D1939" s="67"/>
      <c r="E1939" s="68"/>
      <c r="F1939" s="17"/>
      <c r="G1939" s="27"/>
    </row>
    <row r="1940" spans="2:7" ht="20.25" customHeight="1" x14ac:dyDescent="0.3">
      <c r="B1940" s="17"/>
      <c r="C1940" s="27"/>
      <c r="D1940" s="67"/>
      <c r="E1940" s="68"/>
      <c r="F1940" s="17"/>
      <c r="G1940" s="27"/>
    </row>
    <row r="1941" spans="2:7" ht="20.25" customHeight="1" x14ac:dyDescent="0.3">
      <c r="B1941" s="17"/>
      <c r="C1941" s="27"/>
      <c r="D1941" s="67"/>
      <c r="E1941" s="68"/>
      <c r="F1941" s="17"/>
      <c r="G1941" s="27"/>
    </row>
    <row r="1942" spans="2:7" ht="20.25" customHeight="1" x14ac:dyDescent="0.3">
      <c r="B1942" s="17"/>
      <c r="C1942" s="27"/>
      <c r="D1942" s="67"/>
      <c r="E1942" s="68"/>
      <c r="F1942" s="17"/>
      <c r="G1942" s="27"/>
    </row>
    <row r="1943" spans="2:7" ht="20.25" customHeight="1" x14ac:dyDescent="0.3">
      <c r="B1943" s="17"/>
      <c r="C1943" s="27"/>
      <c r="D1943" s="67"/>
      <c r="E1943" s="68"/>
      <c r="F1943" s="17"/>
      <c r="G1943" s="27"/>
    </row>
    <row r="1944" spans="2:7" ht="20.25" customHeight="1" x14ac:dyDescent="0.3">
      <c r="B1944" s="17"/>
      <c r="C1944" s="27"/>
      <c r="D1944" s="67"/>
      <c r="E1944" s="68"/>
      <c r="F1944" s="17"/>
      <c r="G1944" s="27"/>
    </row>
    <row r="1945" spans="2:7" ht="20.25" customHeight="1" x14ac:dyDescent="0.3">
      <c r="B1945" s="17"/>
      <c r="C1945" s="27"/>
      <c r="D1945" s="67"/>
      <c r="E1945" s="68"/>
      <c r="F1945" s="17"/>
      <c r="G1945" s="27"/>
    </row>
    <row r="1946" spans="2:7" ht="20.25" customHeight="1" x14ac:dyDescent="0.3">
      <c r="B1946" s="17"/>
      <c r="C1946" s="27"/>
      <c r="D1946" s="67"/>
      <c r="E1946" s="68"/>
      <c r="F1946" s="17"/>
      <c r="G1946" s="27"/>
    </row>
    <row r="1947" spans="2:7" ht="20.25" customHeight="1" x14ac:dyDescent="0.3">
      <c r="B1947" s="17"/>
      <c r="C1947" s="27"/>
      <c r="D1947" s="67"/>
      <c r="E1947" s="68"/>
      <c r="F1947" s="17"/>
      <c r="G1947" s="27"/>
    </row>
    <row r="1948" spans="2:7" ht="20.25" customHeight="1" x14ac:dyDescent="0.3">
      <c r="B1948" s="17"/>
      <c r="C1948" s="27"/>
      <c r="D1948" s="67"/>
      <c r="E1948" s="68"/>
      <c r="F1948" s="17"/>
      <c r="G1948" s="27"/>
    </row>
    <row r="1949" spans="2:7" ht="20.25" customHeight="1" x14ac:dyDescent="0.3">
      <c r="B1949" s="17"/>
      <c r="C1949" s="27"/>
      <c r="D1949" s="67"/>
      <c r="E1949" s="68"/>
      <c r="F1949" s="17"/>
      <c r="G1949" s="27"/>
    </row>
    <row r="1950" spans="2:7" ht="20.25" customHeight="1" x14ac:dyDescent="0.3">
      <c r="B1950" s="17"/>
      <c r="C1950" s="27"/>
      <c r="D1950" s="67"/>
      <c r="E1950" s="68"/>
      <c r="F1950" s="17"/>
      <c r="G1950" s="27"/>
    </row>
    <row r="1951" spans="2:7" ht="20.25" customHeight="1" x14ac:dyDescent="0.3">
      <c r="B1951" s="17"/>
      <c r="C1951" s="27"/>
      <c r="D1951" s="67"/>
      <c r="E1951" s="68"/>
      <c r="F1951" s="17"/>
      <c r="G1951" s="27"/>
    </row>
    <row r="1952" spans="2:7" ht="20.25" customHeight="1" x14ac:dyDescent="0.3">
      <c r="B1952" s="17"/>
      <c r="C1952" s="27"/>
      <c r="D1952" s="67"/>
      <c r="E1952" s="68"/>
      <c r="F1952" s="17"/>
      <c r="G1952" s="27"/>
    </row>
    <row r="1953" spans="2:7" ht="20.25" customHeight="1" x14ac:dyDescent="0.3">
      <c r="B1953" s="17"/>
      <c r="C1953" s="27"/>
      <c r="D1953" s="67"/>
      <c r="E1953" s="68"/>
      <c r="F1953" s="17"/>
      <c r="G1953" s="27"/>
    </row>
    <row r="1954" spans="2:7" ht="20.25" customHeight="1" x14ac:dyDescent="0.3">
      <c r="B1954" s="17"/>
      <c r="C1954" s="27"/>
      <c r="D1954" s="67"/>
      <c r="E1954" s="68"/>
      <c r="F1954" s="17"/>
      <c r="G1954" s="27"/>
    </row>
    <row r="1955" spans="2:7" ht="20.25" customHeight="1" x14ac:dyDescent="0.3">
      <c r="B1955" s="17"/>
      <c r="C1955" s="27"/>
      <c r="D1955" s="67"/>
      <c r="E1955" s="68"/>
      <c r="F1955" s="17"/>
      <c r="G1955" s="27"/>
    </row>
    <row r="1956" spans="2:7" ht="20.25" customHeight="1" x14ac:dyDescent="0.3">
      <c r="B1956" s="17"/>
      <c r="C1956" s="27"/>
      <c r="D1956" s="67"/>
      <c r="E1956" s="68"/>
      <c r="F1956" s="17"/>
      <c r="G1956" s="27"/>
    </row>
    <row r="1957" spans="2:7" ht="20.25" customHeight="1" x14ac:dyDescent="0.3">
      <c r="B1957" s="17"/>
      <c r="C1957" s="27"/>
      <c r="D1957" s="67"/>
      <c r="E1957" s="68"/>
      <c r="F1957" s="17"/>
      <c r="G1957" s="27"/>
    </row>
    <row r="1958" spans="2:7" ht="20.25" customHeight="1" x14ac:dyDescent="0.3">
      <c r="B1958" s="17"/>
      <c r="C1958" s="27"/>
      <c r="D1958" s="67"/>
      <c r="E1958" s="68"/>
      <c r="F1958" s="17"/>
      <c r="G1958" s="27"/>
    </row>
    <row r="1959" spans="2:7" ht="20.25" customHeight="1" x14ac:dyDescent="0.3">
      <c r="B1959" s="17"/>
      <c r="C1959" s="27"/>
      <c r="D1959" s="67"/>
      <c r="E1959" s="68"/>
      <c r="F1959" s="17"/>
      <c r="G1959" s="27"/>
    </row>
    <row r="1960" spans="2:7" ht="20.25" customHeight="1" x14ac:dyDescent="0.3">
      <c r="B1960" s="17"/>
      <c r="C1960" s="27"/>
      <c r="D1960" s="67"/>
      <c r="E1960" s="68"/>
      <c r="F1960" s="17"/>
      <c r="G1960" s="27"/>
    </row>
    <row r="1961" spans="2:7" ht="20.25" customHeight="1" x14ac:dyDescent="0.3">
      <c r="B1961" s="17"/>
      <c r="C1961" s="27"/>
      <c r="D1961" s="67"/>
      <c r="E1961" s="68"/>
      <c r="F1961" s="17"/>
      <c r="G1961" s="27"/>
    </row>
    <row r="1962" spans="2:7" ht="20.25" customHeight="1" x14ac:dyDescent="0.3">
      <c r="B1962" s="17"/>
      <c r="C1962" s="27"/>
      <c r="D1962" s="67"/>
      <c r="E1962" s="68"/>
      <c r="F1962" s="17"/>
      <c r="G1962" s="27"/>
    </row>
    <row r="1963" spans="2:7" ht="20.25" customHeight="1" x14ac:dyDescent="0.3">
      <c r="B1963" s="17"/>
      <c r="C1963" s="27"/>
      <c r="D1963" s="67"/>
      <c r="E1963" s="68"/>
      <c r="F1963" s="17"/>
      <c r="G1963" s="27"/>
    </row>
    <row r="1964" spans="2:7" ht="20.25" customHeight="1" x14ac:dyDescent="0.3">
      <c r="B1964" s="17"/>
      <c r="C1964" s="27"/>
      <c r="D1964" s="67"/>
      <c r="E1964" s="68"/>
      <c r="F1964" s="17"/>
      <c r="G1964" s="27"/>
    </row>
    <row r="1965" spans="2:7" ht="20.25" customHeight="1" x14ac:dyDescent="0.3">
      <c r="B1965" s="17"/>
      <c r="C1965" s="27"/>
      <c r="D1965" s="67"/>
      <c r="E1965" s="68"/>
      <c r="F1965" s="17"/>
      <c r="G1965" s="27"/>
    </row>
    <row r="1966" spans="2:7" ht="20.25" customHeight="1" x14ac:dyDescent="0.3">
      <c r="B1966" s="17"/>
      <c r="C1966" s="27"/>
      <c r="D1966" s="67"/>
      <c r="E1966" s="68"/>
      <c r="F1966" s="17"/>
      <c r="G1966" s="27"/>
    </row>
    <row r="1967" spans="2:7" ht="20.25" customHeight="1" x14ac:dyDescent="0.3">
      <c r="B1967" s="17"/>
      <c r="C1967" s="27"/>
      <c r="D1967" s="67"/>
      <c r="E1967" s="68"/>
      <c r="F1967" s="17"/>
      <c r="G1967" s="27"/>
    </row>
    <row r="1968" spans="2:7" ht="20.25" customHeight="1" x14ac:dyDescent="0.3">
      <c r="B1968" s="17"/>
      <c r="C1968" s="27"/>
      <c r="D1968" s="67"/>
      <c r="E1968" s="68"/>
      <c r="F1968" s="17"/>
      <c r="G1968" s="27"/>
    </row>
    <row r="1969" spans="2:7" ht="20.25" customHeight="1" x14ac:dyDescent="0.3">
      <c r="B1969" s="17"/>
      <c r="C1969" s="27"/>
      <c r="D1969" s="67"/>
      <c r="E1969" s="68"/>
      <c r="F1969" s="17"/>
      <c r="G1969" s="27"/>
    </row>
    <row r="1970" spans="2:7" ht="20.25" customHeight="1" x14ac:dyDescent="0.3">
      <c r="B1970" s="17"/>
      <c r="C1970" s="27"/>
      <c r="D1970" s="67"/>
      <c r="E1970" s="68"/>
      <c r="F1970" s="17"/>
      <c r="G1970" s="27"/>
    </row>
    <row r="1971" spans="2:7" ht="20.25" customHeight="1" x14ac:dyDescent="0.3">
      <c r="B1971" s="17"/>
      <c r="C1971" s="27"/>
      <c r="D1971" s="67"/>
      <c r="E1971" s="68"/>
      <c r="F1971" s="17"/>
      <c r="G1971" s="27"/>
    </row>
    <row r="1972" spans="2:7" ht="20.25" customHeight="1" x14ac:dyDescent="0.3">
      <c r="B1972" s="17"/>
      <c r="C1972" s="27"/>
      <c r="D1972" s="67"/>
      <c r="E1972" s="68"/>
      <c r="F1972" s="17"/>
      <c r="G1972" s="27"/>
    </row>
    <row r="1973" spans="2:7" ht="20.25" customHeight="1" x14ac:dyDescent="0.3">
      <c r="B1973" s="17"/>
      <c r="C1973" s="27"/>
      <c r="D1973" s="67"/>
      <c r="E1973" s="68"/>
      <c r="F1973" s="17"/>
      <c r="G1973" s="27"/>
    </row>
    <row r="1974" spans="2:7" ht="20.25" customHeight="1" x14ac:dyDescent="0.3">
      <c r="B1974" s="17"/>
      <c r="C1974" s="27"/>
      <c r="D1974" s="67"/>
      <c r="E1974" s="68"/>
      <c r="F1974" s="17"/>
      <c r="G1974" s="27"/>
    </row>
    <row r="1975" spans="2:7" ht="20.25" customHeight="1" x14ac:dyDescent="0.3">
      <c r="B1975" s="17"/>
      <c r="C1975" s="27"/>
      <c r="D1975" s="67"/>
      <c r="E1975" s="68"/>
      <c r="F1975" s="17"/>
      <c r="G1975" s="27"/>
    </row>
    <row r="1976" spans="2:7" ht="20.25" customHeight="1" x14ac:dyDescent="0.3">
      <c r="B1976" s="17"/>
      <c r="C1976" s="27"/>
      <c r="D1976" s="67"/>
      <c r="E1976" s="68"/>
      <c r="F1976" s="17"/>
      <c r="G1976" s="27"/>
    </row>
    <row r="1977" spans="2:7" ht="20.25" customHeight="1" x14ac:dyDescent="0.3">
      <c r="B1977" s="17"/>
      <c r="C1977" s="27"/>
      <c r="D1977" s="67"/>
      <c r="E1977" s="68"/>
      <c r="F1977" s="17"/>
      <c r="G1977" s="27"/>
    </row>
    <row r="1978" spans="2:7" ht="20.25" customHeight="1" x14ac:dyDescent="0.3">
      <c r="B1978" s="17"/>
      <c r="C1978" s="27"/>
      <c r="D1978" s="67"/>
      <c r="E1978" s="68"/>
      <c r="F1978" s="17"/>
      <c r="G1978" s="27"/>
    </row>
    <row r="1979" spans="2:7" ht="20.25" customHeight="1" x14ac:dyDescent="0.3">
      <c r="B1979" s="17"/>
      <c r="C1979" s="27"/>
      <c r="D1979" s="67"/>
      <c r="E1979" s="68"/>
      <c r="F1979" s="17"/>
      <c r="G1979" s="27"/>
    </row>
    <row r="1980" spans="2:7" ht="20.25" customHeight="1" x14ac:dyDescent="0.3">
      <c r="B1980" s="17"/>
      <c r="C1980" s="27"/>
      <c r="D1980" s="67"/>
      <c r="E1980" s="68"/>
      <c r="F1980" s="17"/>
      <c r="G1980" s="27"/>
    </row>
    <row r="1981" spans="2:7" ht="20.25" customHeight="1" x14ac:dyDescent="0.3">
      <c r="B1981" s="17"/>
      <c r="C1981" s="27"/>
      <c r="D1981" s="67"/>
      <c r="E1981" s="68"/>
      <c r="F1981" s="17"/>
      <c r="G1981" s="27"/>
    </row>
    <row r="1982" spans="2:7" ht="20.25" customHeight="1" x14ac:dyDescent="0.3">
      <c r="B1982" s="17"/>
      <c r="C1982" s="27"/>
      <c r="D1982" s="67"/>
      <c r="E1982" s="68"/>
      <c r="F1982" s="17"/>
      <c r="G1982" s="27"/>
    </row>
    <row r="1983" spans="2:7" ht="20.25" customHeight="1" x14ac:dyDescent="0.3">
      <c r="B1983" s="17"/>
      <c r="C1983" s="27"/>
      <c r="D1983" s="67"/>
      <c r="E1983" s="68"/>
      <c r="F1983" s="17"/>
      <c r="G1983" s="27"/>
    </row>
    <row r="1984" spans="2:7" ht="20.25" customHeight="1" x14ac:dyDescent="0.3">
      <c r="B1984" s="17"/>
      <c r="C1984" s="27"/>
      <c r="D1984" s="67"/>
      <c r="E1984" s="68"/>
      <c r="F1984" s="17"/>
      <c r="G1984" s="27"/>
    </row>
    <row r="1985" spans="2:7" ht="20.25" customHeight="1" x14ac:dyDescent="0.3">
      <c r="B1985" s="17"/>
      <c r="C1985" s="27"/>
      <c r="D1985" s="67"/>
      <c r="E1985" s="68"/>
      <c r="F1985" s="17"/>
      <c r="G1985" s="27"/>
    </row>
    <row r="1986" spans="2:7" ht="20.25" customHeight="1" x14ac:dyDescent="0.3">
      <c r="B1986" s="17"/>
      <c r="C1986" s="27"/>
      <c r="D1986" s="67"/>
      <c r="E1986" s="68"/>
      <c r="F1986" s="17"/>
      <c r="G1986" s="27"/>
    </row>
    <row r="1987" spans="2:7" ht="20.25" customHeight="1" x14ac:dyDescent="0.3">
      <c r="B1987" s="17"/>
      <c r="C1987" s="27"/>
      <c r="D1987" s="67"/>
      <c r="E1987" s="68"/>
      <c r="F1987" s="17"/>
      <c r="G1987" s="27"/>
    </row>
    <row r="1988" spans="2:7" ht="20.25" customHeight="1" x14ac:dyDescent="0.3">
      <c r="B1988" s="17"/>
      <c r="C1988" s="27"/>
      <c r="D1988" s="67"/>
      <c r="E1988" s="68"/>
      <c r="F1988" s="17"/>
      <c r="G1988" s="27"/>
    </row>
    <row r="1989" spans="2:7" ht="20.25" customHeight="1" x14ac:dyDescent="0.3">
      <c r="B1989" s="17"/>
      <c r="C1989" s="27"/>
      <c r="D1989" s="67"/>
      <c r="E1989" s="68"/>
      <c r="F1989" s="17"/>
      <c r="G1989" s="27"/>
    </row>
    <row r="1990" spans="2:7" ht="20.25" customHeight="1" x14ac:dyDescent="0.3">
      <c r="B1990" s="17"/>
      <c r="C1990" s="27"/>
      <c r="D1990" s="67"/>
      <c r="E1990" s="68"/>
      <c r="F1990" s="17"/>
      <c r="G1990" s="27"/>
    </row>
    <row r="1991" spans="2:7" ht="20.25" customHeight="1" x14ac:dyDescent="0.3">
      <c r="B1991" s="17"/>
      <c r="C1991" s="27"/>
      <c r="D1991" s="67"/>
      <c r="E1991" s="68"/>
      <c r="F1991" s="17"/>
      <c r="G1991" s="27"/>
    </row>
    <row r="1992" spans="2:7" ht="20.25" customHeight="1" x14ac:dyDescent="0.3">
      <c r="B1992" s="17"/>
      <c r="C1992" s="27"/>
      <c r="D1992" s="67"/>
      <c r="E1992" s="68"/>
      <c r="F1992" s="17"/>
      <c r="G1992" s="27"/>
    </row>
    <row r="1993" spans="2:7" ht="20.25" customHeight="1" x14ac:dyDescent="0.3">
      <c r="B1993" s="17"/>
      <c r="C1993" s="27"/>
      <c r="D1993" s="67"/>
      <c r="E1993" s="68"/>
      <c r="F1993" s="17"/>
      <c r="G1993" s="27"/>
    </row>
    <row r="1994" spans="2:7" ht="20.25" customHeight="1" x14ac:dyDescent="0.3">
      <c r="B1994" s="17"/>
      <c r="C1994" s="27"/>
      <c r="D1994" s="67"/>
      <c r="E1994" s="68"/>
      <c r="F1994" s="17"/>
      <c r="G1994" s="27"/>
    </row>
    <row r="1995" spans="2:7" ht="20.25" customHeight="1" x14ac:dyDescent="0.3">
      <c r="B1995" s="17"/>
      <c r="C1995" s="27"/>
      <c r="D1995" s="67"/>
      <c r="E1995" s="68"/>
      <c r="F1995" s="17"/>
      <c r="G1995" s="27"/>
    </row>
    <row r="1996" spans="2:7" ht="20.25" customHeight="1" x14ac:dyDescent="0.3">
      <c r="B1996" s="17"/>
      <c r="C1996" s="27"/>
      <c r="D1996" s="67"/>
      <c r="E1996" s="68"/>
      <c r="F1996" s="17"/>
      <c r="G1996" s="27"/>
    </row>
    <row r="1997" spans="2:7" ht="20.25" customHeight="1" x14ac:dyDescent="0.3">
      <c r="B1997" s="17"/>
      <c r="C1997" s="27"/>
      <c r="D1997" s="67"/>
      <c r="E1997" s="68"/>
      <c r="F1997" s="17"/>
      <c r="G1997" s="27"/>
    </row>
    <row r="1998" spans="2:7" ht="20.25" customHeight="1" x14ac:dyDescent="0.3">
      <c r="B1998" s="17"/>
      <c r="C1998" s="27"/>
      <c r="D1998" s="67"/>
      <c r="E1998" s="68"/>
      <c r="F1998" s="17"/>
      <c r="G1998" s="27"/>
    </row>
    <row r="1999" spans="2:7" ht="20.25" customHeight="1" x14ac:dyDescent="0.3">
      <c r="B1999" s="17"/>
      <c r="C1999" s="27"/>
      <c r="D1999" s="67"/>
      <c r="E1999" s="68"/>
      <c r="F1999" s="17"/>
      <c r="G1999" s="27"/>
    </row>
    <row r="2000" spans="2:7" ht="20.25" customHeight="1" x14ac:dyDescent="0.3">
      <c r="B2000" s="17"/>
      <c r="C2000" s="27"/>
      <c r="D2000" s="67"/>
      <c r="E2000" s="68"/>
      <c r="F2000" s="17"/>
      <c r="G2000" s="27"/>
    </row>
    <row r="2001" spans="2:7" ht="20.25" customHeight="1" x14ac:dyDescent="0.3">
      <c r="B2001" s="17"/>
      <c r="C2001" s="27"/>
      <c r="D2001" s="67"/>
      <c r="E2001" s="68"/>
      <c r="F2001" s="17"/>
      <c r="G2001" s="27"/>
    </row>
    <row r="2002" spans="2:7" ht="20.25" customHeight="1" x14ac:dyDescent="0.3">
      <c r="B2002" s="17"/>
      <c r="C2002" s="27"/>
      <c r="D2002" s="67"/>
      <c r="E2002" s="68"/>
      <c r="F2002" s="17"/>
      <c r="G2002" s="27"/>
    </row>
    <row r="2003" spans="2:7" ht="20.25" customHeight="1" x14ac:dyDescent="0.3">
      <c r="B2003" s="17"/>
      <c r="C2003" s="27"/>
      <c r="D2003" s="67"/>
      <c r="E2003" s="68"/>
      <c r="F2003" s="17"/>
      <c r="G2003" s="27"/>
    </row>
    <row r="2004" spans="2:7" ht="20.25" customHeight="1" x14ac:dyDescent="0.3">
      <c r="B2004" s="17"/>
      <c r="C2004" s="27"/>
      <c r="D2004" s="67"/>
      <c r="E2004" s="68"/>
      <c r="F2004" s="17"/>
      <c r="G2004" s="27"/>
    </row>
    <row r="2005" spans="2:7" ht="20.25" customHeight="1" x14ac:dyDescent="0.3">
      <c r="B2005" s="17"/>
      <c r="C2005" s="27"/>
      <c r="D2005" s="67"/>
      <c r="E2005" s="68"/>
      <c r="F2005" s="17"/>
      <c r="G2005" s="27"/>
    </row>
    <row r="2006" spans="2:7" ht="20.25" customHeight="1" x14ac:dyDescent="0.3">
      <c r="B2006" s="17"/>
      <c r="C2006" s="27"/>
      <c r="D2006" s="67"/>
      <c r="E2006" s="68"/>
      <c r="F2006" s="17"/>
      <c r="G2006" s="27"/>
    </row>
    <row r="2007" spans="2:7" ht="20.25" customHeight="1" x14ac:dyDescent="0.3">
      <c r="B2007" s="17"/>
      <c r="C2007" s="27"/>
      <c r="D2007" s="67"/>
      <c r="E2007" s="68"/>
      <c r="F2007" s="17"/>
      <c r="G2007" s="27"/>
    </row>
    <row r="2008" spans="2:7" ht="20.25" customHeight="1" x14ac:dyDescent="0.3">
      <c r="B2008" s="17"/>
      <c r="C2008" s="27"/>
      <c r="D2008" s="67"/>
      <c r="E2008" s="68"/>
      <c r="F2008" s="17"/>
      <c r="G2008" s="27"/>
    </row>
    <row r="2009" spans="2:7" ht="20.25" customHeight="1" x14ac:dyDescent="0.3">
      <c r="B2009" s="17"/>
      <c r="C2009" s="27"/>
      <c r="D2009" s="67"/>
      <c r="E2009" s="68"/>
      <c r="F2009" s="17"/>
      <c r="G2009" s="27"/>
    </row>
    <row r="2010" spans="2:7" ht="20.25" customHeight="1" x14ac:dyDescent="0.3">
      <c r="B2010" s="17"/>
      <c r="C2010" s="27"/>
      <c r="D2010" s="67"/>
      <c r="E2010" s="68"/>
      <c r="F2010" s="17"/>
      <c r="G2010" s="27"/>
    </row>
    <row r="2011" spans="2:7" ht="20.25" customHeight="1" x14ac:dyDescent="0.3">
      <c r="B2011" s="17"/>
      <c r="C2011" s="27"/>
      <c r="D2011" s="67"/>
      <c r="E2011" s="68"/>
      <c r="F2011" s="17"/>
      <c r="G2011" s="27"/>
    </row>
    <row r="2012" spans="2:7" ht="20.25" customHeight="1" x14ac:dyDescent="0.3">
      <c r="B2012" s="17"/>
      <c r="C2012" s="27"/>
      <c r="D2012" s="67"/>
      <c r="E2012" s="68"/>
      <c r="F2012" s="17"/>
      <c r="G2012" s="27"/>
    </row>
    <row r="2013" spans="2:7" ht="20.25" customHeight="1" x14ac:dyDescent="0.3">
      <c r="B2013" s="17"/>
      <c r="C2013" s="27"/>
      <c r="D2013" s="67"/>
      <c r="E2013" s="68"/>
      <c r="F2013" s="17"/>
      <c r="G2013" s="27"/>
    </row>
    <row r="2014" spans="2:7" ht="20.25" customHeight="1" x14ac:dyDescent="0.3">
      <c r="B2014" s="17"/>
      <c r="C2014" s="27"/>
      <c r="D2014" s="67"/>
      <c r="E2014" s="68"/>
      <c r="F2014" s="17"/>
      <c r="G2014" s="27"/>
    </row>
    <row r="2015" spans="2:7" ht="20.25" customHeight="1" x14ac:dyDescent="0.3">
      <c r="B2015" s="17"/>
      <c r="C2015" s="27"/>
      <c r="D2015" s="67"/>
      <c r="E2015" s="68"/>
      <c r="F2015" s="17"/>
      <c r="G2015" s="27"/>
    </row>
    <row r="2016" spans="2:7" ht="20.25" customHeight="1" x14ac:dyDescent="0.3">
      <c r="B2016" s="17"/>
      <c r="C2016" s="27"/>
      <c r="D2016" s="67"/>
      <c r="E2016" s="68"/>
      <c r="F2016" s="17"/>
      <c r="G2016" s="27"/>
    </row>
    <row r="2017" spans="2:7" ht="20.25" customHeight="1" x14ac:dyDescent="0.3">
      <c r="B2017" s="17"/>
      <c r="C2017" s="27"/>
      <c r="D2017" s="67"/>
      <c r="E2017" s="68"/>
      <c r="F2017" s="17"/>
      <c r="G2017" s="27"/>
    </row>
    <row r="2018" spans="2:7" ht="20.25" customHeight="1" x14ac:dyDescent="0.3">
      <c r="B2018" s="17"/>
      <c r="C2018" s="27"/>
      <c r="D2018" s="67"/>
      <c r="E2018" s="68"/>
      <c r="F2018" s="17"/>
      <c r="G2018" s="27"/>
    </row>
    <row r="2019" spans="2:7" ht="20.25" customHeight="1" x14ac:dyDescent="0.3">
      <c r="B2019" s="17"/>
      <c r="C2019" s="27"/>
      <c r="D2019" s="67"/>
      <c r="E2019" s="68"/>
      <c r="F2019" s="17"/>
      <c r="G2019" s="27"/>
    </row>
    <row r="2020" spans="2:7" ht="20.25" customHeight="1" x14ac:dyDescent="0.3">
      <c r="B2020" s="17"/>
      <c r="C2020" s="27"/>
      <c r="D2020" s="67"/>
      <c r="E2020" s="68"/>
      <c r="F2020" s="17"/>
      <c r="G2020" s="27"/>
    </row>
    <row r="2021" spans="2:7" ht="20.25" customHeight="1" x14ac:dyDescent="0.3">
      <c r="B2021" s="17"/>
      <c r="C2021" s="27"/>
      <c r="D2021" s="67"/>
      <c r="E2021" s="68"/>
      <c r="F2021" s="17"/>
      <c r="G2021" s="27"/>
    </row>
    <row r="2022" spans="2:7" ht="20.25" customHeight="1" x14ac:dyDescent="0.3">
      <c r="B2022" s="17"/>
      <c r="C2022" s="27"/>
      <c r="D2022" s="67"/>
      <c r="E2022" s="68"/>
      <c r="F2022" s="17"/>
      <c r="G2022" s="27"/>
    </row>
    <row r="2023" spans="2:7" ht="20.25" customHeight="1" x14ac:dyDescent="0.3">
      <c r="B2023" s="17"/>
      <c r="C2023" s="27"/>
      <c r="D2023" s="67"/>
      <c r="E2023" s="68"/>
      <c r="F2023" s="17"/>
      <c r="G2023" s="27"/>
    </row>
    <row r="2024" spans="2:7" ht="20.25" customHeight="1" x14ac:dyDescent="0.3">
      <c r="B2024" s="17"/>
      <c r="C2024" s="27"/>
      <c r="D2024" s="67"/>
      <c r="E2024" s="68"/>
      <c r="F2024" s="17"/>
      <c r="G2024" s="27"/>
    </row>
    <row r="2025" spans="2:7" ht="20.25" customHeight="1" x14ac:dyDescent="0.3">
      <c r="B2025" s="17"/>
      <c r="C2025" s="27"/>
      <c r="D2025" s="67"/>
      <c r="E2025" s="68"/>
      <c r="F2025" s="17"/>
      <c r="G2025" s="27"/>
    </row>
    <row r="2026" spans="2:7" ht="20.25" customHeight="1" x14ac:dyDescent="0.3">
      <c r="B2026" s="17"/>
      <c r="C2026" s="27"/>
      <c r="D2026" s="67"/>
      <c r="E2026" s="68"/>
      <c r="F2026" s="17"/>
      <c r="G2026" s="27"/>
    </row>
    <row r="2027" spans="2:7" ht="20.25" customHeight="1" x14ac:dyDescent="0.3">
      <c r="B2027" s="17"/>
      <c r="C2027" s="27"/>
      <c r="D2027" s="67"/>
      <c r="E2027" s="68"/>
      <c r="F2027" s="17"/>
      <c r="G2027" s="27"/>
    </row>
    <row r="2028" spans="2:7" ht="20.25" customHeight="1" x14ac:dyDescent="0.3">
      <c r="B2028" s="17"/>
      <c r="C2028" s="27"/>
      <c r="D2028" s="67"/>
      <c r="E2028" s="68"/>
      <c r="F2028" s="17"/>
      <c r="G2028" s="27"/>
    </row>
    <row r="2029" spans="2:7" ht="20.25" customHeight="1" x14ac:dyDescent="0.3">
      <c r="B2029" s="17"/>
      <c r="C2029" s="27"/>
      <c r="D2029" s="67"/>
      <c r="E2029" s="68"/>
      <c r="F2029" s="17"/>
      <c r="G2029" s="27"/>
    </row>
    <row r="2030" spans="2:7" ht="20.25" customHeight="1" x14ac:dyDescent="0.3">
      <c r="B2030" s="17"/>
      <c r="C2030" s="27"/>
      <c r="D2030" s="67"/>
      <c r="E2030" s="68"/>
      <c r="F2030" s="17"/>
      <c r="G2030" s="27"/>
    </row>
    <row r="2031" spans="2:7" ht="20.25" customHeight="1" x14ac:dyDescent="0.3">
      <c r="B2031" s="17"/>
      <c r="C2031" s="27"/>
      <c r="D2031" s="67"/>
      <c r="E2031" s="68"/>
      <c r="F2031" s="17"/>
      <c r="G2031" s="27"/>
    </row>
    <row r="2032" spans="2:7" ht="20.25" customHeight="1" x14ac:dyDescent="0.3">
      <c r="B2032" s="17"/>
      <c r="C2032" s="27"/>
      <c r="D2032" s="67"/>
      <c r="E2032" s="68"/>
      <c r="F2032" s="17"/>
      <c r="G2032" s="27"/>
    </row>
    <row r="2033" spans="2:7" ht="20.25" customHeight="1" x14ac:dyDescent="0.3">
      <c r="B2033" s="17"/>
      <c r="C2033" s="27"/>
      <c r="D2033" s="67"/>
      <c r="E2033" s="68"/>
      <c r="F2033" s="17"/>
      <c r="G2033" s="27"/>
    </row>
    <row r="2034" spans="2:7" ht="20.25" customHeight="1" x14ac:dyDescent="0.3">
      <c r="B2034" s="17"/>
      <c r="C2034" s="27"/>
      <c r="D2034" s="67"/>
      <c r="E2034" s="68"/>
      <c r="F2034" s="17"/>
      <c r="G2034" s="27"/>
    </row>
    <row r="2035" spans="2:7" ht="20.25" customHeight="1" x14ac:dyDescent="0.3">
      <c r="B2035" s="17"/>
      <c r="C2035" s="27"/>
      <c r="D2035" s="67"/>
      <c r="E2035" s="68"/>
      <c r="F2035" s="17"/>
      <c r="G2035" s="27"/>
    </row>
    <row r="2036" spans="2:7" ht="20.25" customHeight="1" x14ac:dyDescent="0.3">
      <c r="B2036" s="17"/>
      <c r="C2036" s="27"/>
      <c r="D2036" s="67"/>
      <c r="E2036" s="68"/>
      <c r="F2036" s="17"/>
      <c r="G2036" s="27"/>
    </row>
    <row r="2037" spans="2:7" ht="20.25" customHeight="1" x14ac:dyDescent="0.3">
      <c r="B2037" s="17"/>
      <c r="C2037" s="27"/>
      <c r="D2037" s="67"/>
      <c r="E2037" s="68"/>
      <c r="F2037" s="17"/>
      <c r="G2037" s="27"/>
    </row>
    <row r="2038" spans="2:7" ht="20.25" customHeight="1" x14ac:dyDescent="0.3">
      <c r="B2038" s="17"/>
      <c r="C2038" s="27"/>
      <c r="D2038" s="67"/>
      <c r="E2038" s="68"/>
      <c r="F2038" s="17"/>
      <c r="G2038" s="27"/>
    </row>
    <row r="2039" spans="2:7" ht="20.25" customHeight="1" x14ac:dyDescent="0.3">
      <c r="B2039" s="17"/>
      <c r="C2039" s="27"/>
      <c r="D2039" s="67"/>
      <c r="E2039" s="68"/>
      <c r="F2039" s="17"/>
      <c r="G2039" s="27"/>
    </row>
    <row r="2040" spans="2:7" ht="20.25" customHeight="1" x14ac:dyDescent="0.3">
      <c r="B2040" s="17"/>
      <c r="C2040" s="27"/>
      <c r="D2040" s="67"/>
      <c r="E2040" s="68"/>
      <c r="F2040" s="17"/>
      <c r="G2040" s="27"/>
    </row>
    <row r="2041" spans="2:7" ht="20.25" customHeight="1" x14ac:dyDescent="0.3">
      <c r="B2041" s="17"/>
      <c r="C2041" s="27"/>
      <c r="D2041" s="67"/>
      <c r="E2041" s="68"/>
      <c r="F2041" s="17"/>
      <c r="G2041" s="27"/>
    </row>
    <row r="2042" spans="2:7" ht="20.25" customHeight="1" x14ac:dyDescent="0.3">
      <c r="B2042" s="17"/>
      <c r="C2042" s="27"/>
      <c r="D2042" s="67"/>
      <c r="E2042" s="68"/>
      <c r="F2042" s="17"/>
      <c r="G2042" s="27"/>
    </row>
    <row r="2043" spans="2:7" ht="20.25" customHeight="1" x14ac:dyDescent="0.3">
      <c r="B2043" s="17"/>
      <c r="C2043" s="27"/>
      <c r="D2043" s="67"/>
      <c r="E2043" s="68"/>
      <c r="F2043" s="17"/>
      <c r="G2043" s="27"/>
    </row>
    <row r="2044" spans="2:7" ht="20.25" customHeight="1" x14ac:dyDescent="0.3">
      <c r="B2044" s="17"/>
      <c r="C2044" s="27"/>
      <c r="D2044" s="67"/>
      <c r="E2044" s="68"/>
      <c r="F2044" s="17"/>
      <c r="G2044" s="27"/>
    </row>
    <row r="2045" spans="2:7" ht="20.25" customHeight="1" x14ac:dyDescent="0.3">
      <c r="B2045" s="17"/>
      <c r="C2045" s="27"/>
      <c r="D2045" s="67"/>
      <c r="E2045" s="68"/>
      <c r="F2045" s="17"/>
      <c r="G2045" s="27"/>
    </row>
    <row r="2046" spans="2:7" ht="20.25" customHeight="1" x14ac:dyDescent="0.3">
      <c r="B2046" s="17"/>
      <c r="C2046" s="27"/>
      <c r="D2046" s="67"/>
      <c r="E2046" s="68"/>
      <c r="F2046" s="17"/>
      <c r="G2046" s="27"/>
    </row>
    <row r="2047" spans="2:7" ht="20.25" customHeight="1" x14ac:dyDescent="0.3">
      <c r="B2047" s="17"/>
      <c r="C2047" s="27"/>
      <c r="D2047" s="67"/>
      <c r="E2047" s="68"/>
      <c r="F2047" s="17"/>
      <c r="G2047" s="27"/>
    </row>
    <row r="2048" spans="2:7" ht="20.25" customHeight="1" x14ac:dyDescent="0.3">
      <c r="B2048" s="17"/>
      <c r="C2048" s="27"/>
      <c r="D2048" s="67"/>
      <c r="E2048" s="68"/>
      <c r="F2048" s="17"/>
      <c r="G2048" s="27"/>
    </row>
    <row r="2049" spans="2:7" ht="20.25" customHeight="1" x14ac:dyDescent="0.3">
      <c r="B2049" s="17"/>
      <c r="C2049" s="27"/>
      <c r="D2049" s="67"/>
      <c r="E2049" s="68"/>
      <c r="F2049" s="17"/>
      <c r="G2049" s="27"/>
    </row>
    <row r="2050" spans="2:7" ht="20.25" customHeight="1" x14ac:dyDescent="0.3">
      <c r="B2050" s="17"/>
      <c r="C2050" s="27"/>
      <c r="D2050" s="67"/>
      <c r="E2050" s="68"/>
      <c r="F2050" s="17"/>
      <c r="G2050" s="27"/>
    </row>
    <row r="2051" spans="2:7" ht="20.25" customHeight="1" x14ac:dyDescent="0.3">
      <c r="B2051" s="17"/>
      <c r="C2051" s="27"/>
      <c r="D2051" s="67"/>
      <c r="E2051" s="68"/>
      <c r="F2051" s="17"/>
      <c r="G2051" s="27"/>
    </row>
    <row r="2052" spans="2:7" ht="20.25" customHeight="1" x14ac:dyDescent="0.3">
      <c r="B2052" s="17"/>
      <c r="C2052" s="27"/>
      <c r="D2052" s="67"/>
      <c r="E2052" s="68"/>
      <c r="F2052" s="17"/>
      <c r="G2052" s="27"/>
    </row>
    <row r="2053" spans="2:7" ht="20.25" customHeight="1" x14ac:dyDescent="0.3">
      <c r="B2053" s="17"/>
      <c r="C2053" s="27"/>
      <c r="D2053" s="67"/>
      <c r="E2053" s="68"/>
      <c r="F2053" s="17"/>
      <c r="G2053" s="27"/>
    </row>
    <row r="2054" spans="2:7" ht="20.25" customHeight="1" x14ac:dyDescent="0.3">
      <c r="B2054" s="17"/>
      <c r="C2054" s="27"/>
      <c r="D2054" s="67"/>
      <c r="E2054" s="68"/>
      <c r="F2054" s="17"/>
      <c r="G2054" s="27"/>
    </row>
    <row r="2055" spans="2:7" ht="20.25" customHeight="1" x14ac:dyDescent="0.3">
      <c r="B2055" s="17"/>
      <c r="C2055" s="27"/>
      <c r="D2055" s="67"/>
      <c r="E2055" s="68"/>
      <c r="F2055" s="17"/>
      <c r="G2055" s="27"/>
    </row>
    <row r="2056" spans="2:7" ht="20.25" customHeight="1" x14ac:dyDescent="0.3">
      <c r="B2056" s="17"/>
      <c r="C2056" s="27"/>
      <c r="D2056" s="67"/>
      <c r="E2056" s="68"/>
      <c r="F2056" s="17"/>
      <c r="G2056" s="27"/>
    </row>
    <row r="2057" spans="2:7" ht="20.25" customHeight="1" x14ac:dyDescent="0.3">
      <c r="B2057" s="17"/>
      <c r="C2057" s="27"/>
      <c r="D2057" s="67"/>
      <c r="E2057" s="68"/>
      <c r="F2057" s="17"/>
      <c r="G2057" s="27"/>
    </row>
    <row r="2058" spans="2:7" ht="20.25" customHeight="1" x14ac:dyDescent="0.3">
      <c r="B2058" s="17"/>
      <c r="C2058" s="27"/>
      <c r="D2058" s="67"/>
      <c r="E2058" s="68"/>
      <c r="F2058" s="17"/>
      <c r="G2058" s="27"/>
    </row>
    <row r="2059" spans="2:7" ht="20.25" customHeight="1" x14ac:dyDescent="0.3">
      <c r="B2059" s="17"/>
      <c r="C2059" s="27"/>
      <c r="D2059" s="67"/>
      <c r="E2059" s="68"/>
      <c r="F2059" s="17"/>
      <c r="G2059" s="27"/>
    </row>
    <row r="2060" spans="2:7" ht="20.25" customHeight="1" x14ac:dyDescent="0.3">
      <c r="B2060" s="17"/>
      <c r="C2060" s="27"/>
      <c r="D2060" s="67"/>
      <c r="E2060" s="68"/>
      <c r="F2060" s="17"/>
      <c r="G2060" s="27"/>
    </row>
    <row r="2061" spans="2:7" ht="20.25" customHeight="1" x14ac:dyDescent="0.3">
      <c r="B2061" s="17"/>
      <c r="C2061" s="27"/>
      <c r="D2061" s="67"/>
      <c r="E2061" s="68"/>
      <c r="F2061" s="17"/>
      <c r="G2061" s="27"/>
    </row>
    <row r="2062" spans="2:7" ht="20.25" customHeight="1" x14ac:dyDescent="0.3">
      <c r="B2062" s="17"/>
      <c r="C2062" s="27"/>
      <c r="D2062" s="67"/>
      <c r="E2062" s="68"/>
      <c r="F2062" s="17"/>
      <c r="G2062" s="27"/>
    </row>
    <row r="2063" spans="2:7" ht="20.25" customHeight="1" x14ac:dyDescent="0.3">
      <c r="B2063" s="17"/>
      <c r="C2063" s="27"/>
      <c r="D2063" s="67"/>
      <c r="E2063" s="68"/>
      <c r="F2063" s="17"/>
      <c r="G2063" s="27"/>
    </row>
    <row r="2064" spans="2:7" ht="20.25" customHeight="1" x14ac:dyDescent="0.3">
      <c r="B2064" s="17"/>
      <c r="C2064" s="27"/>
      <c r="D2064" s="67"/>
      <c r="E2064" s="68"/>
      <c r="F2064" s="17"/>
      <c r="G2064" s="27"/>
    </row>
    <row r="2065" spans="2:7" ht="20.25" customHeight="1" x14ac:dyDescent="0.3">
      <c r="B2065" s="17"/>
      <c r="C2065" s="27"/>
      <c r="D2065" s="67"/>
      <c r="E2065" s="68"/>
      <c r="F2065" s="17"/>
      <c r="G2065" s="27"/>
    </row>
    <row r="2066" spans="2:7" ht="20.25" customHeight="1" x14ac:dyDescent="0.3">
      <c r="B2066" s="17"/>
      <c r="C2066" s="27"/>
      <c r="D2066" s="67"/>
      <c r="E2066" s="68"/>
      <c r="F2066" s="17"/>
      <c r="G2066" s="27"/>
    </row>
    <row r="2067" spans="2:7" ht="20.25" customHeight="1" x14ac:dyDescent="0.3">
      <c r="B2067" s="17"/>
      <c r="C2067" s="27"/>
      <c r="D2067" s="67"/>
      <c r="E2067" s="68"/>
      <c r="F2067" s="17"/>
      <c r="G2067" s="27"/>
    </row>
    <row r="2068" spans="2:7" ht="20.25" customHeight="1" x14ac:dyDescent="0.3">
      <c r="B2068" s="17"/>
      <c r="C2068" s="27"/>
      <c r="D2068" s="67"/>
      <c r="E2068" s="68"/>
      <c r="F2068" s="17"/>
      <c r="G2068" s="27"/>
    </row>
    <row r="2069" spans="2:7" ht="20.25" customHeight="1" x14ac:dyDescent="0.3">
      <c r="B2069" s="17"/>
      <c r="C2069" s="27"/>
      <c r="D2069" s="67"/>
      <c r="E2069" s="68"/>
      <c r="F2069" s="17"/>
      <c r="G2069" s="27"/>
    </row>
    <row r="2070" spans="2:7" ht="20.25" customHeight="1" x14ac:dyDescent="0.3">
      <c r="B2070" s="17"/>
      <c r="C2070" s="27"/>
      <c r="D2070" s="67"/>
      <c r="E2070" s="68"/>
      <c r="F2070" s="17"/>
      <c r="G2070" s="27"/>
    </row>
    <row r="2071" spans="2:7" ht="20.25" customHeight="1" x14ac:dyDescent="0.3">
      <c r="B2071" s="17"/>
      <c r="C2071" s="27"/>
      <c r="D2071" s="67"/>
      <c r="E2071" s="68"/>
      <c r="F2071" s="17"/>
      <c r="G2071" s="27"/>
    </row>
    <row r="2072" spans="2:7" ht="20.25" customHeight="1" x14ac:dyDescent="0.3">
      <c r="B2072" s="17"/>
      <c r="C2072" s="27"/>
      <c r="D2072" s="67"/>
      <c r="E2072" s="68"/>
      <c r="F2072" s="17"/>
      <c r="G2072" s="27"/>
    </row>
    <row r="2073" spans="2:7" ht="20.25" customHeight="1" x14ac:dyDescent="0.3">
      <c r="B2073" s="17"/>
      <c r="C2073" s="27"/>
      <c r="D2073" s="67"/>
      <c r="E2073" s="68"/>
      <c r="F2073" s="17"/>
      <c r="G2073" s="27"/>
    </row>
    <row r="2074" spans="2:7" ht="20.25" customHeight="1" x14ac:dyDescent="0.3">
      <c r="B2074" s="17"/>
      <c r="C2074" s="27"/>
      <c r="D2074" s="67"/>
      <c r="E2074" s="68"/>
      <c r="F2074" s="17"/>
      <c r="G2074" s="27"/>
    </row>
    <row r="2075" spans="2:7" ht="20.25" customHeight="1" x14ac:dyDescent="0.3">
      <c r="B2075" s="17"/>
      <c r="C2075" s="27"/>
      <c r="D2075" s="67"/>
      <c r="E2075" s="68"/>
      <c r="F2075" s="17"/>
      <c r="G2075" s="27"/>
    </row>
    <row r="2076" spans="2:7" ht="20.25" customHeight="1" x14ac:dyDescent="0.3">
      <c r="B2076" s="17"/>
      <c r="C2076" s="27"/>
      <c r="D2076" s="67"/>
      <c r="E2076" s="68"/>
      <c r="F2076" s="17"/>
      <c r="G2076" s="27"/>
    </row>
    <row r="2077" spans="2:7" ht="20.25" customHeight="1" x14ac:dyDescent="0.3">
      <c r="B2077" s="17"/>
      <c r="C2077" s="27"/>
      <c r="D2077" s="67"/>
      <c r="E2077" s="68"/>
      <c r="F2077" s="17"/>
      <c r="G2077" s="27"/>
    </row>
    <row r="2078" spans="2:7" ht="20.25" customHeight="1" x14ac:dyDescent="0.3">
      <c r="B2078" s="17"/>
      <c r="C2078" s="27"/>
      <c r="D2078" s="67"/>
      <c r="E2078" s="68"/>
      <c r="F2078" s="17"/>
      <c r="G2078" s="27"/>
    </row>
    <row r="2079" spans="2:7" ht="20.25" customHeight="1" x14ac:dyDescent="0.3">
      <c r="B2079" s="17"/>
      <c r="C2079" s="27"/>
      <c r="D2079" s="67"/>
      <c r="E2079" s="68"/>
      <c r="F2079" s="17"/>
      <c r="G2079" s="27"/>
    </row>
    <row r="2080" spans="2:7" ht="20.25" customHeight="1" x14ac:dyDescent="0.3">
      <c r="B2080" s="17"/>
      <c r="C2080" s="27"/>
      <c r="D2080" s="67"/>
      <c r="E2080" s="68"/>
      <c r="F2080" s="17"/>
      <c r="G2080" s="27"/>
    </row>
    <row r="2081" spans="2:7" ht="20.25" customHeight="1" x14ac:dyDescent="0.3">
      <c r="B2081" s="17"/>
      <c r="C2081" s="27"/>
      <c r="D2081" s="67"/>
      <c r="E2081" s="68"/>
      <c r="F2081" s="17"/>
      <c r="G2081" s="27"/>
    </row>
    <row r="2082" spans="2:7" ht="20.25" customHeight="1" x14ac:dyDescent="0.3">
      <c r="B2082" s="17"/>
      <c r="C2082" s="27"/>
      <c r="D2082" s="67"/>
      <c r="E2082" s="68"/>
      <c r="F2082" s="17"/>
      <c r="G2082" s="27"/>
    </row>
    <row r="2083" spans="2:7" ht="20.25" customHeight="1" x14ac:dyDescent="0.3">
      <c r="B2083" s="17"/>
      <c r="C2083" s="27"/>
      <c r="D2083" s="67"/>
      <c r="E2083" s="68"/>
      <c r="F2083" s="17"/>
      <c r="G2083" s="27"/>
    </row>
    <row r="2084" spans="2:7" ht="20.25" customHeight="1" x14ac:dyDescent="0.3">
      <c r="B2084" s="17"/>
      <c r="C2084" s="27"/>
      <c r="D2084" s="67"/>
      <c r="E2084" s="68"/>
      <c r="F2084" s="17"/>
      <c r="G2084" s="27"/>
    </row>
    <row r="2085" spans="2:7" ht="20.25" customHeight="1" x14ac:dyDescent="0.3">
      <c r="B2085" s="17"/>
      <c r="C2085" s="27"/>
      <c r="D2085" s="67"/>
      <c r="E2085" s="68"/>
      <c r="F2085" s="17"/>
      <c r="G2085" s="27"/>
    </row>
    <row r="2086" spans="2:7" ht="20.25" customHeight="1" x14ac:dyDescent="0.3">
      <c r="B2086" s="17"/>
      <c r="C2086" s="27"/>
      <c r="D2086" s="67"/>
      <c r="E2086" s="68"/>
      <c r="F2086" s="17"/>
      <c r="G2086" s="27"/>
    </row>
    <row r="2087" spans="2:7" ht="20.25" customHeight="1" x14ac:dyDescent="0.3">
      <c r="B2087" s="17"/>
      <c r="C2087" s="27"/>
      <c r="D2087" s="67"/>
      <c r="E2087" s="68"/>
      <c r="F2087" s="17"/>
      <c r="G2087" s="27"/>
    </row>
    <row r="2088" spans="2:7" ht="20.25" customHeight="1" x14ac:dyDescent="0.3">
      <c r="B2088" s="17"/>
      <c r="C2088" s="27"/>
      <c r="D2088" s="67"/>
      <c r="E2088" s="68"/>
      <c r="F2088" s="17"/>
      <c r="G2088" s="27"/>
    </row>
    <row r="2089" spans="2:7" ht="20.25" customHeight="1" x14ac:dyDescent="0.3">
      <c r="B2089" s="17"/>
      <c r="C2089" s="27"/>
      <c r="D2089" s="67"/>
      <c r="E2089" s="68"/>
      <c r="F2089" s="17"/>
      <c r="G2089" s="27"/>
    </row>
    <row r="2090" spans="2:7" ht="20.25" customHeight="1" x14ac:dyDescent="0.3">
      <c r="B2090" s="17"/>
      <c r="C2090" s="27"/>
      <c r="D2090" s="67"/>
      <c r="E2090" s="68"/>
      <c r="F2090" s="17"/>
      <c r="G2090" s="27"/>
    </row>
    <row r="2091" spans="2:7" ht="20.25" customHeight="1" x14ac:dyDescent="0.3">
      <c r="B2091" s="17"/>
      <c r="C2091" s="27"/>
      <c r="D2091" s="67"/>
      <c r="E2091" s="68"/>
      <c r="F2091" s="17"/>
      <c r="G2091" s="27"/>
    </row>
    <row r="2092" spans="2:7" ht="20.25" customHeight="1" x14ac:dyDescent="0.3">
      <c r="B2092" s="17"/>
      <c r="C2092" s="27"/>
      <c r="D2092" s="67"/>
      <c r="E2092" s="68"/>
      <c r="F2092" s="17"/>
      <c r="G2092" s="27"/>
    </row>
    <row r="2093" spans="2:7" ht="20.25" customHeight="1" x14ac:dyDescent="0.3">
      <c r="B2093" s="17"/>
      <c r="C2093" s="27"/>
      <c r="D2093" s="67"/>
      <c r="E2093" s="68"/>
      <c r="F2093" s="17"/>
      <c r="G2093" s="27"/>
    </row>
    <row r="2094" spans="2:7" ht="20.25" customHeight="1" x14ac:dyDescent="0.3">
      <c r="B2094" s="17"/>
      <c r="C2094" s="27"/>
      <c r="D2094" s="67"/>
      <c r="E2094" s="68"/>
      <c r="F2094" s="17"/>
      <c r="G2094" s="27"/>
    </row>
    <row r="2095" spans="2:7" ht="20.25" customHeight="1" x14ac:dyDescent="0.3">
      <c r="B2095" s="17"/>
      <c r="C2095" s="27"/>
      <c r="D2095" s="67"/>
      <c r="E2095" s="68"/>
      <c r="F2095" s="17"/>
      <c r="G2095" s="27"/>
    </row>
    <row r="2096" spans="2:7" ht="20.25" customHeight="1" x14ac:dyDescent="0.3">
      <c r="B2096" s="17"/>
      <c r="C2096" s="27"/>
      <c r="D2096" s="67"/>
      <c r="E2096" s="68"/>
      <c r="F2096" s="17"/>
      <c r="G2096" s="27"/>
    </row>
    <row r="2097" spans="2:7" ht="20.25" customHeight="1" x14ac:dyDescent="0.3">
      <c r="B2097" s="17"/>
      <c r="C2097" s="27"/>
      <c r="D2097" s="67"/>
      <c r="E2097" s="68"/>
      <c r="F2097" s="17"/>
      <c r="G2097" s="27"/>
    </row>
    <row r="2098" spans="2:7" ht="20.25" customHeight="1" x14ac:dyDescent="0.3">
      <c r="B2098" s="17"/>
      <c r="C2098" s="27"/>
      <c r="D2098" s="67"/>
      <c r="E2098" s="68"/>
      <c r="F2098" s="17"/>
      <c r="G2098" s="27"/>
    </row>
    <row r="2099" spans="2:7" ht="20.25" customHeight="1" x14ac:dyDescent="0.3">
      <c r="B2099" s="17"/>
      <c r="C2099" s="27"/>
      <c r="D2099" s="67"/>
      <c r="E2099" s="68"/>
      <c r="F2099" s="17"/>
      <c r="G2099" s="27"/>
    </row>
    <row r="2100" spans="2:7" ht="20.25" customHeight="1" x14ac:dyDescent="0.3">
      <c r="B2100" s="17"/>
      <c r="C2100" s="27"/>
      <c r="D2100" s="67"/>
      <c r="E2100" s="68"/>
      <c r="F2100" s="17"/>
      <c r="G2100" s="27"/>
    </row>
    <row r="2101" spans="2:7" ht="20.25" customHeight="1" x14ac:dyDescent="0.3">
      <c r="B2101" s="17"/>
      <c r="C2101" s="27"/>
      <c r="D2101" s="67"/>
      <c r="E2101" s="68"/>
      <c r="F2101" s="17"/>
      <c r="G2101" s="27"/>
    </row>
    <row r="2102" spans="2:7" ht="20.25" customHeight="1" x14ac:dyDescent="0.3">
      <c r="B2102" s="17"/>
      <c r="C2102" s="27"/>
      <c r="D2102" s="67"/>
      <c r="E2102" s="68"/>
      <c r="F2102" s="17"/>
      <c r="G2102" s="27"/>
    </row>
    <row r="2103" spans="2:7" ht="20.25" customHeight="1" x14ac:dyDescent="0.3">
      <c r="B2103" s="17"/>
      <c r="C2103" s="27"/>
      <c r="D2103" s="67"/>
      <c r="E2103" s="68"/>
      <c r="F2103" s="17"/>
      <c r="G2103" s="27"/>
    </row>
    <row r="2104" spans="2:7" ht="20.25" customHeight="1" x14ac:dyDescent="0.3">
      <c r="B2104" s="17"/>
      <c r="C2104" s="27"/>
      <c r="D2104" s="67"/>
      <c r="E2104" s="68"/>
      <c r="F2104" s="17"/>
      <c r="G2104" s="27"/>
    </row>
    <row r="2105" spans="2:7" ht="20.25" customHeight="1" x14ac:dyDescent="0.3">
      <c r="B2105" s="17"/>
      <c r="C2105" s="27"/>
      <c r="D2105" s="67"/>
      <c r="E2105" s="68"/>
      <c r="F2105" s="17"/>
      <c r="G2105" s="27"/>
    </row>
    <row r="2106" spans="2:7" ht="20.25" customHeight="1" x14ac:dyDescent="0.3">
      <c r="B2106" s="17"/>
      <c r="C2106" s="27"/>
      <c r="D2106" s="67"/>
      <c r="E2106" s="68"/>
      <c r="F2106" s="17"/>
      <c r="G2106" s="27"/>
    </row>
    <row r="2107" spans="2:7" ht="20.25" customHeight="1" x14ac:dyDescent="0.3">
      <c r="B2107" s="17"/>
      <c r="C2107" s="27"/>
      <c r="D2107" s="67"/>
      <c r="E2107" s="68"/>
      <c r="F2107" s="17"/>
      <c r="G2107" s="27"/>
    </row>
    <row r="2108" spans="2:7" ht="20.25" customHeight="1" x14ac:dyDescent="0.3">
      <c r="B2108" s="17"/>
      <c r="C2108" s="27"/>
      <c r="D2108" s="67"/>
      <c r="E2108" s="68"/>
      <c r="F2108" s="17"/>
      <c r="G2108" s="27"/>
    </row>
    <row r="2109" spans="2:7" ht="20.25" customHeight="1" x14ac:dyDescent="0.3">
      <c r="B2109" s="17"/>
      <c r="C2109" s="27"/>
      <c r="D2109" s="67"/>
      <c r="E2109" s="68"/>
      <c r="F2109" s="17"/>
      <c r="G2109" s="27"/>
    </row>
    <row r="2110" spans="2:7" ht="20.25" customHeight="1" x14ac:dyDescent="0.3">
      <c r="B2110" s="17"/>
      <c r="C2110" s="27"/>
      <c r="D2110" s="67"/>
      <c r="E2110" s="68"/>
      <c r="F2110" s="17"/>
      <c r="G2110" s="27"/>
    </row>
    <row r="2111" spans="2:7" ht="20.25" customHeight="1" x14ac:dyDescent="0.3">
      <c r="B2111" s="17"/>
      <c r="C2111" s="27"/>
      <c r="D2111" s="67"/>
      <c r="E2111" s="68"/>
      <c r="F2111" s="17"/>
      <c r="G2111" s="27"/>
    </row>
    <row r="2112" spans="2:7" ht="20.25" customHeight="1" x14ac:dyDescent="0.3">
      <c r="B2112" s="17"/>
      <c r="C2112" s="27"/>
      <c r="D2112" s="67"/>
      <c r="E2112" s="68"/>
      <c r="F2112" s="17"/>
      <c r="G2112" s="27"/>
    </row>
    <row r="2113" spans="2:7" ht="20.25" customHeight="1" x14ac:dyDescent="0.3">
      <c r="B2113" s="17"/>
      <c r="C2113" s="27"/>
      <c r="D2113" s="67"/>
      <c r="E2113" s="68"/>
      <c r="F2113" s="17"/>
      <c r="G2113" s="27"/>
    </row>
    <row r="2114" spans="2:7" ht="20.25" customHeight="1" x14ac:dyDescent="0.3">
      <c r="B2114" s="17"/>
      <c r="C2114" s="27"/>
      <c r="D2114" s="67"/>
      <c r="E2114" s="68"/>
      <c r="F2114" s="17"/>
      <c r="G2114" s="27"/>
    </row>
    <row r="2115" spans="2:7" ht="20.25" customHeight="1" x14ac:dyDescent="0.3">
      <c r="B2115" s="17"/>
      <c r="C2115" s="27"/>
      <c r="D2115" s="67"/>
      <c r="E2115" s="68"/>
      <c r="F2115" s="17"/>
      <c r="G2115" s="27"/>
    </row>
    <row r="2116" spans="2:7" ht="20.25" customHeight="1" x14ac:dyDescent="0.3">
      <c r="B2116" s="17"/>
      <c r="C2116" s="27"/>
      <c r="D2116" s="67"/>
      <c r="E2116" s="68"/>
      <c r="F2116" s="17"/>
      <c r="G2116" s="27"/>
    </row>
    <row r="2117" spans="2:7" ht="20.25" customHeight="1" x14ac:dyDescent="0.3">
      <c r="B2117" s="17"/>
      <c r="C2117" s="27"/>
      <c r="D2117" s="67"/>
      <c r="E2117" s="68"/>
      <c r="F2117" s="17"/>
      <c r="G2117" s="27"/>
    </row>
    <row r="2118" spans="2:7" ht="20.25" customHeight="1" x14ac:dyDescent="0.3">
      <c r="B2118" s="17"/>
      <c r="C2118" s="27"/>
      <c r="D2118" s="67"/>
      <c r="E2118" s="68"/>
      <c r="F2118" s="17"/>
      <c r="G2118" s="27"/>
    </row>
    <row r="2119" spans="2:7" ht="20.25" customHeight="1" x14ac:dyDescent="0.3">
      <c r="B2119" s="17"/>
      <c r="C2119" s="27"/>
      <c r="D2119" s="67"/>
      <c r="E2119" s="68"/>
      <c r="F2119" s="17"/>
      <c r="G2119" s="27"/>
    </row>
    <row r="2120" spans="2:7" ht="20.25" customHeight="1" x14ac:dyDescent="0.3">
      <c r="B2120" s="17"/>
      <c r="C2120" s="27"/>
      <c r="D2120" s="67"/>
      <c r="E2120" s="68"/>
      <c r="F2120" s="17"/>
      <c r="G2120" s="27"/>
    </row>
    <row r="2121" spans="2:7" ht="20.25" customHeight="1" x14ac:dyDescent="0.3">
      <c r="B2121" s="17"/>
      <c r="C2121" s="27"/>
      <c r="D2121" s="67"/>
      <c r="E2121" s="68"/>
      <c r="F2121" s="17"/>
      <c r="G2121" s="27"/>
    </row>
    <row r="2122" spans="2:7" ht="20.25" customHeight="1" x14ac:dyDescent="0.3">
      <c r="B2122" s="17"/>
      <c r="C2122" s="27"/>
      <c r="D2122" s="67"/>
      <c r="E2122" s="68"/>
      <c r="F2122" s="17"/>
      <c r="G2122" s="27"/>
    </row>
    <row r="2123" spans="2:7" ht="20.25" customHeight="1" x14ac:dyDescent="0.3">
      <c r="B2123" s="17"/>
      <c r="C2123" s="27"/>
      <c r="D2123" s="67"/>
      <c r="E2123" s="68"/>
      <c r="F2123" s="17"/>
      <c r="G2123" s="27"/>
    </row>
    <row r="2124" spans="2:7" ht="20.25" customHeight="1" x14ac:dyDescent="0.3">
      <c r="B2124" s="17"/>
      <c r="C2124" s="27"/>
      <c r="D2124" s="67"/>
      <c r="E2124" s="68"/>
      <c r="F2124" s="17"/>
      <c r="G2124" s="27"/>
    </row>
    <row r="2125" spans="2:7" ht="20.25" customHeight="1" x14ac:dyDescent="0.3">
      <c r="B2125" s="17"/>
      <c r="C2125" s="27"/>
      <c r="D2125" s="67"/>
      <c r="E2125" s="68"/>
      <c r="F2125" s="17"/>
      <c r="G2125" s="27"/>
    </row>
    <row r="2126" spans="2:7" ht="20.25" customHeight="1" x14ac:dyDescent="0.3">
      <c r="B2126" s="17"/>
      <c r="C2126" s="27"/>
      <c r="D2126" s="67"/>
      <c r="E2126" s="68"/>
      <c r="F2126" s="17"/>
      <c r="G2126" s="27"/>
    </row>
    <row r="2127" spans="2:7" ht="20.25" customHeight="1" x14ac:dyDescent="0.3">
      <c r="B2127" s="17"/>
      <c r="C2127" s="27"/>
      <c r="D2127" s="67"/>
      <c r="E2127" s="68"/>
      <c r="F2127" s="17"/>
      <c r="G2127" s="27"/>
    </row>
    <row r="2128" spans="2:7" ht="20.25" customHeight="1" x14ac:dyDescent="0.3">
      <c r="B2128" s="17"/>
      <c r="C2128" s="27"/>
      <c r="D2128" s="67"/>
      <c r="E2128" s="68"/>
      <c r="F2128" s="17"/>
      <c r="G2128" s="27"/>
    </row>
    <row r="2129" spans="2:7" ht="20.25" customHeight="1" x14ac:dyDescent="0.3">
      <c r="B2129" s="17"/>
      <c r="C2129" s="27"/>
      <c r="D2129" s="67"/>
      <c r="E2129" s="68"/>
      <c r="F2129" s="17"/>
      <c r="G2129" s="27"/>
    </row>
    <row r="2130" spans="2:7" ht="20.25" customHeight="1" x14ac:dyDescent="0.3">
      <c r="B2130" s="17"/>
      <c r="C2130" s="27"/>
      <c r="D2130" s="67"/>
      <c r="E2130" s="68"/>
      <c r="F2130" s="17"/>
      <c r="G2130" s="27"/>
    </row>
    <row r="2131" spans="2:7" ht="20.25" customHeight="1" x14ac:dyDescent="0.3">
      <c r="B2131" s="17"/>
      <c r="C2131" s="27"/>
      <c r="D2131" s="67"/>
      <c r="E2131" s="68"/>
      <c r="F2131" s="17"/>
      <c r="G2131" s="27"/>
    </row>
    <row r="2132" spans="2:7" ht="20.25" customHeight="1" x14ac:dyDescent="0.3">
      <c r="B2132" s="17"/>
      <c r="C2132" s="27"/>
      <c r="D2132" s="67"/>
      <c r="E2132" s="68"/>
      <c r="F2132" s="17"/>
      <c r="G2132" s="27"/>
    </row>
    <row r="2133" spans="2:7" ht="20.25" customHeight="1" x14ac:dyDescent="0.3">
      <c r="B2133" s="17"/>
      <c r="C2133" s="27"/>
      <c r="D2133" s="67"/>
      <c r="E2133" s="68"/>
      <c r="F2133" s="17"/>
      <c r="G2133" s="27"/>
    </row>
    <row r="2134" spans="2:7" ht="20.25" customHeight="1" x14ac:dyDescent="0.3">
      <c r="B2134" s="17"/>
      <c r="C2134" s="27"/>
      <c r="D2134" s="67"/>
      <c r="E2134" s="68"/>
      <c r="F2134" s="17"/>
      <c r="G2134" s="27"/>
    </row>
    <row r="2135" spans="2:7" ht="20.25" customHeight="1" x14ac:dyDescent="0.3">
      <c r="B2135" s="17"/>
      <c r="C2135" s="27"/>
      <c r="D2135" s="67"/>
      <c r="E2135" s="68"/>
      <c r="F2135" s="17"/>
      <c r="G2135" s="27"/>
    </row>
    <row r="2136" spans="2:7" ht="20.25" customHeight="1" x14ac:dyDescent="0.3">
      <c r="B2136" s="17"/>
      <c r="C2136" s="27"/>
      <c r="D2136" s="67"/>
      <c r="E2136" s="68"/>
      <c r="F2136" s="17"/>
      <c r="G2136" s="27"/>
    </row>
    <row r="2137" spans="2:7" ht="20.25" customHeight="1" x14ac:dyDescent="0.3">
      <c r="B2137" s="17"/>
      <c r="C2137" s="27"/>
      <c r="D2137" s="67"/>
      <c r="E2137" s="68"/>
      <c r="F2137" s="17"/>
      <c r="G2137" s="27"/>
    </row>
    <row r="2138" spans="2:7" ht="20.25" customHeight="1" x14ac:dyDescent="0.3">
      <c r="B2138" s="17"/>
      <c r="C2138" s="27"/>
      <c r="D2138" s="67"/>
      <c r="E2138" s="68"/>
      <c r="F2138" s="17"/>
      <c r="G2138" s="27"/>
    </row>
    <row r="2139" spans="2:7" ht="20.25" customHeight="1" x14ac:dyDescent="0.3">
      <c r="B2139" s="17"/>
      <c r="C2139" s="27"/>
      <c r="D2139" s="67"/>
      <c r="E2139" s="68"/>
      <c r="F2139" s="17"/>
      <c r="G2139" s="27"/>
    </row>
    <row r="2140" spans="2:7" ht="20.25" customHeight="1" x14ac:dyDescent="0.3">
      <c r="B2140" s="17"/>
      <c r="C2140" s="27"/>
      <c r="D2140" s="67"/>
      <c r="E2140" s="68"/>
      <c r="F2140" s="17"/>
      <c r="G2140" s="27"/>
    </row>
    <row r="2141" spans="2:7" ht="20.25" customHeight="1" x14ac:dyDescent="0.3">
      <c r="B2141" s="17"/>
      <c r="C2141" s="27"/>
      <c r="D2141" s="67"/>
      <c r="E2141" s="68"/>
      <c r="F2141" s="17"/>
      <c r="G2141" s="27"/>
    </row>
    <row r="2142" spans="2:7" ht="20.25" customHeight="1" x14ac:dyDescent="0.3">
      <c r="B2142" s="17"/>
      <c r="C2142" s="27"/>
      <c r="D2142" s="67"/>
      <c r="E2142" s="68"/>
      <c r="F2142" s="17"/>
      <c r="G2142" s="27"/>
    </row>
    <row r="2143" spans="2:7" ht="20.25" customHeight="1" x14ac:dyDescent="0.3">
      <c r="B2143" s="17"/>
      <c r="C2143" s="27"/>
      <c r="D2143" s="67"/>
      <c r="E2143" s="68"/>
      <c r="F2143" s="17"/>
      <c r="G2143" s="27"/>
    </row>
    <row r="2144" spans="2:7" ht="20.25" customHeight="1" x14ac:dyDescent="0.3">
      <c r="B2144" s="17"/>
      <c r="C2144" s="27"/>
      <c r="D2144" s="67"/>
      <c r="E2144" s="68"/>
      <c r="F2144" s="17"/>
      <c r="G2144" s="27"/>
    </row>
    <row r="2145" spans="2:7" ht="20.25" customHeight="1" x14ac:dyDescent="0.3">
      <c r="B2145" s="17"/>
      <c r="C2145" s="27"/>
      <c r="D2145" s="67"/>
      <c r="E2145" s="68"/>
      <c r="F2145" s="17"/>
      <c r="G2145" s="27"/>
    </row>
    <row r="2146" spans="2:7" ht="20.25" customHeight="1" x14ac:dyDescent="0.3">
      <c r="B2146" s="17"/>
      <c r="C2146" s="27"/>
      <c r="D2146" s="67"/>
      <c r="E2146" s="68"/>
      <c r="F2146" s="17"/>
      <c r="G2146" s="27"/>
    </row>
    <row r="2147" spans="2:7" ht="20.25" customHeight="1" x14ac:dyDescent="0.3">
      <c r="B2147" s="17"/>
      <c r="C2147" s="27"/>
      <c r="D2147" s="67"/>
      <c r="E2147" s="68"/>
      <c r="F2147" s="17"/>
      <c r="G2147" s="27"/>
    </row>
    <row r="2148" spans="2:7" ht="20.25" customHeight="1" x14ac:dyDescent="0.3">
      <c r="B2148" s="17"/>
      <c r="C2148" s="27"/>
      <c r="D2148" s="67"/>
      <c r="E2148" s="68"/>
      <c r="F2148" s="17"/>
      <c r="G2148" s="27"/>
    </row>
    <row r="2149" spans="2:7" ht="20.25" customHeight="1" x14ac:dyDescent="0.3">
      <c r="B2149" s="17"/>
      <c r="C2149" s="27"/>
      <c r="D2149" s="67"/>
      <c r="E2149" s="68"/>
      <c r="F2149" s="17"/>
      <c r="G2149" s="27"/>
    </row>
    <row r="2150" spans="2:7" ht="20.25" customHeight="1" x14ac:dyDescent="0.3">
      <c r="B2150" s="17"/>
      <c r="C2150" s="27"/>
      <c r="D2150" s="67"/>
      <c r="E2150" s="68"/>
      <c r="F2150" s="17"/>
      <c r="G2150" s="27"/>
    </row>
    <row r="2151" spans="2:7" ht="20.25" customHeight="1" x14ac:dyDescent="0.3">
      <c r="B2151" s="17"/>
      <c r="C2151" s="27"/>
      <c r="D2151" s="67"/>
      <c r="E2151" s="68"/>
      <c r="F2151" s="17"/>
      <c r="G2151" s="27"/>
    </row>
    <row r="2152" spans="2:7" ht="20.25" customHeight="1" x14ac:dyDescent="0.3">
      <c r="B2152" s="17"/>
      <c r="C2152" s="27"/>
      <c r="D2152" s="67"/>
      <c r="E2152" s="68"/>
      <c r="F2152" s="17"/>
      <c r="G2152" s="27"/>
    </row>
    <row r="2153" spans="2:7" ht="20.25" customHeight="1" x14ac:dyDescent="0.3">
      <c r="B2153" s="17"/>
      <c r="C2153" s="27"/>
      <c r="D2153" s="67"/>
      <c r="E2153" s="68"/>
      <c r="F2153" s="17"/>
      <c r="G2153" s="27"/>
    </row>
    <row r="2154" spans="2:7" ht="20.25" customHeight="1" x14ac:dyDescent="0.3">
      <c r="B2154" s="17"/>
      <c r="C2154" s="27"/>
      <c r="D2154" s="67"/>
      <c r="E2154" s="68"/>
      <c r="F2154" s="17"/>
      <c r="G2154" s="27"/>
    </row>
    <row r="2155" spans="2:7" ht="20.25" customHeight="1" x14ac:dyDescent="0.3">
      <c r="B2155" s="17"/>
      <c r="C2155" s="27"/>
      <c r="D2155" s="67"/>
      <c r="E2155" s="68"/>
      <c r="F2155" s="17"/>
      <c r="G2155" s="27"/>
    </row>
    <row r="2156" spans="2:7" ht="20.25" customHeight="1" x14ac:dyDescent="0.3">
      <c r="B2156" s="17"/>
      <c r="C2156" s="27"/>
      <c r="D2156" s="67"/>
      <c r="E2156" s="68"/>
      <c r="F2156" s="17"/>
      <c r="G2156" s="27"/>
    </row>
    <row r="2157" spans="2:7" ht="20.25" customHeight="1" x14ac:dyDescent="0.3">
      <c r="B2157" s="17"/>
      <c r="C2157" s="27"/>
      <c r="D2157" s="67"/>
      <c r="E2157" s="68"/>
      <c r="F2157" s="17"/>
      <c r="G2157" s="27"/>
    </row>
    <row r="2158" spans="2:7" ht="20.25" customHeight="1" x14ac:dyDescent="0.3">
      <c r="B2158" s="17"/>
      <c r="C2158" s="27"/>
      <c r="D2158" s="67"/>
      <c r="E2158" s="68"/>
      <c r="F2158" s="17"/>
      <c r="G2158" s="27"/>
    </row>
    <row r="2159" spans="2:7" ht="20.25" customHeight="1" x14ac:dyDescent="0.3">
      <c r="B2159" s="17"/>
      <c r="C2159" s="27"/>
      <c r="D2159" s="67"/>
      <c r="E2159" s="68"/>
      <c r="F2159" s="17"/>
      <c r="G2159" s="27"/>
    </row>
    <row r="2160" spans="2:7" ht="20.25" customHeight="1" x14ac:dyDescent="0.3">
      <c r="B2160" s="17"/>
      <c r="C2160" s="27"/>
      <c r="D2160" s="67"/>
      <c r="E2160" s="68"/>
      <c r="F2160" s="17"/>
      <c r="G2160" s="27"/>
    </row>
    <row r="2161" spans="2:7" ht="20.25" customHeight="1" x14ac:dyDescent="0.3">
      <c r="B2161" s="17"/>
      <c r="C2161" s="27"/>
      <c r="D2161" s="67"/>
      <c r="E2161" s="68"/>
      <c r="F2161" s="17"/>
      <c r="G2161" s="27"/>
    </row>
    <row r="2162" spans="2:7" ht="20.25" customHeight="1" x14ac:dyDescent="0.3">
      <c r="B2162" s="17"/>
      <c r="C2162" s="27"/>
      <c r="D2162" s="67"/>
      <c r="E2162" s="68"/>
      <c r="F2162" s="17"/>
      <c r="G2162" s="27"/>
    </row>
    <row r="2163" spans="2:7" ht="20.25" customHeight="1" x14ac:dyDescent="0.3">
      <c r="B2163" s="17"/>
      <c r="C2163" s="27"/>
      <c r="D2163" s="67"/>
      <c r="E2163" s="68"/>
      <c r="F2163" s="17"/>
      <c r="G2163" s="27"/>
    </row>
    <row r="2164" spans="2:7" ht="20.25" customHeight="1" x14ac:dyDescent="0.3">
      <c r="B2164" s="17"/>
      <c r="C2164" s="27"/>
      <c r="D2164" s="67"/>
      <c r="E2164" s="68"/>
      <c r="F2164" s="17"/>
      <c r="G2164" s="27"/>
    </row>
    <row r="2165" spans="2:7" ht="20.25" customHeight="1" x14ac:dyDescent="0.3">
      <c r="B2165" s="17"/>
      <c r="C2165" s="27"/>
      <c r="D2165" s="67"/>
      <c r="E2165" s="68"/>
      <c r="F2165" s="17"/>
      <c r="G2165" s="27"/>
    </row>
    <row r="2166" spans="2:7" ht="20.25" customHeight="1" x14ac:dyDescent="0.3">
      <c r="B2166" s="17"/>
      <c r="C2166" s="27"/>
      <c r="D2166" s="67"/>
      <c r="E2166" s="68"/>
      <c r="F2166" s="17"/>
      <c r="G2166" s="27"/>
    </row>
    <row r="2167" spans="2:7" ht="20.25" customHeight="1" x14ac:dyDescent="0.3">
      <c r="B2167" s="17"/>
      <c r="C2167" s="27"/>
      <c r="D2167" s="67"/>
      <c r="E2167" s="68"/>
      <c r="F2167" s="17"/>
      <c r="G2167" s="27"/>
    </row>
    <row r="2168" spans="2:7" ht="20.25" customHeight="1" x14ac:dyDescent="0.3">
      <c r="B2168" s="17"/>
      <c r="C2168" s="27"/>
      <c r="D2168" s="67"/>
      <c r="E2168" s="68"/>
      <c r="F2168" s="17"/>
      <c r="G2168" s="27"/>
    </row>
    <row r="2169" spans="2:7" ht="20.25" customHeight="1" x14ac:dyDescent="0.3">
      <c r="B2169" s="17"/>
      <c r="C2169" s="27"/>
      <c r="D2169" s="67"/>
      <c r="E2169" s="68"/>
      <c r="F2169" s="17"/>
      <c r="G2169" s="27"/>
    </row>
    <row r="2170" spans="2:7" ht="20.25" customHeight="1" x14ac:dyDescent="0.3">
      <c r="B2170" s="17"/>
      <c r="C2170" s="27"/>
      <c r="D2170" s="67"/>
      <c r="E2170" s="68"/>
      <c r="F2170" s="17"/>
      <c r="G2170" s="27"/>
    </row>
    <row r="2171" spans="2:7" ht="20.25" customHeight="1" x14ac:dyDescent="0.3">
      <c r="B2171" s="17"/>
      <c r="C2171" s="27"/>
      <c r="D2171" s="67"/>
      <c r="E2171" s="68"/>
      <c r="F2171" s="17"/>
      <c r="G2171" s="27"/>
    </row>
    <row r="2172" spans="2:7" ht="20.25" customHeight="1" x14ac:dyDescent="0.3">
      <c r="B2172" s="17"/>
      <c r="C2172" s="27"/>
      <c r="D2172" s="67"/>
      <c r="E2172" s="68"/>
      <c r="F2172" s="17"/>
      <c r="G2172" s="27"/>
    </row>
    <row r="2173" spans="2:7" ht="20.25" customHeight="1" x14ac:dyDescent="0.3">
      <c r="B2173" s="17"/>
      <c r="C2173" s="27"/>
      <c r="D2173" s="67"/>
      <c r="E2173" s="68"/>
      <c r="F2173" s="17"/>
      <c r="G2173" s="27"/>
    </row>
    <row r="2174" spans="2:7" ht="20.25" customHeight="1" x14ac:dyDescent="0.3">
      <c r="B2174" s="17"/>
      <c r="C2174" s="27"/>
      <c r="D2174" s="67"/>
      <c r="E2174" s="68"/>
      <c r="F2174" s="17"/>
      <c r="G2174" s="27"/>
    </row>
    <row r="2175" spans="2:7" ht="20.25" customHeight="1" x14ac:dyDescent="0.3">
      <c r="B2175" s="17"/>
      <c r="C2175" s="27"/>
      <c r="D2175" s="67"/>
      <c r="E2175" s="68"/>
      <c r="F2175" s="17"/>
      <c r="G2175" s="27"/>
    </row>
    <row r="2176" spans="2:7" ht="20.25" customHeight="1" x14ac:dyDescent="0.3">
      <c r="B2176" s="17"/>
      <c r="C2176" s="27"/>
      <c r="D2176" s="67"/>
      <c r="E2176" s="68"/>
      <c r="F2176" s="17"/>
      <c r="G2176" s="27"/>
    </row>
    <row r="2177" spans="2:7" ht="20.25" customHeight="1" x14ac:dyDescent="0.3">
      <c r="B2177" s="17"/>
      <c r="C2177" s="27"/>
      <c r="D2177" s="67"/>
      <c r="E2177" s="68"/>
      <c r="F2177" s="17"/>
      <c r="G2177" s="27"/>
    </row>
    <row r="2178" spans="2:7" ht="20.25" customHeight="1" x14ac:dyDescent="0.3">
      <c r="B2178" s="17"/>
      <c r="C2178" s="27"/>
      <c r="D2178" s="67"/>
      <c r="E2178" s="68"/>
      <c r="F2178" s="17"/>
      <c r="G2178" s="27"/>
    </row>
    <row r="2179" spans="2:7" ht="20.25" customHeight="1" x14ac:dyDescent="0.3">
      <c r="B2179" s="17"/>
      <c r="C2179" s="27"/>
      <c r="D2179" s="67"/>
      <c r="E2179" s="68"/>
      <c r="F2179" s="17"/>
      <c r="G2179" s="27"/>
    </row>
    <row r="2180" spans="2:7" ht="20.25" customHeight="1" x14ac:dyDescent="0.3">
      <c r="B2180" s="17"/>
      <c r="C2180" s="27"/>
      <c r="D2180" s="67"/>
      <c r="E2180" s="68"/>
      <c r="F2180" s="17"/>
      <c r="G2180" s="27"/>
    </row>
    <row r="2181" spans="2:7" ht="20.25" customHeight="1" x14ac:dyDescent="0.3">
      <c r="B2181" s="17"/>
      <c r="C2181" s="27"/>
      <c r="D2181" s="67"/>
      <c r="E2181" s="68"/>
      <c r="F2181" s="17"/>
      <c r="G2181" s="27"/>
    </row>
    <row r="2182" spans="2:7" ht="20.25" customHeight="1" x14ac:dyDescent="0.3">
      <c r="B2182" s="17"/>
      <c r="C2182" s="27"/>
      <c r="D2182" s="67"/>
      <c r="E2182" s="68"/>
      <c r="F2182" s="17"/>
      <c r="G2182" s="27"/>
    </row>
    <row r="2183" spans="2:7" ht="20.25" customHeight="1" x14ac:dyDescent="0.3">
      <c r="B2183" s="17"/>
      <c r="C2183" s="27"/>
      <c r="D2183" s="67"/>
      <c r="E2183" s="68"/>
      <c r="F2183" s="17"/>
      <c r="G2183" s="27"/>
    </row>
    <row r="2184" spans="2:7" ht="20.25" customHeight="1" x14ac:dyDescent="0.3">
      <c r="B2184" s="17"/>
      <c r="C2184" s="27"/>
      <c r="D2184" s="67"/>
      <c r="E2184" s="68"/>
      <c r="F2184" s="17"/>
      <c r="G2184" s="27"/>
    </row>
    <row r="2185" spans="2:7" ht="20.25" customHeight="1" x14ac:dyDescent="0.3">
      <c r="B2185" s="17"/>
      <c r="C2185" s="27"/>
      <c r="D2185" s="67"/>
      <c r="E2185" s="68"/>
      <c r="F2185" s="17"/>
      <c r="G2185" s="27"/>
    </row>
    <row r="2186" spans="2:7" ht="20.25" customHeight="1" x14ac:dyDescent="0.3">
      <c r="B2186" s="17"/>
      <c r="C2186" s="27"/>
      <c r="D2186" s="67"/>
      <c r="E2186" s="68"/>
      <c r="F2186" s="17"/>
      <c r="G2186" s="27"/>
    </row>
    <row r="2187" spans="2:7" ht="20.25" customHeight="1" x14ac:dyDescent="0.3">
      <c r="B2187" s="17"/>
      <c r="C2187" s="27"/>
      <c r="D2187" s="67"/>
      <c r="E2187" s="68"/>
      <c r="F2187" s="17"/>
      <c r="G2187" s="27"/>
    </row>
    <row r="2188" spans="2:7" ht="20.25" customHeight="1" x14ac:dyDescent="0.3">
      <c r="B2188" s="17"/>
      <c r="C2188" s="27"/>
      <c r="D2188" s="67"/>
      <c r="E2188" s="68"/>
      <c r="F2188" s="17"/>
      <c r="G2188" s="27"/>
    </row>
    <row r="2189" spans="2:7" ht="20.25" customHeight="1" x14ac:dyDescent="0.3">
      <c r="B2189" s="17"/>
      <c r="C2189" s="27"/>
      <c r="D2189" s="67"/>
      <c r="E2189" s="68"/>
      <c r="F2189" s="17"/>
      <c r="G2189" s="27"/>
    </row>
    <row r="2190" spans="2:7" ht="20.25" customHeight="1" x14ac:dyDescent="0.3">
      <c r="B2190" s="17"/>
      <c r="C2190" s="27"/>
      <c r="D2190" s="67"/>
      <c r="E2190" s="68"/>
      <c r="F2190" s="17"/>
      <c r="G2190" s="27"/>
    </row>
    <row r="2191" spans="2:7" ht="20.25" customHeight="1" x14ac:dyDescent="0.3">
      <c r="B2191" s="17"/>
      <c r="C2191" s="27"/>
      <c r="D2191" s="67"/>
      <c r="E2191" s="68"/>
      <c r="F2191" s="17"/>
      <c r="G2191" s="27"/>
    </row>
    <row r="2192" spans="2:7" ht="20.25" customHeight="1" x14ac:dyDescent="0.3">
      <c r="B2192" s="17"/>
      <c r="C2192" s="27"/>
      <c r="D2192" s="67"/>
      <c r="E2192" s="68"/>
      <c r="F2192" s="17"/>
      <c r="G2192" s="27"/>
    </row>
    <row r="2193" spans="2:7" ht="20.25" customHeight="1" x14ac:dyDescent="0.3">
      <c r="B2193" s="17"/>
      <c r="C2193" s="27"/>
      <c r="D2193" s="67"/>
      <c r="E2193" s="68"/>
      <c r="F2193" s="17"/>
      <c r="G2193" s="27"/>
    </row>
    <row r="2194" spans="2:7" ht="20.25" customHeight="1" x14ac:dyDescent="0.3">
      <c r="B2194" s="17"/>
      <c r="C2194" s="27"/>
      <c r="D2194" s="67"/>
      <c r="E2194" s="68"/>
      <c r="F2194" s="17"/>
      <c r="G2194" s="27"/>
    </row>
    <row r="2195" spans="2:7" ht="20.25" customHeight="1" x14ac:dyDescent="0.3">
      <c r="B2195" s="17"/>
      <c r="C2195" s="27"/>
      <c r="D2195" s="67"/>
      <c r="E2195" s="68"/>
      <c r="F2195" s="17"/>
      <c r="G2195" s="27"/>
    </row>
    <row r="2196" spans="2:7" ht="20.25" customHeight="1" x14ac:dyDescent="0.3">
      <c r="B2196" s="17"/>
      <c r="C2196" s="27"/>
      <c r="D2196" s="67"/>
      <c r="E2196" s="68"/>
      <c r="F2196" s="17"/>
      <c r="G2196" s="27"/>
    </row>
    <row r="2197" spans="2:7" ht="20.25" customHeight="1" x14ac:dyDescent="0.3">
      <c r="B2197" s="17"/>
      <c r="C2197" s="27"/>
      <c r="D2197" s="67"/>
      <c r="E2197" s="68"/>
      <c r="F2197" s="17"/>
      <c r="G2197" s="27"/>
    </row>
    <row r="2198" spans="2:7" ht="20.25" customHeight="1" x14ac:dyDescent="0.3">
      <c r="B2198" s="17"/>
      <c r="C2198" s="27"/>
      <c r="D2198" s="67"/>
      <c r="E2198" s="68"/>
      <c r="F2198" s="17"/>
      <c r="G2198" s="27"/>
    </row>
    <row r="2199" spans="2:7" ht="20.25" customHeight="1" x14ac:dyDescent="0.3">
      <c r="B2199" s="17"/>
      <c r="C2199" s="27"/>
      <c r="D2199" s="67"/>
      <c r="E2199" s="68"/>
      <c r="F2199" s="17"/>
      <c r="G2199" s="27"/>
    </row>
    <row r="2200" spans="2:7" ht="20.25" customHeight="1" x14ac:dyDescent="0.3">
      <c r="B2200" s="17"/>
      <c r="C2200" s="27"/>
      <c r="D2200" s="67"/>
      <c r="E2200" s="68"/>
      <c r="F2200" s="17"/>
      <c r="G2200" s="27"/>
    </row>
    <row r="2201" spans="2:7" ht="20.25" customHeight="1" x14ac:dyDescent="0.3">
      <c r="B2201" s="17"/>
      <c r="C2201" s="27"/>
      <c r="D2201" s="67"/>
      <c r="E2201" s="68"/>
      <c r="F2201" s="17"/>
      <c r="G2201" s="27"/>
    </row>
    <row r="2202" spans="2:7" ht="20.25" customHeight="1" x14ac:dyDescent="0.3">
      <c r="B2202" s="17"/>
      <c r="C2202" s="27"/>
      <c r="D2202" s="67"/>
      <c r="E2202" s="68"/>
      <c r="F2202" s="17"/>
      <c r="G2202" s="27"/>
    </row>
    <row r="2203" spans="2:7" ht="20.25" customHeight="1" x14ac:dyDescent="0.3">
      <c r="B2203" s="17"/>
      <c r="C2203" s="27"/>
      <c r="D2203" s="67"/>
      <c r="E2203" s="68"/>
      <c r="F2203" s="17"/>
      <c r="G2203" s="27"/>
    </row>
    <row r="2204" spans="2:7" ht="20.25" customHeight="1" x14ac:dyDescent="0.3">
      <c r="B2204" s="17"/>
      <c r="C2204" s="27"/>
      <c r="D2204" s="67"/>
      <c r="E2204" s="68"/>
      <c r="F2204" s="17"/>
      <c r="G2204" s="27"/>
    </row>
    <row r="2205" spans="2:7" ht="20.25" customHeight="1" x14ac:dyDescent="0.3">
      <c r="B2205" s="17"/>
      <c r="C2205" s="27"/>
      <c r="D2205" s="67"/>
      <c r="E2205" s="68"/>
      <c r="F2205" s="17"/>
      <c r="G2205" s="27"/>
    </row>
    <row r="2206" spans="2:7" ht="20.25" customHeight="1" x14ac:dyDescent="0.3">
      <c r="B2206" s="17"/>
      <c r="C2206" s="27"/>
      <c r="D2206" s="67"/>
      <c r="E2206" s="68"/>
      <c r="F2206" s="17"/>
      <c r="G2206" s="27"/>
    </row>
    <row r="2207" spans="2:7" ht="20.25" customHeight="1" x14ac:dyDescent="0.3">
      <c r="B2207" s="17"/>
      <c r="C2207" s="27"/>
      <c r="D2207" s="67"/>
      <c r="E2207" s="68"/>
      <c r="F2207" s="17"/>
      <c r="G2207" s="27"/>
    </row>
    <row r="2208" spans="2:7" ht="20.25" customHeight="1" x14ac:dyDescent="0.3">
      <c r="B2208" s="17"/>
      <c r="C2208" s="27"/>
      <c r="D2208" s="67"/>
      <c r="E2208" s="68"/>
      <c r="F2208" s="17"/>
      <c r="G2208" s="27"/>
    </row>
    <row r="2209" spans="2:7" ht="20.25" customHeight="1" x14ac:dyDescent="0.3">
      <c r="B2209" s="17"/>
      <c r="C2209" s="27"/>
      <c r="D2209" s="67"/>
      <c r="E2209" s="68"/>
      <c r="F2209" s="17"/>
      <c r="G2209" s="27"/>
    </row>
    <row r="2210" spans="2:7" ht="20.25" customHeight="1" x14ac:dyDescent="0.3">
      <c r="B2210" s="17"/>
      <c r="C2210" s="27"/>
      <c r="D2210" s="67"/>
      <c r="E2210" s="68"/>
      <c r="F2210" s="17"/>
      <c r="G2210" s="27"/>
    </row>
    <row r="2211" spans="2:7" ht="20.25" customHeight="1" x14ac:dyDescent="0.3">
      <c r="B2211" s="17"/>
      <c r="C2211" s="27"/>
      <c r="D2211" s="67"/>
      <c r="E2211" s="68"/>
      <c r="F2211" s="17"/>
      <c r="G2211" s="27"/>
    </row>
    <row r="2212" spans="2:7" ht="20.25" customHeight="1" x14ac:dyDescent="0.3">
      <c r="B2212" s="17"/>
      <c r="C2212" s="27"/>
      <c r="D2212" s="67"/>
      <c r="E2212" s="68"/>
      <c r="F2212" s="17"/>
      <c r="G2212" s="27"/>
    </row>
    <row r="2213" spans="2:7" ht="20.25" customHeight="1" x14ac:dyDescent="0.3">
      <c r="B2213" s="17"/>
      <c r="C2213" s="27"/>
      <c r="D2213" s="67"/>
      <c r="E2213" s="68"/>
      <c r="F2213" s="17"/>
      <c r="G2213" s="27"/>
    </row>
    <row r="2214" spans="2:7" ht="20.25" customHeight="1" x14ac:dyDescent="0.3">
      <c r="B2214" s="17"/>
      <c r="C2214" s="27"/>
      <c r="D2214" s="67"/>
      <c r="E2214" s="68"/>
      <c r="F2214" s="17"/>
      <c r="G2214" s="27"/>
    </row>
    <row r="2215" spans="2:7" ht="20.25" customHeight="1" x14ac:dyDescent="0.3">
      <c r="B2215" s="17"/>
      <c r="C2215" s="27"/>
      <c r="D2215" s="67"/>
      <c r="E2215" s="68"/>
      <c r="F2215" s="17"/>
      <c r="G2215" s="27"/>
    </row>
    <row r="2216" spans="2:7" ht="20.25" customHeight="1" x14ac:dyDescent="0.3">
      <c r="B2216" s="17"/>
      <c r="C2216" s="27"/>
      <c r="D2216" s="67"/>
      <c r="E2216" s="68"/>
      <c r="F2216" s="17"/>
      <c r="G2216" s="27"/>
    </row>
    <row r="2217" spans="2:7" ht="20.25" customHeight="1" x14ac:dyDescent="0.3">
      <c r="B2217" s="17"/>
      <c r="C2217" s="27"/>
      <c r="D2217" s="67"/>
      <c r="E2217" s="68"/>
      <c r="F2217" s="17"/>
      <c r="G2217" s="27"/>
    </row>
    <row r="2218" spans="2:7" ht="20.25" customHeight="1" x14ac:dyDescent="0.3">
      <c r="B2218" s="17"/>
      <c r="C2218" s="27"/>
      <c r="D2218" s="67"/>
      <c r="E2218" s="68"/>
      <c r="F2218" s="17"/>
      <c r="G2218" s="27"/>
    </row>
    <row r="2219" spans="2:7" ht="20.25" customHeight="1" x14ac:dyDescent="0.3">
      <c r="B2219" s="17"/>
      <c r="C2219" s="27"/>
      <c r="D2219" s="67"/>
      <c r="E2219" s="68"/>
      <c r="F2219" s="17"/>
      <c r="G2219" s="27"/>
    </row>
    <row r="2220" spans="2:7" ht="20.25" customHeight="1" x14ac:dyDescent="0.3">
      <c r="B2220" s="17"/>
      <c r="C2220" s="27"/>
      <c r="D2220" s="67"/>
      <c r="E2220" s="68"/>
      <c r="F2220" s="17"/>
      <c r="G2220" s="27"/>
    </row>
    <row r="2221" spans="2:7" ht="20.25" customHeight="1" x14ac:dyDescent="0.3">
      <c r="B2221" s="17"/>
      <c r="C2221" s="27"/>
      <c r="D2221" s="67"/>
      <c r="E2221" s="68"/>
      <c r="F2221" s="17"/>
      <c r="G2221" s="27"/>
    </row>
    <row r="2222" spans="2:7" ht="20.25" customHeight="1" x14ac:dyDescent="0.3">
      <c r="B2222" s="17"/>
      <c r="C2222" s="27"/>
      <c r="D2222" s="67"/>
      <c r="E2222" s="68"/>
      <c r="F2222" s="17"/>
      <c r="G2222" s="27"/>
    </row>
    <row r="2223" spans="2:7" ht="20.25" customHeight="1" x14ac:dyDescent="0.3">
      <c r="B2223" s="17"/>
      <c r="C2223" s="27"/>
      <c r="D2223" s="67"/>
      <c r="E2223" s="68"/>
      <c r="F2223" s="17"/>
      <c r="G2223" s="27"/>
    </row>
    <row r="2224" spans="2:7" ht="20.25" customHeight="1" x14ac:dyDescent="0.3">
      <c r="B2224" s="17"/>
      <c r="C2224" s="27"/>
      <c r="D2224" s="67"/>
      <c r="E2224" s="68"/>
      <c r="F2224" s="17"/>
      <c r="G2224" s="27"/>
    </row>
    <row r="2225" spans="2:7" ht="20.25" customHeight="1" x14ac:dyDescent="0.3">
      <c r="B2225" s="17"/>
      <c r="C2225" s="27"/>
      <c r="D2225" s="67"/>
      <c r="E2225" s="68"/>
      <c r="F2225" s="17"/>
      <c r="G2225" s="27"/>
    </row>
    <row r="2226" spans="2:7" ht="20.25" customHeight="1" x14ac:dyDescent="0.3">
      <c r="B2226" s="17"/>
      <c r="C2226" s="27"/>
      <c r="D2226" s="67"/>
      <c r="E2226" s="68"/>
      <c r="F2226" s="17"/>
      <c r="G2226" s="27"/>
    </row>
    <row r="2227" spans="2:7" ht="20.25" customHeight="1" x14ac:dyDescent="0.3">
      <c r="B2227" s="17"/>
      <c r="C2227" s="27"/>
      <c r="D2227" s="67"/>
      <c r="E2227" s="68"/>
      <c r="F2227" s="17"/>
      <c r="G2227" s="27"/>
    </row>
    <row r="2228" spans="2:7" ht="20.25" customHeight="1" x14ac:dyDescent="0.3">
      <c r="B2228" s="17"/>
      <c r="C2228" s="27"/>
      <c r="D2228" s="67"/>
      <c r="E2228" s="68"/>
      <c r="F2228" s="17"/>
      <c r="G2228" s="27"/>
    </row>
    <row r="2229" spans="2:7" ht="20.25" customHeight="1" x14ac:dyDescent="0.3">
      <c r="B2229" s="17"/>
      <c r="C2229" s="27"/>
      <c r="D2229" s="67"/>
      <c r="E2229" s="68"/>
      <c r="F2229" s="17"/>
      <c r="G2229" s="27"/>
    </row>
    <row r="2230" spans="2:7" ht="20.25" customHeight="1" x14ac:dyDescent="0.3">
      <c r="B2230" s="17"/>
      <c r="C2230" s="27"/>
      <c r="D2230" s="67"/>
      <c r="E2230" s="68"/>
      <c r="F2230" s="17"/>
      <c r="G2230" s="27"/>
    </row>
    <row r="2231" spans="2:7" ht="20.25" customHeight="1" x14ac:dyDescent="0.3">
      <c r="B2231" s="17"/>
      <c r="C2231" s="27"/>
      <c r="D2231" s="67"/>
      <c r="E2231" s="68"/>
      <c r="F2231" s="17"/>
      <c r="G2231" s="27"/>
    </row>
    <row r="2232" spans="2:7" ht="20.25" customHeight="1" x14ac:dyDescent="0.3">
      <c r="B2232" s="17"/>
      <c r="C2232" s="27"/>
      <c r="D2232" s="67"/>
      <c r="E2232" s="68"/>
      <c r="F2232" s="17"/>
      <c r="G2232" s="27"/>
    </row>
    <row r="2233" spans="2:7" ht="20.25" customHeight="1" x14ac:dyDescent="0.3">
      <c r="B2233" s="17"/>
      <c r="C2233" s="27"/>
      <c r="D2233" s="67"/>
      <c r="E2233" s="68"/>
      <c r="F2233" s="17"/>
      <c r="G2233" s="27"/>
    </row>
    <row r="2234" spans="2:7" ht="20.25" customHeight="1" x14ac:dyDescent="0.3">
      <c r="B2234" s="17"/>
      <c r="C2234" s="27"/>
      <c r="D2234" s="67"/>
      <c r="E2234" s="68"/>
      <c r="F2234" s="17"/>
      <c r="G2234" s="27"/>
    </row>
    <row r="2235" spans="2:7" ht="20.25" customHeight="1" x14ac:dyDescent="0.3">
      <c r="B2235" s="17"/>
      <c r="C2235" s="27"/>
      <c r="D2235" s="67"/>
      <c r="E2235" s="68"/>
      <c r="F2235" s="17"/>
      <c r="G2235" s="27"/>
    </row>
    <row r="2236" spans="2:7" ht="20.25" customHeight="1" x14ac:dyDescent="0.3">
      <c r="B2236" s="17"/>
      <c r="C2236" s="27"/>
      <c r="D2236" s="67"/>
      <c r="E2236" s="68"/>
      <c r="F2236" s="17"/>
      <c r="G2236" s="27"/>
    </row>
    <row r="2237" spans="2:7" ht="20.25" customHeight="1" x14ac:dyDescent="0.3">
      <c r="B2237" s="17"/>
      <c r="C2237" s="27"/>
      <c r="D2237" s="67"/>
      <c r="E2237" s="68"/>
      <c r="F2237" s="17"/>
      <c r="G2237" s="27"/>
    </row>
    <row r="2238" spans="2:7" ht="20.25" customHeight="1" x14ac:dyDescent="0.3">
      <c r="B2238" s="17"/>
      <c r="C2238" s="27"/>
      <c r="D2238" s="67"/>
      <c r="E2238" s="68"/>
      <c r="F2238" s="17"/>
      <c r="G2238" s="27"/>
    </row>
    <row r="2239" spans="2:7" ht="20.25" customHeight="1" x14ac:dyDescent="0.3">
      <c r="B2239" s="17"/>
      <c r="C2239" s="27"/>
      <c r="D2239" s="67"/>
      <c r="E2239" s="68"/>
      <c r="F2239" s="17"/>
      <c r="G2239" s="27"/>
    </row>
    <row r="2240" spans="2:7" ht="20.25" customHeight="1" x14ac:dyDescent="0.3">
      <c r="B2240" s="17"/>
      <c r="C2240" s="27"/>
      <c r="D2240" s="67"/>
      <c r="E2240" s="68"/>
      <c r="F2240" s="17"/>
      <c r="G2240" s="27"/>
    </row>
    <row r="2241" spans="2:7" ht="20.25" customHeight="1" x14ac:dyDescent="0.3">
      <c r="B2241" s="17"/>
      <c r="C2241" s="27"/>
      <c r="D2241" s="67"/>
      <c r="E2241" s="68"/>
      <c r="F2241" s="17"/>
      <c r="G2241" s="27"/>
    </row>
    <row r="2242" spans="2:7" ht="20.25" customHeight="1" x14ac:dyDescent="0.3">
      <c r="B2242" s="17"/>
      <c r="C2242" s="27"/>
      <c r="D2242" s="67"/>
      <c r="E2242" s="68"/>
      <c r="F2242" s="17"/>
      <c r="G2242" s="27"/>
    </row>
    <row r="2243" spans="2:7" ht="20.25" customHeight="1" x14ac:dyDescent="0.3">
      <c r="B2243" s="17"/>
      <c r="C2243" s="27"/>
      <c r="D2243" s="67"/>
      <c r="E2243" s="68"/>
      <c r="F2243" s="17"/>
      <c r="G2243" s="27"/>
    </row>
    <row r="2244" spans="2:7" ht="20.25" customHeight="1" x14ac:dyDescent="0.3">
      <c r="B2244" s="17"/>
      <c r="C2244" s="27"/>
      <c r="D2244" s="67"/>
      <c r="E2244" s="68"/>
      <c r="F2244" s="17"/>
      <c r="G2244" s="27"/>
    </row>
    <row r="2245" spans="2:7" ht="20.25" customHeight="1" x14ac:dyDescent="0.3">
      <c r="B2245" s="17"/>
      <c r="C2245" s="27"/>
      <c r="D2245" s="67"/>
      <c r="E2245" s="68"/>
      <c r="F2245" s="17"/>
      <c r="G2245" s="27"/>
    </row>
    <row r="2246" spans="2:7" ht="20.25" customHeight="1" x14ac:dyDescent="0.3">
      <c r="B2246" s="17"/>
      <c r="C2246" s="27"/>
      <c r="D2246" s="67"/>
      <c r="E2246" s="68"/>
      <c r="F2246" s="17"/>
      <c r="G2246" s="27"/>
    </row>
    <row r="2247" spans="2:7" ht="20.25" customHeight="1" x14ac:dyDescent="0.3">
      <c r="B2247" s="17"/>
      <c r="C2247" s="27"/>
      <c r="D2247" s="67"/>
      <c r="E2247" s="68"/>
      <c r="F2247" s="17"/>
      <c r="G2247" s="27"/>
    </row>
    <row r="2248" spans="2:7" ht="20.25" customHeight="1" x14ac:dyDescent="0.3">
      <c r="B2248" s="17"/>
      <c r="C2248" s="27"/>
      <c r="D2248" s="67"/>
      <c r="E2248" s="68"/>
      <c r="F2248" s="17"/>
      <c r="G2248" s="27"/>
    </row>
    <row r="2249" spans="2:7" ht="20.25" customHeight="1" x14ac:dyDescent="0.3">
      <c r="B2249" s="17"/>
      <c r="C2249" s="27"/>
      <c r="D2249" s="67"/>
      <c r="E2249" s="68"/>
      <c r="F2249" s="17"/>
      <c r="G2249" s="27"/>
    </row>
    <row r="2250" spans="2:7" ht="20.25" customHeight="1" x14ac:dyDescent="0.3">
      <c r="B2250" s="17"/>
      <c r="C2250" s="27"/>
      <c r="D2250" s="67"/>
      <c r="E2250" s="68"/>
      <c r="F2250" s="17"/>
      <c r="G2250" s="27"/>
    </row>
    <row r="2251" spans="2:7" ht="20.25" customHeight="1" x14ac:dyDescent="0.3">
      <c r="B2251" s="17"/>
      <c r="C2251" s="27"/>
      <c r="D2251" s="67"/>
      <c r="E2251" s="68"/>
      <c r="F2251" s="17"/>
      <c r="G2251" s="27"/>
    </row>
    <row r="2252" spans="2:7" ht="20.25" customHeight="1" x14ac:dyDescent="0.3">
      <c r="B2252" s="17"/>
      <c r="C2252" s="27"/>
      <c r="D2252" s="67"/>
      <c r="E2252" s="68"/>
      <c r="F2252" s="17"/>
      <c r="G2252" s="27"/>
    </row>
    <row r="2253" spans="2:7" ht="20.25" customHeight="1" x14ac:dyDescent="0.3">
      <c r="B2253" s="17"/>
      <c r="C2253" s="27"/>
      <c r="D2253" s="67"/>
      <c r="E2253" s="68"/>
      <c r="F2253" s="17"/>
      <c r="G2253" s="27"/>
    </row>
    <row r="2254" spans="2:7" ht="20.25" customHeight="1" x14ac:dyDescent="0.3">
      <c r="B2254" s="17"/>
      <c r="C2254" s="27"/>
      <c r="D2254" s="67"/>
      <c r="E2254" s="68"/>
      <c r="F2254" s="17"/>
      <c r="G2254" s="27"/>
    </row>
    <row r="2255" spans="2:7" ht="20.25" customHeight="1" x14ac:dyDescent="0.3">
      <c r="B2255" s="17"/>
      <c r="C2255" s="27"/>
      <c r="D2255" s="67"/>
      <c r="E2255" s="68"/>
      <c r="F2255" s="17"/>
      <c r="G2255" s="27"/>
    </row>
    <row r="2256" spans="2:7" ht="20.25" customHeight="1" x14ac:dyDescent="0.3">
      <c r="B2256" s="17"/>
      <c r="C2256" s="27"/>
      <c r="D2256" s="67"/>
      <c r="E2256" s="68"/>
      <c r="F2256" s="17"/>
      <c r="G2256" s="27"/>
    </row>
    <row r="2257" spans="2:7" ht="20.25" customHeight="1" x14ac:dyDescent="0.3">
      <c r="B2257" s="17"/>
      <c r="C2257" s="27"/>
      <c r="D2257" s="67"/>
      <c r="E2257" s="68"/>
      <c r="F2257" s="17"/>
      <c r="G2257" s="27"/>
    </row>
    <row r="2258" spans="2:7" ht="20.25" customHeight="1" x14ac:dyDescent="0.3">
      <c r="B2258" s="17"/>
      <c r="C2258" s="27"/>
      <c r="D2258" s="67"/>
      <c r="E2258" s="68"/>
      <c r="F2258" s="17"/>
      <c r="G2258" s="27"/>
    </row>
    <row r="2259" spans="2:7" ht="20.25" customHeight="1" x14ac:dyDescent="0.3">
      <c r="B2259" s="17"/>
      <c r="C2259" s="27"/>
      <c r="D2259" s="67"/>
      <c r="E2259" s="68"/>
      <c r="F2259" s="17"/>
      <c r="G2259" s="27"/>
    </row>
    <row r="2260" spans="2:7" ht="20.25" customHeight="1" x14ac:dyDescent="0.3">
      <c r="B2260" s="17"/>
      <c r="C2260" s="27"/>
      <c r="D2260" s="67"/>
      <c r="E2260" s="68"/>
      <c r="F2260" s="17"/>
      <c r="G2260" s="27"/>
    </row>
    <row r="2261" spans="2:7" ht="20.25" customHeight="1" x14ac:dyDescent="0.3">
      <c r="B2261" s="17"/>
      <c r="C2261" s="27"/>
      <c r="D2261" s="67"/>
      <c r="E2261" s="68"/>
      <c r="F2261" s="17"/>
      <c r="G2261" s="27"/>
    </row>
    <row r="2262" spans="2:7" ht="20.25" customHeight="1" x14ac:dyDescent="0.3">
      <c r="B2262" s="17"/>
      <c r="C2262" s="27"/>
      <c r="D2262" s="67"/>
      <c r="E2262" s="68"/>
      <c r="F2262" s="17"/>
      <c r="G2262" s="27"/>
    </row>
    <row r="2263" spans="2:7" ht="20.25" customHeight="1" x14ac:dyDescent="0.3">
      <c r="B2263" s="17"/>
      <c r="C2263" s="27"/>
      <c r="D2263" s="67"/>
      <c r="E2263" s="68"/>
      <c r="F2263" s="17"/>
      <c r="G2263" s="27"/>
    </row>
    <row r="2264" spans="2:7" ht="20.25" customHeight="1" x14ac:dyDescent="0.3">
      <c r="B2264" s="17"/>
      <c r="C2264" s="27"/>
      <c r="D2264" s="67"/>
      <c r="E2264" s="68"/>
      <c r="F2264" s="17"/>
      <c r="G2264" s="27"/>
    </row>
    <row r="2265" spans="2:7" ht="20.25" customHeight="1" x14ac:dyDescent="0.3">
      <c r="B2265" s="17"/>
      <c r="C2265" s="27"/>
      <c r="D2265" s="67"/>
      <c r="E2265" s="68"/>
      <c r="F2265" s="17"/>
      <c r="G2265" s="27"/>
    </row>
    <row r="2266" spans="2:7" ht="20.25" customHeight="1" x14ac:dyDescent="0.3">
      <c r="B2266" s="17"/>
      <c r="C2266" s="27"/>
      <c r="D2266" s="67"/>
      <c r="E2266" s="68"/>
      <c r="F2266" s="17"/>
      <c r="G2266" s="27"/>
    </row>
    <row r="2267" spans="2:7" ht="20.25" customHeight="1" x14ac:dyDescent="0.3">
      <c r="B2267" s="17"/>
      <c r="C2267" s="27"/>
      <c r="D2267" s="67"/>
      <c r="E2267" s="68"/>
      <c r="F2267" s="17"/>
      <c r="G2267" s="27"/>
    </row>
    <row r="2268" spans="2:7" ht="20.25" customHeight="1" x14ac:dyDescent="0.3">
      <c r="B2268" s="17"/>
      <c r="C2268" s="27"/>
      <c r="D2268" s="67"/>
      <c r="E2268" s="68"/>
      <c r="F2268" s="17"/>
      <c r="G2268" s="27"/>
    </row>
    <row r="2269" spans="2:7" ht="20.25" customHeight="1" x14ac:dyDescent="0.3">
      <c r="B2269" s="17"/>
      <c r="C2269" s="27"/>
      <c r="D2269" s="67"/>
      <c r="E2269" s="68"/>
      <c r="F2269" s="17"/>
      <c r="G2269" s="27"/>
    </row>
    <row r="2270" spans="2:7" ht="20.25" customHeight="1" x14ac:dyDescent="0.3">
      <c r="B2270" s="17"/>
      <c r="C2270" s="27"/>
      <c r="D2270" s="67"/>
      <c r="E2270" s="68"/>
      <c r="F2270" s="17"/>
      <c r="G2270" s="27"/>
    </row>
    <row r="2271" spans="2:7" ht="20.25" customHeight="1" x14ac:dyDescent="0.3">
      <c r="B2271" s="17"/>
      <c r="C2271" s="27"/>
      <c r="D2271" s="67"/>
      <c r="E2271" s="68"/>
      <c r="F2271" s="17"/>
      <c r="G2271" s="27"/>
    </row>
    <row r="2272" spans="2:7" ht="20.25" customHeight="1" x14ac:dyDescent="0.3">
      <c r="B2272" s="17"/>
      <c r="C2272" s="27"/>
      <c r="D2272" s="67"/>
      <c r="E2272" s="68"/>
      <c r="F2272" s="17"/>
      <c r="G2272" s="27"/>
    </row>
    <row r="2273" spans="2:7" ht="20.25" customHeight="1" x14ac:dyDescent="0.3">
      <c r="B2273" s="17"/>
      <c r="C2273" s="27"/>
      <c r="D2273" s="67"/>
      <c r="E2273" s="68"/>
      <c r="F2273" s="17"/>
      <c r="G2273" s="27"/>
    </row>
    <row r="2274" spans="2:7" ht="20.25" customHeight="1" x14ac:dyDescent="0.3">
      <c r="B2274" s="17"/>
      <c r="C2274" s="27"/>
      <c r="D2274" s="67"/>
      <c r="E2274" s="68"/>
      <c r="F2274" s="17"/>
      <c r="G2274" s="27"/>
    </row>
    <row r="2275" spans="2:7" ht="20.25" customHeight="1" x14ac:dyDescent="0.3">
      <c r="B2275" s="17"/>
      <c r="C2275" s="27"/>
      <c r="D2275" s="67"/>
      <c r="E2275" s="68"/>
      <c r="F2275" s="17"/>
      <c r="G2275" s="27"/>
    </row>
    <row r="2276" spans="2:7" ht="20.25" customHeight="1" x14ac:dyDescent="0.3">
      <c r="B2276" s="17"/>
      <c r="C2276" s="27"/>
      <c r="D2276" s="67"/>
      <c r="E2276" s="68"/>
      <c r="F2276" s="17"/>
      <c r="G2276" s="27"/>
    </row>
    <row r="2277" spans="2:7" ht="20.25" customHeight="1" x14ac:dyDescent="0.3">
      <c r="B2277" s="17"/>
      <c r="C2277" s="27"/>
      <c r="D2277" s="67"/>
      <c r="E2277" s="68"/>
      <c r="F2277" s="17"/>
      <c r="G2277" s="27"/>
    </row>
    <row r="2278" spans="2:7" ht="20.25" customHeight="1" x14ac:dyDescent="0.3">
      <c r="B2278" s="17"/>
      <c r="C2278" s="27"/>
      <c r="D2278" s="67"/>
      <c r="E2278" s="68"/>
      <c r="F2278" s="17"/>
      <c r="G2278" s="27"/>
    </row>
    <row r="2279" spans="2:7" ht="20.25" customHeight="1" x14ac:dyDescent="0.3">
      <c r="B2279" s="17"/>
      <c r="C2279" s="27"/>
      <c r="D2279" s="67"/>
      <c r="E2279" s="68"/>
      <c r="F2279" s="17"/>
      <c r="G2279" s="27"/>
    </row>
    <row r="2280" spans="2:7" ht="20.25" customHeight="1" x14ac:dyDescent="0.3">
      <c r="B2280" s="17"/>
      <c r="C2280" s="27"/>
      <c r="D2280" s="67"/>
      <c r="E2280" s="68"/>
      <c r="F2280" s="17"/>
      <c r="G2280" s="27"/>
    </row>
    <row r="2281" spans="2:7" ht="20.25" customHeight="1" x14ac:dyDescent="0.3">
      <c r="B2281" s="17"/>
      <c r="C2281" s="27"/>
      <c r="D2281" s="67"/>
      <c r="E2281" s="68"/>
      <c r="F2281" s="17"/>
      <c r="G2281" s="27"/>
    </row>
    <row r="2282" spans="2:7" ht="20.25" customHeight="1" x14ac:dyDescent="0.3">
      <c r="B2282" s="17"/>
      <c r="C2282" s="27"/>
      <c r="D2282" s="67"/>
      <c r="E2282" s="68"/>
      <c r="F2282" s="17"/>
      <c r="G2282" s="27"/>
    </row>
    <row r="2283" spans="2:7" ht="20.25" customHeight="1" x14ac:dyDescent="0.3">
      <c r="B2283" s="17"/>
      <c r="C2283" s="27"/>
      <c r="D2283" s="67"/>
      <c r="E2283" s="68"/>
      <c r="F2283" s="17"/>
      <c r="G2283" s="27"/>
    </row>
    <row r="2284" spans="2:7" ht="20.25" customHeight="1" x14ac:dyDescent="0.3">
      <c r="B2284" s="17"/>
      <c r="C2284" s="27"/>
      <c r="D2284" s="67"/>
      <c r="E2284" s="68"/>
      <c r="F2284" s="17"/>
      <c r="G2284" s="27"/>
    </row>
    <row r="2285" spans="2:7" ht="20.25" customHeight="1" x14ac:dyDescent="0.3">
      <c r="B2285" s="17"/>
      <c r="C2285" s="27"/>
      <c r="D2285" s="67"/>
      <c r="E2285" s="68"/>
      <c r="F2285" s="17"/>
      <c r="G2285" s="27"/>
    </row>
    <row r="2286" spans="2:7" ht="20.25" customHeight="1" x14ac:dyDescent="0.3">
      <c r="B2286" s="17"/>
      <c r="C2286" s="27"/>
      <c r="D2286" s="67"/>
      <c r="E2286" s="68"/>
      <c r="F2286" s="17"/>
      <c r="G2286" s="27"/>
    </row>
    <row r="2287" spans="2:7" ht="20.25" customHeight="1" x14ac:dyDescent="0.3">
      <c r="B2287" s="17"/>
      <c r="C2287" s="27"/>
      <c r="D2287" s="67"/>
      <c r="E2287" s="68"/>
      <c r="F2287" s="17"/>
      <c r="G2287" s="27"/>
    </row>
    <row r="2288" spans="2:7" ht="20.25" customHeight="1" x14ac:dyDescent="0.3">
      <c r="B2288" s="17"/>
      <c r="C2288" s="27"/>
      <c r="D2288" s="67"/>
      <c r="E2288" s="68"/>
      <c r="F2288" s="17"/>
      <c r="G2288" s="27"/>
    </row>
    <row r="2289" spans="2:7" ht="20.25" customHeight="1" x14ac:dyDescent="0.3">
      <c r="B2289" s="17"/>
      <c r="C2289" s="27"/>
      <c r="D2289" s="67"/>
      <c r="E2289" s="68"/>
      <c r="F2289" s="17"/>
      <c r="G2289" s="27"/>
    </row>
    <row r="2290" spans="2:7" ht="20.25" customHeight="1" x14ac:dyDescent="0.3">
      <c r="B2290" s="17"/>
      <c r="C2290" s="27"/>
      <c r="D2290" s="67"/>
      <c r="E2290" s="68"/>
      <c r="F2290" s="17"/>
      <c r="G2290" s="27"/>
    </row>
    <row r="2291" spans="2:7" ht="20.25" customHeight="1" x14ac:dyDescent="0.3">
      <c r="B2291" s="17"/>
      <c r="C2291" s="27"/>
      <c r="D2291" s="67"/>
      <c r="E2291" s="68"/>
      <c r="F2291" s="17"/>
      <c r="G2291" s="27"/>
    </row>
    <row r="2292" spans="2:7" ht="20.25" customHeight="1" x14ac:dyDescent="0.3">
      <c r="B2292" s="17"/>
      <c r="C2292" s="27"/>
      <c r="D2292" s="67"/>
      <c r="E2292" s="68"/>
      <c r="F2292" s="17"/>
      <c r="G2292" s="27"/>
    </row>
    <row r="2293" spans="2:7" ht="20.25" customHeight="1" x14ac:dyDescent="0.3">
      <c r="B2293" s="17"/>
      <c r="C2293" s="27"/>
      <c r="D2293" s="67"/>
      <c r="E2293" s="68"/>
      <c r="F2293" s="17"/>
      <c r="G2293" s="27"/>
    </row>
    <row r="2294" spans="2:7" ht="20.25" customHeight="1" x14ac:dyDescent="0.3">
      <c r="B2294" s="17"/>
      <c r="C2294" s="27"/>
      <c r="D2294" s="67"/>
      <c r="E2294" s="68"/>
      <c r="F2294" s="17"/>
      <c r="G2294" s="27"/>
    </row>
    <row r="2295" spans="2:7" ht="20.25" customHeight="1" x14ac:dyDescent="0.3">
      <c r="B2295" s="17"/>
      <c r="C2295" s="27"/>
      <c r="D2295" s="67"/>
      <c r="E2295" s="68"/>
      <c r="F2295" s="17"/>
      <c r="G2295" s="27"/>
    </row>
    <row r="2296" spans="2:7" ht="20.25" customHeight="1" x14ac:dyDescent="0.3">
      <c r="B2296" s="17"/>
      <c r="C2296" s="27"/>
      <c r="D2296" s="67"/>
      <c r="E2296" s="68"/>
      <c r="F2296" s="17"/>
      <c r="G2296" s="27"/>
    </row>
    <row r="2297" spans="2:7" ht="20.25" customHeight="1" x14ac:dyDescent="0.3">
      <c r="B2297" s="17"/>
      <c r="C2297" s="27"/>
      <c r="D2297" s="67"/>
      <c r="E2297" s="68"/>
      <c r="F2297" s="17"/>
      <c r="G2297" s="27"/>
    </row>
    <row r="2298" spans="2:7" ht="20.25" customHeight="1" x14ac:dyDescent="0.3">
      <c r="B2298" s="17"/>
      <c r="C2298" s="27"/>
      <c r="D2298" s="67"/>
      <c r="E2298" s="68"/>
      <c r="F2298" s="17"/>
      <c r="G2298" s="27"/>
    </row>
    <row r="2299" spans="2:7" ht="20.25" customHeight="1" x14ac:dyDescent="0.3">
      <c r="B2299" s="17"/>
      <c r="C2299" s="27"/>
      <c r="D2299" s="67"/>
      <c r="E2299" s="68"/>
      <c r="F2299" s="17"/>
      <c r="G2299" s="27"/>
    </row>
    <row r="2300" spans="2:7" ht="20.25" customHeight="1" x14ac:dyDescent="0.3">
      <c r="B2300" s="17"/>
      <c r="C2300" s="27"/>
      <c r="D2300" s="67"/>
      <c r="E2300" s="68"/>
      <c r="F2300" s="17"/>
      <c r="G2300" s="27"/>
    </row>
    <row r="2301" spans="2:7" ht="20.25" customHeight="1" x14ac:dyDescent="0.3">
      <c r="B2301" s="17"/>
      <c r="C2301" s="27"/>
      <c r="D2301" s="67"/>
      <c r="E2301" s="68"/>
      <c r="F2301" s="17"/>
      <c r="G2301" s="27"/>
    </row>
    <row r="2302" spans="2:7" ht="20.25" customHeight="1" x14ac:dyDescent="0.3">
      <c r="B2302" s="17"/>
      <c r="C2302" s="27"/>
      <c r="D2302" s="67"/>
      <c r="E2302" s="68"/>
      <c r="F2302" s="17"/>
      <c r="G2302" s="27"/>
    </row>
    <row r="2303" spans="2:7" ht="20.25" customHeight="1" x14ac:dyDescent="0.3">
      <c r="B2303" s="17"/>
      <c r="C2303" s="27"/>
      <c r="D2303" s="67"/>
      <c r="E2303" s="68"/>
      <c r="F2303" s="17"/>
      <c r="G2303" s="27"/>
    </row>
    <row r="2304" spans="2:7" ht="20.25" customHeight="1" x14ac:dyDescent="0.3">
      <c r="B2304" s="17"/>
      <c r="C2304" s="27"/>
      <c r="D2304" s="67"/>
      <c r="E2304" s="68"/>
      <c r="F2304" s="17"/>
      <c r="G2304" s="27"/>
    </row>
    <row r="2305" spans="2:7" ht="20.25" customHeight="1" x14ac:dyDescent="0.3">
      <c r="B2305" s="17"/>
      <c r="C2305" s="27"/>
      <c r="D2305" s="67"/>
      <c r="E2305" s="68"/>
      <c r="F2305" s="17"/>
      <c r="G2305" s="27"/>
    </row>
    <row r="2306" spans="2:7" ht="20.25" customHeight="1" x14ac:dyDescent="0.3">
      <c r="B2306" s="17"/>
      <c r="C2306" s="27"/>
      <c r="D2306" s="67"/>
      <c r="E2306" s="68"/>
      <c r="F2306" s="17"/>
      <c r="G2306" s="27"/>
    </row>
    <row r="2307" spans="2:7" ht="20.25" customHeight="1" x14ac:dyDescent="0.3">
      <c r="B2307" s="17"/>
      <c r="C2307" s="27"/>
      <c r="D2307" s="67"/>
      <c r="E2307" s="68"/>
      <c r="F2307" s="17"/>
      <c r="G2307" s="27"/>
    </row>
    <row r="2308" spans="2:7" ht="20.25" customHeight="1" x14ac:dyDescent="0.3">
      <c r="B2308" s="17"/>
      <c r="C2308" s="27"/>
      <c r="D2308" s="67"/>
      <c r="E2308" s="68"/>
      <c r="F2308" s="17"/>
      <c r="G2308" s="27"/>
    </row>
    <row r="2309" spans="2:7" ht="20.25" customHeight="1" x14ac:dyDescent="0.3">
      <c r="B2309" s="17"/>
      <c r="C2309" s="27"/>
      <c r="D2309" s="67"/>
      <c r="E2309" s="68"/>
      <c r="F2309" s="17"/>
      <c r="G2309" s="27"/>
    </row>
    <row r="2310" spans="2:7" ht="20.25" customHeight="1" x14ac:dyDescent="0.3">
      <c r="B2310" s="17"/>
      <c r="C2310" s="27"/>
      <c r="D2310" s="67"/>
      <c r="E2310" s="68"/>
      <c r="F2310" s="17"/>
      <c r="G2310" s="27"/>
    </row>
    <row r="2311" spans="2:7" ht="20.25" customHeight="1" x14ac:dyDescent="0.3">
      <c r="B2311" s="17"/>
      <c r="C2311" s="27"/>
      <c r="D2311" s="67"/>
      <c r="E2311" s="68"/>
      <c r="F2311" s="17"/>
      <c r="G2311" s="27"/>
    </row>
    <row r="2312" spans="2:7" ht="20.25" customHeight="1" x14ac:dyDescent="0.3">
      <c r="B2312" s="17"/>
      <c r="C2312" s="27"/>
      <c r="D2312" s="67"/>
      <c r="E2312" s="68"/>
      <c r="F2312" s="17"/>
      <c r="G2312" s="27"/>
    </row>
    <row r="2313" spans="2:7" ht="20.25" customHeight="1" x14ac:dyDescent="0.3">
      <c r="B2313" s="17"/>
      <c r="C2313" s="27"/>
      <c r="D2313" s="67"/>
      <c r="E2313" s="68"/>
      <c r="F2313" s="17"/>
      <c r="G2313" s="27"/>
    </row>
    <row r="2314" spans="2:7" ht="20.25" customHeight="1" x14ac:dyDescent="0.3">
      <c r="B2314" s="17"/>
      <c r="C2314" s="27"/>
      <c r="D2314" s="67"/>
      <c r="E2314" s="68"/>
      <c r="F2314" s="17"/>
      <c r="G2314" s="27"/>
    </row>
    <row r="2315" spans="2:7" ht="20.25" customHeight="1" x14ac:dyDescent="0.3">
      <c r="B2315" s="17"/>
      <c r="C2315" s="27"/>
      <c r="D2315" s="67"/>
      <c r="E2315" s="68"/>
      <c r="F2315" s="17"/>
      <c r="G2315" s="27"/>
    </row>
    <row r="2316" spans="2:7" ht="20.25" customHeight="1" x14ac:dyDescent="0.3">
      <c r="B2316" s="17"/>
      <c r="C2316" s="27"/>
      <c r="D2316" s="67"/>
      <c r="E2316" s="68"/>
      <c r="F2316" s="17"/>
      <c r="G2316" s="27"/>
    </row>
    <row r="2317" spans="2:7" ht="20.25" customHeight="1" x14ac:dyDescent="0.3">
      <c r="B2317" s="17"/>
      <c r="C2317" s="27"/>
      <c r="D2317" s="67"/>
      <c r="E2317" s="68"/>
      <c r="F2317" s="17"/>
      <c r="G2317" s="27"/>
    </row>
    <row r="2318" spans="2:7" ht="20.25" customHeight="1" x14ac:dyDescent="0.3">
      <c r="B2318" s="17"/>
      <c r="C2318" s="27"/>
      <c r="D2318" s="67"/>
      <c r="E2318" s="68"/>
      <c r="F2318" s="17"/>
      <c r="G2318" s="27"/>
    </row>
    <row r="2319" spans="2:7" ht="20.25" customHeight="1" x14ac:dyDescent="0.3">
      <c r="B2319" s="17"/>
      <c r="C2319" s="27"/>
      <c r="D2319" s="67"/>
      <c r="E2319" s="68"/>
      <c r="F2319" s="17"/>
      <c r="G2319" s="27"/>
    </row>
    <row r="2320" spans="2:7" ht="20.25" customHeight="1" x14ac:dyDescent="0.3">
      <c r="B2320" s="17"/>
      <c r="C2320" s="27"/>
      <c r="D2320" s="67"/>
      <c r="E2320" s="68"/>
      <c r="F2320" s="17"/>
      <c r="G2320" s="27"/>
    </row>
    <row r="2321" spans="2:7" ht="20.25" customHeight="1" x14ac:dyDescent="0.3">
      <c r="B2321" s="17"/>
      <c r="C2321" s="27"/>
      <c r="D2321" s="67"/>
      <c r="E2321" s="68"/>
      <c r="F2321" s="17"/>
      <c r="G2321" s="27"/>
    </row>
    <row r="2322" spans="2:7" ht="20.25" customHeight="1" x14ac:dyDescent="0.3">
      <c r="B2322" s="17"/>
      <c r="C2322" s="27"/>
      <c r="D2322" s="67"/>
      <c r="E2322" s="68"/>
      <c r="F2322" s="17"/>
      <c r="G2322" s="27"/>
    </row>
    <row r="2323" spans="2:7" ht="20.25" customHeight="1" x14ac:dyDescent="0.3">
      <c r="B2323" s="17"/>
      <c r="C2323" s="27"/>
      <c r="D2323" s="67"/>
      <c r="E2323" s="68"/>
      <c r="F2323" s="17"/>
      <c r="G2323" s="27"/>
    </row>
    <row r="2324" spans="2:7" ht="20.25" customHeight="1" x14ac:dyDescent="0.3">
      <c r="B2324" s="17"/>
      <c r="C2324" s="27"/>
      <c r="D2324" s="67"/>
      <c r="E2324" s="68"/>
      <c r="F2324" s="17"/>
      <c r="G2324" s="27"/>
    </row>
    <row r="2325" spans="2:7" ht="20.25" customHeight="1" x14ac:dyDescent="0.3">
      <c r="B2325" s="17"/>
      <c r="C2325" s="27"/>
      <c r="D2325" s="67"/>
      <c r="E2325" s="68"/>
      <c r="F2325" s="17"/>
      <c r="G2325" s="27"/>
    </row>
    <row r="2326" spans="2:7" ht="20.25" customHeight="1" x14ac:dyDescent="0.3">
      <c r="B2326" s="17"/>
      <c r="C2326" s="27"/>
      <c r="D2326" s="67"/>
      <c r="E2326" s="68"/>
      <c r="F2326" s="17"/>
      <c r="G2326" s="27"/>
    </row>
    <row r="2327" spans="2:7" ht="20.25" customHeight="1" x14ac:dyDescent="0.3">
      <c r="B2327" s="17"/>
      <c r="C2327" s="27"/>
      <c r="D2327" s="67"/>
      <c r="E2327" s="68"/>
      <c r="F2327" s="17"/>
      <c r="G2327" s="27"/>
    </row>
    <row r="2328" spans="2:7" ht="20.25" customHeight="1" x14ac:dyDescent="0.3">
      <c r="B2328" s="17"/>
      <c r="C2328" s="27"/>
      <c r="D2328" s="67"/>
      <c r="E2328" s="68"/>
      <c r="F2328" s="17"/>
      <c r="G2328" s="27"/>
    </row>
    <row r="2329" spans="2:7" ht="20.25" customHeight="1" x14ac:dyDescent="0.3">
      <c r="B2329" s="17"/>
      <c r="C2329" s="27"/>
      <c r="D2329" s="67"/>
      <c r="E2329" s="68"/>
      <c r="F2329" s="17"/>
      <c r="G2329" s="27"/>
    </row>
    <row r="2330" spans="2:7" ht="20.25" customHeight="1" x14ac:dyDescent="0.3">
      <c r="B2330" s="17"/>
      <c r="C2330" s="27"/>
      <c r="D2330" s="67"/>
      <c r="E2330" s="68"/>
      <c r="F2330" s="17"/>
      <c r="G2330" s="27"/>
    </row>
    <row r="2331" spans="2:7" ht="20.25" customHeight="1" x14ac:dyDescent="0.3">
      <c r="B2331" s="17"/>
      <c r="C2331" s="27"/>
      <c r="D2331" s="67"/>
      <c r="E2331" s="68"/>
      <c r="F2331" s="17"/>
      <c r="G2331" s="27"/>
    </row>
    <row r="2332" spans="2:7" ht="20.25" customHeight="1" x14ac:dyDescent="0.3">
      <c r="B2332" s="17"/>
      <c r="C2332" s="27"/>
      <c r="D2332" s="67"/>
      <c r="E2332" s="68"/>
      <c r="F2332" s="17"/>
      <c r="G2332" s="27"/>
    </row>
    <row r="2333" spans="2:7" ht="20.25" customHeight="1" x14ac:dyDescent="0.3">
      <c r="B2333" s="17"/>
      <c r="C2333" s="27"/>
      <c r="D2333" s="67"/>
      <c r="E2333" s="68"/>
      <c r="F2333" s="17"/>
      <c r="G2333" s="27"/>
    </row>
    <row r="2334" spans="2:7" ht="20.25" customHeight="1" x14ac:dyDescent="0.3">
      <c r="B2334" s="17"/>
      <c r="C2334" s="27"/>
      <c r="D2334" s="67"/>
      <c r="E2334" s="68"/>
      <c r="F2334" s="17"/>
      <c r="G2334" s="27"/>
    </row>
    <row r="2335" spans="2:7" ht="20.25" customHeight="1" x14ac:dyDescent="0.3">
      <c r="B2335" s="17"/>
      <c r="C2335" s="27"/>
      <c r="D2335" s="67"/>
      <c r="E2335" s="68"/>
      <c r="F2335" s="17"/>
      <c r="G2335" s="27"/>
    </row>
    <row r="2336" spans="2:7" ht="20.25" customHeight="1" x14ac:dyDescent="0.3">
      <c r="B2336" s="17"/>
      <c r="C2336" s="27"/>
      <c r="D2336" s="67"/>
      <c r="E2336" s="68"/>
      <c r="F2336" s="17"/>
      <c r="G2336" s="27"/>
    </row>
    <row r="2337" spans="2:7" ht="20.25" customHeight="1" x14ac:dyDescent="0.3">
      <c r="B2337" s="17"/>
      <c r="C2337" s="27"/>
      <c r="D2337" s="67"/>
      <c r="E2337" s="68"/>
      <c r="F2337" s="17"/>
      <c r="G2337" s="27"/>
    </row>
    <row r="2338" spans="2:7" ht="20.25" customHeight="1" x14ac:dyDescent="0.3">
      <c r="B2338" s="17"/>
      <c r="C2338" s="27"/>
      <c r="D2338" s="67"/>
      <c r="E2338" s="68"/>
      <c r="F2338" s="17"/>
      <c r="G2338" s="27"/>
    </row>
    <row r="2339" spans="2:7" ht="20.25" customHeight="1" x14ac:dyDescent="0.3">
      <c r="B2339" s="17"/>
      <c r="C2339" s="27"/>
      <c r="D2339" s="67"/>
      <c r="E2339" s="68"/>
      <c r="F2339" s="17"/>
      <c r="G2339" s="27"/>
    </row>
    <row r="2340" spans="2:7" ht="20.25" customHeight="1" x14ac:dyDescent="0.3">
      <c r="B2340" s="17"/>
      <c r="C2340" s="27"/>
      <c r="D2340" s="67"/>
      <c r="E2340" s="68"/>
      <c r="F2340" s="17"/>
      <c r="G2340" s="27"/>
    </row>
    <row r="2341" spans="2:7" ht="20.25" customHeight="1" x14ac:dyDescent="0.3">
      <c r="B2341" s="17"/>
      <c r="C2341" s="27"/>
      <c r="D2341" s="67"/>
      <c r="E2341" s="68"/>
      <c r="F2341" s="17"/>
      <c r="G2341" s="27"/>
    </row>
    <row r="2342" spans="2:7" ht="20.25" customHeight="1" x14ac:dyDescent="0.3">
      <c r="B2342" s="17"/>
      <c r="C2342" s="27"/>
      <c r="D2342" s="67"/>
      <c r="E2342" s="68"/>
      <c r="F2342" s="17"/>
      <c r="G2342" s="27"/>
    </row>
    <row r="2343" spans="2:7" ht="20.25" customHeight="1" x14ac:dyDescent="0.3">
      <c r="B2343" s="17"/>
      <c r="C2343" s="27"/>
      <c r="D2343" s="67"/>
      <c r="E2343" s="68"/>
      <c r="F2343" s="17"/>
      <c r="G2343" s="27"/>
    </row>
    <row r="2344" spans="2:7" ht="20.25" customHeight="1" x14ac:dyDescent="0.3">
      <c r="B2344" s="17"/>
      <c r="C2344" s="27"/>
      <c r="D2344" s="67"/>
      <c r="E2344" s="68"/>
      <c r="F2344" s="17"/>
      <c r="G2344" s="27"/>
    </row>
    <row r="2345" spans="2:7" ht="20.25" customHeight="1" x14ac:dyDescent="0.3">
      <c r="B2345" s="17"/>
      <c r="C2345" s="27"/>
      <c r="D2345" s="67"/>
      <c r="E2345" s="68"/>
      <c r="F2345" s="17"/>
      <c r="G2345" s="27"/>
    </row>
    <row r="2346" spans="2:7" ht="20.25" customHeight="1" x14ac:dyDescent="0.3">
      <c r="B2346" s="17"/>
      <c r="C2346" s="27"/>
      <c r="D2346" s="67"/>
      <c r="E2346" s="68"/>
      <c r="F2346" s="17"/>
      <c r="G2346" s="27"/>
    </row>
    <row r="2347" spans="2:7" ht="20.25" customHeight="1" x14ac:dyDescent="0.3">
      <c r="B2347" s="17"/>
      <c r="C2347" s="27"/>
      <c r="D2347" s="67"/>
      <c r="E2347" s="68"/>
      <c r="F2347" s="17"/>
      <c r="G2347" s="27"/>
    </row>
    <row r="2348" spans="2:7" ht="20.25" customHeight="1" x14ac:dyDescent="0.3">
      <c r="B2348" s="17"/>
      <c r="C2348" s="27"/>
      <c r="D2348" s="67"/>
      <c r="E2348" s="68"/>
      <c r="F2348" s="17"/>
      <c r="G2348" s="27"/>
    </row>
    <row r="2349" spans="2:7" ht="20.25" customHeight="1" x14ac:dyDescent="0.3">
      <c r="B2349" s="17"/>
      <c r="C2349" s="27"/>
      <c r="D2349" s="67"/>
      <c r="E2349" s="68"/>
      <c r="F2349" s="17"/>
      <c r="G2349" s="27"/>
    </row>
    <row r="2350" spans="2:7" ht="20.25" customHeight="1" x14ac:dyDescent="0.3">
      <c r="B2350" s="17"/>
      <c r="C2350" s="27"/>
      <c r="D2350" s="67"/>
      <c r="E2350" s="68"/>
      <c r="F2350" s="17"/>
      <c r="G2350" s="27"/>
    </row>
    <row r="2351" spans="2:7" ht="20.25" customHeight="1" x14ac:dyDescent="0.3">
      <c r="B2351" s="17"/>
      <c r="C2351" s="27"/>
      <c r="D2351" s="67"/>
      <c r="E2351" s="68"/>
      <c r="F2351" s="17"/>
      <c r="G2351" s="27"/>
    </row>
    <row r="2352" spans="2:7" ht="20.25" customHeight="1" x14ac:dyDescent="0.3">
      <c r="B2352" s="17"/>
      <c r="C2352" s="27"/>
      <c r="D2352" s="67"/>
      <c r="E2352" s="68"/>
      <c r="F2352" s="17"/>
      <c r="G2352" s="27"/>
    </row>
    <row r="2353" spans="2:7" ht="20.25" customHeight="1" x14ac:dyDescent="0.3">
      <c r="B2353" s="17"/>
      <c r="C2353" s="27"/>
      <c r="D2353" s="67"/>
      <c r="E2353" s="68"/>
      <c r="F2353" s="17"/>
      <c r="G2353" s="27"/>
    </row>
    <row r="2354" spans="2:7" ht="20.25" customHeight="1" x14ac:dyDescent="0.3">
      <c r="B2354" s="17"/>
      <c r="C2354" s="27"/>
      <c r="D2354" s="67"/>
      <c r="E2354" s="68"/>
      <c r="F2354" s="17"/>
      <c r="G2354" s="27"/>
    </row>
    <row r="2355" spans="2:7" ht="20.25" customHeight="1" x14ac:dyDescent="0.3">
      <c r="B2355" s="17"/>
      <c r="C2355" s="27"/>
      <c r="D2355" s="67"/>
      <c r="E2355" s="68"/>
      <c r="F2355" s="17"/>
      <c r="G2355" s="27"/>
    </row>
    <row r="2356" spans="2:7" ht="20.25" customHeight="1" x14ac:dyDescent="0.3">
      <c r="B2356" s="17"/>
      <c r="C2356" s="27"/>
      <c r="D2356" s="67"/>
      <c r="E2356" s="68"/>
      <c r="F2356" s="17"/>
      <c r="G2356" s="27"/>
    </row>
    <row r="2357" spans="2:7" ht="20.25" customHeight="1" x14ac:dyDescent="0.3">
      <c r="B2357" s="17"/>
      <c r="C2357" s="27"/>
      <c r="D2357" s="67"/>
      <c r="E2357" s="68"/>
      <c r="F2357" s="17"/>
      <c r="G2357" s="27"/>
    </row>
    <row r="2358" spans="2:7" ht="20.25" customHeight="1" x14ac:dyDescent="0.3">
      <c r="B2358" s="17"/>
      <c r="C2358" s="27"/>
      <c r="D2358" s="67"/>
      <c r="E2358" s="68"/>
      <c r="F2358" s="17"/>
      <c r="G2358" s="27"/>
    </row>
    <row r="2359" spans="2:7" ht="20.25" customHeight="1" x14ac:dyDescent="0.3">
      <c r="B2359" s="17"/>
      <c r="C2359" s="27"/>
      <c r="D2359" s="67"/>
      <c r="E2359" s="68"/>
      <c r="F2359" s="17"/>
      <c r="G2359" s="27"/>
    </row>
    <row r="2360" spans="2:7" ht="20.25" customHeight="1" x14ac:dyDescent="0.3">
      <c r="B2360" s="17"/>
      <c r="C2360" s="27"/>
      <c r="D2360" s="67"/>
      <c r="E2360" s="68"/>
      <c r="F2360" s="17"/>
      <c r="G2360" s="27"/>
    </row>
    <row r="2361" spans="2:7" ht="20.25" customHeight="1" x14ac:dyDescent="0.3">
      <c r="B2361" s="17"/>
      <c r="C2361" s="27"/>
      <c r="D2361" s="67"/>
      <c r="E2361" s="68"/>
      <c r="F2361" s="17"/>
      <c r="G2361" s="27"/>
    </row>
    <row r="2362" spans="2:7" ht="20.25" customHeight="1" x14ac:dyDescent="0.3">
      <c r="B2362" s="17"/>
      <c r="C2362" s="27"/>
      <c r="D2362" s="67"/>
      <c r="E2362" s="68"/>
      <c r="F2362" s="17"/>
      <c r="G2362" s="27"/>
    </row>
    <row r="2363" spans="2:7" ht="20.25" customHeight="1" x14ac:dyDescent="0.3">
      <c r="B2363" s="17"/>
      <c r="C2363" s="27"/>
      <c r="D2363" s="67"/>
      <c r="E2363" s="68"/>
      <c r="F2363" s="17"/>
      <c r="G2363" s="27"/>
    </row>
    <row r="2364" spans="2:7" ht="20.25" customHeight="1" x14ac:dyDescent="0.3">
      <c r="B2364" s="17"/>
      <c r="C2364" s="27"/>
      <c r="D2364" s="67"/>
      <c r="E2364" s="68"/>
      <c r="F2364" s="17"/>
      <c r="G2364" s="27"/>
    </row>
    <row r="2365" spans="2:7" ht="20.25" customHeight="1" x14ac:dyDescent="0.3">
      <c r="B2365" s="17"/>
      <c r="C2365" s="27"/>
      <c r="D2365" s="67"/>
      <c r="E2365" s="68"/>
      <c r="F2365" s="17"/>
      <c r="G2365" s="27"/>
    </row>
    <row r="2366" spans="2:7" ht="20.25" customHeight="1" x14ac:dyDescent="0.3">
      <c r="B2366" s="17"/>
      <c r="C2366" s="27"/>
      <c r="D2366" s="67"/>
      <c r="E2366" s="68"/>
      <c r="F2366" s="17"/>
      <c r="G2366" s="27"/>
    </row>
    <row r="2367" spans="2:7" ht="20.25" customHeight="1" x14ac:dyDescent="0.3">
      <c r="B2367" s="17"/>
      <c r="C2367" s="27"/>
      <c r="D2367" s="67"/>
      <c r="E2367" s="68"/>
      <c r="F2367" s="17"/>
      <c r="G2367" s="27"/>
    </row>
    <row r="2368" spans="2:7" ht="20.25" customHeight="1" x14ac:dyDescent="0.3">
      <c r="B2368" s="17"/>
      <c r="C2368" s="27"/>
      <c r="D2368" s="67"/>
      <c r="E2368" s="68"/>
      <c r="F2368" s="17"/>
      <c r="G2368" s="27"/>
    </row>
    <row r="2369" spans="2:7" ht="20.25" customHeight="1" x14ac:dyDescent="0.3">
      <c r="B2369" s="17"/>
      <c r="C2369" s="27"/>
      <c r="D2369" s="67"/>
      <c r="E2369" s="68"/>
      <c r="F2369" s="17"/>
      <c r="G2369" s="27"/>
    </row>
    <row r="2370" spans="2:7" ht="20.25" customHeight="1" x14ac:dyDescent="0.3">
      <c r="B2370" s="17"/>
      <c r="C2370" s="27"/>
      <c r="D2370" s="67"/>
      <c r="E2370" s="68"/>
      <c r="F2370" s="17"/>
      <c r="G2370" s="27"/>
    </row>
    <row r="2371" spans="2:7" ht="20.25" customHeight="1" x14ac:dyDescent="0.3">
      <c r="B2371" s="17"/>
      <c r="C2371" s="27"/>
      <c r="D2371" s="67"/>
      <c r="E2371" s="68"/>
      <c r="F2371" s="17"/>
      <c r="G2371" s="27"/>
    </row>
    <row r="2372" spans="2:7" ht="20.25" customHeight="1" x14ac:dyDescent="0.3">
      <c r="B2372" s="17"/>
      <c r="C2372" s="27"/>
      <c r="D2372" s="67"/>
      <c r="E2372" s="68"/>
      <c r="F2372" s="17"/>
      <c r="G2372" s="27"/>
    </row>
    <row r="2373" spans="2:7" ht="20.25" customHeight="1" x14ac:dyDescent="0.3">
      <c r="B2373" s="17"/>
      <c r="C2373" s="27"/>
      <c r="D2373" s="67"/>
      <c r="E2373" s="68"/>
      <c r="F2373" s="17"/>
      <c r="G2373" s="27"/>
    </row>
    <row r="2374" spans="2:7" ht="20.25" customHeight="1" x14ac:dyDescent="0.3">
      <c r="B2374" s="17"/>
      <c r="C2374" s="27"/>
      <c r="D2374" s="67"/>
      <c r="E2374" s="68"/>
      <c r="F2374" s="17"/>
      <c r="G2374" s="27"/>
    </row>
    <row r="2375" spans="2:7" ht="20.25" customHeight="1" x14ac:dyDescent="0.3">
      <c r="B2375" s="17"/>
      <c r="C2375" s="27"/>
      <c r="D2375" s="67"/>
      <c r="E2375" s="68"/>
      <c r="F2375" s="17"/>
      <c r="G2375" s="27"/>
    </row>
    <row r="2376" spans="2:7" ht="20.25" customHeight="1" x14ac:dyDescent="0.3">
      <c r="B2376" s="17"/>
      <c r="C2376" s="27"/>
      <c r="D2376" s="67"/>
      <c r="E2376" s="68"/>
      <c r="F2376" s="17"/>
      <c r="G2376" s="27"/>
    </row>
    <row r="2377" spans="2:7" ht="20.25" customHeight="1" x14ac:dyDescent="0.3">
      <c r="B2377" s="17"/>
      <c r="C2377" s="27"/>
      <c r="D2377" s="67"/>
      <c r="E2377" s="68"/>
      <c r="F2377" s="17"/>
      <c r="G2377" s="27"/>
    </row>
    <row r="2378" spans="2:7" ht="20.25" customHeight="1" x14ac:dyDescent="0.3">
      <c r="B2378" s="17"/>
      <c r="C2378" s="27"/>
      <c r="D2378" s="67"/>
      <c r="E2378" s="68"/>
      <c r="F2378" s="17"/>
      <c r="G2378" s="27"/>
    </row>
    <row r="2379" spans="2:7" ht="20.25" customHeight="1" x14ac:dyDescent="0.3">
      <c r="B2379" s="17"/>
      <c r="C2379" s="27"/>
      <c r="D2379" s="67"/>
      <c r="E2379" s="68"/>
      <c r="F2379" s="17"/>
      <c r="G2379" s="27"/>
    </row>
    <row r="2380" spans="2:7" ht="20.25" customHeight="1" x14ac:dyDescent="0.3">
      <c r="B2380" s="17"/>
      <c r="C2380" s="27"/>
      <c r="D2380" s="67"/>
      <c r="E2380" s="68"/>
      <c r="F2380" s="17"/>
      <c r="G2380" s="27"/>
    </row>
    <row r="2381" spans="2:7" ht="20.25" customHeight="1" x14ac:dyDescent="0.3">
      <c r="B2381" s="17"/>
      <c r="C2381" s="27"/>
      <c r="D2381" s="67"/>
      <c r="E2381" s="68"/>
      <c r="F2381" s="17"/>
      <c r="G2381" s="27"/>
    </row>
    <row r="2382" spans="2:7" ht="20.25" customHeight="1" x14ac:dyDescent="0.3">
      <c r="B2382" s="17"/>
      <c r="C2382" s="27"/>
      <c r="D2382" s="67"/>
      <c r="E2382" s="68"/>
      <c r="F2382" s="17"/>
      <c r="G2382" s="27"/>
    </row>
    <row r="2383" spans="2:7" ht="20.25" customHeight="1" x14ac:dyDescent="0.3">
      <c r="B2383" s="17"/>
      <c r="C2383" s="27"/>
      <c r="D2383" s="67"/>
      <c r="E2383" s="68"/>
      <c r="F2383" s="17"/>
      <c r="G2383" s="27"/>
    </row>
    <row r="2384" spans="2:7" ht="20.25" customHeight="1" x14ac:dyDescent="0.3">
      <c r="B2384" s="17"/>
      <c r="C2384" s="27"/>
      <c r="D2384" s="67"/>
      <c r="E2384" s="68"/>
      <c r="F2384" s="17"/>
      <c r="G2384" s="27"/>
    </row>
    <row r="2385" spans="2:7" ht="20.25" customHeight="1" x14ac:dyDescent="0.3">
      <c r="B2385" s="17"/>
      <c r="C2385" s="27"/>
      <c r="D2385" s="67"/>
      <c r="E2385" s="68"/>
      <c r="F2385" s="17"/>
      <c r="G2385" s="27"/>
    </row>
    <row r="2386" spans="2:7" ht="20.25" customHeight="1" x14ac:dyDescent="0.3">
      <c r="B2386" s="17"/>
      <c r="C2386" s="27"/>
      <c r="D2386" s="67"/>
      <c r="E2386" s="68"/>
      <c r="F2386" s="17"/>
      <c r="G2386" s="27"/>
    </row>
    <row r="2387" spans="2:7" ht="20.25" customHeight="1" x14ac:dyDescent="0.3">
      <c r="B2387" s="17"/>
      <c r="C2387" s="27"/>
      <c r="D2387" s="67"/>
      <c r="E2387" s="68"/>
      <c r="F2387" s="17"/>
      <c r="G2387" s="27"/>
    </row>
    <row r="2388" spans="2:7" ht="20.25" customHeight="1" x14ac:dyDescent="0.3">
      <c r="B2388" s="17"/>
      <c r="C2388" s="27"/>
      <c r="D2388" s="67"/>
      <c r="E2388" s="68"/>
      <c r="F2388" s="17"/>
      <c r="G2388" s="27"/>
    </row>
    <row r="2389" spans="2:7" ht="20.25" customHeight="1" x14ac:dyDescent="0.3">
      <c r="B2389" s="17"/>
      <c r="C2389" s="27"/>
      <c r="D2389" s="67"/>
      <c r="E2389" s="68"/>
      <c r="F2389" s="17"/>
      <c r="G2389" s="27"/>
    </row>
    <row r="2390" spans="2:7" ht="20.25" customHeight="1" x14ac:dyDescent="0.3">
      <c r="B2390" s="17"/>
      <c r="C2390" s="27"/>
      <c r="D2390" s="67"/>
      <c r="E2390" s="68"/>
      <c r="F2390" s="17"/>
      <c r="G2390" s="27"/>
    </row>
    <row r="2391" spans="2:7" ht="20.25" customHeight="1" x14ac:dyDescent="0.3">
      <c r="B2391" s="17"/>
      <c r="C2391" s="27"/>
      <c r="D2391" s="67"/>
      <c r="E2391" s="68"/>
      <c r="F2391" s="17"/>
      <c r="G2391" s="27"/>
    </row>
    <row r="2392" spans="2:7" ht="20.25" customHeight="1" x14ac:dyDescent="0.3">
      <c r="B2392" s="17"/>
      <c r="C2392" s="27"/>
      <c r="D2392" s="67"/>
      <c r="E2392" s="68"/>
      <c r="F2392" s="17"/>
      <c r="G2392" s="27"/>
    </row>
    <row r="2393" spans="2:7" ht="20.25" customHeight="1" x14ac:dyDescent="0.3">
      <c r="B2393" s="17"/>
      <c r="C2393" s="27"/>
      <c r="D2393" s="67"/>
      <c r="E2393" s="68"/>
      <c r="F2393" s="17"/>
      <c r="G2393" s="27"/>
    </row>
    <row r="2394" spans="2:7" ht="20.25" customHeight="1" x14ac:dyDescent="0.3">
      <c r="B2394" s="17"/>
      <c r="C2394" s="27"/>
      <c r="D2394" s="67"/>
      <c r="E2394" s="68"/>
      <c r="F2394" s="17"/>
      <c r="G2394" s="27"/>
    </row>
    <row r="2395" spans="2:7" ht="20.25" customHeight="1" x14ac:dyDescent="0.3">
      <c r="B2395" s="17"/>
      <c r="C2395" s="27"/>
      <c r="D2395" s="67"/>
      <c r="E2395" s="68"/>
      <c r="F2395" s="17"/>
      <c r="G2395" s="27"/>
    </row>
    <row r="2396" spans="2:7" ht="20.25" customHeight="1" x14ac:dyDescent="0.3">
      <c r="B2396" s="17"/>
      <c r="C2396" s="27"/>
      <c r="D2396" s="67"/>
      <c r="E2396" s="68"/>
      <c r="F2396" s="17"/>
      <c r="G2396" s="27"/>
    </row>
    <row r="2397" spans="2:7" ht="20.25" customHeight="1" x14ac:dyDescent="0.3">
      <c r="B2397" s="17"/>
      <c r="C2397" s="27"/>
      <c r="D2397" s="67"/>
      <c r="E2397" s="68"/>
      <c r="F2397" s="17"/>
      <c r="G2397" s="27"/>
    </row>
    <row r="2398" spans="2:7" ht="20.25" customHeight="1" x14ac:dyDescent="0.3">
      <c r="B2398" s="17"/>
      <c r="C2398" s="27"/>
      <c r="D2398" s="67"/>
      <c r="E2398" s="68"/>
      <c r="F2398" s="17"/>
      <c r="G2398" s="27"/>
    </row>
    <row r="2399" spans="2:7" ht="20.25" customHeight="1" x14ac:dyDescent="0.3">
      <c r="B2399" s="17"/>
      <c r="C2399" s="27"/>
      <c r="D2399" s="67"/>
      <c r="E2399" s="68"/>
      <c r="F2399" s="17"/>
      <c r="G2399" s="27"/>
    </row>
    <row r="2400" spans="2:7" ht="20.25" customHeight="1" x14ac:dyDescent="0.3">
      <c r="B2400" s="17"/>
      <c r="C2400" s="27"/>
      <c r="D2400" s="67"/>
      <c r="E2400" s="68"/>
      <c r="F2400" s="17"/>
      <c r="G2400" s="27"/>
    </row>
    <row r="2401" spans="2:7" ht="20.25" customHeight="1" x14ac:dyDescent="0.3">
      <c r="B2401" s="17"/>
      <c r="C2401" s="27"/>
      <c r="D2401" s="67"/>
      <c r="E2401" s="68"/>
      <c r="F2401" s="17"/>
      <c r="G2401" s="27"/>
    </row>
    <row r="2402" spans="2:7" ht="20.25" customHeight="1" x14ac:dyDescent="0.3">
      <c r="B2402" s="17"/>
      <c r="C2402" s="27"/>
      <c r="D2402" s="67"/>
      <c r="E2402" s="68"/>
      <c r="F2402" s="17"/>
      <c r="G2402" s="27"/>
    </row>
    <row r="2403" spans="2:7" ht="20.25" customHeight="1" x14ac:dyDescent="0.3">
      <c r="B2403" s="17"/>
      <c r="C2403" s="27"/>
      <c r="D2403" s="67"/>
      <c r="E2403" s="68"/>
      <c r="F2403" s="17"/>
      <c r="G2403" s="27"/>
    </row>
    <row r="2404" spans="2:7" ht="20.25" customHeight="1" x14ac:dyDescent="0.3">
      <c r="B2404" s="17"/>
      <c r="C2404" s="27"/>
      <c r="D2404" s="67"/>
      <c r="E2404" s="68"/>
      <c r="F2404" s="17"/>
      <c r="G2404" s="27"/>
    </row>
    <row r="2405" spans="2:7" ht="20.25" customHeight="1" x14ac:dyDescent="0.3">
      <c r="B2405" s="17"/>
      <c r="C2405" s="27"/>
      <c r="D2405" s="67"/>
      <c r="E2405" s="68"/>
      <c r="F2405" s="17"/>
      <c r="G2405" s="27"/>
    </row>
    <row r="2406" spans="2:7" ht="20.25" customHeight="1" x14ac:dyDescent="0.3">
      <c r="B2406" s="17"/>
      <c r="C2406" s="27"/>
      <c r="D2406" s="67"/>
      <c r="E2406" s="68"/>
      <c r="F2406" s="17"/>
      <c r="G2406" s="27"/>
    </row>
    <row r="2407" spans="2:7" ht="20.25" customHeight="1" x14ac:dyDescent="0.3">
      <c r="B2407" s="17"/>
      <c r="C2407" s="27"/>
      <c r="D2407" s="67"/>
      <c r="E2407" s="68"/>
      <c r="F2407" s="17"/>
      <c r="G2407" s="27"/>
    </row>
    <row r="2408" spans="2:7" ht="20.25" customHeight="1" x14ac:dyDescent="0.3">
      <c r="B2408" s="17"/>
      <c r="C2408" s="27"/>
      <c r="D2408" s="67"/>
      <c r="E2408" s="68"/>
      <c r="F2408" s="17"/>
      <c r="G2408" s="27"/>
    </row>
    <row r="2409" spans="2:7" ht="20.25" customHeight="1" x14ac:dyDescent="0.3">
      <c r="B2409" s="17"/>
      <c r="C2409" s="27"/>
      <c r="D2409" s="67"/>
      <c r="E2409" s="68"/>
      <c r="F2409" s="17"/>
      <c r="G2409" s="27"/>
    </row>
    <row r="2410" spans="2:7" ht="20.25" customHeight="1" x14ac:dyDescent="0.3">
      <c r="B2410" s="17"/>
      <c r="C2410" s="27"/>
      <c r="D2410" s="67"/>
      <c r="E2410" s="68"/>
      <c r="F2410" s="17"/>
      <c r="G2410" s="27"/>
    </row>
    <row r="2411" spans="2:7" ht="20.25" customHeight="1" x14ac:dyDescent="0.3">
      <c r="B2411" s="17"/>
      <c r="C2411" s="27"/>
      <c r="D2411" s="67"/>
      <c r="E2411" s="68"/>
      <c r="F2411" s="17"/>
      <c r="G2411" s="27"/>
    </row>
    <row r="2412" spans="2:7" ht="20.25" customHeight="1" x14ac:dyDescent="0.3">
      <c r="B2412" s="17"/>
      <c r="C2412" s="27"/>
      <c r="D2412" s="67"/>
      <c r="E2412" s="68"/>
      <c r="F2412" s="17"/>
      <c r="G2412" s="27"/>
    </row>
    <row r="2413" spans="2:7" ht="20.25" customHeight="1" x14ac:dyDescent="0.3">
      <c r="B2413" s="17"/>
      <c r="C2413" s="27"/>
      <c r="D2413" s="67"/>
      <c r="E2413" s="68"/>
      <c r="F2413" s="17"/>
      <c r="G2413" s="27"/>
    </row>
    <row r="2414" spans="2:7" ht="20.25" customHeight="1" x14ac:dyDescent="0.3">
      <c r="B2414" s="17"/>
      <c r="C2414" s="27"/>
      <c r="D2414" s="67"/>
      <c r="E2414" s="68"/>
      <c r="F2414" s="17"/>
      <c r="G2414" s="27"/>
    </row>
    <row r="2415" spans="2:7" ht="20.25" customHeight="1" x14ac:dyDescent="0.3">
      <c r="B2415" s="17"/>
      <c r="C2415" s="27"/>
      <c r="D2415" s="67"/>
      <c r="E2415" s="68"/>
      <c r="F2415" s="17"/>
      <c r="G2415" s="27"/>
    </row>
    <row r="2416" spans="2:7" ht="20.25" customHeight="1" x14ac:dyDescent="0.3">
      <c r="B2416" s="17"/>
      <c r="C2416" s="27"/>
      <c r="D2416" s="67"/>
      <c r="E2416" s="68"/>
      <c r="F2416" s="17"/>
      <c r="G2416" s="27"/>
    </row>
    <row r="2417" spans="2:7" ht="20.25" customHeight="1" x14ac:dyDescent="0.3">
      <c r="B2417" s="17"/>
      <c r="C2417" s="27"/>
      <c r="D2417" s="67"/>
      <c r="E2417" s="68"/>
      <c r="F2417" s="17"/>
      <c r="G2417" s="27"/>
    </row>
    <row r="2418" spans="2:7" ht="20.25" customHeight="1" x14ac:dyDescent="0.3">
      <c r="B2418" s="17"/>
      <c r="C2418" s="27"/>
      <c r="D2418" s="67"/>
      <c r="E2418" s="68"/>
      <c r="F2418" s="17"/>
      <c r="G2418" s="27"/>
    </row>
    <row r="2419" spans="2:7" ht="20.25" customHeight="1" x14ac:dyDescent="0.3">
      <c r="B2419" s="17"/>
      <c r="C2419" s="27"/>
      <c r="D2419" s="67"/>
      <c r="E2419" s="68"/>
      <c r="F2419" s="17"/>
      <c r="G2419" s="27"/>
    </row>
    <row r="2420" spans="2:7" ht="20.25" customHeight="1" x14ac:dyDescent="0.3">
      <c r="B2420" s="17"/>
      <c r="C2420" s="27"/>
      <c r="D2420" s="67"/>
      <c r="E2420" s="68"/>
      <c r="F2420" s="17"/>
      <c r="G2420" s="27"/>
    </row>
    <row r="2421" spans="2:7" ht="20.25" customHeight="1" x14ac:dyDescent="0.3">
      <c r="B2421" s="17"/>
      <c r="C2421" s="27"/>
      <c r="D2421" s="67"/>
      <c r="E2421" s="68"/>
      <c r="F2421" s="17"/>
      <c r="G2421" s="27"/>
    </row>
    <row r="2422" spans="2:7" ht="20.25" customHeight="1" x14ac:dyDescent="0.3">
      <c r="B2422" s="17"/>
      <c r="C2422" s="27"/>
      <c r="D2422" s="67"/>
      <c r="E2422" s="68"/>
      <c r="F2422" s="17"/>
      <c r="G2422" s="27"/>
    </row>
    <row r="2423" spans="2:7" ht="20.25" customHeight="1" x14ac:dyDescent="0.3">
      <c r="B2423" s="17"/>
      <c r="C2423" s="27"/>
      <c r="D2423" s="67"/>
      <c r="E2423" s="68"/>
      <c r="F2423" s="17"/>
      <c r="G2423" s="27"/>
    </row>
    <row r="2424" spans="2:7" ht="20.25" customHeight="1" x14ac:dyDescent="0.3">
      <c r="B2424" s="17"/>
      <c r="C2424" s="27"/>
      <c r="D2424" s="67"/>
      <c r="E2424" s="68"/>
      <c r="F2424" s="17"/>
      <c r="G2424" s="27"/>
    </row>
    <row r="2425" spans="2:7" ht="20.25" customHeight="1" x14ac:dyDescent="0.3">
      <c r="B2425" s="17"/>
      <c r="C2425" s="27"/>
      <c r="D2425" s="67"/>
      <c r="E2425" s="68"/>
      <c r="F2425" s="17"/>
      <c r="G2425" s="27"/>
    </row>
    <row r="2426" spans="2:7" ht="20.25" customHeight="1" x14ac:dyDescent="0.3">
      <c r="B2426" s="17"/>
      <c r="C2426" s="27"/>
      <c r="D2426" s="67"/>
      <c r="E2426" s="68"/>
      <c r="F2426" s="17"/>
      <c r="G2426" s="27"/>
    </row>
    <row r="2427" spans="2:7" ht="20.25" customHeight="1" x14ac:dyDescent="0.3">
      <c r="B2427" s="17"/>
      <c r="C2427" s="27"/>
      <c r="D2427" s="67"/>
      <c r="E2427" s="68"/>
      <c r="F2427" s="17"/>
      <c r="G2427" s="27"/>
    </row>
    <row r="2428" spans="2:7" ht="20.25" customHeight="1" x14ac:dyDescent="0.3">
      <c r="B2428" s="17"/>
      <c r="C2428" s="27"/>
      <c r="D2428" s="67"/>
      <c r="E2428" s="68"/>
      <c r="F2428" s="17"/>
      <c r="G2428" s="27"/>
    </row>
    <row r="2429" spans="2:7" ht="20.25" customHeight="1" x14ac:dyDescent="0.3">
      <c r="B2429" s="17"/>
      <c r="C2429" s="27"/>
      <c r="D2429" s="67"/>
      <c r="E2429" s="68"/>
      <c r="F2429" s="17"/>
      <c r="G2429" s="27"/>
    </row>
    <row r="2430" spans="2:7" ht="20.25" customHeight="1" x14ac:dyDescent="0.3">
      <c r="B2430" s="17"/>
      <c r="C2430" s="27"/>
      <c r="D2430" s="67"/>
      <c r="E2430" s="68"/>
      <c r="F2430" s="17"/>
      <c r="G2430" s="27"/>
    </row>
    <row r="2431" spans="2:7" ht="20.25" customHeight="1" x14ac:dyDescent="0.3">
      <c r="B2431" s="17"/>
      <c r="C2431" s="27"/>
      <c r="D2431" s="67"/>
      <c r="E2431" s="68"/>
      <c r="F2431" s="17"/>
      <c r="G2431" s="27"/>
    </row>
    <row r="2432" spans="2:7" ht="20.25" customHeight="1" x14ac:dyDescent="0.3">
      <c r="B2432" s="17"/>
      <c r="C2432" s="27"/>
      <c r="D2432" s="67"/>
      <c r="E2432" s="68"/>
      <c r="F2432" s="17"/>
      <c r="G2432" s="27"/>
    </row>
    <row r="2433" spans="2:7" ht="20.25" customHeight="1" x14ac:dyDescent="0.3">
      <c r="B2433" s="17"/>
      <c r="C2433" s="27"/>
      <c r="D2433" s="67"/>
      <c r="E2433" s="68"/>
      <c r="F2433" s="17"/>
      <c r="G2433" s="27"/>
    </row>
    <row r="2434" spans="2:7" ht="20.25" customHeight="1" x14ac:dyDescent="0.3">
      <c r="B2434" s="17"/>
      <c r="C2434" s="27"/>
      <c r="D2434" s="67"/>
      <c r="E2434" s="68"/>
      <c r="F2434" s="17"/>
      <c r="G2434" s="27"/>
    </row>
    <row r="2435" spans="2:7" ht="20.25" customHeight="1" x14ac:dyDescent="0.3">
      <c r="B2435" s="17"/>
      <c r="C2435" s="27"/>
      <c r="D2435" s="67"/>
      <c r="E2435" s="68"/>
      <c r="F2435" s="17"/>
      <c r="G2435" s="27"/>
    </row>
    <row r="2436" spans="2:7" ht="20.25" customHeight="1" x14ac:dyDescent="0.3">
      <c r="B2436" s="17"/>
      <c r="C2436" s="27"/>
      <c r="D2436" s="67"/>
      <c r="E2436" s="68"/>
      <c r="F2436" s="17"/>
      <c r="G2436" s="27"/>
    </row>
    <row r="2437" spans="2:7" ht="20.25" customHeight="1" x14ac:dyDescent="0.3">
      <c r="B2437" s="17"/>
      <c r="C2437" s="27"/>
      <c r="D2437" s="67"/>
      <c r="E2437" s="68"/>
      <c r="F2437" s="17"/>
      <c r="G2437" s="27"/>
    </row>
    <row r="2438" spans="2:7" ht="20.25" customHeight="1" x14ac:dyDescent="0.3">
      <c r="B2438" s="17"/>
      <c r="C2438" s="27"/>
      <c r="D2438" s="67"/>
      <c r="E2438" s="68"/>
      <c r="F2438" s="17"/>
      <c r="G2438" s="27"/>
    </row>
    <row r="2439" spans="2:7" ht="20.25" customHeight="1" x14ac:dyDescent="0.3">
      <c r="B2439" s="17"/>
      <c r="C2439" s="27"/>
      <c r="D2439" s="67"/>
      <c r="E2439" s="68"/>
      <c r="F2439" s="17"/>
      <c r="G2439" s="27"/>
    </row>
    <row r="2440" spans="2:7" ht="20.25" customHeight="1" x14ac:dyDescent="0.3">
      <c r="B2440" s="17"/>
      <c r="C2440" s="27"/>
      <c r="D2440" s="67"/>
      <c r="E2440" s="68"/>
      <c r="F2440" s="17"/>
      <c r="G2440" s="27"/>
    </row>
    <row r="2441" spans="2:7" ht="20.25" customHeight="1" x14ac:dyDescent="0.3">
      <c r="B2441" s="17"/>
      <c r="C2441" s="27"/>
      <c r="D2441" s="67"/>
      <c r="E2441" s="68"/>
      <c r="F2441" s="17"/>
      <c r="G2441" s="27"/>
    </row>
    <row r="2442" spans="2:7" ht="20.25" customHeight="1" x14ac:dyDescent="0.3">
      <c r="B2442" s="17"/>
      <c r="C2442" s="27"/>
      <c r="D2442" s="67"/>
      <c r="E2442" s="68"/>
      <c r="F2442" s="17"/>
      <c r="G2442" s="27"/>
    </row>
    <row r="2443" spans="2:7" ht="20.25" customHeight="1" x14ac:dyDescent="0.3">
      <c r="B2443" s="17"/>
      <c r="C2443" s="27"/>
      <c r="D2443" s="67"/>
      <c r="E2443" s="68"/>
      <c r="F2443" s="17"/>
      <c r="G2443" s="27"/>
    </row>
    <row r="2444" spans="2:7" ht="20.25" customHeight="1" x14ac:dyDescent="0.3">
      <c r="B2444" s="17"/>
      <c r="C2444" s="27"/>
      <c r="D2444" s="67"/>
      <c r="E2444" s="68"/>
      <c r="F2444" s="17"/>
      <c r="G2444" s="27"/>
    </row>
    <row r="2445" spans="2:7" ht="20.25" customHeight="1" x14ac:dyDescent="0.3">
      <c r="B2445" s="17"/>
      <c r="C2445" s="27"/>
      <c r="D2445" s="67"/>
      <c r="E2445" s="68"/>
      <c r="F2445" s="17"/>
      <c r="G2445" s="27"/>
    </row>
    <row r="2446" spans="2:7" ht="20.25" customHeight="1" x14ac:dyDescent="0.3">
      <c r="B2446" s="17"/>
      <c r="C2446" s="27"/>
      <c r="D2446" s="67"/>
      <c r="E2446" s="68"/>
      <c r="F2446" s="17"/>
      <c r="G2446" s="27"/>
    </row>
    <row r="2447" spans="2:7" ht="20.25" customHeight="1" x14ac:dyDescent="0.3">
      <c r="B2447" s="17"/>
      <c r="C2447" s="27"/>
      <c r="D2447" s="67"/>
      <c r="E2447" s="68"/>
      <c r="F2447" s="17"/>
      <c r="G2447" s="27"/>
    </row>
    <row r="2448" spans="2:7" ht="20.25" customHeight="1" x14ac:dyDescent="0.3">
      <c r="B2448" s="17"/>
      <c r="C2448" s="27"/>
      <c r="D2448" s="67"/>
      <c r="E2448" s="68"/>
      <c r="F2448" s="17"/>
      <c r="G2448" s="27"/>
    </row>
    <row r="2449" spans="2:7" ht="20.25" customHeight="1" x14ac:dyDescent="0.3">
      <c r="B2449" s="17"/>
      <c r="C2449" s="27"/>
      <c r="D2449" s="67"/>
      <c r="E2449" s="68"/>
      <c r="F2449" s="17"/>
      <c r="G2449" s="27"/>
    </row>
    <row r="2450" spans="2:7" ht="20.25" customHeight="1" x14ac:dyDescent="0.3">
      <c r="B2450" s="17"/>
      <c r="C2450" s="27"/>
      <c r="D2450" s="67"/>
      <c r="E2450" s="68"/>
      <c r="F2450" s="17"/>
      <c r="G2450" s="27"/>
    </row>
    <row r="2451" spans="2:7" ht="20.25" customHeight="1" x14ac:dyDescent="0.3">
      <c r="B2451" s="17"/>
      <c r="C2451" s="27"/>
      <c r="D2451" s="67"/>
      <c r="E2451" s="68"/>
      <c r="F2451" s="17"/>
      <c r="G2451" s="27"/>
    </row>
    <row r="2452" spans="2:7" ht="20.25" customHeight="1" x14ac:dyDescent="0.3">
      <c r="B2452" s="17"/>
      <c r="C2452" s="27"/>
      <c r="D2452" s="67"/>
      <c r="E2452" s="68"/>
      <c r="F2452" s="17"/>
      <c r="G2452" s="27"/>
    </row>
    <row r="2453" spans="2:7" ht="20.25" customHeight="1" x14ac:dyDescent="0.3">
      <c r="B2453" s="17"/>
      <c r="C2453" s="27"/>
      <c r="D2453" s="67"/>
      <c r="E2453" s="68"/>
      <c r="F2453" s="17"/>
      <c r="G2453" s="27"/>
    </row>
    <row r="2454" spans="2:7" ht="20.25" customHeight="1" x14ac:dyDescent="0.3">
      <c r="B2454" s="17"/>
      <c r="C2454" s="27"/>
      <c r="D2454" s="67"/>
      <c r="E2454" s="68"/>
      <c r="F2454" s="17"/>
      <c r="G2454" s="27"/>
    </row>
    <row r="2455" spans="2:7" ht="20.25" customHeight="1" x14ac:dyDescent="0.3">
      <c r="B2455" s="17"/>
      <c r="C2455" s="27"/>
      <c r="D2455" s="67"/>
      <c r="E2455" s="68"/>
      <c r="F2455" s="17"/>
      <c r="G2455" s="27"/>
    </row>
    <row r="2456" spans="2:7" ht="20.25" customHeight="1" x14ac:dyDescent="0.3">
      <c r="B2456" s="17"/>
      <c r="C2456" s="27"/>
      <c r="D2456" s="67"/>
      <c r="E2456" s="68"/>
      <c r="F2456" s="17"/>
      <c r="G2456" s="27"/>
    </row>
    <row r="2457" spans="2:7" ht="20.25" customHeight="1" x14ac:dyDescent="0.3">
      <c r="B2457" s="17"/>
      <c r="C2457" s="27"/>
      <c r="D2457" s="67"/>
      <c r="E2457" s="68"/>
      <c r="F2457" s="17"/>
      <c r="G2457" s="27"/>
    </row>
    <row r="2458" spans="2:7" ht="20.25" customHeight="1" x14ac:dyDescent="0.3">
      <c r="B2458" s="17"/>
      <c r="C2458" s="27"/>
      <c r="D2458" s="67"/>
      <c r="E2458" s="68"/>
      <c r="F2458" s="17"/>
      <c r="G2458" s="27"/>
    </row>
    <row r="2459" spans="2:7" ht="20.25" customHeight="1" x14ac:dyDescent="0.3">
      <c r="B2459" s="17"/>
      <c r="C2459" s="27"/>
      <c r="D2459" s="67"/>
      <c r="E2459" s="68"/>
      <c r="F2459" s="17"/>
      <c r="G2459" s="27"/>
    </row>
    <row r="2460" spans="2:7" ht="20.25" customHeight="1" x14ac:dyDescent="0.3">
      <c r="B2460" s="17"/>
      <c r="C2460" s="27"/>
      <c r="D2460" s="67"/>
      <c r="E2460" s="68"/>
      <c r="F2460" s="17"/>
      <c r="G2460" s="27"/>
    </row>
    <row r="2461" spans="2:7" ht="20.25" customHeight="1" x14ac:dyDescent="0.3">
      <c r="B2461" s="17"/>
      <c r="C2461" s="27"/>
      <c r="D2461" s="67"/>
      <c r="E2461" s="68"/>
      <c r="F2461" s="17"/>
      <c r="G2461" s="27"/>
    </row>
    <row r="2462" spans="2:7" ht="20.25" customHeight="1" x14ac:dyDescent="0.3">
      <c r="B2462" s="17"/>
      <c r="C2462" s="27"/>
      <c r="D2462" s="67"/>
      <c r="E2462" s="68"/>
      <c r="F2462" s="17"/>
      <c r="G2462" s="27"/>
    </row>
    <row r="2463" spans="2:7" ht="20.25" customHeight="1" x14ac:dyDescent="0.3">
      <c r="B2463" s="17"/>
      <c r="C2463" s="27"/>
      <c r="D2463" s="67"/>
      <c r="E2463" s="68"/>
      <c r="F2463" s="17"/>
      <c r="G2463" s="27"/>
    </row>
    <row r="2464" spans="2:7" ht="20.25" customHeight="1" x14ac:dyDescent="0.3">
      <c r="B2464" s="17"/>
      <c r="C2464" s="27"/>
      <c r="D2464" s="67"/>
      <c r="E2464" s="68"/>
      <c r="F2464" s="17"/>
      <c r="G2464" s="27"/>
    </row>
    <row r="2465" spans="2:7" ht="20.25" customHeight="1" x14ac:dyDescent="0.3">
      <c r="B2465" s="17"/>
      <c r="C2465" s="27"/>
      <c r="D2465" s="67"/>
      <c r="E2465" s="68"/>
      <c r="F2465" s="17"/>
      <c r="G2465" s="27"/>
    </row>
    <row r="2466" spans="2:7" ht="20.25" customHeight="1" x14ac:dyDescent="0.3">
      <c r="B2466" s="17"/>
      <c r="C2466" s="27"/>
      <c r="D2466" s="67"/>
      <c r="E2466" s="68"/>
      <c r="F2466" s="17"/>
      <c r="G2466" s="27"/>
    </row>
    <row r="2467" spans="2:7" ht="20.25" customHeight="1" x14ac:dyDescent="0.3">
      <c r="B2467" s="17"/>
      <c r="C2467" s="27"/>
      <c r="D2467" s="67"/>
      <c r="E2467" s="68"/>
      <c r="F2467" s="17"/>
      <c r="G2467" s="27"/>
    </row>
    <row r="2468" spans="2:7" ht="20.25" customHeight="1" x14ac:dyDescent="0.3">
      <c r="B2468" s="17"/>
      <c r="C2468" s="27"/>
      <c r="D2468" s="67"/>
      <c r="E2468" s="68"/>
      <c r="F2468" s="17"/>
      <c r="G2468" s="27"/>
    </row>
    <row r="2469" spans="2:7" ht="20.25" customHeight="1" x14ac:dyDescent="0.3">
      <c r="B2469" s="17"/>
      <c r="C2469" s="27"/>
      <c r="D2469" s="67"/>
      <c r="E2469" s="68"/>
      <c r="F2469" s="17"/>
      <c r="G2469" s="27"/>
    </row>
    <row r="2470" spans="2:7" ht="20.25" customHeight="1" x14ac:dyDescent="0.3">
      <c r="B2470" s="17"/>
      <c r="C2470" s="27"/>
      <c r="D2470" s="67"/>
      <c r="E2470" s="68"/>
      <c r="F2470" s="17"/>
      <c r="G2470" s="27"/>
    </row>
    <row r="2471" spans="2:7" ht="20.25" customHeight="1" x14ac:dyDescent="0.3">
      <c r="B2471" s="17"/>
      <c r="C2471" s="27"/>
      <c r="D2471" s="67"/>
      <c r="E2471" s="68"/>
      <c r="F2471" s="17"/>
      <c r="G2471" s="27"/>
    </row>
    <row r="2472" spans="2:7" ht="20.25" customHeight="1" x14ac:dyDescent="0.3">
      <c r="B2472" s="17"/>
      <c r="C2472" s="27"/>
      <c r="D2472" s="67"/>
      <c r="E2472" s="68"/>
      <c r="F2472" s="17"/>
      <c r="G2472" s="27"/>
    </row>
    <row r="2473" spans="2:7" ht="20.25" customHeight="1" x14ac:dyDescent="0.3">
      <c r="B2473" s="17"/>
      <c r="C2473" s="27"/>
      <c r="D2473" s="67"/>
      <c r="E2473" s="68"/>
      <c r="F2473" s="17"/>
      <c r="G2473" s="27"/>
    </row>
    <row r="2474" spans="2:7" ht="20.25" customHeight="1" x14ac:dyDescent="0.3">
      <c r="B2474" s="17"/>
      <c r="C2474" s="27"/>
      <c r="D2474" s="67"/>
      <c r="E2474" s="68"/>
      <c r="F2474" s="17"/>
      <c r="G2474" s="27"/>
    </row>
    <row r="2475" spans="2:7" ht="20.25" customHeight="1" x14ac:dyDescent="0.3">
      <c r="B2475" s="17"/>
      <c r="C2475" s="27"/>
      <c r="D2475" s="67"/>
      <c r="E2475" s="68"/>
      <c r="F2475" s="17"/>
      <c r="G2475" s="27"/>
    </row>
    <row r="2476" spans="2:7" ht="20.25" customHeight="1" x14ac:dyDescent="0.3">
      <c r="B2476" s="17"/>
      <c r="C2476" s="27"/>
      <c r="D2476" s="67"/>
      <c r="E2476" s="68"/>
      <c r="F2476" s="17"/>
      <c r="G2476" s="27"/>
    </row>
    <row r="2477" spans="2:7" ht="20.25" customHeight="1" x14ac:dyDescent="0.3">
      <c r="B2477" s="17"/>
      <c r="C2477" s="27"/>
      <c r="D2477" s="67"/>
      <c r="E2477" s="68"/>
      <c r="F2477" s="17"/>
      <c r="G2477" s="27"/>
    </row>
    <row r="2478" spans="2:7" ht="20.25" customHeight="1" x14ac:dyDescent="0.3">
      <c r="B2478" s="17"/>
      <c r="C2478" s="27"/>
      <c r="D2478" s="67"/>
      <c r="E2478" s="68"/>
      <c r="F2478" s="17"/>
      <c r="G2478" s="27"/>
    </row>
    <row r="2479" spans="2:7" ht="20.25" customHeight="1" x14ac:dyDescent="0.3">
      <c r="B2479" s="17"/>
      <c r="C2479" s="27"/>
      <c r="D2479" s="67"/>
      <c r="E2479" s="68"/>
      <c r="F2479" s="17"/>
      <c r="G2479" s="27"/>
    </row>
    <row r="2480" spans="2:7" ht="20.25" customHeight="1" x14ac:dyDescent="0.3">
      <c r="B2480" s="17"/>
      <c r="C2480" s="27"/>
      <c r="D2480" s="67"/>
      <c r="E2480" s="68"/>
      <c r="F2480" s="17"/>
      <c r="G2480" s="27"/>
    </row>
    <row r="2481" spans="2:7" ht="20.25" customHeight="1" x14ac:dyDescent="0.3">
      <c r="B2481" s="17"/>
      <c r="C2481" s="27"/>
      <c r="D2481" s="67"/>
      <c r="E2481" s="68"/>
      <c r="F2481" s="17"/>
      <c r="G2481" s="27"/>
    </row>
    <row r="2482" spans="2:7" ht="20.25" customHeight="1" x14ac:dyDescent="0.3">
      <c r="B2482" s="17"/>
      <c r="C2482" s="27"/>
      <c r="D2482" s="67"/>
      <c r="E2482" s="68"/>
      <c r="F2482" s="17"/>
      <c r="G2482" s="27"/>
    </row>
    <row r="2483" spans="2:7" ht="20.25" customHeight="1" x14ac:dyDescent="0.3">
      <c r="B2483" s="17"/>
      <c r="C2483" s="27"/>
      <c r="D2483" s="67"/>
      <c r="E2483" s="68"/>
      <c r="F2483" s="17"/>
      <c r="G2483" s="27"/>
    </row>
    <row r="2484" spans="2:7" ht="20.25" customHeight="1" x14ac:dyDescent="0.3">
      <c r="B2484" s="17"/>
      <c r="C2484" s="27"/>
      <c r="D2484" s="67"/>
      <c r="E2484" s="68"/>
      <c r="F2484" s="17"/>
      <c r="G2484" s="27"/>
    </row>
    <row r="2485" spans="2:7" ht="20.25" customHeight="1" x14ac:dyDescent="0.3">
      <c r="B2485" s="17"/>
      <c r="C2485" s="27"/>
      <c r="D2485" s="67"/>
      <c r="E2485" s="68"/>
      <c r="F2485" s="17"/>
      <c r="G2485" s="27"/>
    </row>
    <row r="2486" spans="2:7" ht="20.25" customHeight="1" x14ac:dyDescent="0.3">
      <c r="B2486" s="17"/>
      <c r="C2486" s="27"/>
      <c r="D2486" s="67"/>
      <c r="E2486" s="68"/>
      <c r="F2486" s="17"/>
      <c r="G2486" s="27"/>
    </row>
    <row r="2487" spans="2:7" ht="20.25" customHeight="1" x14ac:dyDescent="0.3">
      <c r="B2487" s="17"/>
      <c r="C2487" s="27"/>
      <c r="D2487" s="67"/>
      <c r="E2487" s="68"/>
      <c r="F2487" s="17"/>
      <c r="G2487" s="27"/>
    </row>
    <row r="2488" spans="2:7" ht="20.25" customHeight="1" x14ac:dyDescent="0.3">
      <c r="B2488" s="17"/>
      <c r="C2488" s="27"/>
      <c r="D2488" s="67"/>
      <c r="E2488" s="68"/>
      <c r="F2488" s="17"/>
      <c r="G2488" s="27"/>
    </row>
    <row r="2489" spans="2:7" ht="20.25" customHeight="1" x14ac:dyDescent="0.3">
      <c r="B2489" s="17"/>
      <c r="C2489" s="27"/>
      <c r="D2489" s="67"/>
      <c r="E2489" s="68"/>
      <c r="F2489" s="17"/>
      <c r="G2489" s="27"/>
    </row>
    <row r="2490" spans="2:7" ht="20.25" customHeight="1" x14ac:dyDescent="0.3">
      <c r="B2490" s="17"/>
      <c r="C2490" s="27"/>
      <c r="D2490" s="67"/>
      <c r="E2490" s="68"/>
      <c r="F2490" s="17"/>
      <c r="G2490" s="27"/>
    </row>
    <row r="2491" spans="2:7" ht="20.25" customHeight="1" x14ac:dyDescent="0.3">
      <c r="B2491" s="17"/>
      <c r="C2491" s="27"/>
      <c r="D2491" s="67"/>
      <c r="E2491" s="68"/>
      <c r="F2491" s="17"/>
      <c r="G2491" s="27"/>
    </row>
    <row r="2492" spans="2:7" ht="20.25" customHeight="1" x14ac:dyDescent="0.3">
      <c r="B2492" s="17"/>
      <c r="C2492" s="27"/>
      <c r="D2492" s="67"/>
      <c r="E2492" s="68"/>
      <c r="F2492" s="17"/>
      <c r="G2492" s="27"/>
    </row>
    <row r="2493" spans="2:7" ht="20.25" customHeight="1" x14ac:dyDescent="0.3">
      <c r="B2493" s="17"/>
      <c r="C2493" s="27"/>
      <c r="D2493" s="67"/>
      <c r="E2493" s="68"/>
      <c r="F2493" s="17"/>
      <c r="G2493" s="27"/>
    </row>
    <row r="2494" spans="2:7" ht="20.25" customHeight="1" x14ac:dyDescent="0.3">
      <c r="B2494" s="17"/>
      <c r="C2494" s="27"/>
      <c r="D2494" s="67"/>
      <c r="E2494" s="68"/>
      <c r="F2494" s="17"/>
      <c r="G2494" s="27"/>
    </row>
    <row r="2495" spans="2:7" ht="20.25" customHeight="1" x14ac:dyDescent="0.3">
      <c r="B2495" s="17"/>
      <c r="C2495" s="27"/>
      <c r="D2495" s="67"/>
      <c r="E2495" s="68"/>
      <c r="F2495" s="17"/>
      <c r="G2495" s="27"/>
    </row>
    <row r="2496" spans="2:7" ht="20.25" customHeight="1" x14ac:dyDescent="0.3">
      <c r="B2496" s="17"/>
      <c r="C2496" s="27"/>
      <c r="D2496" s="67"/>
      <c r="E2496" s="68"/>
      <c r="F2496" s="17"/>
      <c r="G2496" s="27"/>
    </row>
    <row r="2497" spans="2:7" ht="20.25" customHeight="1" x14ac:dyDescent="0.3">
      <c r="B2497" s="17"/>
      <c r="C2497" s="27"/>
      <c r="D2497" s="67"/>
      <c r="E2497" s="68"/>
      <c r="F2497" s="17"/>
      <c r="G2497" s="27"/>
    </row>
    <row r="2498" spans="2:7" ht="20.25" customHeight="1" x14ac:dyDescent="0.3">
      <c r="B2498" s="17"/>
      <c r="C2498" s="27"/>
      <c r="D2498" s="67"/>
      <c r="E2498" s="68"/>
      <c r="F2498" s="17"/>
      <c r="G2498" s="27"/>
    </row>
    <row r="2499" spans="2:7" ht="20.25" customHeight="1" x14ac:dyDescent="0.3">
      <c r="B2499" s="17"/>
      <c r="C2499" s="27"/>
      <c r="D2499" s="67"/>
      <c r="E2499" s="68"/>
      <c r="F2499" s="17"/>
      <c r="G2499" s="27"/>
    </row>
    <row r="2500" spans="2:7" ht="20.25" customHeight="1" x14ac:dyDescent="0.3">
      <c r="B2500" s="17"/>
      <c r="C2500" s="27"/>
      <c r="D2500" s="67"/>
      <c r="E2500" s="68"/>
      <c r="F2500" s="17"/>
      <c r="G2500" s="27"/>
    </row>
    <row r="2501" spans="2:7" ht="20.25" customHeight="1" x14ac:dyDescent="0.3">
      <c r="B2501" s="17"/>
      <c r="C2501" s="27"/>
      <c r="D2501" s="67"/>
      <c r="E2501" s="68"/>
      <c r="F2501" s="17"/>
      <c r="G2501" s="27"/>
    </row>
    <row r="2502" spans="2:7" ht="20.25" customHeight="1" x14ac:dyDescent="0.3">
      <c r="B2502" s="17"/>
      <c r="C2502" s="27"/>
      <c r="D2502" s="67"/>
      <c r="E2502" s="68"/>
      <c r="F2502" s="17"/>
      <c r="G2502" s="27"/>
    </row>
    <row r="2503" spans="2:7" ht="20.25" customHeight="1" x14ac:dyDescent="0.3">
      <c r="B2503" s="17"/>
      <c r="C2503" s="27"/>
      <c r="D2503" s="67"/>
      <c r="E2503" s="68"/>
      <c r="F2503" s="17"/>
      <c r="G2503" s="27"/>
    </row>
    <row r="2504" spans="2:7" ht="20.25" customHeight="1" x14ac:dyDescent="0.3">
      <c r="B2504" s="17"/>
      <c r="C2504" s="27"/>
      <c r="D2504" s="67"/>
      <c r="E2504" s="68"/>
      <c r="F2504" s="17"/>
      <c r="G2504" s="27"/>
    </row>
    <row r="2505" spans="2:7" ht="20.25" customHeight="1" x14ac:dyDescent="0.3">
      <c r="B2505" s="17"/>
      <c r="C2505" s="27"/>
      <c r="D2505" s="67"/>
      <c r="E2505" s="68"/>
      <c r="F2505" s="17"/>
      <c r="G2505" s="27"/>
    </row>
    <row r="2506" spans="2:7" ht="20.25" customHeight="1" x14ac:dyDescent="0.3">
      <c r="B2506" s="17"/>
      <c r="C2506" s="27"/>
      <c r="D2506" s="67"/>
      <c r="E2506" s="68"/>
      <c r="F2506" s="17"/>
      <c r="G2506" s="27"/>
    </row>
    <row r="2507" spans="2:7" ht="20.25" customHeight="1" x14ac:dyDescent="0.3">
      <c r="B2507" s="17"/>
      <c r="C2507" s="27"/>
      <c r="D2507" s="67"/>
      <c r="E2507" s="68"/>
      <c r="F2507" s="17"/>
      <c r="G2507" s="27"/>
    </row>
    <row r="2508" spans="2:7" ht="20.25" customHeight="1" x14ac:dyDescent="0.3">
      <c r="B2508" s="17"/>
      <c r="C2508" s="27"/>
      <c r="D2508" s="67"/>
      <c r="E2508" s="68"/>
      <c r="F2508" s="17"/>
      <c r="G2508" s="27"/>
    </row>
    <row r="2509" spans="2:7" ht="20.25" customHeight="1" x14ac:dyDescent="0.3">
      <c r="B2509" s="17"/>
      <c r="C2509" s="27"/>
      <c r="D2509" s="67"/>
      <c r="E2509" s="68"/>
      <c r="F2509" s="17"/>
      <c r="G2509" s="27"/>
    </row>
    <row r="2510" spans="2:7" ht="20.25" customHeight="1" x14ac:dyDescent="0.3">
      <c r="B2510" s="17"/>
      <c r="C2510" s="27"/>
      <c r="D2510" s="67"/>
      <c r="E2510" s="68"/>
      <c r="F2510" s="17"/>
      <c r="G2510" s="27"/>
    </row>
    <row r="2511" spans="2:7" ht="20.25" customHeight="1" x14ac:dyDescent="0.3">
      <c r="B2511" s="17"/>
      <c r="C2511" s="27"/>
      <c r="D2511" s="67"/>
      <c r="E2511" s="68"/>
      <c r="F2511" s="17"/>
      <c r="G2511" s="27"/>
    </row>
    <row r="2512" spans="2:7" ht="20.25" customHeight="1" x14ac:dyDescent="0.3">
      <c r="B2512" s="17"/>
      <c r="C2512" s="27"/>
      <c r="D2512" s="67"/>
      <c r="E2512" s="68"/>
      <c r="F2512" s="17"/>
      <c r="G2512" s="27"/>
    </row>
    <row r="2513" spans="2:7" ht="20.25" customHeight="1" x14ac:dyDescent="0.3">
      <c r="B2513" s="17"/>
      <c r="C2513" s="27"/>
      <c r="D2513" s="67"/>
      <c r="E2513" s="68"/>
      <c r="F2513" s="17"/>
      <c r="G2513" s="27"/>
    </row>
    <row r="2514" spans="2:7" ht="20.25" customHeight="1" x14ac:dyDescent="0.3">
      <c r="B2514" s="17"/>
      <c r="C2514" s="27"/>
      <c r="D2514" s="67"/>
      <c r="E2514" s="68"/>
      <c r="F2514" s="17"/>
      <c r="G2514" s="27"/>
    </row>
    <row r="2515" spans="2:7" ht="20.25" customHeight="1" x14ac:dyDescent="0.3">
      <c r="B2515" s="17"/>
      <c r="C2515" s="27"/>
      <c r="D2515" s="67"/>
      <c r="E2515" s="68"/>
      <c r="F2515" s="17"/>
      <c r="G2515" s="27"/>
    </row>
    <row r="2516" spans="2:7" ht="20.25" customHeight="1" x14ac:dyDescent="0.3">
      <c r="B2516" s="17"/>
      <c r="C2516" s="27"/>
      <c r="D2516" s="67"/>
      <c r="E2516" s="68"/>
      <c r="F2516" s="17"/>
      <c r="G2516" s="27"/>
    </row>
    <row r="2517" spans="2:7" ht="20.25" customHeight="1" x14ac:dyDescent="0.3">
      <c r="B2517" s="17"/>
      <c r="C2517" s="27"/>
      <c r="D2517" s="67"/>
      <c r="E2517" s="68"/>
      <c r="F2517" s="17"/>
      <c r="G2517" s="27"/>
    </row>
    <row r="2518" spans="2:7" ht="20.25" customHeight="1" x14ac:dyDescent="0.3">
      <c r="B2518" s="17"/>
      <c r="C2518" s="27"/>
      <c r="D2518" s="67"/>
      <c r="E2518" s="68"/>
      <c r="F2518" s="17"/>
      <c r="G2518" s="27"/>
    </row>
    <row r="2519" spans="2:7" ht="20.25" customHeight="1" x14ac:dyDescent="0.3">
      <c r="B2519" s="17"/>
      <c r="C2519" s="27"/>
      <c r="D2519" s="67"/>
      <c r="E2519" s="68"/>
      <c r="F2519" s="17"/>
      <c r="G2519" s="27"/>
    </row>
    <row r="2520" spans="2:7" ht="20.25" customHeight="1" x14ac:dyDescent="0.3">
      <c r="B2520" s="17"/>
      <c r="C2520" s="27"/>
      <c r="D2520" s="67"/>
      <c r="E2520" s="68"/>
      <c r="F2520" s="17"/>
      <c r="G2520" s="27"/>
    </row>
    <row r="2521" spans="2:7" ht="20.25" customHeight="1" x14ac:dyDescent="0.3">
      <c r="B2521" s="17"/>
      <c r="C2521" s="27"/>
      <c r="D2521" s="67"/>
      <c r="E2521" s="68"/>
      <c r="F2521" s="17"/>
      <c r="G2521" s="27"/>
    </row>
    <row r="2522" spans="2:7" ht="20.25" customHeight="1" x14ac:dyDescent="0.3">
      <c r="B2522" s="17"/>
      <c r="C2522" s="27"/>
      <c r="D2522" s="67"/>
      <c r="E2522" s="68"/>
      <c r="F2522" s="17"/>
      <c r="G2522" s="27"/>
    </row>
    <row r="2523" spans="2:7" ht="20.25" customHeight="1" x14ac:dyDescent="0.3">
      <c r="B2523" s="17"/>
      <c r="C2523" s="27"/>
      <c r="D2523" s="67"/>
      <c r="E2523" s="68"/>
      <c r="F2523" s="17"/>
      <c r="G2523" s="27"/>
    </row>
    <row r="2524" spans="2:7" ht="20.25" customHeight="1" x14ac:dyDescent="0.3">
      <c r="B2524" s="17"/>
      <c r="C2524" s="27"/>
      <c r="D2524" s="67"/>
      <c r="E2524" s="68"/>
      <c r="F2524" s="17"/>
      <c r="G2524" s="27"/>
    </row>
    <row r="2525" spans="2:7" ht="20.25" customHeight="1" x14ac:dyDescent="0.3">
      <c r="B2525" s="17"/>
      <c r="C2525" s="27"/>
      <c r="D2525" s="67"/>
      <c r="E2525" s="68"/>
      <c r="F2525" s="17"/>
      <c r="G2525" s="27"/>
    </row>
    <row r="2526" spans="2:7" ht="20.25" customHeight="1" x14ac:dyDescent="0.3">
      <c r="B2526" s="17"/>
      <c r="C2526" s="27"/>
      <c r="D2526" s="67"/>
      <c r="E2526" s="68"/>
      <c r="F2526" s="17"/>
      <c r="G2526" s="27"/>
    </row>
    <row r="2527" spans="2:7" ht="20.25" customHeight="1" x14ac:dyDescent="0.3">
      <c r="B2527" s="17"/>
      <c r="C2527" s="27"/>
      <c r="D2527" s="67"/>
      <c r="E2527" s="68"/>
      <c r="F2527" s="17"/>
      <c r="G2527" s="27"/>
    </row>
    <row r="2528" spans="2:7" ht="20.25" customHeight="1" x14ac:dyDescent="0.3">
      <c r="B2528" s="17"/>
      <c r="C2528" s="27"/>
      <c r="D2528" s="67"/>
      <c r="E2528" s="68"/>
      <c r="F2528" s="17"/>
      <c r="G2528" s="27"/>
    </row>
    <row r="2529" spans="2:7" ht="20.25" customHeight="1" x14ac:dyDescent="0.3">
      <c r="B2529" s="17"/>
      <c r="C2529" s="27"/>
      <c r="D2529" s="67"/>
      <c r="E2529" s="68"/>
      <c r="F2529" s="17"/>
      <c r="G2529" s="27"/>
    </row>
    <row r="2530" spans="2:7" ht="20.25" customHeight="1" x14ac:dyDescent="0.3">
      <c r="B2530" s="17"/>
      <c r="C2530" s="27"/>
      <c r="D2530" s="67"/>
      <c r="E2530" s="68"/>
      <c r="F2530" s="17"/>
      <c r="G2530" s="27"/>
    </row>
    <row r="2531" spans="2:7" ht="20.25" customHeight="1" x14ac:dyDescent="0.3">
      <c r="B2531" s="17"/>
      <c r="C2531" s="27"/>
      <c r="D2531" s="67"/>
      <c r="E2531" s="68"/>
      <c r="F2531" s="17"/>
      <c r="G2531" s="27"/>
    </row>
    <row r="2532" spans="2:7" ht="20.25" customHeight="1" x14ac:dyDescent="0.3">
      <c r="B2532" s="17"/>
      <c r="C2532" s="27"/>
      <c r="D2532" s="67"/>
      <c r="E2532" s="68"/>
      <c r="F2532" s="17"/>
      <c r="G2532" s="27"/>
    </row>
    <row r="2533" spans="2:7" ht="20.25" customHeight="1" x14ac:dyDescent="0.3">
      <c r="B2533" s="17"/>
      <c r="C2533" s="27"/>
      <c r="D2533" s="67"/>
      <c r="E2533" s="68"/>
      <c r="F2533" s="17"/>
      <c r="G2533" s="27"/>
    </row>
    <row r="2534" spans="2:7" ht="20.25" customHeight="1" x14ac:dyDescent="0.3">
      <c r="B2534" s="17"/>
      <c r="C2534" s="27"/>
      <c r="D2534" s="67"/>
      <c r="E2534" s="68"/>
      <c r="F2534" s="17"/>
      <c r="G2534" s="27"/>
    </row>
    <row r="2535" spans="2:7" ht="20.25" customHeight="1" x14ac:dyDescent="0.3">
      <c r="B2535" s="17"/>
      <c r="C2535" s="27"/>
      <c r="D2535" s="67"/>
      <c r="E2535" s="68"/>
      <c r="F2535" s="17"/>
      <c r="G2535" s="27"/>
    </row>
    <row r="2536" spans="2:7" ht="20.25" customHeight="1" x14ac:dyDescent="0.3">
      <c r="B2536" s="17"/>
      <c r="C2536" s="27"/>
      <c r="D2536" s="67"/>
      <c r="E2536" s="68"/>
      <c r="F2536" s="17"/>
      <c r="G2536" s="27"/>
    </row>
    <row r="2537" spans="2:7" ht="20.25" customHeight="1" x14ac:dyDescent="0.3">
      <c r="B2537" s="17"/>
      <c r="C2537" s="27"/>
      <c r="D2537" s="67"/>
      <c r="E2537" s="68"/>
      <c r="F2537" s="17"/>
      <c r="G2537" s="27"/>
    </row>
    <row r="2538" spans="2:7" ht="20.25" customHeight="1" x14ac:dyDescent="0.3">
      <c r="B2538" s="17"/>
      <c r="C2538" s="27"/>
      <c r="D2538" s="67"/>
      <c r="E2538" s="68"/>
      <c r="F2538" s="17"/>
      <c r="G2538" s="27"/>
    </row>
    <row r="2539" spans="2:7" ht="20.25" customHeight="1" x14ac:dyDescent="0.3">
      <c r="B2539" s="17"/>
      <c r="C2539" s="27"/>
      <c r="D2539" s="67"/>
      <c r="E2539" s="68"/>
      <c r="F2539" s="17"/>
      <c r="G2539" s="27"/>
    </row>
    <row r="2540" spans="2:7" ht="20.25" customHeight="1" x14ac:dyDescent="0.3">
      <c r="B2540" s="17"/>
      <c r="C2540" s="27"/>
      <c r="D2540" s="67"/>
      <c r="E2540" s="68"/>
      <c r="F2540" s="17"/>
      <c r="G2540" s="27"/>
    </row>
    <row r="2541" spans="2:7" ht="20.25" customHeight="1" x14ac:dyDescent="0.3">
      <c r="B2541" s="17"/>
      <c r="C2541" s="27"/>
      <c r="D2541" s="67"/>
      <c r="E2541" s="68"/>
      <c r="F2541" s="17"/>
      <c r="G2541" s="27"/>
    </row>
    <row r="2542" spans="2:7" ht="20.25" customHeight="1" x14ac:dyDescent="0.3">
      <c r="B2542" s="17"/>
      <c r="C2542" s="27"/>
      <c r="D2542" s="67"/>
      <c r="E2542" s="68"/>
      <c r="F2542" s="17"/>
      <c r="G2542" s="27"/>
    </row>
    <row r="2543" spans="2:7" ht="20.25" customHeight="1" x14ac:dyDescent="0.3">
      <c r="B2543" s="17"/>
      <c r="C2543" s="27"/>
      <c r="D2543" s="67"/>
      <c r="E2543" s="68"/>
      <c r="F2543" s="17"/>
      <c r="G2543" s="27"/>
    </row>
    <row r="2544" spans="2:7" ht="20.25" customHeight="1" x14ac:dyDescent="0.3">
      <c r="B2544" s="17"/>
      <c r="C2544" s="27"/>
      <c r="D2544" s="67"/>
      <c r="E2544" s="68"/>
      <c r="F2544" s="17"/>
      <c r="G2544" s="27"/>
    </row>
    <row r="2545" spans="2:7" ht="20.25" customHeight="1" x14ac:dyDescent="0.3">
      <c r="B2545" s="17"/>
      <c r="C2545" s="27"/>
      <c r="D2545" s="67"/>
      <c r="E2545" s="68"/>
      <c r="F2545" s="17"/>
      <c r="G2545" s="27"/>
    </row>
    <row r="2546" spans="2:7" ht="20.25" customHeight="1" x14ac:dyDescent="0.3">
      <c r="B2546" s="17"/>
      <c r="C2546" s="27"/>
      <c r="D2546" s="67"/>
      <c r="E2546" s="68"/>
      <c r="F2546" s="17"/>
      <c r="G2546" s="27"/>
    </row>
    <row r="2547" spans="2:7" ht="20.25" customHeight="1" x14ac:dyDescent="0.3">
      <c r="B2547" s="17"/>
      <c r="C2547" s="27"/>
      <c r="D2547" s="67"/>
      <c r="E2547" s="68"/>
      <c r="F2547" s="17"/>
      <c r="G2547" s="27"/>
    </row>
    <row r="2548" spans="2:7" ht="20.25" customHeight="1" x14ac:dyDescent="0.3">
      <c r="B2548" s="17"/>
      <c r="C2548" s="27"/>
      <c r="D2548" s="67"/>
      <c r="E2548" s="68"/>
      <c r="F2548" s="17"/>
      <c r="G2548" s="27"/>
    </row>
    <row r="2549" spans="2:7" ht="20.25" customHeight="1" x14ac:dyDescent="0.3">
      <c r="B2549" s="17"/>
      <c r="C2549" s="27"/>
      <c r="D2549" s="67"/>
      <c r="E2549" s="68"/>
      <c r="F2549" s="17"/>
      <c r="G2549" s="27"/>
    </row>
    <row r="2550" spans="2:7" ht="20.25" customHeight="1" x14ac:dyDescent="0.3">
      <c r="B2550" s="17"/>
      <c r="C2550" s="27"/>
      <c r="D2550" s="67"/>
      <c r="E2550" s="68"/>
      <c r="F2550" s="17"/>
      <c r="G2550" s="27"/>
    </row>
    <row r="2551" spans="2:7" ht="20.25" customHeight="1" x14ac:dyDescent="0.3">
      <c r="B2551" s="17"/>
      <c r="C2551" s="27"/>
      <c r="D2551" s="67"/>
      <c r="E2551" s="68"/>
      <c r="F2551" s="17"/>
      <c r="G2551" s="27"/>
    </row>
    <row r="2552" spans="2:7" ht="20.25" customHeight="1" x14ac:dyDescent="0.3">
      <c r="B2552" s="17"/>
      <c r="C2552" s="27"/>
      <c r="D2552" s="67"/>
      <c r="E2552" s="68"/>
      <c r="F2552" s="17"/>
      <c r="G2552" s="27"/>
    </row>
    <row r="2553" spans="2:7" ht="20.25" customHeight="1" x14ac:dyDescent="0.3">
      <c r="B2553" s="17"/>
      <c r="C2553" s="27"/>
      <c r="D2553" s="67"/>
      <c r="E2553" s="68"/>
      <c r="F2553" s="17"/>
      <c r="G2553" s="27"/>
    </row>
    <row r="2554" spans="2:7" ht="20.25" customHeight="1" x14ac:dyDescent="0.3">
      <c r="B2554" s="17"/>
      <c r="C2554" s="27"/>
      <c r="D2554" s="67"/>
      <c r="E2554" s="68"/>
      <c r="F2554" s="17"/>
      <c r="G2554" s="27"/>
    </row>
    <row r="2555" spans="2:7" ht="20.25" customHeight="1" x14ac:dyDescent="0.3">
      <c r="B2555" s="17"/>
      <c r="C2555" s="27"/>
      <c r="D2555" s="67"/>
      <c r="E2555" s="68"/>
      <c r="F2555" s="17"/>
      <c r="G2555" s="27"/>
    </row>
    <row r="2556" spans="2:7" ht="20.25" customHeight="1" x14ac:dyDescent="0.3">
      <c r="B2556" s="17"/>
      <c r="C2556" s="27"/>
      <c r="D2556" s="67"/>
      <c r="E2556" s="68"/>
      <c r="F2556" s="17"/>
      <c r="G2556" s="27"/>
    </row>
    <row r="2557" spans="2:7" ht="20.25" customHeight="1" x14ac:dyDescent="0.3">
      <c r="B2557" s="17"/>
      <c r="C2557" s="27"/>
      <c r="D2557" s="67"/>
      <c r="E2557" s="68"/>
      <c r="F2557" s="17"/>
      <c r="G2557" s="27"/>
    </row>
    <row r="2558" spans="2:7" ht="20.25" customHeight="1" x14ac:dyDescent="0.3">
      <c r="B2558" s="17"/>
      <c r="C2558" s="27"/>
      <c r="D2558" s="67"/>
      <c r="E2558" s="68"/>
      <c r="F2558" s="17"/>
      <c r="G2558" s="27"/>
    </row>
    <row r="2559" spans="2:7" ht="20.25" customHeight="1" x14ac:dyDescent="0.3">
      <c r="B2559" s="17"/>
      <c r="C2559" s="27"/>
      <c r="D2559" s="67"/>
      <c r="E2559" s="68"/>
      <c r="F2559" s="17"/>
      <c r="G2559" s="27"/>
    </row>
    <row r="2560" spans="2:7" ht="20.25" customHeight="1" x14ac:dyDescent="0.3">
      <c r="B2560" s="17"/>
      <c r="C2560" s="27"/>
      <c r="D2560" s="67"/>
      <c r="E2560" s="68"/>
      <c r="F2560" s="17"/>
      <c r="G2560" s="27"/>
    </row>
    <row r="2561" spans="2:7" ht="20.25" customHeight="1" x14ac:dyDescent="0.3">
      <c r="B2561" s="17"/>
      <c r="C2561" s="27"/>
      <c r="D2561" s="67"/>
      <c r="E2561" s="68"/>
      <c r="F2561" s="17"/>
      <c r="G2561" s="27"/>
    </row>
    <row r="2562" spans="2:7" ht="20.25" customHeight="1" x14ac:dyDescent="0.3">
      <c r="B2562" s="17"/>
      <c r="C2562" s="27"/>
      <c r="D2562" s="67"/>
      <c r="E2562" s="68"/>
      <c r="F2562" s="17"/>
      <c r="G2562" s="27"/>
    </row>
    <row r="2563" spans="2:7" ht="20.25" customHeight="1" x14ac:dyDescent="0.3">
      <c r="B2563" s="17"/>
      <c r="C2563" s="27"/>
      <c r="D2563" s="67"/>
      <c r="E2563" s="68"/>
      <c r="F2563" s="17"/>
      <c r="G2563" s="27"/>
    </row>
    <row r="2564" spans="2:7" ht="20.25" customHeight="1" x14ac:dyDescent="0.3">
      <c r="B2564" s="17"/>
      <c r="C2564" s="27"/>
      <c r="D2564" s="67"/>
      <c r="E2564" s="68"/>
      <c r="F2564" s="17"/>
      <c r="G2564" s="27"/>
    </row>
    <row r="2565" spans="2:7" ht="20.25" customHeight="1" x14ac:dyDescent="0.3">
      <c r="B2565" s="17"/>
      <c r="C2565" s="27"/>
      <c r="D2565" s="67"/>
      <c r="E2565" s="68"/>
      <c r="F2565" s="17"/>
      <c r="G2565" s="27"/>
    </row>
    <row r="2566" spans="2:7" ht="20.25" customHeight="1" x14ac:dyDescent="0.3">
      <c r="B2566" s="17"/>
      <c r="C2566" s="27"/>
      <c r="D2566" s="67"/>
      <c r="E2566" s="68"/>
      <c r="F2566" s="17"/>
      <c r="G2566" s="27"/>
    </row>
    <row r="2567" spans="2:7" ht="20.25" customHeight="1" x14ac:dyDescent="0.3">
      <c r="B2567" s="17"/>
      <c r="C2567" s="27"/>
      <c r="D2567" s="67"/>
      <c r="E2567" s="68"/>
      <c r="F2567" s="17"/>
      <c r="G2567" s="27"/>
    </row>
    <row r="2568" spans="2:7" ht="20.25" customHeight="1" x14ac:dyDescent="0.3">
      <c r="B2568" s="17"/>
      <c r="C2568" s="27"/>
      <c r="D2568" s="67"/>
      <c r="E2568" s="68"/>
      <c r="F2568" s="17"/>
      <c r="G2568" s="27"/>
    </row>
    <row r="2569" spans="2:7" ht="20.25" customHeight="1" x14ac:dyDescent="0.3">
      <c r="B2569" s="17"/>
      <c r="C2569" s="27"/>
      <c r="D2569" s="67"/>
      <c r="E2569" s="68"/>
      <c r="F2569" s="17"/>
      <c r="G2569" s="27"/>
    </row>
    <row r="2570" spans="2:7" ht="20.25" customHeight="1" x14ac:dyDescent="0.3">
      <c r="B2570" s="17"/>
      <c r="C2570" s="27"/>
      <c r="D2570" s="67"/>
      <c r="E2570" s="68"/>
      <c r="F2570" s="17"/>
      <c r="G2570" s="27"/>
    </row>
    <row r="2571" spans="2:7" ht="20.25" customHeight="1" x14ac:dyDescent="0.3">
      <c r="B2571" s="17"/>
      <c r="C2571" s="27"/>
      <c r="D2571" s="67"/>
      <c r="E2571" s="68"/>
      <c r="F2571" s="17"/>
      <c r="G2571" s="27"/>
    </row>
    <row r="2572" spans="2:7" ht="20.25" customHeight="1" x14ac:dyDescent="0.3">
      <c r="B2572" s="17"/>
      <c r="C2572" s="27"/>
      <c r="D2572" s="67"/>
      <c r="E2572" s="68"/>
      <c r="F2572" s="17"/>
      <c r="G2572" s="27"/>
    </row>
    <row r="2573" spans="2:7" ht="20.25" customHeight="1" x14ac:dyDescent="0.3">
      <c r="B2573" s="17"/>
      <c r="C2573" s="27"/>
      <c r="D2573" s="67"/>
      <c r="E2573" s="68"/>
      <c r="F2573" s="17"/>
      <c r="G2573" s="27"/>
    </row>
    <row r="2574" spans="2:7" ht="20.25" customHeight="1" x14ac:dyDescent="0.3">
      <c r="B2574" s="17"/>
      <c r="C2574" s="27"/>
      <c r="D2574" s="67"/>
      <c r="E2574" s="68"/>
      <c r="F2574" s="17"/>
      <c r="G2574" s="27"/>
    </row>
    <row r="2575" spans="2:7" ht="20.25" customHeight="1" x14ac:dyDescent="0.3">
      <c r="B2575" s="17"/>
      <c r="C2575" s="27"/>
      <c r="D2575" s="67"/>
      <c r="E2575" s="68"/>
      <c r="F2575" s="17"/>
      <c r="G2575" s="27"/>
    </row>
    <row r="2576" spans="2:7" ht="20.25" customHeight="1" x14ac:dyDescent="0.3">
      <c r="B2576" s="17"/>
      <c r="C2576" s="27"/>
      <c r="D2576" s="67"/>
      <c r="E2576" s="68"/>
      <c r="F2576" s="17"/>
      <c r="G2576" s="27"/>
    </row>
    <row r="2577" spans="2:7" ht="20.25" customHeight="1" x14ac:dyDescent="0.3">
      <c r="B2577" s="17"/>
      <c r="C2577" s="27"/>
      <c r="D2577" s="67"/>
      <c r="E2577" s="68"/>
      <c r="F2577" s="17"/>
      <c r="G2577" s="27"/>
    </row>
    <row r="2578" spans="2:7" ht="20.25" customHeight="1" x14ac:dyDescent="0.3">
      <c r="B2578" s="17"/>
      <c r="C2578" s="27"/>
      <c r="D2578" s="67"/>
      <c r="E2578" s="68"/>
      <c r="F2578" s="17"/>
      <c r="G2578" s="27"/>
    </row>
    <row r="2579" spans="2:7" ht="20.25" customHeight="1" x14ac:dyDescent="0.3">
      <c r="B2579" s="17"/>
      <c r="C2579" s="27"/>
      <c r="D2579" s="67"/>
      <c r="E2579" s="68"/>
      <c r="F2579" s="17"/>
      <c r="G2579" s="27"/>
    </row>
    <row r="2580" spans="2:7" ht="20.25" customHeight="1" x14ac:dyDescent="0.3">
      <c r="B2580" s="17"/>
      <c r="C2580" s="27"/>
      <c r="D2580" s="67"/>
      <c r="E2580" s="68"/>
      <c r="F2580" s="17"/>
      <c r="G2580" s="27"/>
    </row>
    <row r="2581" spans="2:7" ht="20.25" customHeight="1" x14ac:dyDescent="0.3">
      <c r="B2581" s="17"/>
      <c r="C2581" s="27"/>
      <c r="D2581" s="67"/>
      <c r="E2581" s="68"/>
      <c r="F2581" s="17"/>
      <c r="G2581" s="27"/>
    </row>
    <row r="2582" spans="2:7" ht="20.25" customHeight="1" x14ac:dyDescent="0.3">
      <c r="B2582" s="17"/>
      <c r="C2582" s="27"/>
      <c r="D2582" s="67"/>
      <c r="E2582" s="68"/>
      <c r="F2582" s="17"/>
      <c r="G2582" s="27"/>
    </row>
    <row r="2583" spans="2:7" ht="20.25" customHeight="1" x14ac:dyDescent="0.3">
      <c r="B2583" s="17"/>
      <c r="C2583" s="27"/>
      <c r="D2583" s="67"/>
      <c r="E2583" s="68"/>
      <c r="F2583" s="17"/>
      <c r="G2583" s="27"/>
    </row>
    <row r="2584" spans="2:7" ht="20.25" customHeight="1" x14ac:dyDescent="0.3">
      <c r="B2584" s="17"/>
      <c r="C2584" s="27"/>
      <c r="D2584" s="67"/>
      <c r="E2584" s="68"/>
      <c r="F2584" s="17"/>
      <c r="G2584" s="27"/>
    </row>
    <row r="2585" spans="2:7" ht="20.25" customHeight="1" x14ac:dyDescent="0.3">
      <c r="B2585" s="17"/>
      <c r="C2585" s="27"/>
      <c r="D2585" s="67"/>
      <c r="E2585" s="68"/>
      <c r="F2585" s="17"/>
      <c r="G2585" s="27"/>
    </row>
    <row r="2586" spans="2:7" ht="20.25" customHeight="1" x14ac:dyDescent="0.3">
      <c r="B2586" s="17"/>
      <c r="C2586" s="27"/>
      <c r="D2586" s="67"/>
      <c r="E2586" s="68"/>
      <c r="F2586" s="17"/>
      <c r="G2586" s="27"/>
    </row>
    <row r="2587" spans="2:7" ht="20.25" customHeight="1" x14ac:dyDescent="0.3">
      <c r="B2587" s="17"/>
      <c r="C2587" s="27"/>
      <c r="D2587" s="67"/>
      <c r="E2587" s="68"/>
      <c r="F2587" s="17"/>
      <c r="G2587" s="27"/>
    </row>
    <row r="2588" spans="2:7" ht="20.25" customHeight="1" x14ac:dyDescent="0.3">
      <c r="B2588" s="17"/>
      <c r="C2588" s="27"/>
      <c r="D2588" s="67"/>
      <c r="E2588" s="68"/>
      <c r="F2588" s="17"/>
      <c r="G2588" s="27"/>
    </row>
    <row r="2589" spans="2:7" ht="20.25" customHeight="1" x14ac:dyDescent="0.3">
      <c r="B2589" s="17"/>
      <c r="C2589" s="27"/>
      <c r="D2589" s="67"/>
      <c r="E2589" s="68"/>
      <c r="F2589" s="17"/>
      <c r="G2589" s="27"/>
    </row>
    <row r="2590" spans="2:7" ht="20.25" customHeight="1" x14ac:dyDescent="0.3">
      <c r="B2590" s="17"/>
      <c r="C2590" s="27"/>
      <c r="D2590" s="67"/>
      <c r="E2590" s="68"/>
      <c r="F2590" s="17"/>
      <c r="G2590" s="27"/>
    </row>
    <row r="2591" spans="2:7" ht="20.25" customHeight="1" x14ac:dyDescent="0.3">
      <c r="B2591" s="17"/>
      <c r="C2591" s="27"/>
      <c r="D2591" s="67"/>
      <c r="E2591" s="68"/>
      <c r="F2591" s="17"/>
      <c r="G2591" s="27"/>
    </row>
    <row r="2592" spans="2:7" ht="20.25" customHeight="1" x14ac:dyDescent="0.3">
      <c r="B2592" s="17"/>
      <c r="C2592" s="27"/>
      <c r="D2592" s="67"/>
      <c r="E2592" s="68"/>
      <c r="F2592" s="17"/>
      <c r="G2592" s="27"/>
    </row>
    <row r="2593" spans="2:7" ht="20.25" customHeight="1" x14ac:dyDescent="0.3">
      <c r="B2593" s="17"/>
      <c r="C2593" s="27"/>
      <c r="D2593" s="67"/>
      <c r="E2593" s="68"/>
      <c r="F2593" s="17"/>
      <c r="G2593" s="27"/>
    </row>
    <row r="2594" spans="2:7" ht="20.25" customHeight="1" x14ac:dyDescent="0.3">
      <c r="B2594" s="17"/>
      <c r="C2594" s="27"/>
      <c r="D2594" s="67"/>
      <c r="E2594" s="68"/>
      <c r="F2594" s="17"/>
      <c r="G2594" s="27"/>
    </row>
    <row r="2595" spans="2:7" ht="20.25" customHeight="1" x14ac:dyDescent="0.3">
      <c r="B2595" s="17"/>
      <c r="C2595" s="27"/>
      <c r="D2595" s="67"/>
      <c r="E2595" s="68"/>
      <c r="F2595" s="17"/>
      <c r="G2595" s="27"/>
    </row>
    <row r="2596" spans="2:7" ht="20.25" customHeight="1" x14ac:dyDescent="0.3">
      <c r="B2596" s="17"/>
      <c r="C2596" s="27"/>
      <c r="D2596" s="67"/>
      <c r="E2596" s="68"/>
      <c r="F2596" s="17"/>
      <c r="G2596" s="27"/>
    </row>
    <row r="2597" spans="2:7" ht="20.25" customHeight="1" x14ac:dyDescent="0.3">
      <c r="B2597" s="17"/>
      <c r="C2597" s="27"/>
      <c r="D2597" s="67"/>
      <c r="E2597" s="68"/>
      <c r="F2597" s="17"/>
      <c r="G2597" s="27"/>
    </row>
    <row r="2598" spans="2:7" ht="20.25" customHeight="1" x14ac:dyDescent="0.3">
      <c r="B2598" s="17"/>
      <c r="C2598" s="27"/>
      <c r="D2598" s="67"/>
      <c r="E2598" s="68"/>
      <c r="F2598" s="17"/>
      <c r="G2598" s="27"/>
    </row>
    <row r="2599" spans="2:7" ht="20.25" customHeight="1" x14ac:dyDescent="0.3">
      <c r="B2599" s="17"/>
      <c r="C2599" s="27"/>
      <c r="D2599" s="67"/>
      <c r="E2599" s="68"/>
      <c r="F2599" s="17"/>
      <c r="G2599" s="27"/>
    </row>
    <row r="2600" spans="2:7" ht="20.25" customHeight="1" x14ac:dyDescent="0.3">
      <c r="B2600" s="17"/>
      <c r="C2600" s="27"/>
      <c r="D2600" s="67"/>
      <c r="E2600" s="68"/>
      <c r="F2600" s="17"/>
      <c r="G2600" s="27"/>
    </row>
    <row r="2601" spans="2:7" ht="20.25" customHeight="1" x14ac:dyDescent="0.3">
      <c r="B2601" s="17"/>
      <c r="C2601" s="27"/>
      <c r="D2601" s="67"/>
      <c r="E2601" s="68"/>
      <c r="F2601" s="17"/>
      <c r="G2601" s="27"/>
    </row>
    <row r="2602" spans="2:7" ht="20.25" customHeight="1" x14ac:dyDescent="0.3">
      <c r="B2602" s="17"/>
      <c r="C2602" s="27"/>
      <c r="D2602" s="67"/>
      <c r="E2602" s="68"/>
      <c r="F2602" s="17"/>
      <c r="G2602" s="27"/>
    </row>
    <row r="2603" spans="2:7" ht="20.25" customHeight="1" x14ac:dyDescent="0.3">
      <c r="B2603" s="17"/>
      <c r="C2603" s="27"/>
      <c r="D2603" s="67"/>
      <c r="E2603" s="68"/>
      <c r="F2603" s="17"/>
      <c r="G2603" s="27"/>
    </row>
    <row r="2604" spans="2:7" ht="20.25" customHeight="1" x14ac:dyDescent="0.3">
      <c r="B2604" s="17"/>
      <c r="C2604" s="27"/>
      <c r="D2604" s="67"/>
      <c r="E2604" s="68"/>
      <c r="F2604" s="17"/>
      <c r="G2604" s="27"/>
    </row>
    <row r="2605" spans="2:7" ht="20.25" customHeight="1" x14ac:dyDescent="0.3">
      <c r="B2605" s="17"/>
      <c r="C2605" s="27"/>
      <c r="D2605" s="67"/>
      <c r="E2605" s="68"/>
      <c r="F2605" s="17"/>
      <c r="G2605" s="27"/>
    </row>
    <row r="2606" spans="2:7" ht="20.25" customHeight="1" x14ac:dyDescent="0.3">
      <c r="B2606" s="17"/>
      <c r="C2606" s="27"/>
      <c r="D2606" s="67"/>
      <c r="E2606" s="68"/>
      <c r="F2606" s="17"/>
      <c r="G2606" s="27"/>
    </row>
    <row r="2607" spans="2:7" ht="20.25" customHeight="1" x14ac:dyDescent="0.3">
      <c r="B2607" s="17"/>
      <c r="C2607" s="27"/>
      <c r="D2607" s="67"/>
      <c r="E2607" s="68"/>
      <c r="F2607" s="17"/>
      <c r="G2607" s="27"/>
    </row>
    <row r="2608" spans="2:7" ht="20.25" customHeight="1" x14ac:dyDescent="0.3">
      <c r="B2608" s="17"/>
      <c r="C2608" s="27"/>
      <c r="D2608" s="67"/>
      <c r="E2608" s="68"/>
      <c r="F2608" s="17"/>
      <c r="G2608" s="27"/>
    </row>
    <row r="2609" spans="2:7" ht="20.25" customHeight="1" x14ac:dyDescent="0.3">
      <c r="B2609" s="17"/>
      <c r="C2609" s="27"/>
      <c r="D2609" s="67"/>
      <c r="E2609" s="68"/>
      <c r="F2609" s="17"/>
      <c r="G2609" s="27"/>
    </row>
    <row r="2610" spans="2:7" ht="20.25" customHeight="1" x14ac:dyDescent="0.3">
      <c r="B2610" s="17"/>
      <c r="C2610" s="27"/>
      <c r="D2610" s="67"/>
      <c r="E2610" s="68"/>
      <c r="F2610" s="17"/>
      <c r="G2610" s="27"/>
    </row>
    <row r="2611" spans="2:7" ht="20.25" customHeight="1" x14ac:dyDescent="0.3">
      <c r="B2611" s="17"/>
      <c r="C2611" s="27"/>
      <c r="D2611" s="67"/>
      <c r="E2611" s="68"/>
      <c r="F2611" s="17"/>
      <c r="G2611" s="27"/>
    </row>
    <row r="2612" spans="2:7" ht="20.25" customHeight="1" x14ac:dyDescent="0.3">
      <c r="B2612" s="17"/>
      <c r="C2612" s="27"/>
      <c r="D2612" s="67"/>
      <c r="E2612" s="68"/>
      <c r="F2612" s="17"/>
      <c r="G2612" s="27"/>
    </row>
    <row r="2613" spans="2:7" ht="20.25" customHeight="1" x14ac:dyDescent="0.3">
      <c r="B2613" s="17"/>
      <c r="C2613" s="27"/>
      <c r="D2613" s="67"/>
      <c r="E2613" s="68"/>
      <c r="F2613" s="17"/>
      <c r="G2613" s="27"/>
    </row>
    <row r="2614" spans="2:7" ht="20.25" customHeight="1" x14ac:dyDescent="0.3">
      <c r="B2614" s="17"/>
      <c r="C2614" s="27"/>
      <c r="D2614" s="67"/>
      <c r="E2614" s="68"/>
      <c r="F2614" s="17"/>
      <c r="G2614" s="27"/>
    </row>
    <row r="2615" spans="2:7" ht="20.25" customHeight="1" x14ac:dyDescent="0.3">
      <c r="B2615" s="17"/>
      <c r="C2615" s="27"/>
      <c r="D2615" s="67"/>
      <c r="E2615" s="68"/>
      <c r="F2615" s="17"/>
      <c r="G2615" s="27"/>
    </row>
    <row r="2616" spans="2:7" ht="20.25" customHeight="1" x14ac:dyDescent="0.3">
      <c r="B2616" s="17"/>
      <c r="C2616" s="27"/>
      <c r="D2616" s="67"/>
      <c r="E2616" s="68"/>
      <c r="F2616" s="17"/>
      <c r="G2616" s="27"/>
    </row>
    <row r="2617" spans="2:7" ht="20.25" customHeight="1" x14ac:dyDescent="0.3">
      <c r="B2617" s="17"/>
      <c r="C2617" s="27"/>
      <c r="D2617" s="67"/>
      <c r="E2617" s="68"/>
      <c r="F2617" s="17"/>
      <c r="G2617" s="27"/>
    </row>
    <row r="2618" spans="2:7" ht="20.25" customHeight="1" x14ac:dyDescent="0.3">
      <c r="B2618" s="17"/>
      <c r="C2618" s="27"/>
      <c r="D2618" s="67"/>
      <c r="E2618" s="68"/>
      <c r="F2618" s="17"/>
      <c r="G2618" s="27"/>
    </row>
    <row r="2619" spans="2:7" ht="20.25" customHeight="1" x14ac:dyDescent="0.3">
      <c r="B2619" s="17"/>
      <c r="C2619" s="27"/>
      <c r="D2619" s="67"/>
      <c r="E2619" s="68"/>
      <c r="F2619" s="17"/>
      <c r="G2619" s="27"/>
    </row>
    <row r="2620" spans="2:7" ht="20.25" customHeight="1" x14ac:dyDescent="0.3">
      <c r="B2620" s="17"/>
      <c r="C2620" s="27"/>
      <c r="D2620" s="67"/>
      <c r="E2620" s="68"/>
      <c r="F2620" s="17"/>
      <c r="G2620" s="27"/>
    </row>
    <row r="2621" spans="2:7" ht="20.25" customHeight="1" x14ac:dyDescent="0.3">
      <c r="B2621" s="17"/>
      <c r="C2621" s="27"/>
      <c r="D2621" s="67"/>
      <c r="E2621" s="68"/>
      <c r="F2621" s="17"/>
      <c r="G2621" s="27"/>
    </row>
    <row r="2622" spans="2:7" ht="20.25" customHeight="1" x14ac:dyDescent="0.3">
      <c r="B2622" s="17"/>
      <c r="C2622" s="27"/>
      <c r="D2622" s="67"/>
      <c r="E2622" s="68"/>
      <c r="F2622" s="17"/>
      <c r="G2622" s="27"/>
    </row>
    <row r="2623" spans="2:7" ht="20.25" customHeight="1" x14ac:dyDescent="0.3">
      <c r="B2623" s="17"/>
      <c r="C2623" s="27"/>
      <c r="D2623" s="67"/>
      <c r="E2623" s="68"/>
      <c r="F2623" s="17"/>
      <c r="G2623" s="27"/>
    </row>
    <row r="2624" spans="2:7" ht="20.25" customHeight="1" x14ac:dyDescent="0.3">
      <c r="B2624" s="17"/>
      <c r="C2624" s="27"/>
      <c r="D2624" s="67"/>
      <c r="E2624" s="68"/>
      <c r="F2624" s="17"/>
      <c r="G2624" s="27"/>
    </row>
    <row r="2625" spans="2:7" ht="20.25" customHeight="1" x14ac:dyDescent="0.3">
      <c r="B2625" s="17"/>
      <c r="C2625" s="27"/>
      <c r="D2625" s="67"/>
      <c r="E2625" s="68"/>
      <c r="F2625" s="17"/>
      <c r="G2625" s="27"/>
    </row>
    <row r="2626" spans="2:7" ht="20.25" customHeight="1" x14ac:dyDescent="0.3">
      <c r="B2626" s="17"/>
      <c r="C2626" s="27"/>
      <c r="D2626" s="67"/>
      <c r="E2626" s="68"/>
      <c r="F2626" s="17"/>
      <c r="G2626" s="27"/>
    </row>
    <row r="2627" spans="2:7" ht="20.25" customHeight="1" x14ac:dyDescent="0.3">
      <c r="B2627" s="17"/>
      <c r="C2627" s="27"/>
      <c r="D2627" s="67"/>
      <c r="E2627" s="68"/>
      <c r="F2627" s="17"/>
      <c r="G2627" s="27"/>
    </row>
    <row r="2628" spans="2:7" ht="20.25" customHeight="1" x14ac:dyDescent="0.3">
      <c r="B2628" s="17"/>
      <c r="C2628" s="27"/>
      <c r="D2628" s="67"/>
      <c r="E2628" s="68"/>
      <c r="F2628" s="17"/>
      <c r="G2628" s="27"/>
    </row>
    <row r="2629" spans="2:7" ht="20.25" customHeight="1" x14ac:dyDescent="0.3">
      <c r="B2629" s="17"/>
      <c r="C2629" s="27"/>
      <c r="D2629" s="67"/>
      <c r="E2629" s="68"/>
      <c r="F2629" s="17"/>
      <c r="G2629" s="27"/>
    </row>
    <row r="2630" spans="2:7" ht="20.25" customHeight="1" x14ac:dyDescent="0.3">
      <c r="B2630" s="17"/>
      <c r="C2630" s="27"/>
      <c r="D2630" s="67"/>
      <c r="E2630" s="68"/>
      <c r="F2630" s="17"/>
      <c r="G2630" s="27"/>
    </row>
    <row r="2631" spans="2:7" ht="20.25" customHeight="1" x14ac:dyDescent="0.3">
      <c r="B2631" s="17"/>
      <c r="C2631" s="27"/>
      <c r="D2631" s="67"/>
      <c r="E2631" s="68"/>
      <c r="F2631" s="17"/>
      <c r="G2631" s="27"/>
    </row>
    <row r="2632" spans="2:7" ht="20.25" customHeight="1" x14ac:dyDescent="0.3">
      <c r="B2632" s="17"/>
      <c r="C2632" s="27"/>
      <c r="D2632" s="67"/>
      <c r="E2632" s="68"/>
      <c r="F2632" s="17"/>
      <c r="G2632" s="27"/>
    </row>
    <row r="2633" spans="2:7" ht="20.25" customHeight="1" x14ac:dyDescent="0.3">
      <c r="B2633" s="17"/>
      <c r="C2633" s="27"/>
      <c r="D2633" s="67"/>
      <c r="E2633" s="68"/>
      <c r="F2633" s="17"/>
      <c r="G2633" s="27"/>
    </row>
    <row r="2634" spans="2:7" ht="20.25" customHeight="1" x14ac:dyDescent="0.3">
      <c r="B2634" s="17"/>
      <c r="C2634" s="27"/>
      <c r="D2634" s="67"/>
      <c r="E2634" s="68"/>
      <c r="F2634" s="17"/>
      <c r="G2634" s="27"/>
    </row>
    <row r="2635" spans="2:7" ht="20.25" customHeight="1" x14ac:dyDescent="0.3">
      <c r="B2635" s="17"/>
      <c r="C2635" s="27"/>
      <c r="D2635" s="67"/>
      <c r="E2635" s="68"/>
      <c r="F2635" s="17"/>
      <c r="G2635" s="27"/>
    </row>
    <row r="2636" spans="2:7" ht="20.25" customHeight="1" x14ac:dyDescent="0.3">
      <c r="B2636" s="17"/>
      <c r="C2636" s="27"/>
      <c r="D2636" s="67"/>
      <c r="E2636" s="68"/>
      <c r="F2636" s="17"/>
      <c r="G2636" s="27"/>
    </row>
    <row r="2637" spans="2:7" ht="20.25" customHeight="1" x14ac:dyDescent="0.3">
      <c r="B2637" s="17"/>
      <c r="C2637" s="27"/>
      <c r="D2637" s="67"/>
      <c r="E2637" s="68"/>
      <c r="F2637" s="17"/>
      <c r="G2637" s="27"/>
    </row>
    <row r="2638" spans="2:7" ht="20.25" customHeight="1" x14ac:dyDescent="0.3">
      <c r="B2638" s="17"/>
      <c r="C2638" s="27"/>
      <c r="D2638" s="67"/>
      <c r="E2638" s="68"/>
      <c r="F2638" s="17"/>
      <c r="G2638" s="27"/>
    </row>
    <row r="2639" spans="2:7" ht="20.25" customHeight="1" x14ac:dyDescent="0.3">
      <c r="B2639" s="17"/>
      <c r="C2639" s="27"/>
      <c r="D2639" s="67"/>
      <c r="E2639" s="68"/>
      <c r="F2639" s="17"/>
      <c r="G2639" s="27"/>
    </row>
    <row r="2640" spans="2:7" ht="20.25" customHeight="1" x14ac:dyDescent="0.3">
      <c r="B2640" s="17"/>
      <c r="C2640" s="27"/>
      <c r="D2640" s="67"/>
      <c r="E2640" s="68"/>
      <c r="F2640" s="17"/>
      <c r="G2640" s="27"/>
    </row>
    <row r="2641" spans="2:7" ht="20.25" customHeight="1" x14ac:dyDescent="0.3">
      <c r="B2641" s="17"/>
      <c r="C2641" s="27"/>
      <c r="D2641" s="67"/>
      <c r="E2641" s="68"/>
      <c r="F2641" s="17"/>
      <c r="G2641" s="27"/>
    </row>
    <row r="2642" spans="2:7" ht="20.25" customHeight="1" x14ac:dyDescent="0.3">
      <c r="B2642" s="17"/>
      <c r="C2642" s="27"/>
      <c r="D2642" s="67"/>
      <c r="E2642" s="68"/>
      <c r="F2642" s="17"/>
      <c r="G2642" s="27"/>
    </row>
    <row r="2643" spans="2:7" ht="20.25" customHeight="1" x14ac:dyDescent="0.3">
      <c r="B2643" s="17"/>
      <c r="C2643" s="27"/>
      <c r="D2643" s="67"/>
      <c r="E2643" s="68"/>
      <c r="F2643" s="17"/>
      <c r="G2643" s="27"/>
    </row>
    <row r="2644" spans="2:7" ht="20.25" customHeight="1" x14ac:dyDescent="0.3">
      <c r="B2644" s="17"/>
      <c r="C2644" s="27"/>
      <c r="D2644" s="67"/>
      <c r="E2644" s="68"/>
      <c r="F2644" s="17"/>
      <c r="G2644" s="27"/>
    </row>
    <row r="2645" spans="2:7" ht="20.25" customHeight="1" x14ac:dyDescent="0.3">
      <c r="B2645" s="17"/>
      <c r="C2645" s="27"/>
      <c r="D2645" s="67"/>
      <c r="E2645" s="68"/>
      <c r="F2645" s="17"/>
      <c r="G2645" s="27"/>
    </row>
    <row r="2646" spans="2:7" ht="20.25" customHeight="1" x14ac:dyDescent="0.3">
      <c r="B2646" s="17"/>
      <c r="C2646" s="27"/>
      <c r="D2646" s="67"/>
      <c r="E2646" s="68"/>
      <c r="F2646" s="17"/>
      <c r="G2646" s="27"/>
    </row>
    <row r="2647" spans="2:7" ht="20.25" customHeight="1" x14ac:dyDescent="0.3">
      <c r="B2647" s="17"/>
      <c r="C2647" s="27"/>
      <c r="D2647" s="67"/>
      <c r="E2647" s="68"/>
      <c r="F2647" s="17"/>
      <c r="G2647" s="27"/>
    </row>
    <row r="2648" spans="2:7" ht="20.25" customHeight="1" x14ac:dyDescent="0.3">
      <c r="B2648" s="17"/>
      <c r="C2648" s="27"/>
      <c r="D2648" s="67"/>
      <c r="E2648" s="68"/>
      <c r="F2648" s="17"/>
      <c r="G2648" s="27"/>
    </row>
    <row r="2649" spans="2:7" ht="20.25" customHeight="1" x14ac:dyDescent="0.3">
      <c r="B2649" s="17"/>
      <c r="C2649" s="27"/>
      <c r="D2649" s="67"/>
      <c r="E2649" s="68"/>
      <c r="F2649" s="17"/>
      <c r="G2649" s="27"/>
    </row>
    <row r="2650" spans="2:7" ht="20.25" customHeight="1" x14ac:dyDescent="0.3">
      <c r="B2650" s="17"/>
      <c r="C2650" s="27"/>
      <c r="D2650" s="67"/>
      <c r="E2650" s="68"/>
      <c r="F2650" s="17"/>
      <c r="G2650" s="27"/>
    </row>
    <row r="2651" spans="2:7" ht="20.25" customHeight="1" x14ac:dyDescent="0.3">
      <c r="B2651" s="17"/>
      <c r="C2651" s="27"/>
      <c r="D2651" s="67"/>
      <c r="E2651" s="68"/>
      <c r="F2651" s="17"/>
      <c r="G2651" s="27"/>
    </row>
    <row r="2652" spans="2:7" ht="20.25" customHeight="1" x14ac:dyDescent="0.3">
      <c r="B2652" s="17"/>
      <c r="C2652" s="27"/>
      <c r="D2652" s="67"/>
      <c r="E2652" s="68"/>
      <c r="F2652" s="17"/>
      <c r="G2652" s="27"/>
    </row>
    <row r="2653" spans="2:7" ht="20.25" customHeight="1" x14ac:dyDescent="0.3">
      <c r="B2653" s="17"/>
      <c r="C2653" s="27"/>
      <c r="D2653" s="67"/>
      <c r="E2653" s="68"/>
      <c r="F2653" s="17"/>
      <c r="G2653" s="27"/>
    </row>
    <row r="2654" spans="2:7" ht="20.25" customHeight="1" x14ac:dyDescent="0.3">
      <c r="B2654" s="17"/>
      <c r="C2654" s="27"/>
      <c r="D2654" s="67"/>
      <c r="E2654" s="68"/>
      <c r="F2654" s="17"/>
      <c r="G2654" s="27"/>
    </row>
    <row r="2655" spans="2:7" ht="20.25" customHeight="1" x14ac:dyDescent="0.3">
      <c r="B2655" s="17"/>
      <c r="C2655" s="27"/>
      <c r="D2655" s="67"/>
      <c r="E2655" s="68"/>
      <c r="F2655" s="17"/>
      <c r="G2655" s="27"/>
    </row>
    <row r="2656" spans="2:7" ht="20.25" customHeight="1" x14ac:dyDescent="0.3">
      <c r="B2656" s="17"/>
      <c r="C2656" s="27"/>
      <c r="D2656" s="67"/>
      <c r="E2656" s="68"/>
      <c r="F2656" s="17"/>
      <c r="G2656" s="27"/>
    </row>
    <row r="2657" spans="2:7" ht="20.25" customHeight="1" x14ac:dyDescent="0.3">
      <c r="B2657" s="17"/>
      <c r="C2657" s="27"/>
      <c r="D2657" s="67"/>
      <c r="E2657" s="68"/>
      <c r="F2657" s="17"/>
      <c r="G2657" s="27"/>
    </row>
    <row r="2658" spans="2:7" ht="20.25" customHeight="1" x14ac:dyDescent="0.3">
      <c r="B2658" s="17"/>
      <c r="C2658" s="27"/>
      <c r="D2658" s="67"/>
      <c r="E2658" s="68"/>
      <c r="F2658" s="17"/>
      <c r="G2658" s="27"/>
    </row>
    <row r="2659" spans="2:7" ht="20.25" customHeight="1" x14ac:dyDescent="0.3">
      <c r="B2659" s="17"/>
      <c r="C2659" s="27"/>
      <c r="D2659" s="67"/>
      <c r="E2659" s="68"/>
      <c r="F2659" s="17"/>
      <c r="G2659" s="27"/>
    </row>
    <row r="2660" spans="2:7" ht="20.25" customHeight="1" x14ac:dyDescent="0.3">
      <c r="B2660" s="17"/>
      <c r="C2660" s="27"/>
      <c r="D2660" s="67"/>
      <c r="E2660" s="68"/>
      <c r="F2660" s="17"/>
      <c r="G2660" s="27"/>
    </row>
    <row r="2661" spans="2:7" ht="20.25" customHeight="1" x14ac:dyDescent="0.3">
      <c r="B2661" s="17"/>
      <c r="C2661" s="27"/>
      <c r="D2661" s="67"/>
      <c r="E2661" s="68"/>
      <c r="F2661" s="17"/>
      <c r="G2661" s="27"/>
    </row>
    <row r="2662" spans="2:7" ht="20.25" customHeight="1" x14ac:dyDescent="0.3">
      <c r="B2662" s="17"/>
      <c r="C2662" s="27"/>
      <c r="D2662" s="67"/>
      <c r="E2662" s="68"/>
      <c r="F2662" s="17"/>
      <c r="G2662" s="27"/>
    </row>
    <row r="2663" spans="2:7" ht="20.25" customHeight="1" x14ac:dyDescent="0.3">
      <c r="B2663" s="17"/>
      <c r="C2663" s="27"/>
      <c r="D2663" s="67"/>
      <c r="E2663" s="68"/>
      <c r="F2663" s="17"/>
      <c r="G2663" s="27"/>
    </row>
    <row r="2664" spans="2:7" ht="20.25" customHeight="1" x14ac:dyDescent="0.3">
      <c r="B2664" s="17"/>
      <c r="C2664" s="27"/>
      <c r="D2664" s="67"/>
      <c r="E2664" s="68"/>
      <c r="F2664" s="17"/>
      <c r="G2664" s="27"/>
    </row>
    <row r="2665" spans="2:7" ht="20.25" customHeight="1" x14ac:dyDescent="0.3">
      <c r="B2665" s="17"/>
      <c r="C2665" s="27"/>
      <c r="D2665" s="67"/>
      <c r="E2665" s="68"/>
      <c r="F2665" s="17"/>
      <c r="G2665" s="27"/>
    </row>
    <row r="2666" spans="2:7" ht="20.25" customHeight="1" x14ac:dyDescent="0.3">
      <c r="B2666" s="17"/>
      <c r="C2666" s="27"/>
      <c r="D2666" s="67"/>
      <c r="E2666" s="68"/>
      <c r="F2666" s="17"/>
      <c r="G2666" s="27"/>
    </row>
    <row r="2667" spans="2:7" ht="20.25" customHeight="1" x14ac:dyDescent="0.3">
      <c r="B2667" s="17"/>
      <c r="C2667" s="27"/>
      <c r="D2667" s="67"/>
      <c r="E2667" s="68"/>
      <c r="F2667" s="17"/>
      <c r="G2667" s="27"/>
    </row>
    <row r="2668" spans="2:7" ht="20.25" customHeight="1" x14ac:dyDescent="0.3">
      <c r="B2668" s="17"/>
      <c r="C2668" s="27"/>
      <c r="D2668" s="67"/>
      <c r="E2668" s="68"/>
      <c r="F2668" s="17"/>
      <c r="G2668" s="27"/>
    </row>
    <row r="2669" spans="2:7" ht="20.25" customHeight="1" x14ac:dyDescent="0.3">
      <c r="B2669" s="17"/>
      <c r="C2669" s="27"/>
      <c r="D2669" s="67"/>
      <c r="E2669" s="68"/>
      <c r="F2669" s="17"/>
      <c r="G2669" s="27"/>
    </row>
    <row r="2670" spans="2:7" ht="20.25" customHeight="1" x14ac:dyDescent="0.3">
      <c r="B2670" s="17"/>
      <c r="C2670" s="27"/>
      <c r="D2670" s="67"/>
      <c r="E2670" s="68"/>
      <c r="F2670" s="17"/>
      <c r="G2670" s="27"/>
    </row>
    <row r="2671" spans="2:7" ht="20.25" customHeight="1" x14ac:dyDescent="0.3">
      <c r="B2671" s="17"/>
      <c r="C2671" s="27"/>
      <c r="D2671" s="67"/>
      <c r="E2671" s="68"/>
      <c r="F2671" s="17"/>
      <c r="G2671" s="27"/>
    </row>
    <row r="2672" spans="2:7" ht="20.25" customHeight="1" x14ac:dyDescent="0.3">
      <c r="B2672" s="17"/>
      <c r="C2672" s="27"/>
      <c r="D2672" s="67"/>
      <c r="E2672" s="68"/>
      <c r="F2672" s="17"/>
      <c r="G2672" s="27"/>
    </row>
    <row r="2673" spans="2:7" ht="20.25" customHeight="1" x14ac:dyDescent="0.3">
      <c r="B2673" s="17"/>
      <c r="C2673" s="27"/>
      <c r="D2673" s="67"/>
      <c r="E2673" s="68"/>
      <c r="F2673" s="17"/>
      <c r="G2673" s="27"/>
    </row>
    <row r="2674" spans="2:7" ht="20.25" customHeight="1" x14ac:dyDescent="0.3">
      <c r="B2674" s="17"/>
      <c r="C2674" s="27"/>
      <c r="D2674" s="67"/>
      <c r="E2674" s="68"/>
      <c r="F2674" s="17"/>
      <c r="G2674" s="27"/>
    </row>
    <row r="2675" spans="2:7" ht="20.25" customHeight="1" x14ac:dyDescent="0.3">
      <c r="B2675" s="17"/>
      <c r="C2675" s="27"/>
      <c r="D2675" s="67"/>
      <c r="E2675" s="68"/>
      <c r="F2675" s="17"/>
      <c r="G2675" s="27"/>
    </row>
    <row r="2676" spans="2:7" ht="20.25" customHeight="1" x14ac:dyDescent="0.3">
      <c r="B2676" s="17"/>
      <c r="C2676" s="27"/>
      <c r="D2676" s="67"/>
      <c r="E2676" s="68"/>
      <c r="F2676" s="17"/>
      <c r="G2676" s="27"/>
    </row>
    <row r="2677" spans="2:7" ht="20.25" customHeight="1" x14ac:dyDescent="0.3">
      <c r="B2677" s="17"/>
      <c r="C2677" s="27"/>
      <c r="D2677" s="67"/>
      <c r="E2677" s="68"/>
      <c r="F2677" s="17"/>
      <c r="G2677" s="27"/>
    </row>
    <row r="2678" spans="2:7" ht="20.25" customHeight="1" x14ac:dyDescent="0.3">
      <c r="B2678" s="17"/>
      <c r="C2678" s="27"/>
      <c r="D2678" s="67"/>
      <c r="E2678" s="68"/>
      <c r="F2678" s="17"/>
      <c r="G2678" s="27"/>
    </row>
    <row r="2679" spans="2:7" ht="20.25" customHeight="1" x14ac:dyDescent="0.3">
      <c r="B2679" s="17"/>
      <c r="C2679" s="27"/>
      <c r="D2679" s="67"/>
      <c r="E2679" s="68"/>
      <c r="F2679" s="17"/>
      <c r="G2679" s="27"/>
    </row>
    <row r="2680" spans="2:7" ht="20.25" customHeight="1" x14ac:dyDescent="0.3">
      <c r="B2680" s="17"/>
      <c r="C2680" s="27"/>
      <c r="D2680" s="67"/>
      <c r="E2680" s="68"/>
      <c r="F2680" s="17"/>
      <c r="G2680" s="27"/>
    </row>
    <row r="2681" spans="2:7" ht="20.25" customHeight="1" x14ac:dyDescent="0.3">
      <c r="B2681" s="17"/>
      <c r="C2681" s="27"/>
      <c r="D2681" s="67"/>
      <c r="E2681" s="68"/>
      <c r="F2681" s="17"/>
      <c r="G2681" s="27"/>
    </row>
    <row r="2682" spans="2:7" ht="20.25" customHeight="1" x14ac:dyDescent="0.3">
      <c r="B2682" s="17"/>
      <c r="C2682" s="27"/>
      <c r="D2682" s="67"/>
      <c r="E2682" s="68"/>
      <c r="F2682" s="17"/>
      <c r="G2682" s="27"/>
    </row>
    <row r="2683" spans="2:7" ht="20.25" customHeight="1" x14ac:dyDescent="0.3">
      <c r="B2683" s="17"/>
      <c r="C2683" s="27"/>
      <c r="D2683" s="67"/>
      <c r="E2683" s="68"/>
      <c r="F2683" s="17"/>
      <c r="G2683" s="27"/>
    </row>
    <row r="2684" spans="2:7" ht="20.25" customHeight="1" x14ac:dyDescent="0.3">
      <c r="B2684" s="17"/>
      <c r="C2684" s="27"/>
      <c r="D2684" s="67"/>
      <c r="E2684" s="68"/>
      <c r="F2684" s="17"/>
      <c r="G2684" s="27"/>
    </row>
    <row r="2685" spans="2:7" ht="20.25" customHeight="1" x14ac:dyDescent="0.3">
      <c r="B2685" s="17"/>
      <c r="C2685" s="27"/>
      <c r="D2685" s="67"/>
      <c r="E2685" s="68"/>
      <c r="F2685" s="17"/>
      <c r="G2685" s="27"/>
    </row>
    <row r="2686" spans="2:7" ht="20.25" customHeight="1" x14ac:dyDescent="0.3">
      <c r="B2686" s="17"/>
      <c r="C2686" s="27"/>
      <c r="D2686" s="67"/>
      <c r="E2686" s="68"/>
      <c r="F2686" s="17"/>
      <c r="G2686" s="27"/>
    </row>
    <row r="2687" spans="2:7" ht="20.25" customHeight="1" x14ac:dyDescent="0.3">
      <c r="B2687" s="17"/>
      <c r="C2687" s="27"/>
      <c r="D2687" s="67"/>
      <c r="E2687" s="68"/>
      <c r="F2687" s="17"/>
      <c r="G2687" s="27"/>
    </row>
    <row r="2688" spans="2:7" ht="20.25" customHeight="1" x14ac:dyDescent="0.3">
      <c r="B2688" s="17"/>
      <c r="C2688" s="27"/>
      <c r="D2688" s="67"/>
      <c r="E2688" s="68"/>
      <c r="F2688" s="17"/>
      <c r="G2688" s="27"/>
    </row>
    <row r="2689" spans="2:7" ht="20.25" customHeight="1" x14ac:dyDescent="0.3">
      <c r="B2689" s="17"/>
      <c r="C2689" s="27"/>
      <c r="D2689" s="67"/>
      <c r="E2689" s="68"/>
      <c r="F2689" s="17"/>
      <c r="G2689" s="27"/>
    </row>
    <row r="2690" spans="2:7" ht="20.25" customHeight="1" x14ac:dyDescent="0.3">
      <c r="B2690" s="17"/>
      <c r="C2690" s="27"/>
      <c r="D2690" s="67"/>
      <c r="E2690" s="68"/>
      <c r="F2690" s="17"/>
      <c r="G2690" s="27"/>
    </row>
    <row r="2691" spans="2:7" ht="20.25" customHeight="1" x14ac:dyDescent="0.3">
      <c r="B2691" s="17"/>
      <c r="C2691" s="27"/>
      <c r="D2691" s="67"/>
      <c r="E2691" s="68"/>
      <c r="F2691" s="17"/>
      <c r="G2691" s="27"/>
    </row>
    <row r="2692" spans="2:7" ht="20.25" customHeight="1" x14ac:dyDescent="0.3">
      <c r="B2692" s="17"/>
      <c r="C2692" s="27"/>
      <c r="D2692" s="67"/>
      <c r="E2692" s="68"/>
      <c r="F2692" s="17"/>
      <c r="G2692" s="27"/>
    </row>
    <row r="2693" spans="2:7" ht="20.25" customHeight="1" x14ac:dyDescent="0.3">
      <c r="B2693" s="17"/>
      <c r="C2693" s="27"/>
      <c r="D2693" s="67"/>
      <c r="E2693" s="68"/>
      <c r="F2693" s="17"/>
      <c r="G2693" s="27"/>
    </row>
    <row r="2694" spans="2:7" ht="20.25" customHeight="1" x14ac:dyDescent="0.3">
      <c r="B2694" s="17"/>
      <c r="C2694" s="27"/>
      <c r="D2694" s="67"/>
      <c r="E2694" s="68"/>
      <c r="F2694" s="17"/>
      <c r="G2694" s="27"/>
    </row>
    <row r="2695" spans="2:7" ht="20.25" customHeight="1" x14ac:dyDescent="0.3">
      <c r="B2695" s="17"/>
      <c r="C2695" s="27"/>
      <c r="D2695" s="67"/>
      <c r="E2695" s="68"/>
      <c r="F2695" s="17"/>
      <c r="G2695" s="27"/>
    </row>
    <row r="2696" spans="2:7" ht="20.25" customHeight="1" x14ac:dyDescent="0.3">
      <c r="B2696" s="17"/>
      <c r="C2696" s="27"/>
      <c r="D2696" s="67"/>
      <c r="E2696" s="68"/>
      <c r="F2696" s="17"/>
      <c r="G2696" s="27"/>
    </row>
    <row r="2697" spans="2:7" ht="20.25" customHeight="1" x14ac:dyDescent="0.3">
      <c r="B2697" s="17"/>
      <c r="C2697" s="27"/>
      <c r="D2697" s="67"/>
      <c r="E2697" s="68"/>
      <c r="F2697" s="17"/>
      <c r="G2697" s="27"/>
    </row>
    <row r="2698" spans="2:7" ht="20.25" customHeight="1" x14ac:dyDescent="0.3">
      <c r="B2698" s="17"/>
      <c r="C2698" s="27"/>
      <c r="D2698" s="67"/>
      <c r="E2698" s="68"/>
      <c r="F2698" s="17"/>
      <c r="G2698" s="27"/>
    </row>
    <row r="2699" spans="2:7" ht="20.25" customHeight="1" x14ac:dyDescent="0.3">
      <c r="B2699" s="17"/>
      <c r="C2699" s="27"/>
      <c r="D2699" s="67"/>
      <c r="E2699" s="68"/>
      <c r="F2699" s="17"/>
      <c r="G2699" s="27"/>
    </row>
    <row r="2700" spans="2:7" ht="20.25" customHeight="1" x14ac:dyDescent="0.3">
      <c r="B2700" s="17"/>
      <c r="C2700" s="27"/>
      <c r="D2700" s="67"/>
      <c r="E2700" s="68"/>
      <c r="F2700" s="17"/>
      <c r="G2700" s="27"/>
    </row>
    <row r="2701" spans="2:7" ht="20.25" customHeight="1" x14ac:dyDescent="0.3">
      <c r="B2701" s="17"/>
      <c r="C2701" s="27"/>
      <c r="D2701" s="67"/>
      <c r="E2701" s="68"/>
      <c r="F2701" s="17"/>
      <c r="G2701" s="27"/>
    </row>
    <row r="2702" spans="2:7" ht="20.25" customHeight="1" x14ac:dyDescent="0.3">
      <c r="B2702" s="17"/>
      <c r="C2702" s="27"/>
      <c r="D2702" s="67"/>
      <c r="E2702" s="68"/>
      <c r="F2702" s="17"/>
      <c r="G2702" s="27"/>
    </row>
    <row r="2703" spans="2:7" ht="20.25" customHeight="1" x14ac:dyDescent="0.3">
      <c r="B2703" s="17"/>
      <c r="C2703" s="27"/>
      <c r="D2703" s="67"/>
      <c r="E2703" s="68"/>
      <c r="F2703" s="17"/>
      <c r="G2703" s="27"/>
    </row>
    <row r="2704" spans="2:7" ht="20.25" customHeight="1" x14ac:dyDescent="0.3">
      <c r="B2704" s="17"/>
      <c r="C2704" s="27"/>
      <c r="D2704" s="67"/>
      <c r="E2704" s="68"/>
      <c r="F2704" s="17"/>
      <c r="G2704" s="27"/>
    </row>
    <row r="2705" spans="2:7" ht="20.25" customHeight="1" x14ac:dyDescent="0.3">
      <c r="B2705" s="17"/>
      <c r="C2705" s="27"/>
      <c r="D2705" s="67"/>
      <c r="E2705" s="68"/>
      <c r="F2705" s="17"/>
      <c r="G2705" s="27"/>
    </row>
    <row r="2706" spans="2:7" ht="20.25" customHeight="1" x14ac:dyDescent="0.3">
      <c r="B2706" s="17"/>
      <c r="C2706" s="27"/>
      <c r="D2706" s="67"/>
      <c r="E2706" s="68"/>
      <c r="F2706" s="17"/>
      <c r="G2706" s="27"/>
    </row>
    <row r="2707" spans="2:7" ht="20.25" customHeight="1" x14ac:dyDescent="0.3">
      <c r="B2707" s="17"/>
      <c r="C2707" s="27"/>
      <c r="D2707" s="67"/>
      <c r="E2707" s="68"/>
      <c r="F2707" s="17"/>
      <c r="G2707" s="27"/>
    </row>
    <row r="2708" spans="2:7" ht="20.25" customHeight="1" x14ac:dyDescent="0.3">
      <c r="B2708" s="17"/>
      <c r="C2708" s="27"/>
      <c r="D2708" s="67"/>
      <c r="E2708" s="68"/>
      <c r="F2708" s="17"/>
      <c r="G2708" s="27"/>
    </row>
    <row r="2709" spans="2:7" ht="20.25" customHeight="1" x14ac:dyDescent="0.3">
      <c r="B2709" s="17"/>
      <c r="C2709" s="27"/>
      <c r="D2709" s="67"/>
      <c r="E2709" s="68"/>
      <c r="F2709" s="17"/>
      <c r="G2709" s="27"/>
    </row>
    <row r="2710" spans="2:7" ht="20.25" customHeight="1" x14ac:dyDescent="0.3">
      <c r="B2710" s="17"/>
      <c r="C2710" s="27"/>
      <c r="D2710" s="67"/>
      <c r="E2710" s="68"/>
      <c r="F2710" s="17"/>
      <c r="G2710" s="27"/>
    </row>
    <row r="2711" spans="2:7" ht="20.25" customHeight="1" x14ac:dyDescent="0.3">
      <c r="B2711" s="17"/>
      <c r="C2711" s="27"/>
      <c r="D2711" s="67"/>
      <c r="E2711" s="68"/>
      <c r="F2711" s="17"/>
      <c r="G2711" s="27"/>
    </row>
    <row r="2712" spans="2:7" ht="20.25" customHeight="1" x14ac:dyDescent="0.3">
      <c r="B2712" s="17"/>
      <c r="C2712" s="27"/>
      <c r="D2712" s="67"/>
      <c r="E2712" s="68"/>
      <c r="F2712" s="17"/>
      <c r="G2712" s="27"/>
    </row>
    <row r="2713" spans="2:7" ht="20.25" customHeight="1" x14ac:dyDescent="0.3">
      <c r="B2713" s="17"/>
      <c r="C2713" s="27"/>
      <c r="D2713" s="67"/>
      <c r="E2713" s="68"/>
      <c r="F2713" s="17"/>
      <c r="G2713" s="27"/>
    </row>
    <row r="2714" spans="2:7" ht="20.25" customHeight="1" x14ac:dyDescent="0.3">
      <c r="B2714" s="17"/>
      <c r="C2714" s="27"/>
      <c r="D2714" s="67"/>
      <c r="E2714" s="68"/>
      <c r="F2714" s="17"/>
      <c r="G2714" s="27"/>
    </row>
    <row r="2715" spans="2:7" ht="20.25" customHeight="1" x14ac:dyDescent="0.3">
      <c r="B2715" s="17"/>
      <c r="C2715" s="27"/>
      <c r="D2715" s="67"/>
      <c r="E2715" s="68"/>
      <c r="F2715" s="17"/>
      <c r="G2715" s="27"/>
    </row>
    <row r="2716" spans="2:7" ht="20.25" customHeight="1" x14ac:dyDescent="0.3">
      <c r="B2716" s="17"/>
      <c r="C2716" s="27"/>
      <c r="D2716" s="67"/>
      <c r="E2716" s="68"/>
      <c r="F2716" s="17"/>
      <c r="G2716" s="27"/>
    </row>
    <row r="2717" spans="2:7" ht="20.25" customHeight="1" x14ac:dyDescent="0.3">
      <c r="B2717" s="17"/>
      <c r="C2717" s="27"/>
      <c r="D2717" s="67"/>
      <c r="E2717" s="68"/>
      <c r="F2717" s="17"/>
      <c r="G2717" s="27"/>
    </row>
    <row r="2718" spans="2:7" ht="20.25" customHeight="1" x14ac:dyDescent="0.3">
      <c r="B2718" s="17"/>
      <c r="C2718" s="27"/>
      <c r="D2718" s="67"/>
      <c r="E2718" s="68"/>
      <c r="F2718" s="17"/>
      <c r="G2718" s="27"/>
    </row>
    <row r="2719" spans="2:7" ht="20.25" customHeight="1" x14ac:dyDescent="0.3">
      <c r="B2719" s="17"/>
      <c r="C2719" s="27"/>
      <c r="D2719" s="67"/>
      <c r="E2719" s="68"/>
      <c r="F2719" s="17"/>
      <c r="G2719" s="27"/>
    </row>
    <row r="2720" spans="2:7" ht="20.25" customHeight="1" x14ac:dyDescent="0.3">
      <c r="B2720" s="17"/>
      <c r="C2720" s="27"/>
      <c r="D2720" s="67"/>
      <c r="E2720" s="68"/>
      <c r="F2720" s="17"/>
      <c r="G2720" s="27"/>
    </row>
    <row r="2721" spans="2:7" ht="20.25" customHeight="1" x14ac:dyDescent="0.3">
      <c r="B2721" s="17"/>
      <c r="C2721" s="27"/>
      <c r="D2721" s="67"/>
      <c r="E2721" s="68"/>
      <c r="F2721" s="17"/>
      <c r="G2721" s="27"/>
    </row>
    <row r="2722" spans="2:7" ht="20.25" customHeight="1" x14ac:dyDescent="0.3">
      <c r="B2722" s="17"/>
      <c r="C2722" s="27"/>
      <c r="D2722" s="67"/>
      <c r="E2722" s="68"/>
      <c r="F2722" s="17"/>
      <c r="G2722" s="27"/>
    </row>
    <row r="2723" spans="2:7" ht="20.25" customHeight="1" x14ac:dyDescent="0.3">
      <c r="B2723" s="17"/>
      <c r="C2723" s="27"/>
      <c r="D2723" s="67"/>
      <c r="E2723" s="68"/>
      <c r="F2723" s="17"/>
      <c r="G2723" s="27"/>
    </row>
    <row r="2724" spans="2:7" ht="20.25" customHeight="1" x14ac:dyDescent="0.3">
      <c r="B2724" s="17"/>
      <c r="C2724" s="27"/>
      <c r="D2724" s="67"/>
      <c r="E2724" s="68"/>
      <c r="F2724" s="17"/>
      <c r="G2724" s="27"/>
    </row>
    <row r="2725" spans="2:7" ht="20.25" customHeight="1" x14ac:dyDescent="0.3">
      <c r="B2725" s="17"/>
      <c r="C2725" s="27"/>
      <c r="D2725" s="67"/>
      <c r="E2725" s="68"/>
      <c r="F2725" s="17"/>
      <c r="G2725" s="27"/>
    </row>
    <row r="2726" spans="2:7" ht="20.25" customHeight="1" x14ac:dyDescent="0.3">
      <c r="B2726" s="17"/>
      <c r="C2726" s="27"/>
      <c r="D2726" s="67"/>
      <c r="E2726" s="68"/>
      <c r="F2726" s="17"/>
      <c r="G2726" s="27"/>
    </row>
    <row r="2727" spans="2:7" ht="20.25" customHeight="1" x14ac:dyDescent="0.3">
      <c r="B2727" s="17"/>
      <c r="C2727" s="27"/>
      <c r="D2727" s="67"/>
      <c r="E2727" s="68"/>
      <c r="F2727" s="17"/>
      <c r="G2727" s="27"/>
    </row>
    <row r="2728" spans="2:7" ht="20.25" customHeight="1" x14ac:dyDescent="0.3">
      <c r="B2728" s="17"/>
      <c r="C2728" s="27"/>
      <c r="D2728" s="67"/>
      <c r="E2728" s="68"/>
      <c r="F2728" s="17"/>
      <c r="G2728" s="27"/>
    </row>
    <row r="2729" spans="2:7" ht="20.25" customHeight="1" x14ac:dyDescent="0.3">
      <c r="B2729" s="17"/>
      <c r="C2729" s="27"/>
      <c r="D2729" s="67"/>
      <c r="E2729" s="68"/>
      <c r="F2729" s="17"/>
      <c r="G2729" s="27"/>
    </row>
    <row r="2730" spans="2:7" ht="20.25" customHeight="1" x14ac:dyDescent="0.3">
      <c r="B2730" s="17"/>
      <c r="C2730" s="27"/>
      <c r="D2730" s="67"/>
      <c r="E2730" s="68"/>
      <c r="F2730" s="17"/>
      <c r="G2730" s="27"/>
    </row>
    <row r="2731" spans="2:7" ht="20.25" customHeight="1" x14ac:dyDescent="0.3">
      <c r="B2731" s="17"/>
      <c r="C2731" s="27"/>
      <c r="D2731" s="67"/>
      <c r="E2731" s="68"/>
      <c r="F2731" s="17"/>
      <c r="G2731" s="27"/>
    </row>
    <row r="2732" spans="2:7" ht="20.25" customHeight="1" x14ac:dyDescent="0.3">
      <c r="B2732" s="17"/>
      <c r="C2732" s="27"/>
      <c r="D2732" s="67"/>
      <c r="E2732" s="68"/>
      <c r="F2732" s="17"/>
      <c r="G2732" s="27"/>
    </row>
    <row r="2733" spans="2:7" ht="20.25" customHeight="1" x14ac:dyDescent="0.3">
      <c r="B2733" s="17"/>
      <c r="C2733" s="27"/>
      <c r="D2733" s="67"/>
      <c r="E2733" s="68"/>
      <c r="F2733" s="17"/>
      <c r="G2733" s="27"/>
    </row>
    <row r="2734" spans="2:7" ht="20.25" customHeight="1" x14ac:dyDescent="0.3">
      <c r="B2734" s="17"/>
      <c r="C2734" s="27"/>
      <c r="D2734" s="67"/>
      <c r="E2734" s="68"/>
      <c r="F2734" s="17"/>
      <c r="G2734" s="27"/>
    </row>
    <row r="2735" spans="2:7" ht="20.25" customHeight="1" x14ac:dyDescent="0.3">
      <c r="B2735" s="17"/>
      <c r="C2735" s="27"/>
      <c r="D2735" s="67"/>
      <c r="E2735" s="68"/>
      <c r="F2735" s="17"/>
      <c r="G2735" s="27"/>
    </row>
    <row r="2736" spans="2:7" ht="20.25" customHeight="1" x14ac:dyDescent="0.3">
      <c r="B2736" s="17"/>
      <c r="C2736" s="27"/>
      <c r="D2736" s="67"/>
      <c r="E2736" s="68"/>
      <c r="F2736" s="17"/>
      <c r="G2736" s="27"/>
    </row>
    <row r="2737" spans="2:7" ht="20.25" customHeight="1" x14ac:dyDescent="0.3">
      <c r="B2737" s="17"/>
      <c r="C2737" s="27"/>
      <c r="D2737" s="67"/>
      <c r="E2737" s="68"/>
      <c r="F2737" s="17"/>
      <c r="G2737" s="27"/>
    </row>
    <row r="2738" spans="2:7" ht="20.25" customHeight="1" x14ac:dyDescent="0.3">
      <c r="B2738" s="17"/>
      <c r="C2738" s="27"/>
      <c r="D2738" s="67"/>
      <c r="E2738" s="68"/>
      <c r="F2738" s="17"/>
      <c r="G2738" s="27"/>
    </row>
    <row r="2739" spans="2:7" ht="20.25" customHeight="1" x14ac:dyDescent="0.3">
      <c r="B2739" s="17"/>
      <c r="C2739" s="27"/>
      <c r="D2739" s="67"/>
      <c r="E2739" s="68"/>
      <c r="F2739" s="17"/>
      <c r="G2739" s="27"/>
    </row>
    <row r="2740" spans="2:7" ht="20.25" customHeight="1" x14ac:dyDescent="0.3">
      <c r="B2740" s="17"/>
      <c r="C2740" s="27"/>
      <c r="D2740" s="67"/>
      <c r="E2740" s="68"/>
      <c r="F2740" s="17"/>
      <c r="G2740" s="27"/>
    </row>
    <row r="2741" spans="2:7" ht="20.25" customHeight="1" x14ac:dyDescent="0.3">
      <c r="B2741" s="17"/>
      <c r="C2741" s="27"/>
      <c r="D2741" s="67"/>
      <c r="E2741" s="68"/>
      <c r="F2741" s="17"/>
      <c r="G2741" s="27"/>
    </row>
    <row r="2742" spans="2:7" ht="20.25" customHeight="1" x14ac:dyDescent="0.3">
      <c r="B2742" s="17"/>
      <c r="C2742" s="27"/>
      <c r="D2742" s="67"/>
      <c r="E2742" s="68"/>
      <c r="F2742" s="17"/>
      <c r="G2742" s="27"/>
    </row>
    <row r="2743" spans="2:7" ht="20.25" customHeight="1" x14ac:dyDescent="0.3">
      <c r="B2743" s="17"/>
      <c r="C2743" s="27"/>
      <c r="D2743" s="67"/>
      <c r="E2743" s="68"/>
      <c r="F2743" s="17"/>
      <c r="G2743" s="27"/>
    </row>
    <row r="2744" spans="2:7" ht="20.25" customHeight="1" x14ac:dyDescent="0.3">
      <c r="B2744" s="17"/>
      <c r="C2744" s="27"/>
      <c r="D2744" s="67"/>
      <c r="E2744" s="68"/>
      <c r="F2744" s="17"/>
      <c r="G2744" s="27"/>
    </row>
    <row r="2745" spans="2:7" ht="20.25" customHeight="1" x14ac:dyDescent="0.3">
      <c r="B2745" s="17"/>
      <c r="C2745" s="27"/>
      <c r="D2745" s="67"/>
      <c r="E2745" s="68"/>
      <c r="F2745" s="17"/>
      <c r="G2745" s="27"/>
    </row>
    <row r="2746" spans="2:7" ht="20.25" customHeight="1" x14ac:dyDescent="0.3">
      <c r="B2746" s="17"/>
      <c r="C2746" s="27"/>
      <c r="D2746" s="67"/>
      <c r="E2746" s="68"/>
      <c r="F2746" s="17"/>
      <c r="G2746" s="27"/>
    </row>
    <row r="2747" spans="2:7" ht="20.25" customHeight="1" x14ac:dyDescent="0.3">
      <c r="B2747" s="17"/>
      <c r="C2747" s="27"/>
      <c r="D2747" s="67"/>
      <c r="E2747" s="68"/>
      <c r="F2747" s="17"/>
      <c r="G2747" s="27"/>
    </row>
    <row r="2748" spans="2:7" ht="20.25" customHeight="1" x14ac:dyDescent="0.3">
      <c r="B2748" s="17"/>
      <c r="C2748" s="27"/>
      <c r="D2748" s="67"/>
      <c r="E2748" s="68"/>
      <c r="F2748" s="17"/>
      <c r="G2748" s="27"/>
    </row>
    <row r="2749" spans="2:7" ht="20.25" customHeight="1" x14ac:dyDescent="0.3">
      <c r="B2749" s="17"/>
      <c r="C2749" s="27"/>
      <c r="D2749" s="67"/>
      <c r="E2749" s="68"/>
      <c r="F2749" s="17"/>
      <c r="G2749" s="27"/>
    </row>
    <row r="2750" spans="2:7" ht="20.25" customHeight="1" x14ac:dyDescent="0.3">
      <c r="B2750" s="17"/>
      <c r="C2750" s="27"/>
      <c r="D2750" s="67"/>
      <c r="E2750" s="68"/>
      <c r="F2750" s="17"/>
      <c r="G2750" s="27"/>
    </row>
    <row r="2751" spans="2:7" ht="20.25" customHeight="1" x14ac:dyDescent="0.3">
      <c r="B2751" s="17"/>
      <c r="C2751" s="27"/>
      <c r="D2751" s="67"/>
      <c r="E2751" s="68"/>
      <c r="F2751" s="17"/>
      <c r="G2751" s="27"/>
    </row>
    <row r="2752" spans="2:7" ht="20.25" customHeight="1" x14ac:dyDescent="0.3">
      <c r="B2752" s="17"/>
      <c r="C2752" s="27"/>
      <c r="D2752" s="67"/>
      <c r="E2752" s="68"/>
      <c r="F2752" s="17"/>
      <c r="G2752" s="27"/>
    </row>
    <row r="2753" spans="2:7" ht="20.25" customHeight="1" x14ac:dyDescent="0.3">
      <c r="B2753" s="17"/>
      <c r="C2753" s="27"/>
      <c r="D2753" s="67"/>
      <c r="E2753" s="68"/>
      <c r="F2753" s="17"/>
      <c r="G2753" s="27"/>
    </row>
    <row r="2754" spans="2:7" ht="20.25" customHeight="1" x14ac:dyDescent="0.3">
      <c r="B2754" s="17"/>
      <c r="C2754" s="27"/>
      <c r="D2754" s="67"/>
      <c r="E2754" s="68"/>
      <c r="F2754" s="17"/>
      <c r="G2754" s="27"/>
    </row>
    <row r="2755" spans="2:7" ht="20.25" customHeight="1" x14ac:dyDescent="0.3">
      <c r="B2755" s="17"/>
      <c r="C2755" s="27"/>
      <c r="D2755" s="67"/>
      <c r="E2755" s="68"/>
      <c r="F2755" s="17"/>
      <c r="G2755" s="27"/>
    </row>
    <row r="2756" spans="2:7" ht="20.25" customHeight="1" x14ac:dyDescent="0.3">
      <c r="B2756" s="17"/>
      <c r="C2756" s="27"/>
      <c r="D2756" s="67"/>
      <c r="E2756" s="68"/>
      <c r="F2756" s="17"/>
      <c r="G2756" s="27"/>
    </row>
    <row r="2757" spans="2:7" ht="20.25" customHeight="1" x14ac:dyDescent="0.3">
      <c r="B2757" s="17"/>
      <c r="C2757" s="27"/>
      <c r="D2757" s="67"/>
      <c r="E2757" s="68"/>
      <c r="F2757" s="17"/>
      <c r="G2757" s="27"/>
    </row>
    <row r="2758" spans="2:7" ht="20.25" customHeight="1" x14ac:dyDescent="0.3">
      <c r="B2758" s="17"/>
      <c r="C2758" s="27"/>
      <c r="D2758" s="67"/>
      <c r="E2758" s="68"/>
      <c r="F2758" s="17"/>
      <c r="G2758" s="27"/>
    </row>
    <row r="2759" spans="2:7" ht="20.25" customHeight="1" x14ac:dyDescent="0.3">
      <c r="B2759" s="17"/>
      <c r="C2759" s="27"/>
      <c r="D2759" s="67"/>
      <c r="E2759" s="68"/>
      <c r="F2759" s="17"/>
      <c r="G2759" s="27"/>
    </row>
    <row r="2760" spans="2:7" ht="20.25" customHeight="1" x14ac:dyDescent="0.3">
      <c r="B2760" s="17"/>
      <c r="C2760" s="27"/>
      <c r="D2760" s="67"/>
      <c r="E2760" s="68"/>
      <c r="F2760" s="17"/>
      <c r="G2760" s="27"/>
    </row>
    <row r="2761" spans="2:7" ht="20.25" customHeight="1" x14ac:dyDescent="0.3">
      <c r="B2761" s="17"/>
      <c r="C2761" s="27"/>
      <c r="D2761" s="67"/>
      <c r="E2761" s="68"/>
      <c r="F2761" s="17"/>
      <c r="G2761" s="27"/>
    </row>
    <row r="2762" spans="2:7" ht="20.25" customHeight="1" x14ac:dyDescent="0.3">
      <c r="B2762" s="17"/>
      <c r="C2762" s="27"/>
      <c r="D2762" s="67"/>
      <c r="E2762" s="68"/>
      <c r="F2762" s="17"/>
      <c r="G2762" s="27"/>
    </row>
    <row r="2763" spans="2:7" ht="20.25" customHeight="1" x14ac:dyDescent="0.3">
      <c r="B2763" s="17"/>
      <c r="C2763" s="27"/>
      <c r="D2763" s="67"/>
      <c r="E2763" s="68"/>
      <c r="F2763" s="17"/>
      <c r="G2763" s="27"/>
    </row>
    <row r="2764" spans="2:7" ht="20.25" customHeight="1" x14ac:dyDescent="0.3">
      <c r="B2764" s="17"/>
      <c r="C2764" s="27"/>
      <c r="D2764" s="67"/>
      <c r="E2764" s="68"/>
      <c r="F2764" s="17"/>
      <c r="G2764" s="27"/>
    </row>
    <row r="2765" spans="2:7" ht="20.25" customHeight="1" x14ac:dyDescent="0.3">
      <c r="B2765" s="17"/>
      <c r="C2765" s="27"/>
      <c r="D2765" s="67"/>
      <c r="E2765" s="68"/>
      <c r="F2765" s="17"/>
      <c r="G2765" s="27"/>
    </row>
    <row r="2766" spans="2:7" ht="20.25" customHeight="1" x14ac:dyDescent="0.3">
      <c r="B2766" s="17"/>
      <c r="C2766" s="27"/>
      <c r="D2766" s="67"/>
      <c r="E2766" s="68"/>
      <c r="F2766" s="17"/>
      <c r="G2766" s="27"/>
    </row>
    <row r="2767" spans="2:7" ht="20.25" customHeight="1" x14ac:dyDescent="0.3">
      <c r="B2767" s="17"/>
      <c r="C2767" s="27"/>
      <c r="D2767" s="67"/>
      <c r="E2767" s="68"/>
      <c r="F2767" s="17"/>
      <c r="G2767" s="27"/>
    </row>
    <row r="2768" spans="2:7" ht="20.25" customHeight="1" x14ac:dyDescent="0.3">
      <c r="B2768" s="17"/>
      <c r="C2768" s="27"/>
      <c r="D2768" s="67"/>
      <c r="E2768" s="68"/>
      <c r="F2768" s="17"/>
      <c r="G2768" s="27"/>
    </row>
    <row r="2769" spans="2:7" ht="20.25" customHeight="1" x14ac:dyDescent="0.3">
      <c r="B2769" s="17"/>
      <c r="C2769" s="27"/>
      <c r="D2769" s="67"/>
      <c r="E2769" s="68"/>
      <c r="F2769" s="17"/>
      <c r="G2769" s="27"/>
    </row>
    <row r="2770" spans="2:7" ht="20.25" customHeight="1" x14ac:dyDescent="0.3">
      <c r="B2770" s="17"/>
      <c r="C2770" s="27"/>
      <c r="D2770" s="67"/>
      <c r="E2770" s="68"/>
      <c r="F2770" s="17"/>
      <c r="G2770" s="27"/>
    </row>
    <row r="2771" spans="2:7" ht="20.25" customHeight="1" x14ac:dyDescent="0.3">
      <c r="B2771" s="17"/>
      <c r="C2771" s="27"/>
      <c r="D2771" s="67"/>
      <c r="E2771" s="68"/>
      <c r="F2771" s="17"/>
      <c r="G2771" s="27"/>
    </row>
    <row r="2772" spans="2:7" ht="20.25" customHeight="1" x14ac:dyDescent="0.3">
      <c r="B2772" s="17"/>
      <c r="C2772" s="27"/>
      <c r="D2772" s="67"/>
      <c r="E2772" s="68"/>
      <c r="F2772" s="17"/>
      <c r="G2772" s="27"/>
    </row>
    <row r="2773" spans="2:7" ht="20.25" customHeight="1" x14ac:dyDescent="0.3">
      <c r="B2773" s="17"/>
      <c r="C2773" s="27"/>
      <c r="D2773" s="67"/>
      <c r="E2773" s="68"/>
      <c r="F2773" s="17"/>
      <c r="G2773" s="27"/>
    </row>
    <row r="2774" spans="2:7" ht="20.25" customHeight="1" x14ac:dyDescent="0.3">
      <c r="B2774" s="17"/>
      <c r="C2774" s="27"/>
      <c r="D2774" s="67"/>
      <c r="E2774" s="68"/>
      <c r="F2774" s="17"/>
      <c r="G2774" s="27"/>
    </row>
    <row r="2775" spans="2:7" ht="20.25" customHeight="1" x14ac:dyDescent="0.3">
      <c r="B2775" s="17"/>
      <c r="C2775" s="27"/>
      <c r="D2775" s="67"/>
      <c r="E2775" s="68"/>
      <c r="F2775" s="17"/>
      <c r="G2775" s="27"/>
    </row>
    <row r="2776" spans="2:7" ht="20.25" customHeight="1" x14ac:dyDescent="0.3">
      <c r="B2776" s="17"/>
      <c r="C2776" s="27"/>
      <c r="D2776" s="67"/>
      <c r="E2776" s="68"/>
      <c r="F2776" s="17"/>
      <c r="G2776" s="27"/>
    </row>
    <row r="2777" spans="2:7" ht="20.25" customHeight="1" x14ac:dyDescent="0.3">
      <c r="B2777" s="17"/>
      <c r="C2777" s="27"/>
      <c r="D2777" s="67"/>
      <c r="E2777" s="68"/>
      <c r="F2777" s="17"/>
      <c r="G2777" s="27"/>
    </row>
    <row r="2778" spans="2:7" ht="20.25" customHeight="1" x14ac:dyDescent="0.3">
      <c r="B2778" s="17"/>
      <c r="C2778" s="27"/>
      <c r="D2778" s="67"/>
      <c r="E2778" s="68"/>
      <c r="F2778" s="17"/>
      <c r="G2778" s="27"/>
    </row>
    <row r="2779" spans="2:7" ht="20.25" customHeight="1" x14ac:dyDescent="0.3">
      <c r="B2779" s="17"/>
      <c r="C2779" s="27"/>
      <c r="D2779" s="67"/>
      <c r="E2779" s="68"/>
      <c r="F2779" s="17"/>
      <c r="G2779" s="27"/>
    </row>
    <row r="2780" spans="2:7" ht="20.25" customHeight="1" x14ac:dyDescent="0.3">
      <c r="B2780" s="17"/>
      <c r="C2780" s="27"/>
      <c r="D2780" s="67"/>
      <c r="E2780" s="68"/>
      <c r="F2780" s="17"/>
      <c r="G2780" s="27"/>
    </row>
    <row r="2781" spans="2:7" ht="20.25" customHeight="1" x14ac:dyDescent="0.3">
      <c r="B2781" s="17"/>
      <c r="C2781" s="27"/>
      <c r="D2781" s="67"/>
      <c r="E2781" s="68"/>
      <c r="F2781" s="17"/>
      <c r="G2781" s="27"/>
    </row>
    <row r="2782" spans="2:7" ht="20.25" customHeight="1" x14ac:dyDescent="0.3">
      <c r="B2782" s="17"/>
      <c r="C2782" s="27"/>
      <c r="D2782" s="67"/>
      <c r="E2782" s="68"/>
      <c r="F2782" s="17"/>
      <c r="G2782" s="27"/>
    </row>
    <row r="2783" spans="2:7" ht="20.25" customHeight="1" x14ac:dyDescent="0.3">
      <c r="B2783" s="17"/>
      <c r="C2783" s="27"/>
      <c r="D2783" s="67"/>
      <c r="E2783" s="68"/>
      <c r="F2783" s="17"/>
      <c r="G2783" s="27"/>
    </row>
    <row r="2784" spans="2:7" ht="20.25" customHeight="1" x14ac:dyDescent="0.3">
      <c r="B2784" s="17"/>
      <c r="C2784" s="27"/>
      <c r="D2784" s="67"/>
      <c r="E2784" s="68"/>
      <c r="F2784" s="17"/>
      <c r="G2784" s="27"/>
    </row>
    <row r="2785" spans="2:7" ht="20.25" customHeight="1" x14ac:dyDescent="0.3">
      <c r="B2785" s="17"/>
      <c r="C2785" s="27"/>
      <c r="D2785" s="67"/>
      <c r="E2785" s="68"/>
      <c r="F2785" s="17"/>
      <c r="G2785" s="27"/>
    </row>
    <row r="2786" spans="2:7" ht="20.25" customHeight="1" x14ac:dyDescent="0.3">
      <c r="B2786" s="17"/>
      <c r="C2786" s="27"/>
      <c r="D2786" s="67"/>
      <c r="E2786" s="68"/>
      <c r="F2786" s="17"/>
      <c r="G2786" s="27"/>
    </row>
    <row r="2787" spans="2:7" ht="20.25" customHeight="1" x14ac:dyDescent="0.3">
      <c r="B2787" s="17"/>
      <c r="C2787" s="27"/>
      <c r="D2787" s="67"/>
      <c r="E2787" s="68"/>
      <c r="F2787" s="17"/>
      <c r="G2787" s="27"/>
    </row>
    <row r="2788" spans="2:7" ht="20.25" customHeight="1" x14ac:dyDescent="0.3">
      <c r="B2788" s="17"/>
      <c r="C2788" s="27"/>
      <c r="D2788" s="67"/>
      <c r="E2788" s="68"/>
      <c r="F2788" s="17"/>
      <c r="G2788" s="27"/>
    </row>
    <row r="2789" spans="2:7" ht="20.25" customHeight="1" x14ac:dyDescent="0.3">
      <c r="B2789" s="17"/>
      <c r="C2789" s="27"/>
      <c r="D2789" s="67"/>
      <c r="E2789" s="68"/>
      <c r="F2789" s="17"/>
      <c r="G2789" s="27"/>
    </row>
    <row r="2790" spans="2:7" ht="20.25" customHeight="1" x14ac:dyDescent="0.3">
      <c r="B2790" s="17"/>
      <c r="C2790" s="27"/>
      <c r="D2790" s="67"/>
      <c r="E2790" s="68"/>
      <c r="F2790" s="17"/>
      <c r="G2790" s="27"/>
    </row>
    <row r="2791" spans="2:7" ht="20.25" customHeight="1" x14ac:dyDescent="0.3">
      <c r="B2791" s="17"/>
      <c r="C2791" s="27"/>
      <c r="D2791" s="67"/>
      <c r="E2791" s="68"/>
      <c r="F2791" s="17"/>
      <c r="G2791" s="27"/>
    </row>
    <row r="2792" spans="2:7" ht="20.25" customHeight="1" x14ac:dyDescent="0.3">
      <c r="B2792" s="17"/>
      <c r="C2792" s="27"/>
      <c r="D2792" s="67"/>
      <c r="E2792" s="68"/>
      <c r="F2792" s="17"/>
      <c r="G2792" s="27"/>
    </row>
    <row r="2793" spans="2:7" ht="20.25" customHeight="1" x14ac:dyDescent="0.3">
      <c r="B2793" s="17"/>
      <c r="C2793" s="27"/>
      <c r="D2793" s="67"/>
      <c r="E2793" s="68"/>
      <c r="F2793" s="17"/>
      <c r="G2793" s="27"/>
    </row>
    <row r="2794" spans="2:7" ht="20.25" customHeight="1" x14ac:dyDescent="0.3">
      <c r="B2794" s="17"/>
      <c r="C2794" s="27"/>
      <c r="D2794" s="67"/>
      <c r="E2794" s="68"/>
      <c r="F2794" s="17"/>
      <c r="G2794" s="27"/>
    </row>
    <row r="2795" spans="2:7" ht="20.25" customHeight="1" x14ac:dyDescent="0.3">
      <c r="B2795" s="17"/>
      <c r="C2795" s="27"/>
      <c r="D2795" s="67"/>
      <c r="E2795" s="68"/>
      <c r="F2795" s="17"/>
      <c r="G2795" s="27"/>
    </row>
    <row r="2796" spans="2:7" ht="20.25" customHeight="1" x14ac:dyDescent="0.3">
      <c r="B2796" s="17"/>
      <c r="C2796" s="27"/>
      <c r="D2796" s="67"/>
      <c r="E2796" s="68"/>
      <c r="F2796" s="17"/>
      <c r="G2796" s="27"/>
    </row>
    <row r="2797" spans="2:7" ht="20.25" customHeight="1" x14ac:dyDescent="0.3">
      <c r="B2797" s="17"/>
      <c r="C2797" s="27"/>
      <c r="D2797" s="67"/>
      <c r="E2797" s="68"/>
      <c r="F2797" s="17"/>
      <c r="G2797" s="27"/>
    </row>
    <row r="2798" spans="2:7" ht="20.25" customHeight="1" x14ac:dyDescent="0.3">
      <c r="B2798" s="17"/>
      <c r="C2798" s="27"/>
      <c r="D2798" s="67"/>
      <c r="E2798" s="68"/>
      <c r="F2798" s="17"/>
      <c r="G2798" s="27"/>
    </row>
    <row r="2799" spans="2:7" ht="20.25" customHeight="1" x14ac:dyDescent="0.3">
      <c r="B2799" s="17"/>
      <c r="C2799" s="27"/>
      <c r="D2799" s="67"/>
      <c r="E2799" s="68"/>
      <c r="F2799" s="17"/>
      <c r="G2799" s="27"/>
    </row>
    <row r="2800" spans="2:7" ht="20.25" customHeight="1" x14ac:dyDescent="0.3">
      <c r="B2800" s="17"/>
      <c r="C2800" s="27"/>
      <c r="D2800" s="67"/>
      <c r="E2800" s="68"/>
      <c r="F2800" s="17"/>
      <c r="G2800" s="27"/>
    </row>
    <row r="2801" spans="2:7" ht="20.25" customHeight="1" x14ac:dyDescent="0.3">
      <c r="B2801" s="17"/>
      <c r="C2801" s="27"/>
      <c r="D2801" s="67"/>
      <c r="E2801" s="68"/>
      <c r="F2801" s="17"/>
      <c r="G2801" s="27"/>
    </row>
    <row r="2802" spans="2:7" ht="20.25" customHeight="1" x14ac:dyDescent="0.3">
      <c r="B2802" s="17"/>
      <c r="C2802" s="27"/>
      <c r="D2802" s="67"/>
      <c r="E2802" s="68"/>
      <c r="F2802" s="17"/>
      <c r="G2802" s="27"/>
    </row>
    <row r="2803" spans="2:7" ht="20.25" customHeight="1" x14ac:dyDescent="0.3">
      <c r="B2803" s="17"/>
      <c r="C2803" s="27"/>
      <c r="D2803" s="67"/>
      <c r="E2803" s="68"/>
      <c r="F2803" s="17"/>
      <c r="G2803" s="27"/>
    </row>
    <row r="2804" spans="2:7" ht="20.25" customHeight="1" x14ac:dyDescent="0.3">
      <c r="B2804" s="17"/>
      <c r="C2804" s="27"/>
      <c r="D2804" s="67"/>
      <c r="E2804" s="68"/>
      <c r="F2804" s="17"/>
      <c r="G2804" s="27"/>
    </row>
    <row r="2805" spans="2:7" ht="20.25" customHeight="1" x14ac:dyDescent="0.3">
      <c r="B2805" s="17"/>
      <c r="C2805" s="27"/>
      <c r="D2805" s="67"/>
      <c r="E2805" s="68"/>
      <c r="F2805" s="17"/>
      <c r="G2805" s="27"/>
    </row>
    <row r="2806" spans="2:7" ht="20.25" customHeight="1" x14ac:dyDescent="0.3">
      <c r="B2806" s="17"/>
      <c r="C2806" s="27"/>
      <c r="D2806" s="67"/>
      <c r="E2806" s="68"/>
      <c r="F2806" s="17"/>
      <c r="G2806" s="27"/>
    </row>
    <row r="2807" spans="2:7" ht="20.25" customHeight="1" x14ac:dyDescent="0.3">
      <c r="B2807" s="17"/>
      <c r="C2807" s="27"/>
      <c r="D2807" s="67"/>
      <c r="E2807" s="68"/>
      <c r="F2807" s="17"/>
      <c r="G2807" s="27"/>
    </row>
    <row r="2808" spans="2:7" ht="20.25" customHeight="1" x14ac:dyDescent="0.3">
      <c r="B2808" s="17"/>
      <c r="C2808" s="27"/>
      <c r="D2808" s="67"/>
      <c r="E2808" s="68"/>
      <c r="F2808" s="17"/>
      <c r="G2808" s="27"/>
    </row>
    <row r="2809" spans="2:7" ht="20.25" customHeight="1" x14ac:dyDescent="0.3">
      <c r="B2809" s="17"/>
      <c r="C2809" s="27"/>
      <c r="D2809" s="67"/>
      <c r="E2809" s="68"/>
      <c r="F2809" s="17"/>
      <c r="G2809" s="27"/>
    </row>
    <row r="2810" spans="2:7" ht="20.25" customHeight="1" x14ac:dyDescent="0.3">
      <c r="B2810" s="17"/>
      <c r="C2810" s="27"/>
      <c r="D2810" s="67"/>
      <c r="E2810" s="68"/>
      <c r="F2810" s="17"/>
      <c r="G2810" s="27"/>
    </row>
    <row r="2811" spans="2:7" ht="20.25" customHeight="1" x14ac:dyDescent="0.3">
      <c r="B2811" s="17"/>
      <c r="C2811" s="27"/>
      <c r="D2811" s="67"/>
      <c r="E2811" s="68"/>
      <c r="F2811" s="17"/>
      <c r="G2811" s="27"/>
    </row>
    <row r="2812" spans="2:7" ht="20.25" customHeight="1" x14ac:dyDescent="0.3">
      <c r="B2812" s="17"/>
      <c r="C2812" s="27"/>
      <c r="D2812" s="67"/>
      <c r="E2812" s="68"/>
      <c r="F2812" s="17"/>
      <c r="G2812" s="27"/>
    </row>
    <row r="2813" spans="2:7" ht="20.25" customHeight="1" x14ac:dyDescent="0.3">
      <c r="B2813" s="17"/>
      <c r="C2813" s="27"/>
      <c r="D2813" s="67"/>
      <c r="E2813" s="68"/>
      <c r="F2813" s="17"/>
      <c r="G2813" s="27"/>
    </row>
    <row r="2814" spans="2:7" ht="20.25" customHeight="1" x14ac:dyDescent="0.3">
      <c r="B2814" s="17"/>
      <c r="C2814" s="27"/>
      <c r="D2814" s="67"/>
      <c r="E2814" s="68"/>
      <c r="F2814" s="17"/>
      <c r="G2814" s="27"/>
    </row>
    <row r="2815" spans="2:7" ht="20.25" customHeight="1" x14ac:dyDescent="0.3">
      <c r="B2815" s="17"/>
      <c r="C2815" s="27"/>
      <c r="D2815" s="67"/>
      <c r="E2815" s="68"/>
      <c r="F2815" s="17"/>
      <c r="G2815" s="27"/>
    </row>
    <row r="2816" spans="2:7" ht="20.25" customHeight="1" x14ac:dyDescent="0.3">
      <c r="B2816" s="17"/>
      <c r="C2816" s="27"/>
      <c r="D2816" s="67"/>
      <c r="E2816" s="68"/>
      <c r="F2816" s="17"/>
      <c r="G2816" s="27"/>
    </row>
    <row r="2817" spans="2:7" ht="20.25" customHeight="1" x14ac:dyDescent="0.3">
      <c r="B2817" s="17"/>
      <c r="C2817" s="27"/>
      <c r="D2817" s="67"/>
      <c r="E2817" s="68"/>
      <c r="F2817" s="17"/>
      <c r="G2817" s="27"/>
    </row>
    <row r="2818" spans="2:7" ht="20.25" customHeight="1" x14ac:dyDescent="0.3">
      <c r="B2818" s="17"/>
      <c r="C2818" s="27"/>
      <c r="D2818" s="67"/>
      <c r="E2818" s="68"/>
      <c r="F2818" s="17"/>
      <c r="G2818" s="27"/>
    </row>
    <row r="2819" spans="2:7" ht="20.25" customHeight="1" x14ac:dyDescent="0.3">
      <c r="B2819" s="17"/>
      <c r="C2819" s="27"/>
      <c r="D2819" s="67"/>
      <c r="E2819" s="68"/>
      <c r="F2819" s="17"/>
      <c r="G2819" s="27"/>
    </row>
    <row r="2820" spans="2:7" ht="20.25" customHeight="1" x14ac:dyDescent="0.3">
      <c r="B2820" s="17"/>
      <c r="C2820" s="27"/>
      <c r="D2820" s="67"/>
      <c r="E2820" s="68"/>
      <c r="F2820" s="17"/>
      <c r="G2820" s="27"/>
    </row>
    <row r="2821" spans="2:7" ht="20.25" customHeight="1" x14ac:dyDescent="0.3">
      <c r="B2821" s="17"/>
      <c r="C2821" s="27"/>
      <c r="D2821" s="67"/>
      <c r="E2821" s="68"/>
      <c r="F2821" s="17"/>
      <c r="G2821" s="27"/>
    </row>
    <row r="2822" spans="2:7" ht="20.25" customHeight="1" x14ac:dyDescent="0.3">
      <c r="B2822" s="17"/>
      <c r="C2822" s="27"/>
      <c r="D2822" s="67"/>
      <c r="E2822" s="68"/>
      <c r="F2822" s="17"/>
      <c r="G2822" s="27"/>
    </row>
    <row r="2823" spans="2:7" ht="20.25" customHeight="1" x14ac:dyDescent="0.3">
      <c r="B2823" s="17"/>
      <c r="C2823" s="27"/>
      <c r="D2823" s="67"/>
      <c r="E2823" s="68"/>
      <c r="F2823" s="17"/>
      <c r="G2823" s="27"/>
    </row>
    <row r="2824" spans="2:7" ht="20.25" customHeight="1" x14ac:dyDescent="0.3">
      <c r="B2824" s="17"/>
      <c r="C2824" s="27"/>
      <c r="D2824" s="67"/>
      <c r="E2824" s="68"/>
      <c r="F2824" s="17"/>
      <c r="G2824" s="27"/>
    </row>
    <row r="2825" spans="2:7" ht="20.25" customHeight="1" x14ac:dyDescent="0.3">
      <c r="B2825" s="17"/>
      <c r="C2825" s="27"/>
      <c r="D2825" s="67"/>
      <c r="E2825" s="68"/>
      <c r="F2825" s="17"/>
      <c r="G2825" s="27"/>
    </row>
    <row r="2826" spans="2:7" ht="20.25" customHeight="1" x14ac:dyDescent="0.3">
      <c r="B2826" s="17"/>
      <c r="C2826" s="27"/>
      <c r="D2826" s="67"/>
      <c r="E2826" s="68"/>
      <c r="F2826" s="17"/>
      <c r="G2826" s="27"/>
    </row>
    <row r="2827" spans="2:7" ht="20.25" customHeight="1" x14ac:dyDescent="0.3">
      <c r="B2827" s="17"/>
      <c r="C2827" s="27"/>
      <c r="D2827" s="67"/>
      <c r="E2827" s="68"/>
      <c r="F2827" s="17"/>
      <c r="G2827" s="27"/>
    </row>
    <row r="2828" spans="2:7" ht="20.25" customHeight="1" x14ac:dyDescent="0.3">
      <c r="B2828" s="17"/>
      <c r="C2828" s="27"/>
      <c r="D2828" s="67"/>
      <c r="E2828" s="68"/>
      <c r="F2828" s="17"/>
      <c r="G2828" s="27"/>
    </row>
    <row r="2829" spans="2:7" ht="20.25" customHeight="1" x14ac:dyDescent="0.3">
      <c r="B2829" s="17"/>
      <c r="C2829" s="27"/>
      <c r="D2829" s="67"/>
      <c r="E2829" s="68"/>
      <c r="F2829" s="17"/>
      <c r="G2829" s="27"/>
    </row>
    <row r="2830" spans="2:7" ht="20.25" customHeight="1" x14ac:dyDescent="0.3">
      <c r="B2830" s="17"/>
      <c r="C2830" s="27"/>
      <c r="D2830" s="67"/>
      <c r="E2830" s="68"/>
      <c r="F2830" s="17"/>
      <c r="G2830" s="27"/>
    </row>
    <row r="2831" spans="2:7" ht="20.25" customHeight="1" x14ac:dyDescent="0.3">
      <c r="B2831" s="17"/>
      <c r="C2831" s="27"/>
      <c r="D2831" s="67"/>
      <c r="E2831" s="68"/>
      <c r="F2831" s="17"/>
      <c r="G2831" s="27"/>
    </row>
    <row r="2832" spans="2:7" ht="20.25" customHeight="1" x14ac:dyDescent="0.3">
      <c r="B2832" s="17"/>
      <c r="C2832" s="27"/>
      <c r="D2832" s="67"/>
      <c r="E2832" s="68"/>
      <c r="F2832" s="17"/>
      <c r="G2832" s="27"/>
    </row>
    <row r="2833" spans="2:7" ht="20.25" customHeight="1" x14ac:dyDescent="0.3">
      <c r="B2833" s="17"/>
      <c r="C2833" s="27"/>
      <c r="D2833" s="67"/>
      <c r="E2833" s="68"/>
      <c r="F2833" s="17"/>
      <c r="G2833" s="27"/>
    </row>
    <row r="2834" spans="2:7" ht="20.25" customHeight="1" x14ac:dyDescent="0.3">
      <c r="B2834" s="17"/>
      <c r="C2834" s="27"/>
      <c r="D2834" s="67"/>
      <c r="E2834" s="68"/>
      <c r="F2834" s="17"/>
      <c r="G2834" s="27"/>
    </row>
    <row r="2835" spans="2:7" ht="20.25" customHeight="1" x14ac:dyDescent="0.3">
      <c r="B2835" s="17"/>
      <c r="C2835" s="27"/>
      <c r="D2835" s="67"/>
      <c r="E2835" s="68"/>
      <c r="F2835" s="17"/>
      <c r="G2835" s="27"/>
    </row>
    <row r="2836" spans="2:7" ht="20.25" customHeight="1" x14ac:dyDescent="0.3">
      <c r="B2836" s="17"/>
      <c r="C2836" s="27"/>
      <c r="D2836" s="67"/>
      <c r="E2836" s="68"/>
      <c r="F2836" s="17"/>
      <c r="G2836" s="27"/>
    </row>
    <row r="2837" spans="2:7" ht="20.25" customHeight="1" x14ac:dyDescent="0.3">
      <c r="B2837" s="17"/>
      <c r="C2837" s="27"/>
      <c r="D2837" s="67"/>
      <c r="E2837" s="68"/>
      <c r="F2837" s="17"/>
      <c r="G2837" s="27"/>
    </row>
    <row r="2838" spans="2:7" ht="20.25" customHeight="1" x14ac:dyDescent="0.3">
      <c r="B2838" s="17"/>
      <c r="C2838" s="27"/>
      <c r="D2838" s="67"/>
      <c r="E2838" s="68"/>
      <c r="F2838" s="17"/>
      <c r="G2838" s="27"/>
    </row>
    <row r="2839" spans="2:7" ht="20.25" customHeight="1" x14ac:dyDescent="0.3">
      <c r="B2839" s="17"/>
      <c r="C2839" s="27"/>
      <c r="D2839" s="67"/>
      <c r="E2839" s="68"/>
      <c r="F2839" s="17"/>
      <c r="G2839" s="27"/>
    </row>
    <row r="2840" spans="2:7" ht="20.25" customHeight="1" x14ac:dyDescent="0.3">
      <c r="B2840" s="17"/>
      <c r="C2840" s="27"/>
      <c r="D2840" s="67"/>
      <c r="E2840" s="68"/>
      <c r="F2840" s="17"/>
      <c r="G2840" s="27"/>
    </row>
    <row r="2841" spans="2:7" ht="20.25" customHeight="1" x14ac:dyDescent="0.3">
      <c r="B2841" s="17"/>
      <c r="C2841" s="27"/>
      <c r="D2841" s="67"/>
      <c r="E2841" s="68"/>
      <c r="F2841" s="17"/>
      <c r="G2841" s="27"/>
    </row>
    <row r="2842" spans="2:7" ht="20.25" customHeight="1" x14ac:dyDescent="0.3">
      <c r="B2842" s="17"/>
      <c r="C2842" s="27"/>
      <c r="D2842" s="67"/>
      <c r="E2842" s="68"/>
      <c r="F2842" s="17"/>
      <c r="G2842" s="27"/>
    </row>
    <row r="2843" spans="2:7" ht="20.25" customHeight="1" x14ac:dyDescent="0.3">
      <c r="B2843" s="17"/>
      <c r="C2843" s="27"/>
      <c r="D2843" s="67"/>
      <c r="E2843" s="68"/>
      <c r="F2843" s="17"/>
      <c r="G2843" s="27"/>
    </row>
    <row r="2844" spans="2:7" ht="20.25" customHeight="1" x14ac:dyDescent="0.3">
      <c r="B2844" s="17"/>
      <c r="C2844" s="27"/>
      <c r="D2844" s="67"/>
      <c r="E2844" s="68"/>
      <c r="F2844" s="17"/>
      <c r="G2844" s="27"/>
    </row>
    <row r="2845" spans="2:7" ht="20.25" customHeight="1" x14ac:dyDescent="0.3">
      <c r="B2845" s="17"/>
      <c r="C2845" s="27"/>
      <c r="D2845" s="67"/>
      <c r="E2845" s="68"/>
      <c r="F2845" s="17"/>
      <c r="G2845" s="27"/>
    </row>
    <row r="2846" spans="2:7" ht="20.25" customHeight="1" x14ac:dyDescent="0.3">
      <c r="B2846" s="17"/>
      <c r="C2846" s="27"/>
      <c r="D2846" s="67"/>
      <c r="E2846" s="68"/>
      <c r="F2846" s="17"/>
      <c r="G2846" s="27"/>
    </row>
    <row r="2847" spans="2:7" ht="20.25" customHeight="1" x14ac:dyDescent="0.3">
      <c r="B2847" s="17"/>
      <c r="C2847" s="27"/>
      <c r="D2847" s="67"/>
      <c r="E2847" s="68"/>
      <c r="F2847" s="17"/>
      <c r="G2847" s="27"/>
    </row>
    <row r="2848" spans="2:7" ht="20.25" customHeight="1" x14ac:dyDescent="0.3">
      <c r="B2848" s="17"/>
      <c r="C2848" s="27"/>
      <c r="D2848" s="67"/>
      <c r="E2848" s="68"/>
      <c r="F2848" s="17"/>
      <c r="G2848" s="27"/>
    </row>
    <row r="2849" spans="2:7" ht="20.25" customHeight="1" x14ac:dyDescent="0.3">
      <c r="B2849" s="17"/>
      <c r="C2849" s="27"/>
      <c r="D2849" s="67"/>
      <c r="E2849" s="68"/>
      <c r="F2849" s="17"/>
      <c r="G2849" s="27"/>
    </row>
    <row r="2850" spans="2:7" ht="20.25" customHeight="1" x14ac:dyDescent="0.3">
      <c r="B2850" s="17"/>
      <c r="C2850" s="27"/>
      <c r="D2850" s="67"/>
      <c r="E2850" s="68"/>
      <c r="F2850" s="17"/>
      <c r="G2850" s="27"/>
    </row>
    <row r="2851" spans="2:7" ht="20.25" customHeight="1" x14ac:dyDescent="0.3">
      <c r="B2851" s="17"/>
      <c r="C2851" s="27"/>
      <c r="D2851" s="67"/>
      <c r="E2851" s="68"/>
      <c r="F2851" s="17"/>
      <c r="G2851" s="27"/>
    </row>
    <row r="2852" spans="2:7" ht="20.25" customHeight="1" x14ac:dyDescent="0.3">
      <c r="B2852" s="17"/>
      <c r="C2852" s="27"/>
      <c r="D2852" s="67"/>
      <c r="E2852" s="68"/>
      <c r="F2852" s="17"/>
      <c r="G2852" s="27"/>
    </row>
    <row r="2853" spans="2:7" ht="20.25" customHeight="1" x14ac:dyDescent="0.3">
      <c r="B2853" s="17"/>
      <c r="C2853" s="27"/>
      <c r="D2853" s="67"/>
      <c r="E2853" s="68"/>
      <c r="F2853" s="17"/>
      <c r="G2853" s="27"/>
    </row>
    <row r="2854" spans="2:7" ht="20.25" customHeight="1" x14ac:dyDescent="0.3">
      <c r="B2854" s="17"/>
      <c r="C2854" s="27"/>
      <c r="D2854" s="67"/>
      <c r="E2854" s="68"/>
      <c r="F2854" s="17"/>
      <c r="G2854" s="27"/>
    </row>
    <row r="2855" spans="2:7" ht="20.25" customHeight="1" x14ac:dyDescent="0.3">
      <c r="B2855" s="17"/>
      <c r="C2855" s="27"/>
      <c r="D2855" s="67"/>
      <c r="E2855" s="68"/>
      <c r="F2855" s="17"/>
      <c r="G2855" s="27"/>
    </row>
    <row r="2856" spans="2:7" ht="20.25" customHeight="1" x14ac:dyDescent="0.3">
      <c r="B2856" s="17"/>
      <c r="C2856" s="27"/>
      <c r="D2856" s="67"/>
      <c r="E2856" s="68"/>
      <c r="F2856" s="17"/>
      <c r="G2856" s="27"/>
    </row>
    <row r="2857" spans="2:7" ht="20.25" customHeight="1" x14ac:dyDescent="0.3">
      <c r="B2857" s="17"/>
      <c r="C2857" s="27"/>
      <c r="D2857" s="67"/>
      <c r="E2857" s="68"/>
      <c r="F2857" s="17"/>
      <c r="G2857" s="27"/>
    </row>
    <row r="2858" spans="2:7" ht="20.25" customHeight="1" x14ac:dyDescent="0.3">
      <c r="B2858" s="17"/>
      <c r="C2858" s="27"/>
      <c r="D2858" s="67"/>
      <c r="E2858" s="68"/>
      <c r="F2858" s="17"/>
      <c r="G2858" s="27"/>
    </row>
    <row r="2859" spans="2:7" ht="20.25" customHeight="1" x14ac:dyDescent="0.3">
      <c r="B2859" s="17"/>
      <c r="C2859" s="27"/>
      <c r="D2859" s="67"/>
      <c r="E2859" s="68"/>
      <c r="F2859" s="17"/>
      <c r="G2859" s="27"/>
    </row>
    <row r="2860" spans="2:7" ht="20.25" customHeight="1" x14ac:dyDescent="0.3">
      <c r="B2860" s="17"/>
      <c r="C2860" s="27"/>
      <c r="D2860" s="67"/>
      <c r="E2860" s="68"/>
      <c r="F2860" s="17"/>
      <c r="G2860" s="27"/>
    </row>
    <row r="2861" spans="2:7" ht="20.25" customHeight="1" x14ac:dyDescent="0.3">
      <c r="B2861" s="17"/>
      <c r="C2861" s="27"/>
      <c r="D2861" s="67"/>
      <c r="E2861" s="68"/>
      <c r="F2861" s="17"/>
      <c r="G2861" s="27"/>
    </row>
    <row r="2862" spans="2:7" ht="20.25" customHeight="1" x14ac:dyDescent="0.3">
      <c r="B2862" s="17"/>
      <c r="C2862" s="27"/>
      <c r="D2862" s="67"/>
      <c r="E2862" s="68"/>
      <c r="F2862" s="17"/>
      <c r="G2862" s="27"/>
    </row>
    <row r="2863" spans="2:7" ht="20.25" customHeight="1" x14ac:dyDescent="0.3">
      <c r="B2863" s="17"/>
      <c r="C2863" s="27"/>
      <c r="D2863" s="67"/>
      <c r="E2863" s="68"/>
      <c r="F2863" s="17"/>
      <c r="G2863" s="27"/>
    </row>
    <row r="2864" spans="2:7" ht="20.25" customHeight="1" x14ac:dyDescent="0.3">
      <c r="B2864" s="17"/>
      <c r="C2864" s="27"/>
      <c r="D2864" s="67"/>
      <c r="E2864" s="68"/>
      <c r="F2864" s="17"/>
      <c r="G2864" s="27"/>
    </row>
    <row r="2865" spans="2:7" ht="20.25" customHeight="1" x14ac:dyDescent="0.3">
      <c r="B2865" s="17"/>
      <c r="C2865" s="27"/>
      <c r="D2865" s="67"/>
      <c r="E2865" s="68"/>
      <c r="F2865" s="17"/>
      <c r="G2865" s="27"/>
    </row>
    <row r="2866" spans="2:7" ht="20.25" customHeight="1" x14ac:dyDescent="0.3">
      <c r="B2866" s="17"/>
      <c r="C2866" s="27"/>
      <c r="D2866" s="67"/>
      <c r="E2866" s="68"/>
      <c r="F2866" s="17"/>
      <c r="G2866" s="27"/>
    </row>
    <row r="2867" spans="2:7" ht="20.25" customHeight="1" x14ac:dyDescent="0.3">
      <c r="B2867" s="17"/>
      <c r="C2867" s="27"/>
      <c r="D2867" s="67"/>
      <c r="E2867" s="68"/>
      <c r="F2867" s="17"/>
      <c r="G2867" s="27"/>
    </row>
    <row r="2868" spans="2:7" ht="20.25" customHeight="1" x14ac:dyDescent="0.3">
      <c r="B2868" s="17"/>
      <c r="C2868" s="27"/>
      <c r="D2868" s="67"/>
      <c r="E2868" s="68"/>
      <c r="F2868" s="17"/>
      <c r="G2868" s="27"/>
    </row>
    <row r="2869" spans="2:7" ht="20.25" customHeight="1" x14ac:dyDescent="0.3">
      <c r="B2869" s="17"/>
      <c r="C2869" s="27"/>
      <c r="D2869" s="67"/>
      <c r="E2869" s="68"/>
      <c r="F2869" s="17"/>
      <c r="G2869" s="27"/>
    </row>
    <row r="2870" spans="2:7" ht="20.25" customHeight="1" x14ac:dyDescent="0.3">
      <c r="B2870" s="17"/>
      <c r="C2870" s="27"/>
      <c r="D2870" s="67"/>
      <c r="E2870" s="68"/>
      <c r="F2870" s="17"/>
      <c r="G2870" s="27"/>
    </row>
    <row r="2871" spans="2:7" ht="20.25" customHeight="1" x14ac:dyDescent="0.3">
      <c r="B2871" s="17"/>
      <c r="C2871" s="27"/>
      <c r="D2871" s="67"/>
      <c r="E2871" s="68"/>
      <c r="F2871" s="17"/>
      <c r="G2871" s="27"/>
    </row>
    <row r="2872" spans="2:7" ht="20.25" customHeight="1" x14ac:dyDescent="0.3">
      <c r="B2872" s="17"/>
      <c r="C2872" s="27"/>
      <c r="D2872" s="67"/>
      <c r="E2872" s="68"/>
      <c r="F2872" s="17"/>
      <c r="G2872" s="27"/>
    </row>
    <row r="2873" spans="2:7" ht="20.25" customHeight="1" x14ac:dyDescent="0.3">
      <c r="B2873" s="17"/>
      <c r="C2873" s="27"/>
      <c r="D2873" s="67"/>
      <c r="E2873" s="68"/>
      <c r="F2873" s="17"/>
      <c r="G2873" s="27"/>
    </row>
    <row r="2874" spans="2:7" ht="20.25" customHeight="1" x14ac:dyDescent="0.3">
      <c r="B2874" s="17"/>
      <c r="C2874" s="27"/>
      <c r="D2874" s="67"/>
      <c r="E2874" s="68"/>
      <c r="F2874" s="17"/>
      <c r="G2874" s="27"/>
    </row>
    <row r="2875" spans="2:7" ht="20.25" customHeight="1" x14ac:dyDescent="0.3">
      <c r="B2875" s="17"/>
      <c r="C2875" s="27"/>
      <c r="D2875" s="67"/>
      <c r="E2875" s="68"/>
      <c r="F2875" s="17"/>
      <c r="G2875" s="27"/>
    </row>
    <row r="2876" spans="2:7" ht="20.25" customHeight="1" x14ac:dyDescent="0.3">
      <c r="B2876" s="17"/>
      <c r="C2876" s="27"/>
      <c r="D2876" s="67"/>
      <c r="E2876" s="68"/>
      <c r="F2876" s="17"/>
      <c r="G2876" s="27"/>
    </row>
    <row r="2877" spans="2:7" ht="20.25" customHeight="1" x14ac:dyDescent="0.3">
      <c r="B2877" s="17"/>
      <c r="C2877" s="27"/>
      <c r="D2877" s="67"/>
      <c r="E2877" s="68"/>
      <c r="F2877" s="17"/>
      <c r="G2877" s="27"/>
    </row>
    <row r="2878" spans="2:7" ht="20.25" customHeight="1" x14ac:dyDescent="0.3">
      <c r="B2878" s="17"/>
      <c r="C2878" s="27"/>
      <c r="D2878" s="67"/>
      <c r="E2878" s="68"/>
      <c r="F2878" s="17"/>
      <c r="G2878" s="27"/>
    </row>
    <row r="2879" spans="2:7" ht="20.25" customHeight="1" x14ac:dyDescent="0.3">
      <c r="B2879" s="17"/>
      <c r="C2879" s="27"/>
      <c r="D2879" s="67"/>
      <c r="E2879" s="68"/>
      <c r="F2879" s="17"/>
      <c r="G2879" s="27"/>
    </row>
    <row r="2880" spans="2:7" ht="20.25" customHeight="1" x14ac:dyDescent="0.3">
      <c r="B2880" s="17"/>
      <c r="C2880" s="27"/>
      <c r="D2880" s="67"/>
      <c r="E2880" s="68"/>
      <c r="F2880" s="17"/>
      <c r="G2880" s="27"/>
    </row>
    <row r="2881" spans="2:7" ht="20.25" customHeight="1" x14ac:dyDescent="0.3">
      <c r="B2881" s="17"/>
      <c r="C2881" s="27"/>
      <c r="D2881" s="67"/>
      <c r="E2881" s="68"/>
      <c r="F2881" s="17"/>
      <c r="G2881" s="27"/>
    </row>
    <row r="2882" spans="2:7" ht="20.25" customHeight="1" x14ac:dyDescent="0.3">
      <c r="B2882" s="17"/>
      <c r="C2882" s="27"/>
      <c r="D2882" s="67"/>
      <c r="E2882" s="68"/>
      <c r="F2882" s="17"/>
      <c r="G2882" s="27"/>
    </row>
    <row r="2883" spans="2:7" ht="20.25" customHeight="1" x14ac:dyDescent="0.3">
      <c r="B2883" s="17"/>
      <c r="C2883" s="27"/>
      <c r="D2883" s="67"/>
      <c r="E2883" s="68"/>
      <c r="F2883" s="17"/>
      <c r="G2883" s="27"/>
    </row>
    <row r="2884" spans="2:7" ht="20.25" customHeight="1" x14ac:dyDescent="0.3">
      <c r="B2884" s="17"/>
      <c r="C2884" s="27"/>
      <c r="D2884" s="67"/>
      <c r="E2884" s="68"/>
      <c r="F2884" s="17"/>
      <c r="G2884" s="27"/>
    </row>
    <row r="2885" spans="2:7" ht="20.25" customHeight="1" x14ac:dyDescent="0.3">
      <c r="B2885" s="17"/>
      <c r="C2885" s="27"/>
      <c r="D2885" s="67"/>
      <c r="E2885" s="68"/>
      <c r="F2885" s="17"/>
      <c r="G2885" s="27"/>
    </row>
    <row r="2886" spans="2:7" ht="20.25" customHeight="1" x14ac:dyDescent="0.3">
      <c r="B2886" s="17"/>
      <c r="C2886" s="27"/>
      <c r="D2886" s="67"/>
      <c r="E2886" s="68"/>
      <c r="F2886" s="17"/>
      <c r="G2886" s="27"/>
    </row>
    <row r="2887" spans="2:7" ht="20.25" customHeight="1" x14ac:dyDescent="0.3">
      <c r="B2887" s="17"/>
      <c r="C2887" s="27"/>
      <c r="D2887" s="67"/>
      <c r="E2887" s="68"/>
      <c r="F2887" s="17"/>
      <c r="G2887" s="27"/>
    </row>
    <row r="2888" spans="2:7" ht="20.25" customHeight="1" x14ac:dyDescent="0.3">
      <c r="B2888" s="17"/>
      <c r="C2888" s="27"/>
      <c r="D2888" s="67"/>
      <c r="E2888" s="68"/>
      <c r="F2888" s="17"/>
      <c r="G2888" s="27"/>
    </row>
    <row r="2889" spans="2:7" ht="20.25" customHeight="1" x14ac:dyDescent="0.3">
      <c r="B2889" s="17"/>
      <c r="C2889" s="27"/>
      <c r="D2889" s="67"/>
      <c r="E2889" s="68"/>
      <c r="F2889" s="17"/>
      <c r="G2889" s="27"/>
    </row>
    <row r="2890" spans="2:7" ht="20.25" customHeight="1" x14ac:dyDescent="0.3">
      <c r="B2890" s="17"/>
      <c r="C2890" s="27"/>
      <c r="D2890" s="67"/>
      <c r="E2890" s="68"/>
      <c r="F2890" s="17"/>
      <c r="G2890" s="27"/>
    </row>
    <row r="2891" spans="2:7" ht="20.25" customHeight="1" x14ac:dyDescent="0.3">
      <c r="B2891" s="17"/>
      <c r="C2891" s="27"/>
      <c r="D2891" s="67"/>
      <c r="E2891" s="68"/>
      <c r="F2891" s="17"/>
      <c r="G2891" s="27"/>
    </row>
    <row r="2892" spans="2:7" ht="20.25" customHeight="1" x14ac:dyDescent="0.3">
      <c r="B2892" s="17"/>
      <c r="C2892" s="27"/>
      <c r="D2892" s="67"/>
      <c r="E2892" s="68"/>
      <c r="F2892" s="17"/>
      <c r="G2892" s="27"/>
    </row>
    <row r="2893" spans="2:7" ht="20.25" customHeight="1" x14ac:dyDescent="0.3">
      <c r="B2893" s="17"/>
      <c r="C2893" s="27"/>
      <c r="D2893" s="67"/>
      <c r="E2893" s="68"/>
      <c r="F2893" s="17"/>
      <c r="G2893" s="27"/>
    </row>
    <row r="2894" spans="2:7" ht="20.25" customHeight="1" x14ac:dyDescent="0.3">
      <c r="B2894" s="17"/>
      <c r="C2894" s="27"/>
      <c r="D2894" s="67"/>
      <c r="E2894" s="68"/>
      <c r="F2894" s="17"/>
      <c r="G2894" s="27"/>
    </row>
    <row r="2895" spans="2:7" ht="20.25" customHeight="1" x14ac:dyDescent="0.3">
      <c r="B2895" s="17"/>
      <c r="C2895" s="27"/>
      <c r="D2895" s="67"/>
      <c r="E2895" s="68"/>
      <c r="F2895" s="17"/>
      <c r="G2895" s="27"/>
    </row>
    <row r="2896" spans="2:7" ht="20.25" customHeight="1" x14ac:dyDescent="0.3">
      <c r="B2896" s="17"/>
      <c r="C2896" s="27"/>
      <c r="D2896" s="67"/>
      <c r="E2896" s="68"/>
      <c r="F2896" s="17"/>
      <c r="G2896" s="27"/>
    </row>
    <row r="2897" spans="2:7" ht="20.25" customHeight="1" x14ac:dyDescent="0.3">
      <c r="B2897" s="17"/>
      <c r="C2897" s="27"/>
      <c r="D2897" s="67"/>
      <c r="E2897" s="68"/>
      <c r="F2897" s="17"/>
      <c r="G2897" s="27"/>
    </row>
    <row r="2898" spans="2:7" ht="20.25" customHeight="1" x14ac:dyDescent="0.3">
      <c r="B2898" s="17"/>
      <c r="C2898" s="27"/>
      <c r="D2898" s="67"/>
      <c r="E2898" s="68"/>
      <c r="F2898" s="17"/>
      <c r="G2898" s="27"/>
    </row>
    <row r="2899" spans="2:7" ht="20.25" customHeight="1" x14ac:dyDescent="0.3">
      <c r="B2899" s="17"/>
      <c r="C2899" s="27"/>
      <c r="D2899" s="67"/>
      <c r="E2899" s="68"/>
      <c r="F2899" s="17"/>
      <c r="G2899" s="27"/>
    </row>
    <row r="2900" spans="2:7" ht="20.25" customHeight="1" x14ac:dyDescent="0.3">
      <c r="B2900" s="17"/>
      <c r="C2900" s="27"/>
      <c r="D2900" s="67"/>
      <c r="E2900" s="68"/>
      <c r="F2900" s="17"/>
      <c r="G2900" s="27"/>
    </row>
    <row r="2901" spans="2:7" ht="20.25" customHeight="1" x14ac:dyDescent="0.3">
      <c r="B2901" s="17"/>
      <c r="C2901" s="27"/>
      <c r="D2901" s="67"/>
      <c r="E2901" s="68"/>
      <c r="F2901" s="17"/>
      <c r="G2901" s="27"/>
    </row>
    <row r="2902" spans="2:7" ht="20.25" customHeight="1" x14ac:dyDescent="0.3">
      <c r="B2902" s="17"/>
      <c r="C2902" s="27"/>
      <c r="D2902" s="67"/>
      <c r="E2902" s="68"/>
      <c r="F2902" s="17"/>
      <c r="G2902" s="27"/>
    </row>
    <row r="2903" spans="2:7" ht="20.25" customHeight="1" x14ac:dyDescent="0.3">
      <c r="B2903" s="17"/>
      <c r="C2903" s="27"/>
      <c r="D2903" s="67"/>
      <c r="E2903" s="68"/>
      <c r="F2903" s="17"/>
      <c r="G2903" s="27"/>
    </row>
    <row r="2904" spans="2:7" ht="20.25" customHeight="1" x14ac:dyDescent="0.3">
      <c r="B2904" s="17"/>
      <c r="C2904" s="27"/>
      <c r="D2904" s="67"/>
      <c r="E2904" s="68"/>
      <c r="F2904" s="17"/>
      <c r="G2904" s="27"/>
    </row>
    <row r="2905" spans="2:7" ht="20.25" customHeight="1" x14ac:dyDescent="0.3">
      <c r="B2905" s="17"/>
      <c r="C2905" s="27"/>
      <c r="D2905" s="67"/>
      <c r="E2905" s="68"/>
      <c r="F2905" s="17"/>
      <c r="G2905" s="27"/>
    </row>
    <row r="2906" spans="2:7" ht="20.25" customHeight="1" x14ac:dyDescent="0.3">
      <c r="B2906" s="17"/>
      <c r="C2906" s="27"/>
      <c r="D2906" s="67"/>
      <c r="E2906" s="68"/>
      <c r="F2906" s="17"/>
      <c r="G2906" s="27"/>
    </row>
    <row r="2907" spans="2:7" ht="20.25" customHeight="1" x14ac:dyDescent="0.3">
      <c r="B2907" s="17"/>
      <c r="C2907" s="27"/>
      <c r="D2907" s="67"/>
      <c r="E2907" s="68"/>
      <c r="F2907" s="17"/>
      <c r="G2907" s="27"/>
    </row>
    <row r="2908" spans="2:7" ht="20.25" customHeight="1" x14ac:dyDescent="0.3">
      <c r="B2908" s="17"/>
      <c r="C2908" s="27"/>
      <c r="D2908" s="67"/>
      <c r="E2908" s="68"/>
      <c r="F2908" s="17"/>
      <c r="G2908" s="27"/>
    </row>
    <row r="2909" spans="2:7" ht="20.25" customHeight="1" x14ac:dyDescent="0.3">
      <c r="B2909" s="17"/>
      <c r="C2909" s="27"/>
      <c r="D2909" s="67"/>
      <c r="E2909" s="68"/>
      <c r="F2909" s="17"/>
      <c r="G2909" s="27"/>
    </row>
    <row r="2910" spans="2:7" ht="20.25" customHeight="1" x14ac:dyDescent="0.3">
      <c r="B2910" s="17"/>
      <c r="C2910" s="27"/>
      <c r="D2910" s="67"/>
      <c r="E2910" s="68"/>
      <c r="F2910" s="17"/>
      <c r="G2910" s="27"/>
    </row>
    <row r="2911" spans="2:7" ht="20.25" customHeight="1" x14ac:dyDescent="0.3">
      <c r="B2911" s="17"/>
      <c r="C2911" s="27"/>
      <c r="D2911" s="67"/>
      <c r="E2911" s="68"/>
      <c r="F2911" s="17"/>
      <c r="G2911" s="27"/>
    </row>
    <row r="2912" spans="2:7" ht="20.25" customHeight="1" x14ac:dyDescent="0.3">
      <c r="B2912" s="17"/>
      <c r="C2912" s="27"/>
      <c r="D2912" s="67"/>
      <c r="E2912" s="68"/>
      <c r="F2912" s="17"/>
      <c r="G2912" s="27"/>
    </row>
    <row r="2913" spans="2:7" ht="20.25" customHeight="1" x14ac:dyDescent="0.3">
      <c r="B2913" s="17"/>
      <c r="C2913" s="27"/>
      <c r="D2913" s="67"/>
      <c r="E2913" s="68"/>
      <c r="F2913" s="17"/>
      <c r="G2913" s="27"/>
    </row>
    <row r="2914" spans="2:7" ht="20.25" customHeight="1" x14ac:dyDescent="0.3">
      <c r="B2914" s="17"/>
      <c r="C2914" s="27"/>
      <c r="D2914" s="67"/>
      <c r="E2914" s="68"/>
      <c r="F2914" s="17"/>
      <c r="G2914" s="27"/>
    </row>
    <row r="2915" spans="2:7" ht="20.25" customHeight="1" x14ac:dyDescent="0.3">
      <c r="B2915" s="17"/>
      <c r="C2915" s="27"/>
      <c r="D2915" s="67"/>
      <c r="E2915" s="68"/>
      <c r="F2915" s="17"/>
      <c r="G2915" s="27"/>
    </row>
    <row r="2916" spans="2:7" ht="20.25" customHeight="1" x14ac:dyDescent="0.3">
      <c r="B2916" s="17"/>
      <c r="C2916" s="27"/>
      <c r="D2916" s="67"/>
      <c r="E2916" s="68"/>
      <c r="F2916" s="17"/>
      <c r="G2916" s="27"/>
    </row>
    <row r="2917" spans="2:7" ht="20.25" customHeight="1" x14ac:dyDescent="0.3">
      <c r="B2917" s="17"/>
      <c r="C2917" s="27"/>
      <c r="D2917" s="67"/>
      <c r="E2917" s="68"/>
      <c r="F2917" s="17"/>
      <c r="G2917" s="27"/>
    </row>
    <row r="2918" spans="2:7" ht="20.25" customHeight="1" x14ac:dyDescent="0.3">
      <c r="B2918" s="17"/>
      <c r="C2918" s="27"/>
      <c r="D2918" s="67"/>
      <c r="E2918" s="68"/>
      <c r="F2918" s="17"/>
      <c r="G2918" s="27"/>
    </row>
    <row r="2919" spans="2:7" ht="20.25" customHeight="1" x14ac:dyDescent="0.3">
      <c r="B2919" s="17"/>
      <c r="C2919" s="27"/>
      <c r="D2919" s="67"/>
      <c r="E2919" s="68"/>
      <c r="F2919" s="17"/>
      <c r="G2919" s="27"/>
    </row>
    <row r="2920" spans="2:7" ht="20.25" customHeight="1" x14ac:dyDescent="0.3">
      <c r="B2920" s="17"/>
      <c r="C2920" s="27"/>
      <c r="D2920" s="67"/>
      <c r="E2920" s="68"/>
      <c r="F2920" s="17"/>
      <c r="G2920" s="27"/>
    </row>
    <row r="2921" spans="2:7" ht="20.25" customHeight="1" x14ac:dyDescent="0.3">
      <c r="B2921" s="17"/>
      <c r="C2921" s="27"/>
      <c r="D2921" s="67"/>
      <c r="E2921" s="68"/>
      <c r="F2921" s="17"/>
      <c r="G2921" s="27"/>
    </row>
    <row r="2922" spans="2:7" ht="20.25" customHeight="1" x14ac:dyDescent="0.3">
      <c r="B2922" s="17"/>
      <c r="C2922" s="27"/>
      <c r="D2922" s="67"/>
      <c r="E2922" s="68"/>
      <c r="F2922" s="17"/>
      <c r="G2922" s="27"/>
    </row>
    <row r="2923" spans="2:7" ht="20.25" customHeight="1" x14ac:dyDescent="0.3">
      <c r="B2923" s="17"/>
      <c r="C2923" s="27"/>
      <c r="D2923" s="67"/>
      <c r="E2923" s="68"/>
      <c r="F2923" s="17"/>
      <c r="G2923" s="27"/>
    </row>
    <row r="2924" spans="2:7" ht="20.25" customHeight="1" x14ac:dyDescent="0.3">
      <c r="B2924" s="17"/>
      <c r="C2924" s="27"/>
      <c r="D2924" s="67"/>
      <c r="E2924" s="68"/>
      <c r="F2924" s="17"/>
      <c r="G2924" s="27"/>
    </row>
    <row r="2925" spans="2:7" ht="20.25" customHeight="1" x14ac:dyDescent="0.3">
      <c r="B2925" s="17"/>
      <c r="C2925" s="27"/>
      <c r="D2925" s="67"/>
      <c r="E2925" s="68"/>
      <c r="F2925" s="17"/>
      <c r="G2925" s="27"/>
    </row>
    <row r="2926" spans="2:7" ht="20.25" customHeight="1" x14ac:dyDescent="0.3">
      <c r="B2926" s="17"/>
      <c r="C2926" s="27"/>
      <c r="D2926" s="67"/>
      <c r="E2926" s="68"/>
      <c r="F2926" s="17"/>
      <c r="G2926" s="27"/>
    </row>
    <row r="2927" spans="2:7" ht="20.25" customHeight="1" x14ac:dyDescent="0.3">
      <c r="B2927" s="17"/>
      <c r="C2927" s="27"/>
      <c r="D2927" s="67"/>
      <c r="E2927" s="68"/>
      <c r="F2927" s="17"/>
      <c r="G2927" s="27"/>
    </row>
    <row r="2928" spans="2:7" ht="20.25" customHeight="1" x14ac:dyDescent="0.3">
      <c r="B2928" s="17"/>
      <c r="C2928" s="27"/>
      <c r="D2928" s="67"/>
      <c r="E2928" s="68"/>
      <c r="F2928" s="17"/>
      <c r="G2928" s="27"/>
    </row>
    <row r="2929" spans="2:7" ht="20.25" customHeight="1" x14ac:dyDescent="0.3">
      <c r="B2929" s="17"/>
      <c r="C2929" s="27"/>
      <c r="D2929" s="67"/>
      <c r="E2929" s="68"/>
      <c r="F2929" s="17"/>
      <c r="G2929" s="27"/>
    </row>
    <row r="2930" spans="2:7" ht="20.25" customHeight="1" x14ac:dyDescent="0.3">
      <c r="B2930" s="17"/>
      <c r="C2930" s="27"/>
      <c r="D2930" s="67"/>
      <c r="E2930" s="68"/>
      <c r="F2930" s="17"/>
      <c r="G2930" s="27"/>
    </row>
    <row r="2931" spans="2:7" ht="20.25" customHeight="1" x14ac:dyDescent="0.3">
      <c r="B2931" s="17"/>
      <c r="C2931" s="27"/>
      <c r="D2931" s="67"/>
      <c r="E2931" s="68"/>
      <c r="F2931" s="17"/>
      <c r="G2931" s="27"/>
    </row>
    <row r="2932" spans="2:7" ht="20.25" customHeight="1" x14ac:dyDescent="0.3">
      <c r="B2932" s="17"/>
      <c r="C2932" s="27"/>
      <c r="D2932" s="67"/>
      <c r="E2932" s="68"/>
      <c r="F2932" s="17"/>
      <c r="G2932" s="27"/>
    </row>
    <row r="2933" spans="2:7" ht="20.25" customHeight="1" x14ac:dyDescent="0.3">
      <c r="B2933" s="17"/>
      <c r="C2933" s="27"/>
      <c r="D2933" s="67"/>
      <c r="E2933" s="68"/>
      <c r="F2933" s="17"/>
      <c r="G2933" s="27"/>
    </row>
    <row r="2934" spans="2:7" ht="20.25" customHeight="1" x14ac:dyDescent="0.3">
      <c r="B2934" s="17"/>
      <c r="C2934" s="27"/>
      <c r="D2934" s="67"/>
      <c r="E2934" s="68"/>
      <c r="F2934" s="17"/>
      <c r="G2934" s="27"/>
    </row>
    <row r="2935" spans="2:7" ht="20.25" customHeight="1" x14ac:dyDescent="0.3">
      <c r="B2935" s="17"/>
      <c r="C2935" s="27"/>
      <c r="D2935" s="67"/>
      <c r="E2935" s="68"/>
      <c r="F2935" s="17"/>
      <c r="G2935" s="27"/>
    </row>
    <row r="2936" spans="2:7" ht="20.25" customHeight="1" x14ac:dyDescent="0.3">
      <c r="B2936" s="17"/>
      <c r="C2936" s="27"/>
      <c r="D2936" s="67"/>
      <c r="E2936" s="68"/>
      <c r="F2936" s="17"/>
      <c r="G2936" s="27"/>
    </row>
    <row r="2937" spans="2:7" ht="20.25" customHeight="1" x14ac:dyDescent="0.3">
      <c r="B2937" s="17"/>
      <c r="C2937" s="27"/>
      <c r="D2937" s="67"/>
      <c r="E2937" s="68"/>
      <c r="F2937" s="17"/>
      <c r="G2937" s="27"/>
    </row>
    <row r="2938" spans="2:7" ht="20.25" customHeight="1" x14ac:dyDescent="0.3">
      <c r="B2938" s="17"/>
      <c r="C2938" s="27"/>
      <c r="D2938" s="67"/>
      <c r="E2938" s="68"/>
      <c r="F2938" s="17"/>
      <c r="G2938" s="27"/>
    </row>
    <row r="2939" spans="2:7" ht="20.25" customHeight="1" x14ac:dyDescent="0.3">
      <c r="B2939" s="17"/>
      <c r="C2939" s="27"/>
      <c r="D2939" s="67"/>
      <c r="E2939" s="68"/>
      <c r="F2939" s="17"/>
      <c r="G2939" s="27"/>
    </row>
    <row r="2940" spans="2:7" ht="20.25" customHeight="1" x14ac:dyDescent="0.3">
      <c r="B2940" s="17"/>
      <c r="C2940" s="27"/>
      <c r="D2940" s="67"/>
      <c r="E2940" s="68"/>
      <c r="F2940" s="17"/>
      <c r="G2940" s="27"/>
    </row>
    <row r="2941" spans="2:7" ht="20.25" customHeight="1" x14ac:dyDescent="0.3">
      <c r="B2941" s="17"/>
      <c r="C2941" s="27"/>
      <c r="D2941" s="67"/>
      <c r="E2941" s="68"/>
      <c r="F2941" s="17"/>
      <c r="G2941" s="27"/>
    </row>
    <row r="2942" spans="2:7" ht="20.25" customHeight="1" x14ac:dyDescent="0.3">
      <c r="B2942" s="17"/>
      <c r="C2942" s="27"/>
      <c r="D2942" s="67"/>
      <c r="E2942" s="68"/>
      <c r="F2942" s="17"/>
      <c r="G2942" s="27"/>
    </row>
    <row r="2943" spans="2:7" ht="20.25" customHeight="1" x14ac:dyDescent="0.3">
      <c r="B2943" s="17"/>
      <c r="C2943" s="27"/>
      <c r="D2943" s="67"/>
      <c r="E2943" s="68"/>
      <c r="F2943" s="17"/>
      <c r="G2943" s="27"/>
    </row>
    <row r="2944" spans="2:7" ht="20.25" customHeight="1" x14ac:dyDescent="0.3">
      <c r="B2944" s="17"/>
      <c r="C2944" s="27"/>
      <c r="D2944" s="67"/>
      <c r="E2944" s="68"/>
      <c r="F2944" s="17"/>
      <c r="G2944" s="27"/>
    </row>
    <row r="2945" spans="2:7" ht="20.25" customHeight="1" x14ac:dyDescent="0.3">
      <c r="B2945" s="17"/>
      <c r="C2945" s="27"/>
      <c r="D2945" s="67"/>
      <c r="E2945" s="68"/>
      <c r="F2945" s="17"/>
      <c r="G2945" s="27"/>
    </row>
    <row r="2946" spans="2:7" ht="20.25" customHeight="1" x14ac:dyDescent="0.3">
      <c r="B2946" s="17"/>
      <c r="C2946" s="27"/>
      <c r="D2946" s="67"/>
      <c r="E2946" s="68"/>
      <c r="F2946" s="17"/>
      <c r="G2946" s="27"/>
    </row>
    <row r="2947" spans="2:7" ht="20.25" customHeight="1" x14ac:dyDescent="0.3">
      <c r="B2947" s="17"/>
      <c r="C2947" s="27"/>
      <c r="D2947" s="67"/>
      <c r="E2947" s="68"/>
      <c r="F2947" s="17"/>
      <c r="G2947" s="27"/>
    </row>
    <row r="2948" spans="2:7" ht="20.25" customHeight="1" x14ac:dyDescent="0.3">
      <c r="B2948" s="17"/>
      <c r="C2948" s="27"/>
      <c r="D2948" s="67"/>
      <c r="E2948" s="68"/>
      <c r="F2948" s="17"/>
      <c r="G2948" s="27"/>
    </row>
    <row r="2949" spans="2:7" ht="20.25" customHeight="1" x14ac:dyDescent="0.3">
      <c r="B2949" s="17"/>
      <c r="C2949" s="27"/>
      <c r="D2949" s="67"/>
      <c r="E2949" s="68"/>
      <c r="F2949" s="17"/>
      <c r="G2949" s="27"/>
    </row>
    <row r="2950" spans="2:7" ht="20.25" customHeight="1" x14ac:dyDescent="0.3">
      <c r="B2950" s="17"/>
      <c r="C2950" s="27"/>
      <c r="D2950" s="67"/>
      <c r="E2950" s="68"/>
      <c r="F2950" s="17"/>
      <c r="G2950" s="27"/>
    </row>
    <row r="2951" spans="2:7" ht="20.25" customHeight="1" x14ac:dyDescent="0.3">
      <c r="B2951" s="17"/>
      <c r="C2951" s="27"/>
      <c r="D2951" s="67"/>
      <c r="E2951" s="68"/>
      <c r="F2951" s="17"/>
      <c r="G2951" s="27"/>
    </row>
    <row r="2952" spans="2:7" ht="20.25" customHeight="1" x14ac:dyDescent="0.3">
      <c r="B2952" s="17"/>
      <c r="C2952" s="27"/>
      <c r="D2952" s="67"/>
      <c r="E2952" s="68"/>
      <c r="F2952" s="17"/>
      <c r="G2952" s="27"/>
    </row>
    <row r="2953" spans="2:7" ht="20.25" customHeight="1" x14ac:dyDescent="0.3">
      <c r="B2953" s="17"/>
      <c r="C2953" s="27"/>
      <c r="D2953" s="67"/>
      <c r="E2953" s="68"/>
      <c r="F2953" s="17"/>
      <c r="G2953" s="27"/>
    </row>
    <row r="2954" spans="2:7" ht="20.25" customHeight="1" x14ac:dyDescent="0.3">
      <c r="B2954" s="17"/>
      <c r="C2954" s="27"/>
      <c r="D2954" s="67"/>
      <c r="E2954" s="68"/>
      <c r="F2954" s="17"/>
      <c r="G2954" s="27"/>
    </row>
    <row r="2955" spans="2:7" ht="20.25" customHeight="1" x14ac:dyDescent="0.3">
      <c r="B2955" s="17"/>
      <c r="C2955" s="27"/>
      <c r="D2955" s="67"/>
      <c r="E2955" s="68"/>
      <c r="F2955" s="17"/>
      <c r="G2955" s="27"/>
    </row>
    <row r="2956" spans="2:7" ht="20.25" customHeight="1" x14ac:dyDescent="0.3">
      <c r="B2956" s="17"/>
      <c r="C2956" s="27"/>
      <c r="D2956" s="67"/>
      <c r="E2956" s="68"/>
      <c r="F2956" s="17"/>
      <c r="G2956" s="27"/>
    </row>
    <row r="2957" spans="2:7" ht="20.25" customHeight="1" x14ac:dyDescent="0.3">
      <c r="B2957" s="17"/>
      <c r="C2957" s="27"/>
      <c r="D2957" s="67"/>
      <c r="E2957" s="68"/>
      <c r="F2957" s="17"/>
      <c r="G2957" s="27"/>
    </row>
    <row r="2958" spans="2:7" ht="20.25" customHeight="1" x14ac:dyDescent="0.3">
      <c r="B2958" s="17"/>
      <c r="C2958" s="27"/>
      <c r="D2958" s="67"/>
      <c r="E2958" s="68"/>
      <c r="F2958" s="17"/>
      <c r="G2958" s="27"/>
    </row>
    <row r="2959" spans="2:7" ht="20.25" customHeight="1" x14ac:dyDescent="0.3">
      <c r="B2959" s="17"/>
      <c r="C2959" s="27"/>
      <c r="D2959" s="67"/>
      <c r="E2959" s="68"/>
      <c r="F2959" s="17"/>
      <c r="G2959" s="27"/>
    </row>
    <row r="2960" spans="2:7" ht="20.25" customHeight="1" x14ac:dyDescent="0.3">
      <c r="B2960" s="17"/>
      <c r="C2960" s="27"/>
      <c r="D2960" s="67"/>
      <c r="E2960" s="68"/>
      <c r="F2960" s="17"/>
      <c r="G2960" s="27"/>
    </row>
    <row r="2961" spans="2:7" ht="20.25" customHeight="1" x14ac:dyDescent="0.3">
      <c r="B2961" s="17"/>
      <c r="C2961" s="27"/>
      <c r="D2961" s="67"/>
      <c r="E2961" s="68"/>
      <c r="F2961" s="17"/>
      <c r="G2961" s="27"/>
    </row>
    <row r="2962" spans="2:7" ht="20.25" customHeight="1" x14ac:dyDescent="0.3">
      <c r="B2962" s="17"/>
      <c r="C2962" s="27"/>
      <c r="D2962" s="67"/>
      <c r="E2962" s="68"/>
      <c r="F2962" s="17"/>
      <c r="G2962" s="27"/>
    </row>
    <row r="2963" spans="2:7" ht="20.25" customHeight="1" x14ac:dyDescent="0.3">
      <c r="B2963" s="17"/>
      <c r="C2963" s="27"/>
      <c r="D2963" s="67"/>
      <c r="E2963" s="68"/>
      <c r="F2963" s="17"/>
      <c r="G2963" s="27"/>
    </row>
    <row r="2964" spans="2:7" ht="20.25" customHeight="1" x14ac:dyDescent="0.3">
      <c r="B2964" s="17"/>
      <c r="C2964" s="27"/>
      <c r="D2964" s="67"/>
      <c r="E2964" s="68"/>
      <c r="F2964" s="17"/>
      <c r="G2964" s="27"/>
    </row>
    <row r="2965" spans="2:7" ht="20.25" customHeight="1" x14ac:dyDescent="0.3">
      <c r="B2965" s="17"/>
      <c r="C2965" s="27"/>
      <c r="D2965" s="67"/>
      <c r="E2965" s="68"/>
      <c r="F2965" s="17"/>
      <c r="G2965" s="27"/>
    </row>
    <row r="2966" spans="2:7" ht="20.25" customHeight="1" x14ac:dyDescent="0.3">
      <c r="B2966" s="17"/>
      <c r="C2966" s="27"/>
      <c r="D2966" s="67"/>
      <c r="E2966" s="68"/>
      <c r="F2966" s="17"/>
      <c r="G2966" s="27"/>
    </row>
    <row r="2967" spans="2:7" ht="20.25" customHeight="1" x14ac:dyDescent="0.3">
      <c r="B2967" s="17"/>
      <c r="C2967" s="27"/>
      <c r="D2967" s="67"/>
      <c r="E2967" s="68"/>
      <c r="F2967" s="17"/>
      <c r="G2967" s="27"/>
    </row>
    <row r="2968" spans="2:7" ht="20.25" customHeight="1" x14ac:dyDescent="0.3">
      <c r="B2968" s="17"/>
      <c r="C2968" s="27"/>
      <c r="D2968" s="67"/>
      <c r="E2968" s="68"/>
      <c r="F2968" s="17"/>
      <c r="G2968" s="27"/>
    </row>
    <row r="2969" spans="2:7" ht="20.25" customHeight="1" x14ac:dyDescent="0.3">
      <c r="B2969" s="17"/>
      <c r="C2969" s="27"/>
      <c r="D2969" s="67"/>
      <c r="E2969" s="68"/>
      <c r="F2969" s="17"/>
      <c r="G2969" s="27"/>
    </row>
    <row r="2970" spans="2:7" ht="20.25" customHeight="1" x14ac:dyDescent="0.3">
      <c r="B2970" s="17"/>
      <c r="C2970" s="27"/>
      <c r="D2970" s="67"/>
      <c r="E2970" s="68"/>
      <c r="F2970" s="17"/>
      <c r="G2970" s="27"/>
    </row>
    <row r="2971" spans="2:7" ht="20.25" customHeight="1" x14ac:dyDescent="0.3">
      <c r="B2971" s="17"/>
      <c r="C2971" s="27"/>
      <c r="D2971" s="67"/>
      <c r="E2971" s="68"/>
      <c r="F2971" s="17"/>
      <c r="G2971" s="27"/>
    </row>
    <row r="2972" spans="2:7" ht="20.25" customHeight="1" x14ac:dyDescent="0.3">
      <c r="B2972" s="17"/>
      <c r="C2972" s="27"/>
      <c r="D2972" s="67"/>
      <c r="E2972" s="68"/>
      <c r="F2972" s="17"/>
      <c r="G2972" s="27"/>
    </row>
    <row r="2973" spans="2:7" ht="20.25" customHeight="1" x14ac:dyDescent="0.3">
      <c r="B2973" s="17"/>
      <c r="C2973" s="27"/>
      <c r="D2973" s="67"/>
      <c r="E2973" s="68"/>
      <c r="F2973" s="17"/>
      <c r="G2973" s="27"/>
    </row>
    <row r="2974" spans="2:7" ht="20.25" customHeight="1" x14ac:dyDescent="0.3">
      <c r="B2974" s="17"/>
      <c r="C2974" s="27"/>
      <c r="D2974" s="67"/>
      <c r="E2974" s="68"/>
      <c r="F2974" s="17"/>
      <c r="G2974" s="27"/>
    </row>
    <row r="2975" spans="2:7" ht="20.25" customHeight="1" x14ac:dyDescent="0.3">
      <c r="B2975" s="17"/>
      <c r="C2975" s="27"/>
      <c r="D2975" s="67"/>
      <c r="E2975" s="68"/>
      <c r="F2975" s="17"/>
      <c r="G2975" s="27"/>
    </row>
    <row r="2976" spans="2:7" ht="20.25" customHeight="1" x14ac:dyDescent="0.3">
      <c r="B2976" s="17"/>
      <c r="C2976" s="27"/>
      <c r="D2976" s="67"/>
      <c r="E2976" s="68"/>
      <c r="F2976" s="17"/>
      <c r="G2976" s="27"/>
    </row>
    <row r="2977" spans="2:7" ht="20.25" customHeight="1" x14ac:dyDescent="0.3">
      <c r="B2977" s="17"/>
      <c r="C2977" s="27"/>
      <c r="D2977" s="67"/>
      <c r="E2977" s="68"/>
      <c r="F2977" s="17"/>
      <c r="G2977" s="27"/>
    </row>
    <row r="2978" spans="2:7" ht="20.25" customHeight="1" x14ac:dyDescent="0.3">
      <c r="B2978" s="17"/>
      <c r="C2978" s="27"/>
      <c r="D2978" s="67"/>
      <c r="E2978" s="68"/>
      <c r="F2978" s="17"/>
      <c r="G2978" s="27"/>
    </row>
    <row r="2979" spans="2:7" ht="20.25" customHeight="1" x14ac:dyDescent="0.3">
      <c r="B2979" s="17"/>
      <c r="C2979" s="27"/>
      <c r="D2979" s="67"/>
      <c r="E2979" s="68"/>
      <c r="F2979" s="17"/>
      <c r="G2979" s="27"/>
    </row>
    <row r="2980" spans="2:7" ht="20.25" customHeight="1" x14ac:dyDescent="0.3">
      <c r="B2980" s="17"/>
      <c r="C2980" s="27"/>
      <c r="D2980" s="67"/>
      <c r="E2980" s="68"/>
      <c r="F2980" s="17"/>
      <c r="G2980" s="27"/>
    </row>
    <row r="2981" spans="2:7" ht="20.25" customHeight="1" x14ac:dyDescent="0.3">
      <c r="B2981" s="17"/>
      <c r="C2981" s="27"/>
      <c r="D2981" s="67"/>
      <c r="E2981" s="68"/>
      <c r="F2981" s="17"/>
      <c r="G2981" s="27"/>
    </row>
    <row r="2982" spans="2:7" ht="20.25" customHeight="1" x14ac:dyDescent="0.3">
      <c r="B2982" s="17"/>
      <c r="C2982" s="27"/>
      <c r="D2982" s="67"/>
      <c r="E2982" s="68"/>
      <c r="F2982" s="17"/>
      <c r="G2982" s="27"/>
    </row>
    <row r="2983" spans="2:7" ht="20.25" customHeight="1" x14ac:dyDescent="0.3">
      <c r="B2983" s="17"/>
      <c r="C2983" s="27"/>
      <c r="D2983" s="67"/>
      <c r="E2983" s="68"/>
      <c r="F2983" s="17"/>
      <c r="G2983" s="27"/>
    </row>
    <row r="2984" spans="2:7" ht="20.25" customHeight="1" x14ac:dyDescent="0.3">
      <c r="B2984" s="17"/>
      <c r="C2984" s="27"/>
      <c r="D2984" s="67"/>
      <c r="E2984" s="68"/>
      <c r="F2984" s="17"/>
      <c r="G2984" s="27"/>
    </row>
    <row r="2985" spans="2:7" ht="20.25" customHeight="1" x14ac:dyDescent="0.3">
      <c r="B2985" s="17"/>
      <c r="C2985" s="27"/>
      <c r="D2985" s="67"/>
      <c r="E2985" s="68"/>
      <c r="F2985" s="17"/>
      <c r="G2985" s="27"/>
    </row>
    <row r="2986" spans="2:7" ht="20.25" customHeight="1" x14ac:dyDescent="0.3">
      <c r="B2986" s="17"/>
      <c r="C2986" s="27"/>
      <c r="D2986" s="67"/>
      <c r="E2986" s="68"/>
      <c r="F2986" s="17"/>
      <c r="G2986" s="27"/>
    </row>
    <row r="2987" spans="2:7" ht="20.25" customHeight="1" x14ac:dyDescent="0.3">
      <c r="B2987" s="17"/>
      <c r="C2987" s="27"/>
      <c r="D2987" s="67"/>
      <c r="E2987" s="68"/>
      <c r="F2987" s="17"/>
      <c r="G2987" s="27"/>
    </row>
    <row r="2988" spans="2:7" ht="20.25" customHeight="1" x14ac:dyDescent="0.3">
      <c r="B2988" s="17"/>
      <c r="C2988" s="27"/>
      <c r="D2988" s="67"/>
      <c r="E2988" s="68"/>
      <c r="F2988" s="17"/>
      <c r="G2988" s="27"/>
    </row>
    <row r="2989" spans="2:7" ht="20.25" customHeight="1" x14ac:dyDescent="0.3">
      <c r="B2989" s="17"/>
      <c r="C2989" s="27"/>
      <c r="D2989" s="67"/>
      <c r="E2989" s="68"/>
      <c r="F2989" s="17"/>
      <c r="G2989" s="27"/>
    </row>
    <row r="2990" spans="2:7" ht="20.25" customHeight="1" x14ac:dyDescent="0.3">
      <c r="B2990" s="17"/>
      <c r="C2990" s="27"/>
      <c r="D2990" s="67"/>
      <c r="E2990" s="68"/>
      <c r="F2990" s="17"/>
      <c r="G2990" s="27"/>
    </row>
    <row r="2991" spans="2:7" ht="20.25" customHeight="1" x14ac:dyDescent="0.3">
      <c r="B2991" s="17"/>
      <c r="C2991" s="27"/>
      <c r="D2991" s="67"/>
      <c r="E2991" s="68"/>
      <c r="F2991" s="17"/>
      <c r="G2991" s="27"/>
    </row>
    <row r="2992" spans="2:7" ht="20.25" customHeight="1" x14ac:dyDescent="0.3">
      <c r="B2992" s="17"/>
      <c r="C2992" s="27"/>
      <c r="D2992" s="67"/>
      <c r="E2992" s="68"/>
      <c r="F2992" s="17"/>
      <c r="G2992" s="27"/>
    </row>
    <row r="2993" spans="2:7" ht="20.25" customHeight="1" x14ac:dyDescent="0.3">
      <c r="B2993" s="17"/>
      <c r="C2993" s="27"/>
      <c r="D2993" s="67"/>
      <c r="E2993" s="68"/>
      <c r="F2993" s="17"/>
      <c r="G2993" s="27"/>
    </row>
    <row r="2994" spans="2:7" ht="20.25" customHeight="1" x14ac:dyDescent="0.3">
      <c r="B2994" s="17"/>
      <c r="C2994" s="27"/>
      <c r="D2994" s="67"/>
      <c r="E2994" s="68"/>
      <c r="F2994" s="17"/>
      <c r="G2994" s="27"/>
    </row>
    <row r="2995" spans="2:7" ht="20.25" customHeight="1" x14ac:dyDescent="0.3">
      <c r="B2995" s="17"/>
      <c r="C2995" s="27"/>
      <c r="D2995" s="67"/>
      <c r="E2995" s="68"/>
      <c r="F2995" s="17"/>
      <c r="G2995" s="27"/>
    </row>
    <row r="2996" spans="2:7" ht="20.25" customHeight="1" x14ac:dyDescent="0.3">
      <c r="B2996" s="17"/>
      <c r="C2996" s="27"/>
      <c r="D2996" s="67"/>
      <c r="E2996" s="68"/>
      <c r="F2996" s="17"/>
      <c r="G2996" s="27"/>
    </row>
    <row r="2997" spans="2:7" ht="20.25" customHeight="1" x14ac:dyDescent="0.3">
      <c r="B2997" s="17"/>
      <c r="C2997" s="27"/>
      <c r="D2997" s="67"/>
      <c r="E2997" s="68"/>
      <c r="F2997" s="17"/>
      <c r="G2997" s="27"/>
    </row>
    <row r="2998" spans="2:7" ht="20.25" customHeight="1" x14ac:dyDescent="0.3">
      <c r="B2998" s="17"/>
      <c r="C2998" s="27"/>
      <c r="D2998" s="67"/>
      <c r="E2998" s="68"/>
      <c r="F2998" s="17"/>
      <c r="G2998" s="27"/>
    </row>
    <row r="2999" spans="2:7" ht="20.25" customHeight="1" x14ac:dyDescent="0.3">
      <c r="B2999" s="17"/>
      <c r="C2999" s="27"/>
      <c r="D2999" s="67"/>
      <c r="E2999" s="68"/>
      <c r="F2999" s="17"/>
      <c r="G2999" s="27"/>
    </row>
    <row r="3000" spans="2:7" ht="20.25" customHeight="1" x14ac:dyDescent="0.3">
      <c r="B3000" s="17"/>
      <c r="C3000" s="27"/>
      <c r="D3000" s="67"/>
      <c r="E3000" s="68"/>
      <c r="F3000" s="17"/>
      <c r="G3000" s="27"/>
    </row>
    <row r="3001" spans="2:7" ht="20.25" customHeight="1" x14ac:dyDescent="0.3">
      <c r="B3001" s="17"/>
      <c r="C3001" s="27"/>
      <c r="D3001" s="67"/>
      <c r="E3001" s="68"/>
      <c r="F3001" s="17"/>
      <c r="G3001" s="27"/>
    </row>
    <row r="3002" spans="2:7" ht="20.25" customHeight="1" x14ac:dyDescent="0.3">
      <c r="B3002" s="17"/>
      <c r="C3002" s="27"/>
      <c r="D3002" s="67"/>
      <c r="E3002" s="68"/>
      <c r="F3002" s="17"/>
      <c r="G3002" s="27"/>
    </row>
    <row r="3003" spans="2:7" ht="20.25" customHeight="1" x14ac:dyDescent="0.3">
      <c r="B3003" s="17"/>
      <c r="C3003" s="27"/>
      <c r="D3003" s="67"/>
      <c r="E3003" s="68"/>
      <c r="F3003" s="17"/>
      <c r="G3003" s="27"/>
    </row>
    <row r="3004" spans="2:7" ht="20.25" customHeight="1" x14ac:dyDescent="0.3">
      <c r="B3004" s="17"/>
      <c r="C3004" s="27"/>
      <c r="D3004" s="67"/>
      <c r="E3004" s="68"/>
      <c r="F3004" s="17"/>
      <c r="G3004" s="27"/>
    </row>
    <row r="3005" spans="2:7" ht="20.25" customHeight="1" x14ac:dyDescent="0.3">
      <c r="B3005" s="17"/>
      <c r="C3005" s="27"/>
      <c r="D3005" s="67"/>
      <c r="E3005" s="68"/>
      <c r="F3005" s="17"/>
      <c r="G3005" s="27"/>
    </row>
    <row r="3006" spans="2:7" ht="20.25" customHeight="1" x14ac:dyDescent="0.3">
      <c r="B3006" s="17"/>
      <c r="C3006" s="27"/>
      <c r="D3006" s="67"/>
      <c r="E3006" s="68"/>
      <c r="F3006" s="17"/>
      <c r="G3006" s="27"/>
    </row>
    <row r="3007" spans="2:7" ht="20.25" customHeight="1" x14ac:dyDescent="0.3">
      <c r="B3007" s="17"/>
      <c r="C3007" s="27"/>
      <c r="D3007" s="67"/>
      <c r="E3007" s="68"/>
      <c r="F3007" s="17"/>
      <c r="G3007" s="27"/>
    </row>
    <row r="3008" spans="2:7" ht="20.25" customHeight="1" x14ac:dyDescent="0.3">
      <c r="B3008" s="17"/>
      <c r="C3008" s="27"/>
      <c r="D3008" s="67"/>
      <c r="E3008" s="68"/>
      <c r="F3008" s="17"/>
      <c r="G3008" s="27"/>
    </row>
    <row r="3009" spans="2:7" ht="20.25" customHeight="1" x14ac:dyDescent="0.3">
      <c r="B3009" s="17"/>
      <c r="C3009" s="27"/>
      <c r="D3009" s="67"/>
      <c r="E3009" s="68"/>
      <c r="F3009" s="17"/>
      <c r="G3009" s="27"/>
    </row>
    <row r="3010" spans="2:7" ht="20.25" customHeight="1" x14ac:dyDescent="0.3">
      <c r="B3010" s="17"/>
      <c r="C3010" s="27"/>
      <c r="D3010" s="67"/>
      <c r="E3010" s="68"/>
      <c r="F3010" s="17"/>
      <c r="G3010" s="27"/>
    </row>
    <row r="3011" spans="2:7" ht="20.25" customHeight="1" x14ac:dyDescent="0.3">
      <c r="B3011" s="17"/>
      <c r="C3011" s="27"/>
      <c r="D3011" s="67"/>
      <c r="E3011" s="68"/>
      <c r="F3011" s="17"/>
      <c r="G3011" s="27"/>
    </row>
    <row r="3012" spans="2:7" ht="20.25" customHeight="1" x14ac:dyDescent="0.3">
      <c r="B3012" s="17"/>
      <c r="C3012" s="27"/>
      <c r="D3012" s="67"/>
      <c r="E3012" s="68"/>
      <c r="F3012" s="17"/>
      <c r="G3012" s="27"/>
    </row>
    <row r="3013" spans="2:7" ht="20.25" customHeight="1" x14ac:dyDescent="0.3">
      <c r="B3013" s="17"/>
      <c r="C3013" s="27"/>
      <c r="D3013" s="67"/>
      <c r="E3013" s="68"/>
      <c r="F3013" s="17"/>
      <c r="G3013" s="27"/>
    </row>
    <row r="3014" spans="2:7" ht="20.25" customHeight="1" x14ac:dyDescent="0.3">
      <c r="B3014" s="17"/>
      <c r="C3014" s="27"/>
      <c r="D3014" s="67"/>
      <c r="E3014" s="68"/>
      <c r="F3014" s="17"/>
      <c r="G3014" s="27"/>
    </row>
    <row r="3015" spans="2:7" ht="20.25" customHeight="1" x14ac:dyDescent="0.3">
      <c r="B3015" s="17"/>
      <c r="C3015" s="27"/>
      <c r="D3015" s="67"/>
      <c r="E3015" s="68"/>
      <c r="F3015" s="17"/>
      <c r="G3015" s="27"/>
    </row>
    <row r="3016" spans="2:7" ht="20.25" customHeight="1" x14ac:dyDescent="0.3">
      <c r="B3016" s="17"/>
      <c r="C3016" s="27"/>
      <c r="D3016" s="67"/>
      <c r="E3016" s="68"/>
      <c r="F3016" s="17"/>
      <c r="G3016" s="27"/>
    </row>
    <row r="3017" spans="2:7" ht="20.25" customHeight="1" x14ac:dyDescent="0.3">
      <c r="B3017" s="17"/>
      <c r="C3017" s="27"/>
      <c r="D3017" s="67"/>
      <c r="E3017" s="68"/>
      <c r="F3017" s="17"/>
      <c r="G3017" s="27"/>
    </row>
    <row r="3018" spans="2:7" ht="20.25" customHeight="1" x14ac:dyDescent="0.3">
      <c r="B3018" s="17"/>
      <c r="C3018" s="27"/>
      <c r="D3018" s="67"/>
      <c r="E3018" s="68"/>
      <c r="F3018" s="17"/>
      <c r="G3018" s="27"/>
    </row>
    <row r="3019" spans="2:7" ht="20.25" customHeight="1" x14ac:dyDescent="0.3">
      <c r="B3019" s="17"/>
      <c r="C3019" s="27"/>
      <c r="D3019" s="67"/>
      <c r="E3019" s="68"/>
      <c r="F3019" s="17"/>
      <c r="G3019" s="27"/>
    </row>
    <row r="3020" spans="2:7" ht="20.25" customHeight="1" x14ac:dyDescent="0.3">
      <c r="B3020" s="17"/>
      <c r="C3020" s="27"/>
      <c r="D3020" s="67"/>
      <c r="E3020" s="68"/>
      <c r="F3020" s="17"/>
      <c r="G3020" s="27"/>
    </row>
    <row r="3021" spans="2:7" ht="20.25" customHeight="1" x14ac:dyDescent="0.3">
      <c r="B3021" s="17"/>
      <c r="C3021" s="27"/>
      <c r="D3021" s="67"/>
      <c r="E3021" s="68"/>
      <c r="F3021" s="17"/>
      <c r="G3021" s="27"/>
    </row>
    <row r="3022" spans="2:7" ht="20.25" customHeight="1" x14ac:dyDescent="0.3">
      <c r="B3022" s="17"/>
      <c r="C3022" s="27"/>
      <c r="D3022" s="67"/>
      <c r="E3022" s="68"/>
      <c r="F3022" s="17"/>
      <c r="G3022" s="27"/>
    </row>
    <row r="3023" spans="2:7" ht="20.25" customHeight="1" x14ac:dyDescent="0.3">
      <c r="B3023" s="17"/>
      <c r="C3023" s="27"/>
      <c r="D3023" s="67"/>
      <c r="E3023" s="68"/>
      <c r="F3023" s="17"/>
      <c r="G3023" s="27"/>
    </row>
    <row r="3024" spans="2:7" ht="20.25" customHeight="1" x14ac:dyDescent="0.3">
      <c r="B3024" s="17"/>
      <c r="C3024" s="27"/>
      <c r="D3024" s="67"/>
      <c r="E3024" s="68"/>
      <c r="F3024" s="17"/>
      <c r="G3024" s="27"/>
    </row>
    <row r="3025" spans="2:7" ht="20.25" customHeight="1" x14ac:dyDescent="0.3">
      <c r="B3025" s="17"/>
      <c r="C3025" s="27"/>
      <c r="D3025" s="67"/>
      <c r="E3025" s="68"/>
      <c r="F3025" s="17"/>
      <c r="G3025" s="27"/>
    </row>
    <row r="3026" spans="2:7" ht="20.25" customHeight="1" x14ac:dyDescent="0.3">
      <c r="B3026" s="17"/>
      <c r="C3026" s="27"/>
      <c r="D3026" s="67"/>
      <c r="E3026" s="68"/>
      <c r="F3026" s="17"/>
      <c r="G3026" s="27"/>
    </row>
    <row r="3027" spans="2:7" ht="20.25" customHeight="1" x14ac:dyDescent="0.3">
      <c r="B3027" s="17"/>
      <c r="C3027" s="27"/>
      <c r="D3027" s="67"/>
      <c r="E3027" s="68"/>
      <c r="F3027" s="17"/>
      <c r="G3027" s="27"/>
    </row>
    <row r="3028" spans="2:7" ht="20.25" customHeight="1" x14ac:dyDescent="0.3">
      <c r="B3028" s="17"/>
      <c r="C3028" s="27"/>
      <c r="D3028" s="67"/>
      <c r="E3028" s="68"/>
      <c r="F3028" s="17"/>
      <c r="G3028" s="27"/>
    </row>
    <row r="3029" spans="2:7" ht="20.25" customHeight="1" x14ac:dyDescent="0.3">
      <c r="B3029" s="17"/>
      <c r="C3029" s="27"/>
      <c r="D3029" s="67"/>
      <c r="E3029" s="68"/>
      <c r="F3029" s="17"/>
      <c r="G3029" s="27"/>
    </row>
    <row r="3030" spans="2:7" ht="20.25" customHeight="1" x14ac:dyDescent="0.3">
      <c r="B3030" s="17"/>
      <c r="C3030" s="27"/>
      <c r="D3030" s="67"/>
      <c r="E3030" s="68"/>
      <c r="F3030" s="17"/>
      <c r="G3030" s="27"/>
    </row>
    <row r="3031" spans="2:7" ht="20.25" customHeight="1" x14ac:dyDescent="0.3">
      <c r="B3031" s="17"/>
      <c r="C3031" s="27"/>
      <c r="D3031" s="67"/>
      <c r="E3031" s="68"/>
      <c r="F3031" s="17"/>
      <c r="G3031" s="27"/>
    </row>
    <row r="3032" spans="2:7" ht="20.25" customHeight="1" x14ac:dyDescent="0.3">
      <c r="B3032" s="17"/>
      <c r="C3032" s="27"/>
      <c r="D3032" s="67"/>
      <c r="E3032" s="68"/>
      <c r="F3032" s="17"/>
      <c r="G3032" s="27"/>
    </row>
    <row r="3033" spans="2:7" ht="20.25" customHeight="1" x14ac:dyDescent="0.3">
      <c r="B3033" s="17"/>
      <c r="C3033" s="27"/>
      <c r="D3033" s="67"/>
      <c r="E3033" s="68"/>
      <c r="F3033" s="17"/>
      <c r="G3033" s="27"/>
    </row>
    <row r="3034" spans="2:7" ht="20.25" customHeight="1" x14ac:dyDescent="0.3">
      <c r="B3034" s="17"/>
      <c r="C3034" s="27"/>
      <c r="D3034" s="67"/>
      <c r="E3034" s="68"/>
      <c r="F3034" s="17"/>
      <c r="G3034" s="27"/>
    </row>
    <row r="3035" spans="2:7" ht="20.25" customHeight="1" x14ac:dyDescent="0.3">
      <c r="B3035" s="17"/>
      <c r="C3035" s="27"/>
      <c r="D3035" s="67"/>
      <c r="E3035" s="68"/>
      <c r="F3035" s="17"/>
      <c r="G3035" s="27"/>
    </row>
    <row r="3036" spans="2:7" ht="20.25" customHeight="1" x14ac:dyDescent="0.3">
      <c r="B3036" s="17"/>
      <c r="C3036" s="27"/>
      <c r="D3036" s="67"/>
      <c r="E3036" s="68"/>
      <c r="F3036" s="17"/>
      <c r="G3036" s="27"/>
    </row>
    <row r="3037" spans="2:7" ht="20.25" customHeight="1" x14ac:dyDescent="0.3">
      <c r="B3037" s="17"/>
      <c r="C3037" s="27"/>
      <c r="D3037" s="67"/>
      <c r="E3037" s="68"/>
      <c r="F3037" s="17"/>
      <c r="G3037" s="27"/>
    </row>
    <row r="3038" spans="2:7" ht="20.25" customHeight="1" x14ac:dyDescent="0.3">
      <c r="B3038" s="17"/>
      <c r="C3038" s="27"/>
      <c r="D3038" s="67"/>
      <c r="E3038" s="68"/>
      <c r="F3038" s="17"/>
      <c r="G3038" s="27"/>
    </row>
    <row r="3039" spans="2:7" ht="20.25" customHeight="1" x14ac:dyDescent="0.3">
      <c r="B3039" s="17"/>
      <c r="C3039" s="27"/>
      <c r="D3039" s="67"/>
      <c r="E3039" s="68"/>
      <c r="F3039" s="17"/>
      <c r="G3039" s="27"/>
    </row>
    <row r="3040" spans="2:7" ht="20.25" customHeight="1" x14ac:dyDescent="0.3">
      <c r="B3040" s="17"/>
      <c r="C3040" s="27"/>
      <c r="D3040" s="67"/>
      <c r="E3040" s="68"/>
      <c r="F3040" s="17"/>
      <c r="G3040" s="27"/>
    </row>
    <row r="3041" spans="2:7" ht="20.25" customHeight="1" x14ac:dyDescent="0.3">
      <c r="B3041" s="17"/>
      <c r="C3041" s="27"/>
      <c r="D3041" s="67"/>
      <c r="E3041" s="68"/>
      <c r="F3041" s="17"/>
      <c r="G3041" s="27"/>
    </row>
    <row r="3042" spans="2:7" ht="20.25" customHeight="1" x14ac:dyDescent="0.3">
      <c r="B3042" s="17"/>
      <c r="C3042" s="27"/>
      <c r="D3042" s="67"/>
      <c r="E3042" s="68"/>
      <c r="F3042" s="17"/>
      <c r="G3042" s="27"/>
    </row>
    <row r="3043" spans="2:7" ht="20.25" customHeight="1" x14ac:dyDescent="0.3">
      <c r="B3043" s="17"/>
      <c r="C3043" s="27"/>
      <c r="D3043" s="67"/>
      <c r="E3043" s="68"/>
      <c r="F3043" s="17"/>
      <c r="G3043" s="27"/>
    </row>
    <row r="3044" spans="2:7" ht="20.25" customHeight="1" x14ac:dyDescent="0.3">
      <c r="B3044" s="17"/>
      <c r="C3044" s="27"/>
      <c r="D3044" s="67"/>
      <c r="E3044" s="68"/>
      <c r="F3044" s="17"/>
      <c r="G3044" s="27"/>
    </row>
    <row r="3045" spans="2:7" ht="20.25" customHeight="1" x14ac:dyDescent="0.3">
      <c r="B3045" s="17"/>
      <c r="C3045" s="27"/>
      <c r="D3045" s="67"/>
      <c r="E3045" s="68"/>
      <c r="F3045" s="17"/>
      <c r="G3045" s="27"/>
    </row>
    <row r="3046" spans="2:7" ht="20.25" customHeight="1" x14ac:dyDescent="0.3">
      <c r="B3046" s="17"/>
      <c r="C3046" s="27"/>
      <c r="D3046" s="67"/>
      <c r="E3046" s="68"/>
      <c r="F3046" s="17"/>
      <c r="G3046" s="27"/>
    </row>
    <row r="3047" spans="2:7" ht="20.25" customHeight="1" x14ac:dyDescent="0.3">
      <c r="B3047" s="17"/>
      <c r="C3047" s="27"/>
      <c r="D3047" s="67"/>
      <c r="E3047" s="68"/>
      <c r="F3047" s="17"/>
      <c r="G3047" s="27"/>
    </row>
    <row r="3048" spans="2:7" ht="20.25" customHeight="1" x14ac:dyDescent="0.3">
      <c r="B3048" s="17"/>
      <c r="C3048" s="27"/>
      <c r="D3048" s="67"/>
      <c r="E3048" s="68"/>
      <c r="F3048" s="17"/>
      <c r="G3048" s="27"/>
    </row>
    <row r="3049" spans="2:7" ht="20.25" customHeight="1" x14ac:dyDescent="0.3">
      <c r="B3049" s="17"/>
      <c r="C3049" s="27"/>
      <c r="D3049" s="67"/>
      <c r="E3049" s="68"/>
      <c r="F3049" s="17"/>
      <c r="G3049" s="27"/>
    </row>
    <row r="3050" spans="2:7" ht="20.25" customHeight="1" x14ac:dyDescent="0.3">
      <c r="B3050" s="17"/>
      <c r="C3050" s="27"/>
      <c r="D3050" s="67"/>
      <c r="E3050" s="68"/>
      <c r="F3050" s="17"/>
      <c r="G3050" s="27"/>
    </row>
    <row r="3051" spans="2:7" ht="20.25" customHeight="1" x14ac:dyDescent="0.3">
      <c r="B3051" s="17"/>
      <c r="C3051" s="27"/>
      <c r="D3051" s="67"/>
      <c r="E3051" s="68"/>
      <c r="F3051" s="17"/>
      <c r="G3051" s="27"/>
    </row>
    <row r="3052" spans="2:7" ht="20.25" customHeight="1" x14ac:dyDescent="0.3">
      <c r="B3052" s="17"/>
      <c r="C3052" s="27"/>
      <c r="D3052" s="67"/>
      <c r="E3052" s="68"/>
      <c r="F3052" s="17"/>
      <c r="G3052" s="27"/>
    </row>
    <row r="3053" spans="2:7" ht="20.25" customHeight="1" x14ac:dyDescent="0.3">
      <c r="B3053" s="17"/>
      <c r="C3053" s="27"/>
      <c r="D3053" s="67"/>
      <c r="E3053" s="68"/>
      <c r="F3053" s="17"/>
      <c r="G3053" s="27"/>
    </row>
    <row r="3054" spans="2:7" ht="20.25" customHeight="1" x14ac:dyDescent="0.3">
      <c r="B3054" s="17"/>
      <c r="C3054" s="27"/>
      <c r="D3054" s="67"/>
      <c r="E3054" s="68"/>
      <c r="F3054" s="17"/>
      <c r="G3054" s="27"/>
    </row>
    <row r="3055" spans="2:7" ht="20.25" customHeight="1" x14ac:dyDescent="0.3">
      <c r="B3055" s="17"/>
      <c r="C3055" s="27"/>
      <c r="D3055" s="67"/>
      <c r="E3055" s="68"/>
      <c r="F3055" s="17"/>
      <c r="G3055" s="27"/>
    </row>
    <row r="3056" spans="2:7" ht="20.25" customHeight="1" x14ac:dyDescent="0.3">
      <c r="B3056" s="17"/>
      <c r="C3056" s="27"/>
      <c r="D3056" s="67"/>
      <c r="E3056" s="68"/>
      <c r="F3056" s="17"/>
      <c r="G3056" s="27"/>
    </row>
    <row r="3057" spans="2:7" ht="20.25" customHeight="1" x14ac:dyDescent="0.3">
      <c r="B3057" s="17"/>
      <c r="C3057" s="27"/>
      <c r="D3057" s="67"/>
      <c r="E3057" s="68"/>
      <c r="F3057" s="17"/>
      <c r="G3057" s="27"/>
    </row>
    <row r="3058" spans="2:7" ht="20.25" customHeight="1" x14ac:dyDescent="0.3">
      <c r="B3058" s="17"/>
      <c r="C3058" s="27"/>
      <c r="D3058" s="67"/>
      <c r="E3058" s="68"/>
      <c r="F3058" s="17"/>
      <c r="G3058" s="27"/>
    </row>
    <row r="3059" spans="2:7" ht="20.25" customHeight="1" x14ac:dyDescent="0.3">
      <c r="B3059" s="17"/>
      <c r="C3059" s="27"/>
      <c r="D3059" s="67"/>
      <c r="E3059" s="68"/>
      <c r="F3059" s="17"/>
      <c r="G3059" s="27"/>
    </row>
    <row r="3060" spans="2:7" ht="20.25" customHeight="1" x14ac:dyDescent="0.3">
      <c r="B3060" s="17"/>
      <c r="C3060" s="27"/>
      <c r="D3060" s="67"/>
      <c r="E3060" s="68"/>
      <c r="F3060" s="17"/>
      <c r="G3060" s="27"/>
    </row>
    <row r="3061" spans="2:7" ht="20.25" customHeight="1" x14ac:dyDescent="0.3">
      <c r="B3061" s="17"/>
      <c r="C3061" s="27"/>
      <c r="D3061" s="67"/>
      <c r="E3061" s="68"/>
      <c r="F3061" s="17"/>
      <c r="G3061" s="27"/>
    </row>
    <row r="3062" spans="2:7" ht="20.25" customHeight="1" x14ac:dyDescent="0.3">
      <c r="B3062" s="17"/>
      <c r="C3062" s="27"/>
      <c r="D3062" s="67"/>
      <c r="E3062" s="68"/>
      <c r="F3062" s="17"/>
      <c r="G3062" s="27"/>
    </row>
    <row r="3063" spans="2:7" ht="20.25" customHeight="1" x14ac:dyDescent="0.3">
      <c r="B3063" s="17"/>
      <c r="C3063" s="27"/>
      <c r="D3063" s="67"/>
      <c r="E3063" s="68"/>
      <c r="F3063" s="17"/>
      <c r="G3063" s="27"/>
    </row>
    <row r="3064" spans="2:7" ht="20.25" customHeight="1" x14ac:dyDescent="0.3">
      <c r="B3064" s="17"/>
      <c r="C3064" s="27"/>
      <c r="D3064" s="67"/>
      <c r="E3064" s="68"/>
      <c r="F3064" s="17"/>
      <c r="G3064" s="27"/>
    </row>
    <row r="3065" spans="2:7" ht="20.25" customHeight="1" x14ac:dyDescent="0.3">
      <c r="B3065" s="17"/>
      <c r="C3065" s="27"/>
      <c r="D3065" s="67"/>
      <c r="E3065" s="68"/>
      <c r="F3065" s="17"/>
      <c r="G3065" s="27"/>
    </row>
    <row r="3066" spans="2:7" ht="20.25" customHeight="1" x14ac:dyDescent="0.3">
      <c r="B3066" s="17"/>
      <c r="C3066" s="27"/>
      <c r="D3066" s="67"/>
      <c r="E3066" s="68"/>
      <c r="F3066" s="17"/>
      <c r="G3066" s="27"/>
    </row>
    <row r="3067" spans="2:7" ht="20.25" customHeight="1" x14ac:dyDescent="0.3">
      <c r="B3067" s="17"/>
      <c r="C3067" s="27"/>
      <c r="D3067" s="67"/>
      <c r="E3067" s="68"/>
      <c r="F3067" s="17"/>
      <c r="G3067" s="27"/>
    </row>
    <row r="3068" spans="2:7" ht="20.25" customHeight="1" x14ac:dyDescent="0.3">
      <c r="B3068" s="17"/>
      <c r="C3068" s="27"/>
      <c r="D3068" s="67"/>
      <c r="E3068" s="68"/>
      <c r="F3068" s="17"/>
      <c r="G3068" s="27"/>
    </row>
    <row r="3069" spans="2:7" ht="20.25" customHeight="1" x14ac:dyDescent="0.3">
      <c r="B3069" s="17"/>
      <c r="C3069" s="27"/>
      <c r="D3069" s="67"/>
      <c r="E3069" s="68"/>
      <c r="F3069" s="17"/>
      <c r="G3069" s="27"/>
    </row>
    <row r="3070" spans="2:7" ht="20.25" customHeight="1" x14ac:dyDescent="0.3">
      <c r="B3070" s="17"/>
      <c r="C3070" s="27"/>
      <c r="D3070" s="67"/>
      <c r="E3070" s="68"/>
      <c r="F3070" s="17"/>
      <c r="G3070" s="27"/>
    </row>
    <row r="3071" spans="2:7" ht="20.25" customHeight="1" x14ac:dyDescent="0.3">
      <c r="B3071" s="17"/>
      <c r="C3071" s="27"/>
      <c r="D3071" s="67"/>
      <c r="E3071" s="68"/>
      <c r="F3071" s="17"/>
      <c r="G3071" s="27"/>
    </row>
    <row r="3072" spans="2:7" ht="20.25" customHeight="1" x14ac:dyDescent="0.3">
      <c r="B3072" s="17"/>
      <c r="C3072" s="27"/>
      <c r="D3072" s="67"/>
      <c r="E3072" s="68"/>
      <c r="F3072" s="17"/>
      <c r="G3072" s="27"/>
    </row>
    <row r="3073" spans="2:7" ht="20.25" customHeight="1" x14ac:dyDescent="0.3">
      <c r="B3073" s="17"/>
      <c r="C3073" s="27"/>
      <c r="D3073" s="67"/>
      <c r="E3073" s="68"/>
      <c r="F3073" s="17"/>
      <c r="G3073" s="27"/>
    </row>
    <row r="3074" spans="2:7" ht="20.25" customHeight="1" x14ac:dyDescent="0.3">
      <c r="B3074" s="17"/>
      <c r="C3074" s="27"/>
      <c r="D3074" s="67"/>
      <c r="E3074" s="68"/>
      <c r="F3074" s="17"/>
      <c r="G3074" s="27"/>
    </row>
    <row r="3075" spans="2:7" ht="20.25" customHeight="1" x14ac:dyDescent="0.3">
      <c r="B3075" s="17"/>
      <c r="C3075" s="27"/>
      <c r="D3075" s="67"/>
      <c r="E3075" s="68"/>
      <c r="F3075" s="17"/>
      <c r="G3075" s="27"/>
    </row>
    <row r="3076" spans="2:7" ht="20.25" customHeight="1" x14ac:dyDescent="0.3">
      <c r="B3076" s="17"/>
      <c r="C3076" s="27"/>
      <c r="D3076" s="67"/>
      <c r="E3076" s="68"/>
      <c r="F3076" s="17"/>
      <c r="G3076" s="27"/>
    </row>
    <row r="3077" spans="2:7" ht="20.25" customHeight="1" x14ac:dyDescent="0.3">
      <c r="B3077" s="17"/>
      <c r="C3077" s="27"/>
      <c r="D3077" s="67"/>
      <c r="E3077" s="68"/>
      <c r="F3077" s="17"/>
      <c r="G3077" s="27"/>
    </row>
    <row r="3078" spans="2:7" ht="20.25" customHeight="1" x14ac:dyDescent="0.3">
      <c r="B3078" s="17"/>
      <c r="C3078" s="27"/>
      <c r="D3078" s="67"/>
      <c r="E3078" s="68"/>
      <c r="F3078" s="17"/>
      <c r="G3078" s="27"/>
    </row>
    <row r="3079" spans="2:7" ht="20.25" customHeight="1" x14ac:dyDescent="0.3">
      <c r="B3079" s="17"/>
      <c r="C3079" s="27"/>
      <c r="D3079" s="67"/>
      <c r="E3079" s="68"/>
      <c r="F3079" s="17"/>
      <c r="G3079" s="27"/>
    </row>
    <row r="3080" spans="2:7" ht="20.25" customHeight="1" x14ac:dyDescent="0.3">
      <c r="B3080" s="17"/>
      <c r="C3080" s="27"/>
      <c r="D3080" s="67"/>
      <c r="E3080" s="68"/>
      <c r="F3080" s="17"/>
      <c r="G3080" s="27"/>
    </row>
    <row r="3081" spans="2:7" ht="20.25" customHeight="1" x14ac:dyDescent="0.3">
      <c r="B3081" s="17"/>
      <c r="C3081" s="27"/>
      <c r="D3081" s="67"/>
      <c r="E3081" s="68"/>
      <c r="F3081" s="17"/>
      <c r="G3081" s="27"/>
    </row>
    <row r="3082" spans="2:7" ht="20.25" customHeight="1" x14ac:dyDescent="0.3">
      <c r="B3082" s="17"/>
      <c r="C3082" s="27"/>
      <c r="D3082" s="67"/>
      <c r="E3082" s="68"/>
      <c r="F3082" s="17"/>
      <c r="G3082" s="27"/>
    </row>
    <row r="3083" spans="2:7" ht="20.25" customHeight="1" x14ac:dyDescent="0.3">
      <c r="B3083" s="17"/>
      <c r="C3083" s="27"/>
      <c r="D3083" s="67"/>
      <c r="E3083" s="68"/>
      <c r="F3083" s="17"/>
      <c r="G3083" s="27"/>
    </row>
    <row r="3084" spans="2:7" ht="20.25" customHeight="1" x14ac:dyDescent="0.3">
      <c r="B3084" s="17"/>
      <c r="C3084" s="27"/>
      <c r="D3084" s="67"/>
      <c r="E3084" s="68"/>
      <c r="F3084" s="17"/>
      <c r="G3084" s="27"/>
    </row>
    <row r="3085" spans="2:7" ht="20.25" customHeight="1" x14ac:dyDescent="0.3">
      <c r="B3085" s="17"/>
      <c r="C3085" s="27"/>
      <c r="D3085" s="67"/>
      <c r="E3085" s="68"/>
      <c r="F3085" s="17"/>
      <c r="G3085" s="27"/>
    </row>
    <row r="3086" spans="2:7" ht="20.25" customHeight="1" x14ac:dyDescent="0.3">
      <c r="B3086" s="17"/>
      <c r="C3086" s="27"/>
      <c r="D3086" s="67"/>
      <c r="E3086" s="68"/>
      <c r="F3086" s="17"/>
      <c r="G3086" s="27"/>
    </row>
    <row r="3087" spans="2:7" ht="20.25" customHeight="1" x14ac:dyDescent="0.3">
      <c r="B3087" s="17"/>
      <c r="C3087" s="27"/>
      <c r="D3087" s="67"/>
      <c r="E3087" s="68"/>
      <c r="F3087" s="17"/>
      <c r="G3087" s="27"/>
    </row>
    <row r="3088" spans="2:7" ht="20.25" customHeight="1" x14ac:dyDescent="0.3">
      <c r="B3088" s="17"/>
      <c r="C3088" s="27"/>
      <c r="D3088" s="67"/>
      <c r="E3088" s="68"/>
      <c r="F3088" s="17"/>
      <c r="G3088" s="27"/>
    </row>
    <row r="3089" spans="2:7" ht="20.25" customHeight="1" x14ac:dyDescent="0.3">
      <c r="B3089" s="17"/>
      <c r="C3089" s="27"/>
      <c r="D3089" s="67"/>
      <c r="E3089" s="68"/>
      <c r="F3089" s="17"/>
      <c r="G3089" s="27"/>
    </row>
    <row r="3090" spans="2:7" ht="20.25" customHeight="1" x14ac:dyDescent="0.3">
      <c r="B3090" s="17"/>
      <c r="C3090" s="27"/>
      <c r="D3090" s="67"/>
      <c r="E3090" s="68"/>
      <c r="F3090" s="17"/>
      <c r="G3090" s="27"/>
    </row>
    <row r="3091" spans="2:7" ht="20.25" customHeight="1" x14ac:dyDescent="0.3">
      <c r="B3091" s="17"/>
      <c r="C3091" s="27"/>
      <c r="D3091" s="67"/>
      <c r="E3091" s="68"/>
      <c r="F3091" s="17"/>
      <c r="G3091" s="27"/>
    </row>
    <row r="3092" spans="2:7" ht="20.25" customHeight="1" x14ac:dyDescent="0.3">
      <c r="B3092" s="17"/>
      <c r="C3092" s="27"/>
      <c r="D3092" s="67"/>
      <c r="E3092" s="68"/>
      <c r="F3092" s="17"/>
      <c r="G3092" s="27"/>
    </row>
    <row r="3093" spans="2:7" ht="20.25" customHeight="1" x14ac:dyDescent="0.3">
      <c r="B3093" s="17"/>
      <c r="C3093" s="27"/>
      <c r="D3093" s="67"/>
      <c r="E3093" s="68"/>
      <c r="F3093" s="17"/>
      <c r="G3093" s="27"/>
    </row>
    <row r="3094" spans="2:7" ht="20.25" customHeight="1" x14ac:dyDescent="0.3">
      <c r="B3094" s="17"/>
      <c r="C3094" s="27"/>
      <c r="D3094" s="67"/>
      <c r="E3094" s="68"/>
      <c r="F3094" s="17"/>
      <c r="G3094" s="27"/>
    </row>
    <row r="3095" spans="2:7" ht="20.25" customHeight="1" x14ac:dyDescent="0.3">
      <c r="B3095" s="17"/>
      <c r="C3095" s="27"/>
      <c r="D3095" s="67"/>
      <c r="E3095" s="68"/>
      <c r="F3095" s="17"/>
      <c r="G3095" s="27"/>
    </row>
    <row r="3096" spans="2:7" ht="20.25" customHeight="1" x14ac:dyDescent="0.3">
      <c r="B3096" s="17"/>
      <c r="C3096" s="27"/>
      <c r="D3096" s="67"/>
      <c r="E3096" s="68"/>
      <c r="F3096" s="17"/>
      <c r="G3096" s="27"/>
    </row>
    <row r="3097" spans="2:7" ht="20.25" customHeight="1" x14ac:dyDescent="0.3">
      <c r="B3097" s="17"/>
      <c r="C3097" s="27"/>
      <c r="D3097" s="67"/>
      <c r="E3097" s="68"/>
      <c r="F3097" s="17"/>
      <c r="G3097" s="27"/>
    </row>
    <row r="3098" spans="2:7" ht="20.25" customHeight="1" x14ac:dyDescent="0.3">
      <c r="B3098" s="17"/>
      <c r="C3098" s="27"/>
      <c r="D3098" s="67"/>
      <c r="E3098" s="68"/>
      <c r="F3098" s="17"/>
      <c r="G3098" s="27"/>
    </row>
    <row r="3099" spans="2:7" ht="20.25" customHeight="1" x14ac:dyDescent="0.3">
      <c r="B3099" s="17"/>
      <c r="C3099" s="27"/>
      <c r="D3099" s="67"/>
      <c r="E3099" s="68"/>
      <c r="F3099" s="17"/>
      <c r="G3099" s="27"/>
    </row>
    <row r="3100" spans="2:7" ht="20.25" customHeight="1" x14ac:dyDescent="0.3">
      <c r="B3100" s="17"/>
      <c r="C3100" s="27"/>
      <c r="D3100" s="67"/>
      <c r="E3100" s="68"/>
      <c r="F3100" s="17"/>
      <c r="G3100" s="27"/>
    </row>
    <row r="3101" spans="2:7" ht="20.25" customHeight="1" x14ac:dyDescent="0.3">
      <c r="B3101" s="17"/>
      <c r="C3101" s="27"/>
      <c r="D3101" s="67"/>
      <c r="E3101" s="68"/>
      <c r="F3101" s="17"/>
      <c r="G3101" s="27"/>
    </row>
    <row r="3102" spans="2:7" ht="20.25" customHeight="1" x14ac:dyDescent="0.3">
      <c r="B3102" s="17"/>
      <c r="C3102" s="27"/>
      <c r="D3102" s="67"/>
      <c r="E3102" s="68"/>
      <c r="F3102" s="17"/>
      <c r="G3102" s="27"/>
    </row>
    <row r="3103" spans="2:7" ht="20.25" customHeight="1" x14ac:dyDescent="0.3">
      <c r="B3103" s="17"/>
      <c r="C3103" s="27"/>
      <c r="D3103" s="67"/>
      <c r="E3103" s="68"/>
      <c r="F3103" s="17"/>
      <c r="G3103" s="27"/>
    </row>
    <row r="3104" spans="2:7" ht="20.25" customHeight="1" x14ac:dyDescent="0.3">
      <c r="B3104" s="17"/>
      <c r="C3104" s="27"/>
      <c r="D3104" s="67"/>
      <c r="E3104" s="68"/>
      <c r="F3104" s="17"/>
      <c r="G3104" s="27"/>
    </row>
    <row r="3105" spans="2:7" ht="20.25" customHeight="1" x14ac:dyDescent="0.3">
      <c r="B3105" s="17"/>
      <c r="C3105" s="27"/>
      <c r="D3105" s="67"/>
      <c r="E3105" s="68"/>
      <c r="F3105" s="17"/>
      <c r="G3105" s="27"/>
    </row>
    <row r="3106" spans="2:7" ht="20.25" customHeight="1" x14ac:dyDescent="0.3">
      <c r="B3106" s="17"/>
      <c r="C3106" s="27"/>
      <c r="D3106" s="67"/>
      <c r="E3106" s="68"/>
      <c r="F3106" s="17"/>
      <c r="G3106" s="27"/>
    </row>
    <row r="3107" spans="2:7" ht="20.25" customHeight="1" x14ac:dyDescent="0.3">
      <c r="B3107" s="17"/>
      <c r="C3107" s="27"/>
      <c r="D3107" s="67"/>
      <c r="E3107" s="68"/>
      <c r="F3107" s="17"/>
      <c r="G3107" s="27"/>
    </row>
    <row r="3108" spans="2:7" ht="20.25" customHeight="1" x14ac:dyDescent="0.3">
      <c r="B3108" s="17"/>
      <c r="C3108" s="27"/>
      <c r="D3108" s="67"/>
      <c r="E3108" s="68"/>
      <c r="F3108" s="17"/>
      <c r="G3108" s="27"/>
    </row>
    <row r="3109" spans="2:7" ht="20.25" customHeight="1" x14ac:dyDescent="0.3">
      <c r="B3109" s="17"/>
      <c r="C3109" s="27"/>
      <c r="D3109" s="67"/>
      <c r="E3109" s="68"/>
      <c r="F3109" s="17"/>
      <c r="G3109" s="27"/>
    </row>
    <row r="3110" spans="2:7" ht="20.25" customHeight="1" x14ac:dyDescent="0.3">
      <c r="B3110" s="17"/>
      <c r="C3110" s="27"/>
      <c r="D3110" s="67"/>
      <c r="E3110" s="68"/>
      <c r="F3110" s="17"/>
      <c r="G3110" s="27"/>
    </row>
    <row r="3111" spans="2:7" ht="20.25" customHeight="1" x14ac:dyDescent="0.3">
      <c r="B3111" s="17"/>
      <c r="C3111" s="27"/>
      <c r="D3111" s="67"/>
      <c r="E3111" s="68"/>
      <c r="F3111" s="17"/>
      <c r="G3111" s="27"/>
    </row>
    <row r="3112" spans="2:7" ht="20.25" customHeight="1" x14ac:dyDescent="0.3">
      <c r="B3112" s="17"/>
      <c r="C3112" s="27"/>
      <c r="D3112" s="67"/>
      <c r="E3112" s="68"/>
      <c r="F3112" s="17"/>
      <c r="G3112" s="27"/>
    </row>
    <row r="3113" spans="2:7" ht="20.25" customHeight="1" x14ac:dyDescent="0.3">
      <c r="B3113" s="17"/>
      <c r="C3113" s="27"/>
      <c r="D3113" s="67"/>
      <c r="E3113" s="68"/>
      <c r="F3113" s="17"/>
      <c r="G3113" s="27"/>
    </row>
    <row r="3114" spans="2:7" ht="20.25" customHeight="1" x14ac:dyDescent="0.3">
      <c r="B3114" s="17"/>
      <c r="C3114" s="27"/>
      <c r="D3114" s="67"/>
      <c r="E3114" s="68"/>
      <c r="F3114" s="17"/>
      <c r="G3114" s="27"/>
    </row>
    <row r="3115" spans="2:7" ht="20.25" customHeight="1" x14ac:dyDescent="0.3">
      <c r="B3115" s="17"/>
      <c r="C3115" s="27"/>
      <c r="D3115" s="67"/>
      <c r="E3115" s="68"/>
      <c r="F3115" s="17"/>
      <c r="G3115" s="27"/>
    </row>
    <row r="3116" spans="2:7" ht="20.25" customHeight="1" x14ac:dyDescent="0.3">
      <c r="B3116" s="17"/>
      <c r="C3116" s="27"/>
      <c r="D3116" s="67"/>
      <c r="E3116" s="68"/>
      <c r="F3116" s="17"/>
      <c r="G3116" s="27"/>
    </row>
    <row r="3117" spans="2:7" ht="20.25" customHeight="1" x14ac:dyDescent="0.3">
      <c r="B3117" s="17"/>
      <c r="C3117" s="27"/>
      <c r="D3117" s="67"/>
      <c r="E3117" s="68"/>
      <c r="F3117" s="17"/>
      <c r="G3117" s="27"/>
    </row>
    <row r="3118" spans="2:7" ht="20.25" customHeight="1" x14ac:dyDescent="0.3">
      <c r="B3118" s="17"/>
      <c r="C3118" s="27"/>
      <c r="D3118" s="67"/>
      <c r="E3118" s="68"/>
      <c r="F3118" s="17"/>
      <c r="G3118" s="27"/>
    </row>
    <row r="3119" spans="2:7" ht="20.25" customHeight="1" x14ac:dyDescent="0.3">
      <c r="B3119" s="17"/>
      <c r="C3119" s="27"/>
      <c r="D3119" s="67"/>
      <c r="E3119" s="68"/>
      <c r="F3119" s="17"/>
      <c r="G3119" s="27"/>
    </row>
    <row r="3120" spans="2:7" ht="20.25" customHeight="1" x14ac:dyDescent="0.3">
      <c r="B3120" s="17"/>
      <c r="C3120" s="27"/>
      <c r="D3120" s="67"/>
      <c r="E3120" s="68"/>
      <c r="F3120" s="17"/>
      <c r="G3120" s="27"/>
    </row>
    <row r="3121" spans="2:7" ht="20.25" customHeight="1" x14ac:dyDescent="0.3">
      <c r="B3121" s="17"/>
      <c r="C3121" s="27"/>
      <c r="D3121" s="67"/>
      <c r="E3121" s="68"/>
      <c r="F3121" s="17"/>
      <c r="G3121" s="27"/>
    </row>
    <row r="3122" spans="2:7" ht="20.25" customHeight="1" x14ac:dyDescent="0.3">
      <c r="B3122" s="17"/>
      <c r="C3122" s="27"/>
      <c r="D3122" s="67"/>
      <c r="E3122" s="68"/>
      <c r="F3122" s="17"/>
      <c r="G3122" s="27"/>
    </row>
    <row r="3123" spans="2:7" ht="20.25" customHeight="1" x14ac:dyDescent="0.3">
      <c r="B3123" s="17"/>
      <c r="C3123" s="27"/>
      <c r="D3123" s="67"/>
      <c r="E3123" s="68"/>
      <c r="F3123" s="17"/>
      <c r="G3123" s="27"/>
    </row>
    <row r="3124" spans="2:7" ht="20.25" customHeight="1" x14ac:dyDescent="0.3">
      <c r="B3124" s="17"/>
      <c r="C3124" s="27"/>
      <c r="D3124" s="67"/>
      <c r="E3124" s="68"/>
      <c r="F3124" s="17"/>
      <c r="G3124" s="27"/>
    </row>
    <row r="3125" spans="2:7" ht="20.25" customHeight="1" x14ac:dyDescent="0.3">
      <c r="B3125" s="17"/>
      <c r="C3125" s="27"/>
      <c r="D3125" s="67"/>
      <c r="E3125" s="68"/>
      <c r="F3125" s="17"/>
      <c r="G3125" s="27"/>
    </row>
    <row r="3126" spans="2:7" ht="20.25" customHeight="1" x14ac:dyDescent="0.3">
      <c r="B3126" s="17"/>
      <c r="C3126" s="27"/>
      <c r="D3126" s="67"/>
      <c r="E3126" s="68"/>
      <c r="F3126" s="17"/>
      <c r="G3126" s="27"/>
    </row>
    <row r="3127" spans="2:7" ht="20.25" customHeight="1" x14ac:dyDescent="0.3">
      <c r="B3127" s="17"/>
      <c r="C3127" s="27"/>
      <c r="D3127" s="67"/>
      <c r="E3127" s="68"/>
      <c r="F3127" s="17"/>
      <c r="G3127" s="27"/>
    </row>
    <row r="3128" spans="2:7" ht="20.25" customHeight="1" x14ac:dyDescent="0.3">
      <c r="B3128" s="17"/>
      <c r="C3128" s="27"/>
      <c r="D3128" s="67"/>
      <c r="E3128" s="68"/>
      <c r="F3128" s="17"/>
      <c r="G3128" s="27"/>
    </row>
    <row r="3129" spans="2:7" ht="20.25" customHeight="1" x14ac:dyDescent="0.3">
      <c r="B3129" s="17"/>
      <c r="C3129" s="27"/>
      <c r="D3129" s="67"/>
      <c r="E3129" s="68"/>
      <c r="F3129" s="17"/>
      <c r="G3129" s="27"/>
    </row>
    <row r="3130" spans="2:7" ht="20.25" customHeight="1" x14ac:dyDescent="0.3">
      <c r="B3130" s="17"/>
      <c r="C3130" s="27"/>
      <c r="D3130" s="67"/>
      <c r="E3130" s="68"/>
      <c r="F3130" s="17"/>
      <c r="G3130" s="27"/>
    </row>
    <row r="3131" spans="2:7" ht="20.25" customHeight="1" x14ac:dyDescent="0.3">
      <c r="B3131" s="17"/>
      <c r="C3131" s="27"/>
      <c r="D3131" s="67"/>
      <c r="E3131" s="68"/>
      <c r="F3131" s="17"/>
      <c r="G3131" s="27"/>
    </row>
    <row r="3132" spans="2:7" ht="20.25" customHeight="1" x14ac:dyDescent="0.3">
      <c r="B3132" s="17"/>
      <c r="C3132" s="27"/>
      <c r="D3132" s="67"/>
      <c r="E3132" s="68"/>
      <c r="F3132" s="17"/>
      <c r="G3132" s="27"/>
    </row>
    <row r="3133" spans="2:7" ht="20.25" customHeight="1" x14ac:dyDescent="0.3">
      <c r="B3133" s="17"/>
      <c r="C3133" s="27"/>
      <c r="D3133" s="67"/>
      <c r="E3133" s="68"/>
      <c r="F3133" s="17"/>
      <c r="G3133" s="27"/>
    </row>
    <row r="3134" spans="2:7" ht="20.25" customHeight="1" x14ac:dyDescent="0.3">
      <c r="B3134" s="17"/>
      <c r="C3134" s="27"/>
      <c r="D3134" s="67"/>
      <c r="E3134" s="68"/>
      <c r="F3134" s="17"/>
      <c r="G3134" s="27"/>
    </row>
    <row r="3135" spans="2:7" ht="20.25" customHeight="1" x14ac:dyDescent="0.3">
      <c r="B3135" s="17"/>
      <c r="C3135" s="27"/>
      <c r="D3135" s="67"/>
      <c r="E3135" s="68"/>
      <c r="F3135" s="17"/>
      <c r="G3135" s="27"/>
    </row>
    <row r="3136" spans="2:7" ht="20.25" customHeight="1" x14ac:dyDescent="0.3">
      <c r="B3136" s="17"/>
      <c r="C3136" s="27"/>
      <c r="D3136" s="67"/>
      <c r="E3136" s="68"/>
      <c r="F3136" s="17"/>
      <c r="G3136" s="27"/>
    </row>
    <row r="3137" spans="2:7" ht="20.25" customHeight="1" x14ac:dyDescent="0.3">
      <c r="B3137" s="17"/>
      <c r="C3137" s="27"/>
      <c r="D3137" s="67"/>
      <c r="E3137" s="68"/>
      <c r="F3137" s="17"/>
      <c r="G3137" s="27"/>
    </row>
    <row r="3138" spans="2:7" ht="20.25" customHeight="1" x14ac:dyDescent="0.3">
      <c r="B3138" s="17"/>
      <c r="C3138" s="27"/>
      <c r="D3138" s="67"/>
      <c r="E3138" s="68"/>
      <c r="F3138" s="17"/>
      <c r="G3138" s="27"/>
    </row>
    <row r="3139" spans="2:7" ht="20.25" customHeight="1" x14ac:dyDescent="0.3">
      <c r="B3139" s="17"/>
      <c r="C3139" s="27"/>
      <c r="D3139" s="67"/>
      <c r="E3139" s="68"/>
      <c r="F3139" s="17"/>
      <c r="G3139" s="27"/>
    </row>
    <row r="3140" spans="2:7" ht="20.25" customHeight="1" x14ac:dyDescent="0.3">
      <c r="B3140" s="17"/>
      <c r="C3140" s="27"/>
      <c r="D3140" s="67"/>
      <c r="E3140" s="68"/>
      <c r="F3140" s="17"/>
      <c r="G3140" s="27"/>
    </row>
    <row r="3141" spans="2:7" ht="20.25" customHeight="1" x14ac:dyDescent="0.3">
      <c r="B3141" s="17"/>
      <c r="C3141" s="27"/>
      <c r="D3141" s="67"/>
      <c r="E3141" s="68"/>
      <c r="F3141" s="17"/>
      <c r="G3141" s="27"/>
    </row>
    <row r="3142" spans="2:7" ht="20.25" customHeight="1" x14ac:dyDescent="0.3">
      <c r="B3142" s="17"/>
      <c r="C3142" s="27"/>
      <c r="D3142" s="67"/>
      <c r="E3142" s="68"/>
      <c r="F3142" s="17"/>
      <c r="G3142" s="27"/>
    </row>
    <row r="3143" spans="2:7" ht="20.25" customHeight="1" x14ac:dyDescent="0.3">
      <c r="B3143" s="17"/>
      <c r="C3143" s="27"/>
      <c r="D3143" s="67"/>
      <c r="E3143" s="68"/>
      <c r="F3143" s="17"/>
      <c r="G3143" s="27"/>
    </row>
    <row r="3144" spans="2:7" ht="20.25" customHeight="1" x14ac:dyDescent="0.3">
      <c r="B3144" s="17"/>
      <c r="C3144" s="27"/>
      <c r="D3144" s="67"/>
      <c r="E3144" s="68"/>
      <c r="F3144" s="17"/>
      <c r="G3144" s="27"/>
    </row>
    <row r="3145" spans="2:7" ht="20.25" customHeight="1" x14ac:dyDescent="0.3">
      <c r="B3145" s="17"/>
      <c r="C3145" s="27"/>
      <c r="D3145" s="67"/>
      <c r="E3145" s="68"/>
      <c r="F3145" s="17"/>
      <c r="G3145" s="27"/>
    </row>
    <row r="3146" spans="2:7" ht="20.25" customHeight="1" x14ac:dyDescent="0.3">
      <c r="B3146" s="17"/>
      <c r="C3146" s="27"/>
      <c r="D3146" s="67"/>
      <c r="E3146" s="68"/>
      <c r="F3146" s="17"/>
      <c r="G3146" s="27"/>
    </row>
    <row r="3147" spans="2:7" ht="20.25" customHeight="1" x14ac:dyDescent="0.3">
      <c r="B3147" s="17"/>
      <c r="C3147" s="27"/>
      <c r="D3147" s="67"/>
      <c r="E3147" s="68"/>
      <c r="F3147" s="17"/>
      <c r="G3147" s="27"/>
    </row>
    <row r="3148" spans="2:7" ht="20.25" customHeight="1" x14ac:dyDescent="0.3">
      <c r="B3148" s="17"/>
      <c r="C3148" s="27"/>
      <c r="D3148" s="67"/>
      <c r="E3148" s="68"/>
      <c r="F3148" s="17"/>
      <c r="G3148" s="27"/>
    </row>
    <row r="3149" spans="2:7" ht="20.25" customHeight="1" x14ac:dyDescent="0.3">
      <c r="B3149" s="17"/>
      <c r="C3149" s="27"/>
      <c r="D3149" s="67"/>
      <c r="E3149" s="68"/>
      <c r="F3149" s="17"/>
      <c r="G3149" s="27"/>
    </row>
    <row r="3150" spans="2:7" ht="20.25" customHeight="1" x14ac:dyDescent="0.3">
      <c r="B3150" s="17"/>
      <c r="C3150" s="27"/>
      <c r="D3150" s="67"/>
      <c r="E3150" s="68"/>
      <c r="F3150" s="17"/>
      <c r="G3150" s="27"/>
    </row>
    <row r="3151" spans="2:7" ht="20.25" customHeight="1" x14ac:dyDescent="0.3">
      <c r="B3151" s="17"/>
      <c r="C3151" s="27"/>
      <c r="D3151" s="67"/>
      <c r="E3151" s="68"/>
      <c r="F3151" s="17"/>
      <c r="G3151" s="27"/>
    </row>
    <row r="3152" spans="2:7" ht="20.25" customHeight="1" x14ac:dyDescent="0.3">
      <c r="B3152" s="17"/>
      <c r="C3152" s="27"/>
      <c r="D3152" s="67"/>
      <c r="E3152" s="68"/>
      <c r="F3152" s="17"/>
      <c r="G3152" s="27"/>
    </row>
    <row r="3153" spans="2:7" ht="20.25" customHeight="1" x14ac:dyDescent="0.3">
      <c r="B3153" s="17"/>
      <c r="C3153" s="27"/>
      <c r="D3153" s="67"/>
      <c r="E3153" s="68"/>
      <c r="F3153" s="17"/>
      <c r="G3153" s="27"/>
    </row>
    <row r="3154" spans="2:7" ht="20.25" customHeight="1" x14ac:dyDescent="0.3">
      <c r="B3154" s="17"/>
      <c r="C3154" s="27"/>
      <c r="D3154" s="67"/>
      <c r="E3154" s="68"/>
      <c r="F3154" s="17"/>
      <c r="G3154" s="27"/>
    </row>
    <row r="3155" spans="2:7" ht="20.25" customHeight="1" x14ac:dyDescent="0.3">
      <c r="B3155" s="17"/>
      <c r="C3155" s="27"/>
      <c r="D3155" s="67"/>
      <c r="E3155" s="68"/>
      <c r="F3155" s="17"/>
      <c r="G3155" s="27"/>
    </row>
    <row r="3156" spans="2:7" ht="20.25" customHeight="1" x14ac:dyDescent="0.3">
      <c r="B3156" s="17"/>
      <c r="C3156" s="27"/>
      <c r="D3156" s="67"/>
      <c r="E3156" s="68"/>
      <c r="F3156" s="17"/>
      <c r="G3156" s="27"/>
    </row>
    <row r="3157" spans="2:7" ht="20.25" customHeight="1" x14ac:dyDescent="0.3">
      <c r="B3157" s="17"/>
      <c r="C3157" s="27"/>
      <c r="D3157" s="67"/>
      <c r="E3157" s="68"/>
      <c r="F3157" s="17"/>
      <c r="G3157" s="27"/>
    </row>
    <row r="3158" spans="2:7" ht="20.25" customHeight="1" x14ac:dyDescent="0.3">
      <c r="B3158" s="17"/>
      <c r="C3158" s="27"/>
      <c r="D3158" s="67"/>
      <c r="E3158" s="68"/>
      <c r="F3158" s="17"/>
      <c r="G3158" s="27"/>
    </row>
    <row r="3159" spans="2:7" ht="20.25" customHeight="1" x14ac:dyDescent="0.3">
      <c r="B3159" s="17"/>
      <c r="C3159" s="27"/>
      <c r="D3159" s="67"/>
      <c r="E3159" s="68"/>
      <c r="F3159" s="17"/>
      <c r="G3159" s="27"/>
    </row>
    <row r="3160" spans="2:7" ht="20.25" customHeight="1" x14ac:dyDescent="0.3">
      <c r="B3160" s="17"/>
      <c r="C3160" s="27"/>
      <c r="D3160" s="67"/>
      <c r="E3160" s="68"/>
      <c r="F3160" s="17"/>
      <c r="G3160" s="27"/>
    </row>
    <row r="3161" spans="2:7" ht="20.25" customHeight="1" x14ac:dyDescent="0.3">
      <c r="B3161" s="17"/>
      <c r="C3161" s="27"/>
      <c r="D3161" s="67"/>
      <c r="E3161" s="68"/>
      <c r="F3161" s="17"/>
      <c r="G3161" s="27"/>
    </row>
    <row r="3162" spans="2:7" ht="20.25" customHeight="1" x14ac:dyDescent="0.3">
      <c r="B3162" s="17"/>
      <c r="C3162" s="27"/>
      <c r="D3162" s="67"/>
      <c r="E3162" s="68"/>
      <c r="F3162" s="17"/>
      <c r="G3162" s="27"/>
    </row>
    <row r="3163" spans="2:7" ht="20.25" customHeight="1" x14ac:dyDescent="0.3">
      <c r="B3163" s="17"/>
      <c r="C3163" s="27"/>
      <c r="D3163" s="67"/>
      <c r="E3163" s="68"/>
      <c r="F3163" s="17"/>
      <c r="G3163" s="27"/>
    </row>
    <row r="3164" spans="2:7" ht="20.25" customHeight="1" x14ac:dyDescent="0.3">
      <c r="B3164" s="17"/>
      <c r="C3164" s="27"/>
      <c r="D3164" s="67"/>
      <c r="E3164" s="68"/>
      <c r="F3164" s="17"/>
      <c r="G3164" s="27"/>
    </row>
    <row r="3165" spans="2:7" ht="20.25" customHeight="1" x14ac:dyDescent="0.3">
      <c r="B3165" s="17"/>
      <c r="C3165" s="27"/>
      <c r="D3165" s="67"/>
      <c r="E3165" s="68"/>
      <c r="F3165" s="17"/>
      <c r="G3165" s="27"/>
    </row>
    <row r="3166" spans="2:7" ht="20.25" customHeight="1" x14ac:dyDescent="0.3">
      <c r="B3166" s="17"/>
      <c r="C3166" s="27"/>
      <c r="D3166" s="67"/>
      <c r="E3166" s="68"/>
      <c r="F3166" s="17"/>
      <c r="G3166" s="27"/>
    </row>
    <row r="3167" spans="2:7" ht="20.25" customHeight="1" x14ac:dyDescent="0.3">
      <c r="B3167" s="17"/>
      <c r="C3167" s="27"/>
      <c r="D3167" s="67"/>
      <c r="E3167" s="68"/>
      <c r="F3167" s="17"/>
      <c r="G3167" s="27"/>
    </row>
    <row r="3168" spans="2:7" ht="20.25" customHeight="1" x14ac:dyDescent="0.3">
      <c r="B3168" s="17"/>
      <c r="C3168" s="27"/>
      <c r="D3168" s="67"/>
      <c r="E3168" s="68"/>
      <c r="F3168" s="17"/>
      <c r="G3168" s="27"/>
    </row>
    <row r="3169" spans="2:7" ht="20.25" customHeight="1" x14ac:dyDescent="0.3">
      <c r="B3169" s="17"/>
      <c r="C3169" s="27"/>
      <c r="D3169" s="67"/>
      <c r="E3169" s="68"/>
      <c r="F3169" s="17"/>
      <c r="G3169" s="27"/>
    </row>
    <row r="3170" spans="2:7" ht="20.25" customHeight="1" x14ac:dyDescent="0.3">
      <c r="B3170" s="17"/>
      <c r="C3170" s="27"/>
      <c r="D3170" s="67"/>
      <c r="E3170" s="68"/>
      <c r="F3170" s="17"/>
      <c r="G3170" s="27"/>
    </row>
    <row r="3171" spans="2:7" ht="20.25" customHeight="1" x14ac:dyDescent="0.3">
      <c r="B3171" s="17"/>
      <c r="C3171" s="27"/>
      <c r="D3171" s="67"/>
      <c r="E3171" s="68"/>
      <c r="F3171" s="17"/>
      <c r="G3171" s="27"/>
    </row>
    <row r="3172" spans="2:7" ht="20.25" customHeight="1" x14ac:dyDescent="0.3">
      <c r="B3172" s="17"/>
      <c r="C3172" s="27"/>
      <c r="D3172" s="67"/>
      <c r="E3172" s="68"/>
      <c r="F3172" s="17"/>
      <c r="G3172" s="27"/>
    </row>
    <row r="3173" spans="2:7" ht="20.25" customHeight="1" x14ac:dyDescent="0.3">
      <c r="B3173" s="17"/>
      <c r="C3173" s="27"/>
      <c r="D3173" s="67"/>
      <c r="E3173" s="68"/>
      <c r="F3173" s="17"/>
      <c r="G3173" s="27"/>
    </row>
    <row r="3174" spans="2:7" ht="20.25" customHeight="1" x14ac:dyDescent="0.3">
      <c r="B3174" s="17"/>
      <c r="C3174" s="27"/>
      <c r="D3174" s="67"/>
      <c r="E3174" s="68"/>
      <c r="F3174" s="17"/>
      <c r="G3174" s="27"/>
    </row>
    <row r="3175" spans="2:7" ht="20.25" customHeight="1" x14ac:dyDescent="0.3">
      <c r="B3175" s="17"/>
      <c r="C3175" s="27"/>
      <c r="D3175" s="67"/>
      <c r="E3175" s="68"/>
      <c r="F3175" s="17"/>
      <c r="G3175" s="27"/>
    </row>
    <row r="3176" spans="2:7" ht="20.25" customHeight="1" x14ac:dyDescent="0.3">
      <c r="B3176" s="17"/>
      <c r="C3176" s="27"/>
      <c r="D3176" s="67"/>
      <c r="E3176" s="68"/>
      <c r="F3176" s="17"/>
      <c r="G3176" s="27"/>
    </row>
    <row r="3177" spans="2:7" ht="20.25" customHeight="1" x14ac:dyDescent="0.3">
      <c r="B3177" s="17"/>
      <c r="C3177" s="27"/>
      <c r="D3177" s="67"/>
      <c r="E3177" s="68"/>
      <c r="F3177" s="17"/>
      <c r="G3177" s="27"/>
    </row>
    <row r="3178" spans="2:7" ht="20.25" customHeight="1" x14ac:dyDescent="0.3">
      <c r="B3178" s="17"/>
      <c r="C3178" s="27"/>
      <c r="D3178" s="67"/>
      <c r="E3178" s="68"/>
      <c r="F3178" s="17"/>
      <c r="G3178" s="27"/>
    </row>
    <row r="3179" spans="2:7" ht="20.25" customHeight="1" x14ac:dyDescent="0.3">
      <c r="B3179" s="17"/>
      <c r="C3179" s="27"/>
      <c r="D3179" s="67"/>
      <c r="E3179" s="68"/>
      <c r="F3179" s="17"/>
      <c r="G3179" s="27"/>
    </row>
    <row r="3180" spans="2:7" ht="20.25" customHeight="1" x14ac:dyDescent="0.3">
      <c r="B3180" s="17"/>
      <c r="C3180" s="27"/>
      <c r="D3180" s="67"/>
      <c r="E3180" s="68"/>
      <c r="F3180" s="17"/>
      <c r="G3180" s="27"/>
    </row>
    <row r="3181" spans="2:7" ht="20.25" customHeight="1" x14ac:dyDescent="0.3">
      <c r="B3181" s="17"/>
      <c r="C3181" s="27"/>
      <c r="D3181" s="67"/>
      <c r="E3181" s="68"/>
      <c r="F3181" s="17"/>
      <c r="G3181" s="27"/>
    </row>
    <row r="3182" spans="2:7" ht="20.25" customHeight="1" x14ac:dyDescent="0.3">
      <c r="B3182" s="17"/>
      <c r="C3182" s="27"/>
      <c r="D3182" s="67"/>
      <c r="E3182" s="68"/>
      <c r="F3182" s="17"/>
      <c r="G3182" s="27"/>
    </row>
    <row r="3183" spans="2:7" ht="20.25" customHeight="1" x14ac:dyDescent="0.3">
      <c r="B3183" s="17"/>
      <c r="C3183" s="27"/>
      <c r="D3183" s="67"/>
      <c r="E3183" s="68"/>
      <c r="F3183" s="17"/>
      <c r="G3183" s="27"/>
    </row>
    <row r="3184" spans="2:7" ht="20.25" customHeight="1" x14ac:dyDescent="0.3">
      <c r="B3184" s="17"/>
      <c r="C3184" s="27"/>
      <c r="D3184" s="67"/>
      <c r="E3184" s="68"/>
      <c r="F3184" s="17"/>
      <c r="G3184" s="27"/>
    </row>
    <row r="3185" spans="2:7" ht="20.25" customHeight="1" x14ac:dyDescent="0.3">
      <c r="B3185" s="17"/>
      <c r="C3185" s="27"/>
      <c r="D3185" s="67"/>
      <c r="E3185" s="68"/>
      <c r="F3185" s="17"/>
      <c r="G3185" s="27"/>
    </row>
    <row r="3186" spans="2:7" ht="20.25" customHeight="1" x14ac:dyDescent="0.3">
      <c r="B3186" s="17"/>
      <c r="C3186" s="27"/>
      <c r="D3186" s="67"/>
      <c r="E3186" s="68"/>
      <c r="F3186" s="17"/>
      <c r="G3186" s="27"/>
    </row>
    <row r="3187" spans="2:7" ht="20.25" customHeight="1" x14ac:dyDescent="0.3">
      <c r="B3187" s="17"/>
      <c r="C3187" s="27"/>
      <c r="D3187" s="67"/>
      <c r="E3187" s="68"/>
      <c r="F3187" s="17"/>
      <c r="G3187" s="27"/>
    </row>
    <row r="3188" spans="2:7" ht="20.25" customHeight="1" x14ac:dyDescent="0.3">
      <c r="B3188" s="17"/>
      <c r="C3188" s="27"/>
      <c r="D3188" s="67"/>
      <c r="E3188" s="68"/>
      <c r="F3188" s="17"/>
      <c r="G3188" s="27"/>
    </row>
    <row r="3189" spans="2:7" ht="20.25" customHeight="1" x14ac:dyDescent="0.3">
      <c r="B3189" s="17"/>
      <c r="C3189" s="27"/>
      <c r="D3189" s="67"/>
      <c r="E3189" s="68"/>
      <c r="F3189" s="17"/>
      <c r="G3189" s="27"/>
    </row>
    <row r="3190" spans="2:7" ht="20.25" customHeight="1" x14ac:dyDescent="0.3">
      <c r="B3190" s="17"/>
      <c r="C3190" s="27"/>
      <c r="D3190" s="67"/>
      <c r="E3190" s="68"/>
      <c r="F3190" s="17"/>
      <c r="G3190" s="27"/>
    </row>
    <row r="3191" spans="2:7" ht="20.25" customHeight="1" x14ac:dyDescent="0.3">
      <c r="B3191" s="17"/>
      <c r="C3191" s="27"/>
      <c r="D3191" s="67"/>
      <c r="E3191" s="68"/>
      <c r="F3191" s="17"/>
      <c r="G3191" s="27"/>
    </row>
    <row r="3192" spans="2:7" ht="20.25" customHeight="1" x14ac:dyDescent="0.3">
      <c r="B3192" s="17"/>
      <c r="C3192" s="27"/>
      <c r="D3192" s="67"/>
      <c r="E3192" s="68"/>
      <c r="F3192" s="17"/>
      <c r="G3192" s="27"/>
    </row>
    <row r="3193" spans="2:7" ht="20.25" customHeight="1" x14ac:dyDescent="0.3">
      <c r="B3193" s="17"/>
      <c r="C3193" s="27"/>
      <c r="D3193" s="67"/>
      <c r="E3193" s="68"/>
      <c r="F3193" s="17"/>
      <c r="G3193" s="27"/>
    </row>
    <row r="3194" spans="2:7" ht="20.25" customHeight="1" x14ac:dyDescent="0.3">
      <c r="B3194" s="17"/>
      <c r="C3194" s="27"/>
      <c r="D3194" s="67"/>
      <c r="E3194" s="68"/>
      <c r="F3194" s="17"/>
      <c r="G3194" s="27"/>
    </row>
    <row r="3195" spans="2:7" ht="20.25" customHeight="1" x14ac:dyDescent="0.3">
      <c r="B3195" s="17"/>
      <c r="C3195" s="27"/>
      <c r="D3195" s="67"/>
      <c r="E3195" s="68"/>
      <c r="F3195" s="17"/>
      <c r="G3195" s="27"/>
    </row>
    <row r="3196" spans="2:7" ht="20.25" customHeight="1" x14ac:dyDescent="0.3">
      <c r="B3196" s="17"/>
      <c r="C3196" s="27"/>
      <c r="D3196" s="67"/>
      <c r="E3196" s="68"/>
      <c r="F3196" s="17"/>
      <c r="G3196" s="27"/>
    </row>
    <row r="3197" spans="2:7" ht="20.25" customHeight="1" x14ac:dyDescent="0.3">
      <c r="B3197" s="17"/>
      <c r="C3197" s="27"/>
      <c r="D3197" s="67"/>
      <c r="E3197" s="68"/>
      <c r="F3197" s="17"/>
      <c r="G3197" s="27"/>
    </row>
    <row r="3198" spans="2:7" ht="20.25" customHeight="1" x14ac:dyDescent="0.3">
      <c r="B3198" s="17"/>
      <c r="C3198" s="27"/>
      <c r="D3198" s="67"/>
      <c r="E3198" s="68"/>
      <c r="F3198" s="17"/>
      <c r="G3198" s="27"/>
    </row>
    <row r="3199" spans="2:7" ht="20.25" customHeight="1" x14ac:dyDescent="0.3">
      <c r="B3199" s="17"/>
      <c r="C3199" s="27"/>
      <c r="D3199" s="67"/>
      <c r="E3199" s="68"/>
      <c r="F3199" s="17"/>
      <c r="G3199" s="27"/>
    </row>
    <row r="3200" spans="2:7" ht="20.25" customHeight="1" x14ac:dyDescent="0.3">
      <c r="B3200" s="17"/>
      <c r="C3200" s="27"/>
      <c r="D3200" s="67"/>
      <c r="E3200" s="68"/>
      <c r="F3200" s="17"/>
      <c r="G3200" s="27"/>
    </row>
    <row r="3201" spans="2:7" ht="20.25" customHeight="1" x14ac:dyDescent="0.3">
      <c r="B3201" s="17"/>
      <c r="C3201" s="27"/>
      <c r="D3201" s="67"/>
      <c r="E3201" s="68"/>
      <c r="F3201" s="17"/>
      <c r="G3201" s="27"/>
    </row>
    <row r="3202" spans="2:7" ht="20.25" customHeight="1" x14ac:dyDescent="0.3">
      <c r="B3202" s="17"/>
      <c r="C3202" s="27"/>
      <c r="D3202" s="67"/>
      <c r="E3202" s="68"/>
      <c r="F3202" s="17"/>
      <c r="G3202" s="27"/>
    </row>
    <row r="3203" spans="2:7" ht="20.25" customHeight="1" x14ac:dyDescent="0.3">
      <c r="B3203" s="17"/>
      <c r="C3203" s="27"/>
      <c r="D3203" s="67"/>
      <c r="E3203" s="68"/>
      <c r="F3203" s="17"/>
      <c r="G3203" s="27"/>
    </row>
    <row r="3204" spans="2:7" ht="20.25" customHeight="1" x14ac:dyDescent="0.3">
      <c r="B3204" s="17"/>
      <c r="C3204" s="27"/>
      <c r="D3204" s="67"/>
      <c r="E3204" s="68"/>
      <c r="F3204" s="17"/>
      <c r="G3204" s="27"/>
    </row>
    <row r="3205" spans="2:7" ht="20.25" customHeight="1" x14ac:dyDescent="0.3">
      <c r="B3205" s="17"/>
      <c r="C3205" s="27"/>
      <c r="D3205" s="67"/>
      <c r="E3205" s="68"/>
      <c r="F3205" s="17"/>
      <c r="G3205" s="27"/>
    </row>
    <row r="3206" spans="2:7" ht="20.25" customHeight="1" x14ac:dyDescent="0.3">
      <c r="B3206" s="17"/>
      <c r="C3206" s="27"/>
      <c r="D3206" s="67"/>
      <c r="E3206" s="68"/>
      <c r="F3206" s="17"/>
      <c r="G3206" s="27"/>
    </row>
    <row r="3207" spans="2:7" ht="20.25" customHeight="1" x14ac:dyDescent="0.3">
      <c r="B3207" s="17"/>
      <c r="C3207" s="27"/>
      <c r="D3207" s="67"/>
      <c r="E3207" s="68"/>
      <c r="F3207" s="17"/>
      <c r="G3207" s="27"/>
    </row>
    <row r="3208" spans="2:7" ht="20.25" customHeight="1" x14ac:dyDescent="0.3">
      <c r="B3208" s="17"/>
      <c r="C3208" s="27"/>
      <c r="D3208" s="67"/>
      <c r="E3208" s="68"/>
      <c r="F3208" s="17"/>
      <c r="G3208" s="27"/>
    </row>
    <row r="3209" spans="2:7" ht="20.25" customHeight="1" x14ac:dyDescent="0.3">
      <c r="B3209" s="17"/>
      <c r="C3209" s="27"/>
      <c r="D3209" s="67"/>
      <c r="E3209" s="68"/>
      <c r="F3209" s="17"/>
      <c r="G3209" s="27"/>
    </row>
    <row r="3210" spans="2:7" ht="20.25" customHeight="1" x14ac:dyDescent="0.3">
      <c r="B3210" s="17"/>
      <c r="C3210" s="27"/>
      <c r="D3210" s="67"/>
      <c r="E3210" s="68"/>
      <c r="F3210" s="17"/>
      <c r="G3210" s="27"/>
    </row>
    <row r="3211" spans="2:7" ht="20.25" customHeight="1" x14ac:dyDescent="0.3">
      <c r="B3211" s="17"/>
      <c r="C3211" s="27"/>
      <c r="D3211" s="67"/>
      <c r="E3211" s="68"/>
      <c r="F3211" s="17"/>
      <c r="G3211" s="27"/>
    </row>
    <row r="3212" spans="2:7" ht="20.25" customHeight="1" x14ac:dyDescent="0.3">
      <c r="B3212" s="17"/>
      <c r="C3212" s="27"/>
      <c r="D3212" s="67"/>
      <c r="E3212" s="68"/>
      <c r="F3212" s="17"/>
      <c r="G3212" s="27"/>
    </row>
    <row r="3213" spans="2:7" ht="20.25" customHeight="1" x14ac:dyDescent="0.3">
      <c r="B3213" s="17"/>
      <c r="C3213" s="27"/>
      <c r="D3213" s="67"/>
      <c r="E3213" s="68"/>
      <c r="F3213" s="17"/>
      <c r="G3213" s="27"/>
    </row>
    <row r="3214" spans="2:7" ht="20.25" customHeight="1" x14ac:dyDescent="0.3">
      <c r="B3214" s="17"/>
      <c r="C3214" s="27"/>
      <c r="D3214" s="67"/>
      <c r="E3214" s="68"/>
      <c r="F3214" s="17"/>
      <c r="G3214" s="27"/>
    </row>
    <row r="3215" spans="2:7" ht="20.25" customHeight="1" x14ac:dyDescent="0.3">
      <c r="B3215" s="17"/>
      <c r="C3215" s="27"/>
      <c r="D3215" s="67"/>
      <c r="E3215" s="68"/>
      <c r="F3215" s="17"/>
      <c r="G3215" s="27"/>
    </row>
    <row r="3216" spans="2:7" ht="20.25" customHeight="1" x14ac:dyDescent="0.3">
      <c r="B3216" s="17"/>
      <c r="C3216" s="27"/>
      <c r="D3216" s="67"/>
      <c r="E3216" s="68"/>
      <c r="F3216" s="17"/>
      <c r="G3216" s="27"/>
    </row>
    <row r="3217" spans="2:7" ht="20.25" customHeight="1" x14ac:dyDescent="0.3">
      <c r="B3217" s="17"/>
      <c r="C3217" s="27"/>
      <c r="D3217" s="67"/>
      <c r="E3217" s="68"/>
      <c r="F3217" s="17"/>
      <c r="G3217" s="27"/>
    </row>
    <row r="3218" spans="2:7" ht="20.25" customHeight="1" x14ac:dyDescent="0.3">
      <c r="B3218" s="17"/>
      <c r="C3218" s="27"/>
      <c r="D3218" s="67"/>
      <c r="E3218" s="68"/>
      <c r="F3218" s="17"/>
      <c r="G3218" s="27"/>
    </row>
    <row r="3219" spans="2:7" ht="20.25" customHeight="1" x14ac:dyDescent="0.3">
      <c r="B3219" s="17"/>
      <c r="C3219" s="27"/>
      <c r="D3219" s="67"/>
      <c r="E3219" s="68"/>
      <c r="F3219" s="17"/>
      <c r="G3219" s="27"/>
    </row>
    <row r="3220" spans="2:7" ht="20.25" customHeight="1" x14ac:dyDescent="0.3">
      <c r="B3220" s="17"/>
      <c r="C3220" s="27"/>
      <c r="D3220" s="67"/>
      <c r="E3220" s="68"/>
      <c r="F3220" s="17"/>
      <c r="G3220" s="27"/>
    </row>
    <row r="3221" spans="2:7" ht="20.25" customHeight="1" x14ac:dyDescent="0.3">
      <c r="B3221" s="17"/>
      <c r="C3221" s="27"/>
      <c r="D3221" s="67"/>
      <c r="E3221" s="68"/>
      <c r="F3221" s="17"/>
      <c r="G3221" s="27"/>
    </row>
    <row r="3222" spans="2:7" ht="20.25" customHeight="1" x14ac:dyDescent="0.3">
      <c r="B3222" s="17"/>
      <c r="C3222" s="27"/>
      <c r="D3222" s="67"/>
      <c r="E3222" s="68"/>
      <c r="F3222" s="17"/>
      <c r="G3222" s="27"/>
    </row>
    <row r="3223" spans="2:7" ht="20.25" customHeight="1" x14ac:dyDescent="0.3">
      <c r="B3223" s="17"/>
      <c r="C3223" s="27"/>
      <c r="D3223" s="67"/>
      <c r="E3223" s="68"/>
      <c r="F3223" s="17"/>
      <c r="G3223" s="27"/>
    </row>
    <row r="3224" spans="2:7" ht="20.25" customHeight="1" x14ac:dyDescent="0.3">
      <c r="B3224" s="17"/>
      <c r="C3224" s="27"/>
      <c r="D3224" s="67"/>
      <c r="E3224" s="68"/>
      <c r="F3224" s="17"/>
      <c r="G3224" s="27"/>
    </row>
    <row r="3225" spans="2:7" ht="20.25" customHeight="1" x14ac:dyDescent="0.3">
      <c r="B3225" s="17"/>
      <c r="C3225" s="27"/>
      <c r="D3225" s="67"/>
      <c r="E3225" s="68"/>
      <c r="F3225" s="17"/>
      <c r="G3225" s="27"/>
    </row>
    <row r="3226" spans="2:7" ht="20.25" customHeight="1" x14ac:dyDescent="0.3">
      <c r="B3226" s="17"/>
      <c r="C3226" s="27"/>
      <c r="D3226" s="67"/>
      <c r="E3226" s="68"/>
      <c r="F3226" s="17"/>
      <c r="G3226" s="27"/>
    </row>
    <row r="3227" spans="2:7" ht="20.25" customHeight="1" x14ac:dyDescent="0.3">
      <c r="B3227" s="17"/>
      <c r="C3227" s="27"/>
      <c r="D3227" s="67"/>
      <c r="E3227" s="68"/>
      <c r="F3227" s="17"/>
      <c r="G3227" s="27"/>
    </row>
    <row r="3228" spans="2:7" ht="20.25" customHeight="1" x14ac:dyDescent="0.3">
      <c r="B3228" s="17"/>
      <c r="C3228" s="27"/>
      <c r="D3228" s="67"/>
      <c r="E3228" s="68"/>
      <c r="F3228" s="17"/>
      <c r="G3228" s="27"/>
    </row>
    <row r="3229" spans="2:7" ht="20.25" customHeight="1" x14ac:dyDescent="0.3">
      <c r="B3229" s="17"/>
      <c r="C3229" s="27"/>
      <c r="D3229" s="67"/>
      <c r="E3229" s="68"/>
      <c r="F3229" s="17"/>
      <c r="G3229" s="27"/>
    </row>
    <row r="3230" spans="2:7" ht="20.25" customHeight="1" x14ac:dyDescent="0.3">
      <c r="B3230" s="17"/>
      <c r="C3230" s="27"/>
      <c r="D3230" s="67"/>
      <c r="E3230" s="68"/>
      <c r="F3230" s="17"/>
      <c r="G3230" s="27"/>
    </row>
    <row r="3231" spans="2:7" ht="20.25" customHeight="1" x14ac:dyDescent="0.3">
      <c r="B3231" s="17"/>
      <c r="C3231" s="27"/>
      <c r="D3231" s="67"/>
      <c r="E3231" s="68"/>
      <c r="F3231" s="17"/>
      <c r="G3231" s="27"/>
    </row>
    <row r="3232" spans="2:7" ht="20.25" customHeight="1" x14ac:dyDescent="0.3">
      <c r="B3232" s="17"/>
      <c r="C3232" s="27"/>
      <c r="D3232" s="67"/>
      <c r="E3232" s="68"/>
      <c r="F3232" s="17"/>
      <c r="G3232" s="27"/>
    </row>
    <row r="3233" spans="2:7" ht="20.25" customHeight="1" x14ac:dyDescent="0.3">
      <c r="B3233" s="17"/>
      <c r="C3233" s="27"/>
      <c r="D3233" s="67"/>
      <c r="E3233" s="68"/>
      <c r="F3233" s="17"/>
      <c r="G3233" s="27"/>
    </row>
    <row r="3234" spans="2:7" ht="20.25" customHeight="1" x14ac:dyDescent="0.3">
      <c r="B3234" s="17"/>
      <c r="C3234" s="27"/>
      <c r="D3234" s="67"/>
      <c r="E3234" s="68"/>
      <c r="F3234" s="17"/>
      <c r="G3234" s="27"/>
    </row>
    <row r="3235" spans="2:7" ht="20.25" customHeight="1" x14ac:dyDescent="0.3">
      <c r="B3235" s="17"/>
      <c r="C3235" s="27"/>
      <c r="D3235" s="67"/>
      <c r="E3235" s="68"/>
      <c r="F3235" s="17"/>
      <c r="G3235" s="27"/>
    </row>
    <row r="3236" spans="2:7" ht="20.25" customHeight="1" x14ac:dyDescent="0.3">
      <c r="B3236" s="17"/>
      <c r="C3236" s="27"/>
      <c r="D3236" s="67"/>
      <c r="E3236" s="68"/>
      <c r="F3236" s="17"/>
      <c r="G3236" s="27"/>
    </row>
    <row r="3237" spans="2:7" ht="20.25" customHeight="1" x14ac:dyDescent="0.3">
      <c r="B3237" s="17"/>
      <c r="C3237" s="27"/>
      <c r="D3237" s="67"/>
      <c r="E3237" s="68"/>
      <c r="F3237" s="17"/>
      <c r="G3237" s="27"/>
    </row>
    <row r="3238" spans="2:7" ht="20.25" customHeight="1" x14ac:dyDescent="0.3">
      <c r="B3238" s="17"/>
      <c r="C3238" s="27"/>
      <c r="D3238" s="67"/>
      <c r="E3238" s="68"/>
      <c r="F3238" s="17"/>
      <c r="G3238" s="27"/>
    </row>
    <row r="3239" spans="2:7" ht="20.25" customHeight="1" x14ac:dyDescent="0.3">
      <c r="B3239" s="17"/>
      <c r="C3239" s="27"/>
      <c r="D3239" s="67"/>
      <c r="E3239" s="68"/>
      <c r="F3239" s="17"/>
      <c r="G3239" s="27"/>
    </row>
    <row r="3240" spans="2:7" ht="20.25" customHeight="1" x14ac:dyDescent="0.3">
      <c r="B3240" s="17"/>
      <c r="C3240" s="27"/>
      <c r="D3240" s="67"/>
      <c r="E3240" s="68"/>
      <c r="F3240" s="17"/>
      <c r="G3240" s="27"/>
    </row>
    <row r="3241" spans="2:7" ht="20.25" customHeight="1" x14ac:dyDescent="0.3">
      <c r="B3241" s="17"/>
      <c r="C3241" s="27"/>
      <c r="D3241" s="67"/>
      <c r="E3241" s="68"/>
      <c r="F3241" s="17"/>
      <c r="G3241" s="27"/>
    </row>
    <row r="3242" spans="2:7" ht="20.25" customHeight="1" x14ac:dyDescent="0.3">
      <c r="B3242" s="17"/>
      <c r="C3242" s="27"/>
      <c r="D3242" s="67"/>
      <c r="E3242" s="68"/>
      <c r="F3242" s="17"/>
      <c r="G3242" s="27"/>
    </row>
    <row r="3243" spans="2:7" ht="20.25" customHeight="1" x14ac:dyDescent="0.3">
      <c r="B3243" s="17"/>
      <c r="C3243" s="27"/>
      <c r="D3243" s="67"/>
      <c r="E3243" s="68"/>
      <c r="F3243" s="17"/>
      <c r="G3243" s="27"/>
    </row>
    <row r="3244" spans="2:7" ht="20.25" customHeight="1" x14ac:dyDescent="0.3">
      <c r="B3244" s="17"/>
      <c r="C3244" s="27"/>
      <c r="D3244" s="67"/>
      <c r="E3244" s="68"/>
      <c r="F3244" s="17"/>
      <c r="G3244" s="27"/>
    </row>
    <row r="3245" spans="2:7" ht="20.25" customHeight="1" x14ac:dyDescent="0.3">
      <c r="B3245" s="17"/>
      <c r="C3245" s="27"/>
      <c r="D3245" s="67"/>
      <c r="E3245" s="68"/>
      <c r="F3245" s="17"/>
      <c r="G3245" s="27"/>
    </row>
    <row r="3246" spans="2:7" ht="20.25" customHeight="1" x14ac:dyDescent="0.3">
      <c r="B3246" s="17"/>
      <c r="C3246" s="27"/>
      <c r="D3246" s="67"/>
      <c r="E3246" s="68"/>
      <c r="F3246" s="17"/>
      <c r="G3246" s="27"/>
    </row>
    <row r="3247" spans="2:7" ht="20.25" customHeight="1" x14ac:dyDescent="0.3">
      <c r="B3247" s="17"/>
      <c r="C3247" s="27"/>
      <c r="D3247" s="67"/>
      <c r="E3247" s="68"/>
      <c r="F3247" s="17"/>
      <c r="G3247" s="27"/>
    </row>
    <row r="3248" spans="2:7" ht="20.25" customHeight="1" x14ac:dyDescent="0.3">
      <c r="B3248" s="17"/>
      <c r="C3248" s="27"/>
      <c r="D3248" s="67"/>
      <c r="E3248" s="68"/>
      <c r="F3248" s="17"/>
      <c r="G3248" s="27"/>
    </row>
    <row r="3249" spans="2:7" ht="20.25" customHeight="1" x14ac:dyDescent="0.3">
      <c r="B3249" s="17"/>
      <c r="C3249" s="27"/>
      <c r="D3249" s="67"/>
      <c r="E3249" s="68"/>
      <c r="F3249" s="17"/>
      <c r="G3249" s="27"/>
    </row>
    <row r="3250" spans="2:7" ht="20.25" customHeight="1" x14ac:dyDescent="0.3">
      <c r="B3250" s="17"/>
      <c r="C3250" s="27"/>
      <c r="D3250" s="67"/>
      <c r="E3250" s="68"/>
      <c r="F3250" s="17"/>
      <c r="G3250" s="27"/>
    </row>
    <row r="3251" spans="2:7" ht="20.25" customHeight="1" x14ac:dyDescent="0.3">
      <c r="B3251" s="17"/>
      <c r="C3251" s="27"/>
      <c r="D3251" s="67"/>
      <c r="E3251" s="68"/>
      <c r="F3251" s="17"/>
      <c r="G3251" s="27"/>
    </row>
    <row r="3252" spans="2:7" ht="20.25" customHeight="1" x14ac:dyDescent="0.3">
      <c r="B3252" s="17"/>
      <c r="C3252" s="27"/>
      <c r="D3252" s="67"/>
      <c r="E3252" s="68"/>
      <c r="F3252" s="17"/>
      <c r="G3252" s="27"/>
    </row>
    <row r="3253" spans="2:7" ht="20.25" customHeight="1" x14ac:dyDescent="0.3">
      <c r="B3253" s="17"/>
      <c r="C3253" s="27"/>
      <c r="D3253" s="67"/>
      <c r="E3253" s="68"/>
      <c r="F3253" s="17"/>
      <c r="G3253" s="27"/>
    </row>
    <row r="3254" spans="2:7" ht="20.25" customHeight="1" x14ac:dyDescent="0.3">
      <c r="B3254" s="17"/>
      <c r="C3254" s="27"/>
      <c r="D3254" s="67"/>
      <c r="E3254" s="68"/>
      <c r="F3254" s="17"/>
      <c r="G3254" s="27"/>
    </row>
    <row r="3255" spans="2:7" ht="20.25" customHeight="1" x14ac:dyDescent="0.3">
      <c r="B3255" s="17"/>
      <c r="C3255" s="27"/>
      <c r="D3255" s="67"/>
      <c r="E3255" s="68"/>
      <c r="F3255" s="17"/>
      <c r="G3255" s="27"/>
    </row>
    <row r="3256" spans="2:7" ht="20.25" customHeight="1" x14ac:dyDescent="0.3">
      <c r="B3256" s="17"/>
      <c r="C3256" s="27"/>
      <c r="D3256" s="67"/>
      <c r="E3256" s="68"/>
      <c r="F3256" s="17"/>
      <c r="G3256" s="27"/>
    </row>
    <row r="3257" spans="2:7" ht="20.25" customHeight="1" x14ac:dyDescent="0.3">
      <c r="B3257" s="17"/>
      <c r="C3257" s="27"/>
      <c r="D3257" s="67"/>
      <c r="E3257" s="68"/>
      <c r="F3257" s="17"/>
      <c r="G3257" s="27"/>
    </row>
    <row r="3258" spans="2:7" ht="20.25" customHeight="1" x14ac:dyDescent="0.3">
      <c r="B3258" s="17"/>
      <c r="C3258" s="27"/>
      <c r="D3258" s="67"/>
      <c r="E3258" s="68"/>
      <c r="F3258" s="17"/>
      <c r="G3258" s="27"/>
    </row>
    <row r="3259" spans="2:7" ht="20.25" customHeight="1" x14ac:dyDescent="0.3">
      <c r="B3259" s="17"/>
      <c r="C3259" s="27"/>
      <c r="D3259" s="67"/>
      <c r="E3259" s="68"/>
      <c r="F3259" s="17"/>
      <c r="G3259" s="27"/>
    </row>
    <row r="3260" spans="2:7" ht="20.25" customHeight="1" x14ac:dyDescent="0.3">
      <c r="B3260" s="17"/>
      <c r="C3260" s="27"/>
      <c r="D3260" s="67"/>
      <c r="E3260" s="68"/>
      <c r="F3260" s="17"/>
      <c r="G3260" s="27"/>
    </row>
    <row r="3261" spans="2:7" ht="20.25" customHeight="1" x14ac:dyDescent="0.3">
      <c r="B3261" s="17"/>
      <c r="C3261" s="27"/>
      <c r="D3261" s="67"/>
      <c r="E3261" s="68"/>
      <c r="F3261" s="17"/>
      <c r="G3261" s="27"/>
    </row>
    <row r="3262" spans="2:7" ht="20.25" customHeight="1" x14ac:dyDescent="0.3">
      <c r="B3262" s="17"/>
      <c r="C3262" s="27"/>
      <c r="D3262" s="67"/>
      <c r="E3262" s="68"/>
      <c r="F3262" s="17"/>
      <c r="G3262" s="27"/>
    </row>
    <row r="3263" spans="2:7" ht="20.25" customHeight="1" x14ac:dyDescent="0.3">
      <c r="B3263" s="17"/>
      <c r="C3263" s="27"/>
      <c r="D3263" s="67"/>
      <c r="E3263" s="68"/>
      <c r="F3263" s="17"/>
      <c r="G3263" s="27"/>
    </row>
    <row r="3264" spans="2:7" ht="20.25" customHeight="1" x14ac:dyDescent="0.3">
      <c r="B3264" s="17"/>
      <c r="C3264" s="27"/>
      <c r="D3264" s="67"/>
      <c r="E3264" s="68"/>
      <c r="F3264" s="17"/>
      <c r="G3264" s="27"/>
    </row>
    <row r="3265" spans="2:7" ht="20.25" customHeight="1" x14ac:dyDescent="0.3">
      <c r="B3265" s="17"/>
      <c r="C3265" s="27"/>
      <c r="D3265" s="67"/>
      <c r="E3265" s="68"/>
      <c r="F3265" s="17"/>
      <c r="G3265" s="27"/>
    </row>
    <row r="3266" spans="2:7" ht="20.25" customHeight="1" x14ac:dyDescent="0.3">
      <c r="B3266" s="17"/>
      <c r="C3266" s="27"/>
      <c r="D3266" s="67"/>
      <c r="E3266" s="68"/>
      <c r="F3266" s="17"/>
      <c r="G3266" s="27"/>
    </row>
    <row r="3267" spans="2:7" ht="20.25" customHeight="1" x14ac:dyDescent="0.3">
      <c r="B3267" s="17"/>
      <c r="C3267" s="27"/>
      <c r="D3267" s="67"/>
      <c r="E3267" s="68"/>
      <c r="F3267" s="17"/>
      <c r="G3267" s="27"/>
    </row>
    <row r="3268" spans="2:7" ht="20.25" customHeight="1" x14ac:dyDescent="0.3">
      <c r="B3268" s="17"/>
      <c r="C3268" s="27"/>
      <c r="D3268" s="67"/>
      <c r="E3268" s="68"/>
      <c r="F3268" s="17"/>
      <c r="G3268" s="27"/>
    </row>
    <row r="3269" spans="2:7" ht="20.25" customHeight="1" x14ac:dyDescent="0.3">
      <c r="B3269" s="17"/>
      <c r="C3269" s="27"/>
      <c r="D3269" s="67"/>
      <c r="E3269" s="68"/>
      <c r="F3269" s="17"/>
      <c r="G3269" s="27"/>
    </row>
    <row r="3270" spans="2:7" ht="20.25" customHeight="1" x14ac:dyDescent="0.3">
      <c r="B3270" s="17"/>
      <c r="C3270" s="27"/>
      <c r="D3270" s="67"/>
      <c r="E3270" s="68"/>
      <c r="F3270" s="17"/>
      <c r="G3270" s="27"/>
    </row>
    <row r="3271" spans="2:7" ht="20.25" customHeight="1" x14ac:dyDescent="0.3">
      <c r="B3271" s="17"/>
      <c r="C3271" s="27"/>
      <c r="D3271" s="67"/>
      <c r="E3271" s="68"/>
      <c r="F3271" s="17"/>
      <c r="G3271" s="27"/>
    </row>
    <row r="3272" spans="2:7" ht="20.25" customHeight="1" x14ac:dyDescent="0.3">
      <c r="B3272" s="17"/>
      <c r="C3272" s="27"/>
      <c r="D3272" s="67"/>
      <c r="E3272" s="68"/>
      <c r="F3272" s="17"/>
      <c r="G3272" s="27"/>
    </row>
    <row r="3273" spans="2:7" ht="20.25" customHeight="1" x14ac:dyDescent="0.3">
      <c r="B3273" s="17"/>
      <c r="C3273" s="27"/>
      <c r="D3273" s="67"/>
      <c r="E3273" s="68"/>
      <c r="F3273" s="17"/>
      <c r="G3273" s="27"/>
    </row>
    <row r="3274" spans="2:7" ht="20.25" customHeight="1" x14ac:dyDescent="0.3">
      <c r="B3274" s="17"/>
      <c r="C3274" s="27"/>
      <c r="D3274" s="67"/>
      <c r="E3274" s="68"/>
      <c r="F3274" s="17"/>
      <c r="G3274" s="27"/>
    </row>
    <row r="3275" spans="2:7" ht="20.25" customHeight="1" x14ac:dyDescent="0.3">
      <c r="B3275" s="17"/>
      <c r="C3275" s="27"/>
      <c r="D3275" s="67"/>
      <c r="E3275" s="68"/>
      <c r="F3275" s="17"/>
      <c r="G3275" s="27"/>
    </row>
    <row r="3276" spans="2:7" ht="20.25" customHeight="1" x14ac:dyDescent="0.3">
      <c r="B3276" s="17"/>
      <c r="C3276" s="27"/>
      <c r="D3276" s="67"/>
      <c r="E3276" s="68"/>
      <c r="F3276" s="17"/>
      <c r="G3276" s="27"/>
    </row>
    <row r="3277" spans="2:7" ht="20.25" customHeight="1" x14ac:dyDescent="0.3">
      <c r="B3277" s="17"/>
      <c r="C3277" s="27"/>
      <c r="D3277" s="67"/>
      <c r="E3277" s="68"/>
      <c r="F3277" s="17"/>
      <c r="G3277" s="27"/>
    </row>
    <row r="3278" spans="2:7" ht="20.25" customHeight="1" x14ac:dyDescent="0.3">
      <c r="B3278" s="17"/>
      <c r="C3278" s="27"/>
      <c r="D3278" s="67"/>
      <c r="E3278" s="68"/>
      <c r="F3278" s="17"/>
      <c r="G3278" s="27"/>
    </row>
    <row r="3279" spans="2:7" ht="20.25" customHeight="1" x14ac:dyDescent="0.3">
      <c r="B3279" s="17"/>
      <c r="C3279" s="27"/>
      <c r="D3279" s="67"/>
      <c r="E3279" s="68"/>
      <c r="F3279" s="17"/>
      <c r="G3279" s="27"/>
    </row>
    <row r="3280" spans="2:7" ht="20.25" customHeight="1" x14ac:dyDescent="0.3">
      <c r="B3280" s="17"/>
      <c r="C3280" s="27"/>
      <c r="D3280" s="67"/>
      <c r="E3280" s="68"/>
      <c r="F3280" s="17"/>
      <c r="G3280" s="27"/>
    </row>
    <row r="3281" spans="2:7" ht="20.25" customHeight="1" x14ac:dyDescent="0.3">
      <c r="B3281" s="17"/>
      <c r="C3281" s="27"/>
      <c r="D3281" s="67"/>
      <c r="E3281" s="68"/>
      <c r="F3281" s="17"/>
      <c r="G3281" s="27"/>
    </row>
    <row r="3282" spans="2:7" ht="20.25" customHeight="1" x14ac:dyDescent="0.3">
      <c r="B3282" s="17"/>
      <c r="C3282" s="27"/>
      <c r="D3282" s="67"/>
      <c r="E3282" s="68"/>
      <c r="F3282" s="17"/>
      <c r="G3282" s="27"/>
    </row>
    <row r="3283" spans="2:7" ht="20.25" customHeight="1" x14ac:dyDescent="0.3">
      <c r="B3283" s="17"/>
      <c r="C3283" s="27"/>
      <c r="D3283" s="67"/>
      <c r="E3283" s="68"/>
      <c r="F3283" s="17"/>
      <c r="G3283" s="27"/>
    </row>
    <row r="3284" spans="2:7" ht="20.25" customHeight="1" x14ac:dyDescent="0.3">
      <c r="B3284" s="17"/>
      <c r="C3284" s="27"/>
      <c r="D3284" s="67"/>
      <c r="E3284" s="68"/>
      <c r="F3284" s="17"/>
      <c r="G3284" s="27"/>
    </row>
    <row r="3285" spans="2:7" ht="20.25" customHeight="1" x14ac:dyDescent="0.3">
      <c r="B3285" s="17"/>
      <c r="C3285" s="27"/>
      <c r="D3285" s="67"/>
      <c r="E3285" s="68"/>
      <c r="F3285" s="17"/>
      <c r="G3285" s="27"/>
    </row>
    <row r="3286" spans="2:7" ht="20.25" customHeight="1" x14ac:dyDescent="0.3">
      <c r="B3286" s="17"/>
      <c r="C3286" s="27"/>
      <c r="D3286" s="67"/>
      <c r="E3286" s="68"/>
      <c r="F3286" s="17"/>
      <c r="G3286" s="27"/>
    </row>
    <row r="3287" spans="2:7" ht="20.25" customHeight="1" x14ac:dyDescent="0.3">
      <c r="B3287" s="17"/>
      <c r="C3287" s="27"/>
      <c r="D3287" s="67"/>
      <c r="E3287" s="68"/>
      <c r="F3287" s="17"/>
      <c r="G3287" s="27"/>
    </row>
    <row r="3288" spans="2:7" ht="20.25" customHeight="1" x14ac:dyDescent="0.3">
      <c r="B3288" s="17"/>
      <c r="C3288" s="27"/>
      <c r="D3288" s="67"/>
      <c r="E3288" s="68"/>
      <c r="F3288" s="17"/>
      <c r="G3288" s="27"/>
    </row>
    <row r="3289" spans="2:7" ht="20.25" customHeight="1" x14ac:dyDescent="0.3">
      <c r="B3289" s="17"/>
      <c r="C3289" s="27"/>
      <c r="D3289" s="67"/>
      <c r="E3289" s="68"/>
      <c r="F3289" s="17"/>
      <c r="G3289" s="27"/>
    </row>
    <row r="3290" spans="2:7" ht="20.25" customHeight="1" x14ac:dyDescent="0.3">
      <c r="B3290" s="17"/>
      <c r="C3290" s="27"/>
      <c r="D3290" s="67"/>
      <c r="E3290" s="68"/>
      <c r="F3290" s="17"/>
      <c r="G3290" s="27"/>
    </row>
    <row r="3291" spans="2:7" ht="20.25" customHeight="1" x14ac:dyDescent="0.3">
      <c r="B3291" s="17"/>
      <c r="C3291" s="27"/>
      <c r="D3291" s="67"/>
      <c r="E3291" s="68"/>
      <c r="F3291" s="17"/>
      <c r="G3291" s="27"/>
    </row>
    <row r="3292" spans="2:7" ht="20.25" customHeight="1" x14ac:dyDescent="0.3">
      <c r="B3292" s="17"/>
      <c r="C3292" s="27"/>
      <c r="D3292" s="67"/>
      <c r="E3292" s="68"/>
      <c r="F3292" s="17"/>
      <c r="G3292" s="27"/>
    </row>
    <row r="3293" spans="2:7" ht="20.25" customHeight="1" x14ac:dyDescent="0.3">
      <c r="B3293" s="17"/>
      <c r="C3293" s="27"/>
      <c r="D3293" s="67"/>
      <c r="E3293" s="68"/>
      <c r="F3293" s="17"/>
      <c r="G3293" s="27"/>
    </row>
    <row r="3294" spans="2:7" ht="20.25" customHeight="1" x14ac:dyDescent="0.3">
      <c r="B3294" s="17"/>
      <c r="C3294" s="27"/>
      <c r="D3294" s="67"/>
      <c r="E3294" s="68"/>
      <c r="F3294" s="17"/>
      <c r="G3294" s="27"/>
    </row>
    <row r="3295" spans="2:7" ht="20.25" customHeight="1" x14ac:dyDescent="0.3">
      <c r="B3295" s="17"/>
      <c r="C3295" s="27"/>
      <c r="D3295" s="67"/>
      <c r="E3295" s="68"/>
      <c r="F3295" s="17"/>
      <c r="G3295" s="27"/>
    </row>
    <row r="3296" spans="2:7" ht="20.25" customHeight="1" x14ac:dyDescent="0.3">
      <c r="B3296" s="17"/>
      <c r="C3296" s="27"/>
      <c r="D3296" s="67"/>
      <c r="E3296" s="68"/>
      <c r="F3296" s="17"/>
      <c r="G3296" s="27"/>
    </row>
    <row r="3297" spans="2:7" ht="20.25" customHeight="1" x14ac:dyDescent="0.3">
      <c r="B3297" s="17"/>
      <c r="C3297" s="27"/>
      <c r="D3297" s="67"/>
      <c r="E3297" s="68"/>
      <c r="F3297" s="17"/>
      <c r="G3297" s="27"/>
    </row>
    <row r="3298" spans="2:7" ht="20.25" customHeight="1" x14ac:dyDescent="0.3">
      <c r="B3298" s="17"/>
      <c r="C3298" s="27"/>
      <c r="D3298" s="67"/>
      <c r="E3298" s="68"/>
      <c r="F3298" s="17"/>
      <c r="G3298" s="27"/>
    </row>
    <row r="3299" spans="2:7" ht="20.25" customHeight="1" x14ac:dyDescent="0.3">
      <c r="B3299" s="17"/>
      <c r="C3299" s="27"/>
      <c r="D3299" s="67"/>
      <c r="E3299" s="68"/>
      <c r="F3299" s="17"/>
      <c r="G3299" s="27"/>
    </row>
    <row r="3300" spans="2:7" ht="20.25" customHeight="1" x14ac:dyDescent="0.3">
      <c r="B3300" s="17"/>
      <c r="C3300" s="27"/>
      <c r="D3300" s="67"/>
      <c r="E3300" s="68"/>
      <c r="F3300" s="17"/>
      <c r="G3300" s="27"/>
    </row>
    <row r="3301" spans="2:7" ht="20.25" customHeight="1" x14ac:dyDescent="0.3">
      <c r="B3301" s="17"/>
      <c r="C3301" s="27"/>
      <c r="D3301" s="67"/>
      <c r="E3301" s="68"/>
      <c r="F3301" s="17"/>
      <c r="G3301" s="27"/>
    </row>
    <row r="3302" spans="2:7" ht="20.25" customHeight="1" x14ac:dyDescent="0.3">
      <c r="B3302" s="17"/>
      <c r="C3302" s="27"/>
      <c r="D3302" s="67"/>
      <c r="E3302" s="68"/>
      <c r="F3302" s="17"/>
      <c r="G3302" s="27"/>
    </row>
    <row r="3303" spans="2:7" ht="20.25" customHeight="1" x14ac:dyDescent="0.3">
      <c r="B3303" s="17"/>
      <c r="C3303" s="27"/>
      <c r="D3303" s="67"/>
      <c r="E3303" s="68"/>
      <c r="F3303" s="17"/>
      <c r="G3303" s="27"/>
    </row>
    <row r="3304" spans="2:7" ht="20.25" customHeight="1" x14ac:dyDescent="0.3">
      <c r="B3304" s="17"/>
      <c r="C3304" s="27"/>
      <c r="D3304" s="67"/>
      <c r="E3304" s="68"/>
      <c r="F3304" s="17"/>
      <c r="G3304" s="27"/>
    </row>
    <row r="3305" spans="2:7" ht="20.25" customHeight="1" x14ac:dyDescent="0.3">
      <c r="B3305" s="17"/>
      <c r="C3305" s="27"/>
      <c r="D3305" s="67"/>
      <c r="E3305" s="68"/>
      <c r="F3305" s="17"/>
      <c r="G3305" s="27"/>
    </row>
    <row r="3306" spans="2:7" ht="20.25" customHeight="1" x14ac:dyDescent="0.3">
      <c r="B3306" s="17"/>
      <c r="C3306" s="27"/>
      <c r="D3306" s="67"/>
      <c r="E3306" s="68"/>
      <c r="F3306" s="17"/>
      <c r="G3306" s="27"/>
    </row>
    <row r="3307" spans="2:7" ht="20.25" customHeight="1" x14ac:dyDescent="0.3">
      <c r="B3307" s="17"/>
      <c r="C3307" s="27"/>
      <c r="D3307" s="67"/>
      <c r="E3307" s="68"/>
      <c r="F3307" s="17"/>
      <c r="G3307" s="27"/>
    </row>
    <row r="3308" spans="2:7" ht="20.25" customHeight="1" x14ac:dyDescent="0.3">
      <c r="B3308" s="17"/>
      <c r="C3308" s="27"/>
      <c r="D3308" s="67"/>
      <c r="E3308" s="68"/>
      <c r="F3308" s="17"/>
      <c r="G3308" s="27"/>
    </row>
    <row r="3309" spans="2:7" ht="20.25" customHeight="1" x14ac:dyDescent="0.3">
      <c r="B3309" s="17"/>
      <c r="C3309" s="27"/>
      <c r="D3309" s="67"/>
      <c r="E3309" s="68"/>
      <c r="F3309" s="17"/>
      <c r="G3309" s="27"/>
    </row>
    <row r="3310" spans="2:7" ht="20.25" customHeight="1" x14ac:dyDescent="0.3">
      <c r="B3310" s="17"/>
      <c r="C3310" s="27"/>
      <c r="D3310" s="67"/>
      <c r="E3310" s="68"/>
      <c r="F3310" s="17"/>
      <c r="G3310" s="27"/>
    </row>
    <row r="3311" spans="2:7" ht="20.25" customHeight="1" x14ac:dyDescent="0.3">
      <c r="B3311" s="17"/>
      <c r="C3311" s="27"/>
      <c r="D3311" s="67"/>
      <c r="E3311" s="68"/>
      <c r="F3311" s="17"/>
      <c r="G3311" s="27"/>
    </row>
    <row r="3312" spans="2:7" ht="20.25" customHeight="1" x14ac:dyDescent="0.3">
      <c r="B3312" s="17"/>
      <c r="C3312" s="27"/>
      <c r="D3312" s="67"/>
      <c r="E3312" s="68"/>
      <c r="F3312" s="17"/>
      <c r="G3312" s="27"/>
    </row>
    <row r="3313" spans="2:7" ht="20.25" customHeight="1" x14ac:dyDescent="0.3">
      <c r="B3313" s="17"/>
      <c r="C3313" s="27"/>
      <c r="D3313" s="67"/>
      <c r="E3313" s="68"/>
      <c r="F3313" s="17"/>
      <c r="G3313" s="27"/>
    </row>
    <row r="3314" spans="2:7" ht="20.25" customHeight="1" x14ac:dyDescent="0.3">
      <c r="B3314" s="17"/>
      <c r="C3314" s="27"/>
      <c r="D3314" s="67"/>
      <c r="E3314" s="68"/>
      <c r="F3314" s="17"/>
      <c r="G3314" s="27"/>
    </row>
    <row r="3315" spans="2:7" ht="20.25" customHeight="1" x14ac:dyDescent="0.3">
      <c r="B3315" s="17"/>
      <c r="C3315" s="27"/>
      <c r="D3315" s="67"/>
      <c r="E3315" s="68"/>
      <c r="F3315" s="17"/>
      <c r="G3315" s="27"/>
    </row>
    <row r="3316" spans="2:7" ht="20.25" customHeight="1" x14ac:dyDescent="0.3">
      <c r="B3316" s="17"/>
      <c r="C3316" s="27"/>
      <c r="D3316" s="67"/>
      <c r="E3316" s="68"/>
      <c r="F3316" s="17"/>
      <c r="G3316" s="27"/>
    </row>
    <row r="3317" spans="2:7" ht="20.25" customHeight="1" x14ac:dyDescent="0.3">
      <c r="B3317" s="17"/>
      <c r="C3317" s="27"/>
      <c r="D3317" s="67"/>
      <c r="E3317" s="68"/>
      <c r="F3317" s="17"/>
      <c r="G3317" s="27"/>
    </row>
    <row r="3318" spans="2:7" ht="20.25" customHeight="1" x14ac:dyDescent="0.3">
      <c r="B3318" s="17"/>
      <c r="C3318" s="27"/>
      <c r="D3318" s="67"/>
      <c r="E3318" s="68"/>
      <c r="F3318" s="17"/>
      <c r="G3318" s="27"/>
    </row>
    <row r="3319" spans="2:7" ht="20.25" customHeight="1" x14ac:dyDescent="0.3">
      <c r="B3319" s="17"/>
      <c r="C3319" s="27"/>
      <c r="D3319" s="67"/>
      <c r="E3319" s="68"/>
      <c r="F3319" s="17"/>
      <c r="G3319" s="27"/>
    </row>
    <row r="3320" spans="2:7" ht="20.25" customHeight="1" x14ac:dyDescent="0.3">
      <c r="B3320" s="17"/>
      <c r="C3320" s="27"/>
      <c r="D3320" s="67"/>
      <c r="E3320" s="68"/>
      <c r="F3320" s="17"/>
      <c r="G3320" s="27"/>
    </row>
    <row r="3321" spans="2:7" ht="20.25" customHeight="1" x14ac:dyDescent="0.3">
      <c r="B3321" s="17"/>
      <c r="C3321" s="27"/>
      <c r="D3321" s="67"/>
      <c r="E3321" s="68"/>
      <c r="F3321" s="17"/>
      <c r="G3321" s="27"/>
    </row>
    <row r="3322" spans="2:7" ht="20.25" customHeight="1" x14ac:dyDescent="0.3">
      <c r="B3322" s="17"/>
      <c r="C3322" s="27"/>
      <c r="D3322" s="67"/>
      <c r="E3322" s="68"/>
      <c r="F3322" s="17"/>
      <c r="G3322" s="27"/>
    </row>
    <row r="3323" spans="2:7" ht="20.25" customHeight="1" x14ac:dyDescent="0.3">
      <c r="B3323" s="17"/>
      <c r="C3323" s="27"/>
      <c r="D3323" s="67"/>
      <c r="E3323" s="68"/>
      <c r="F3323" s="17"/>
      <c r="G3323" s="27"/>
    </row>
    <row r="3324" spans="2:7" ht="20.25" customHeight="1" x14ac:dyDescent="0.3">
      <c r="B3324" s="17"/>
      <c r="C3324" s="27"/>
      <c r="D3324" s="67"/>
      <c r="E3324" s="68"/>
      <c r="F3324" s="17"/>
      <c r="G3324" s="27"/>
    </row>
    <row r="3325" spans="2:7" ht="20.25" customHeight="1" x14ac:dyDescent="0.3">
      <c r="B3325" s="17"/>
      <c r="C3325" s="27"/>
      <c r="D3325" s="67"/>
      <c r="E3325" s="68"/>
      <c r="F3325" s="17"/>
      <c r="G3325" s="27"/>
    </row>
    <row r="3326" spans="2:7" ht="20.25" customHeight="1" x14ac:dyDescent="0.3">
      <c r="B3326" s="17"/>
      <c r="C3326" s="27"/>
      <c r="D3326" s="67"/>
      <c r="E3326" s="68"/>
      <c r="F3326" s="17"/>
      <c r="G3326" s="27"/>
    </row>
    <row r="3327" spans="2:7" ht="20.25" customHeight="1" x14ac:dyDescent="0.3">
      <c r="B3327" s="17"/>
      <c r="C3327" s="27"/>
      <c r="D3327" s="67"/>
      <c r="E3327" s="68"/>
      <c r="F3327" s="17"/>
      <c r="G3327" s="27"/>
    </row>
    <row r="3328" spans="2:7" ht="20.25" customHeight="1" x14ac:dyDescent="0.3">
      <c r="B3328" s="17"/>
      <c r="C3328" s="27"/>
      <c r="D3328" s="67"/>
      <c r="E3328" s="68"/>
      <c r="F3328" s="17"/>
      <c r="G3328" s="27"/>
    </row>
    <row r="3329" spans="2:7" ht="20.25" customHeight="1" x14ac:dyDescent="0.3">
      <c r="B3329" s="17"/>
      <c r="C3329" s="27"/>
      <c r="D3329" s="67"/>
      <c r="E3329" s="68"/>
      <c r="F3329" s="17"/>
      <c r="G3329" s="27"/>
    </row>
    <row r="3330" spans="2:7" ht="20.25" customHeight="1" x14ac:dyDescent="0.3">
      <c r="B3330" s="17"/>
      <c r="C3330" s="27"/>
      <c r="D3330" s="67"/>
      <c r="E3330" s="68"/>
      <c r="F3330" s="17"/>
      <c r="G3330" s="27"/>
    </row>
    <row r="3331" spans="2:7" ht="20.25" customHeight="1" x14ac:dyDescent="0.3">
      <c r="B3331" s="17"/>
      <c r="C3331" s="27"/>
      <c r="D3331" s="67"/>
      <c r="E3331" s="68"/>
      <c r="F3331" s="17"/>
      <c r="G3331" s="27"/>
    </row>
    <row r="3332" spans="2:7" ht="20.25" customHeight="1" x14ac:dyDescent="0.3">
      <c r="B3332" s="17"/>
      <c r="C3332" s="27"/>
      <c r="D3332" s="67"/>
      <c r="E3332" s="68"/>
      <c r="F3332" s="17"/>
      <c r="G3332" s="27"/>
    </row>
    <row r="3333" spans="2:7" ht="20.25" customHeight="1" x14ac:dyDescent="0.3">
      <c r="B3333" s="17"/>
      <c r="C3333" s="27"/>
      <c r="D3333" s="67"/>
      <c r="E3333" s="68"/>
      <c r="F3333" s="17"/>
      <c r="G3333" s="27"/>
    </row>
    <row r="3334" spans="2:7" ht="20.25" customHeight="1" x14ac:dyDescent="0.3">
      <c r="B3334" s="17"/>
      <c r="C3334" s="27"/>
      <c r="D3334" s="67"/>
      <c r="E3334" s="68"/>
      <c r="F3334" s="17"/>
      <c r="G3334" s="27"/>
    </row>
    <row r="3335" spans="2:7" ht="20.25" customHeight="1" x14ac:dyDescent="0.3">
      <c r="B3335" s="17"/>
      <c r="C3335" s="27"/>
      <c r="D3335" s="67"/>
      <c r="E3335" s="68"/>
      <c r="F3335" s="17"/>
      <c r="G3335" s="27"/>
    </row>
    <row r="3336" spans="2:7" ht="20.25" customHeight="1" x14ac:dyDescent="0.3">
      <c r="B3336" s="17"/>
      <c r="C3336" s="27"/>
      <c r="D3336" s="67"/>
      <c r="E3336" s="68"/>
      <c r="F3336" s="17"/>
      <c r="G3336" s="27"/>
    </row>
    <row r="3337" spans="2:7" ht="20.25" customHeight="1" x14ac:dyDescent="0.3">
      <c r="B3337" s="17"/>
      <c r="C3337" s="27"/>
      <c r="D3337" s="67"/>
      <c r="E3337" s="68"/>
      <c r="F3337" s="17"/>
      <c r="G3337" s="27"/>
    </row>
    <row r="3338" spans="2:7" ht="20.25" customHeight="1" x14ac:dyDescent="0.3">
      <c r="B3338" s="17"/>
      <c r="C3338" s="27"/>
      <c r="D3338" s="67"/>
      <c r="E3338" s="68"/>
      <c r="F3338" s="17"/>
      <c r="G3338" s="27"/>
    </row>
    <row r="3339" spans="2:7" ht="20.25" customHeight="1" x14ac:dyDescent="0.3">
      <c r="B3339" s="17"/>
      <c r="C3339" s="27"/>
      <c r="D3339" s="67"/>
      <c r="E3339" s="68"/>
      <c r="F3339" s="17"/>
      <c r="G3339" s="27"/>
    </row>
    <row r="3340" spans="2:7" ht="20.25" customHeight="1" x14ac:dyDescent="0.3">
      <c r="B3340" s="17"/>
      <c r="C3340" s="27"/>
      <c r="D3340" s="67"/>
      <c r="E3340" s="68"/>
      <c r="F3340" s="17"/>
      <c r="G3340" s="27"/>
    </row>
    <row r="3341" spans="2:7" ht="20.25" customHeight="1" x14ac:dyDescent="0.3">
      <c r="B3341" s="17"/>
      <c r="C3341" s="27"/>
      <c r="D3341" s="67"/>
      <c r="E3341" s="68"/>
      <c r="F3341" s="17"/>
      <c r="G3341" s="27"/>
    </row>
    <row r="3342" spans="2:7" ht="20.25" customHeight="1" x14ac:dyDescent="0.3">
      <c r="B3342" s="17"/>
      <c r="C3342" s="27"/>
      <c r="D3342" s="67"/>
      <c r="E3342" s="68"/>
      <c r="F3342" s="17"/>
      <c r="G3342" s="27"/>
    </row>
    <row r="3343" spans="2:7" ht="20.25" customHeight="1" x14ac:dyDescent="0.3">
      <c r="B3343" s="17"/>
      <c r="C3343" s="27"/>
      <c r="D3343" s="67"/>
      <c r="E3343" s="68"/>
      <c r="F3343" s="17"/>
      <c r="G3343" s="27"/>
    </row>
    <row r="3344" spans="2:7" ht="20.25" customHeight="1" x14ac:dyDescent="0.3">
      <c r="B3344" s="17"/>
      <c r="C3344" s="27"/>
      <c r="D3344" s="67"/>
      <c r="E3344" s="68"/>
      <c r="F3344" s="17"/>
      <c r="G3344" s="27"/>
    </row>
    <row r="3345" spans="2:7" ht="20.25" customHeight="1" x14ac:dyDescent="0.3">
      <c r="B3345" s="17"/>
      <c r="C3345" s="27"/>
      <c r="D3345" s="67"/>
      <c r="E3345" s="68"/>
      <c r="F3345" s="17"/>
      <c r="G3345" s="27"/>
    </row>
    <row r="3346" spans="2:7" ht="20.25" customHeight="1" x14ac:dyDescent="0.3">
      <c r="B3346" s="17"/>
      <c r="C3346" s="27"/>
      <c r="D3346" s="67"/>
      <c r="E3346" s="68"/>
      <c r="F3346" s="17"/>
      <c r="G3346" s="27"/>
    </row>
    <row r="3347" spans="2:7" ht="20.25" customHeight="1" x14ac:dyDescent="0.3">
      <c r="B3347" s="17"/>
      <c r="C3347" s="27"/>
      <c r="D3347" s="67"/>
      <c r="E3347" s="68"/>
      <c r="F3347" s="17"/>
      <c r="G3347" s="27"/>
    </row>
    <row r="3348" spans="2:7" ht="20.25" customHeight="1" x14ac:dyDescent="0.3">
      <c r="B3348" s="17"/>
      <c r="C3348" s="27"/>
      <c r="D3348" s="67"/>
      <c r="E3348" s="68"/>
      <c r="F3348" s="17"/>
      <c r="G3348" s="27"/>
    </row>
    <row r="3349" spans="2:7" ht="20.25" customHeight="1" x14ac:dyDescent="0.3">
      <c r="B3349" s="17"/>
      <c r="C3349" s="27"/>
      <c r="D3349" s="67"/>
      <c r="E3349" s="68"/>
      <c r="F3349" s="17"/>
      <c r="G3349" s="27"/>
    </row>
    <row r="3350" spans="2:7" ht="20.25" customHeight="1" x14ac:dyDescent="0.3">
      <c r="B3350" s="17"/>
      <c r="C3350" s="27"/>
      <c r="D3350" s="67"/>
      <c r="E3350" s="68"/>
      <c r="F3350" s="17"/>
      <c r="G3350" s="27"/>
    </row>
    <row r="3351" spans="2:7" ht="20.25" customHeight="1" x14ac:dyDescent="0.3">
      <c r="B3351" s="17"/>
      <c r="C3351" s="27"/>
      <c r="D3351" s="67"/>
      <c r="E3351" s="68"/>
      <c r="F3351" s="17"/>
      <c r="G3351" s="27"/>
    </row>
    <row r="3352" spans="2:7" ht="20.25" customHeight="1" x14ac:dyDescent="0.3">
      <c r="B3352" s="17"/>
      <c r="C3352" s="27"/>
      <c r="D3352" s="67"/>
      <c r="E3352" s="68"/>
      <c r="F3352" s="17"/>
      <c r="G3352" s="27"/>
    </row>
    <row r="3353" spans="2:7" ht="20.25" customHeight="1" x14ac:dyDescent="0.3">
      <c r="B3353" s="17"/>
      <c r="C3353" s="27"/>
      <c r="D3353" s="67"/>
      <c r="E3353" s="68"/>
      <c r="F3353" s="17"/>
      <c r="G3353" s="27"/>
    </row>
    <row r="3354" spans="2:7" ht="20.25" customHeight="1" x14ac:dyDescent="0.3">
      <c r="B3354" s="17"/>
      <c r="C3354" s="27"/>
      <c r="D3354" s="67"/>
      <c r="E3354" s="68"/>
      <c r="F3354" s="17"/>
      <c r="G3354" s="27"/>
    </row>
    <row r="3355" spans="2:7" ht="20.25" customHeight="1" x14ac:dyDescent="0.3">
      <c r="B3355" s="17"/>
      <c r="C3355" s="27"/>
      <c r="D3355" s="67"/>
      <c r="E3355" s="68"/>
      <c r="F3355" s="17"/>
      <c r="G3355" s="27"/>
    </row>
    <row r="3356" spans="2:7" ht="20.25" customHeight="1" x14ac:dyDescent="0.3">
      <c r="B3356" s="17"/>
      <c r="C3356" s="27"/>
      <c r="D3356" s="67"/>
      <c r="E3356" s="68"/>
      <c r="F3356" s="17"/>
      <c r="G3356" s="27"/>
    </row>
    <row r="3357" spans="2:7" ht="20.25" customHeight="1" x14ac:dyDescent="0.3">
      <c r="B3357" s="17"/>
      <c r="C3357" s="27"/>
      <c r="D3357" s="67"/>
      <c r="E3357" s="68"/>
      <c r="F3357" s="17"/>
      <c r="G3357" s="27"/>
    </row>
    <row r="3358" spans="2:7" ht="20.25" customHeight="1" x14ac:dyDescent="0.3">
      <c r="B3358" s="17"/>
      <c r="C3358" s="27"/>
      <c r="D3358" s="67"/>
      <c r="E3358" s="68"/>
      <c r="F3358" s="17"/>
      <c r="G3358" s="27"/>
    </row>
    <row r="3359" spans="2:7" ht="20.25" customHeight="1" x14ac:dyDescent="0.3">
      <c r="B3359" s="17"/>
      <c r="C3359" s="27"/>
      <c r="D3359" s="67"/>
      <c r="E3359" s="68"/>
      <c r="F3359" s="17"/>
      <c r="G3359" s="27"/>
    </row>
    <row r="3360" spans="2:7" ht="20.25" customHeight="1" x14ac:dyDescent="0.3">
      <c r="B3360" s="17"/>
      <c r="C3360" s="27"/>
      <c r="D3360" s="67"/>
      <c r="E3360" s="68"/>
      <c r="F3360" s="17"/>
      <c r="G3360" s="27"/>
    </row>
    <row r="3361" spans="2:7" ht="20.25" customHeight="1" x14ac:dyDescent="0.3">
      <c r="B3361" s="17"/>
      <c r="C3361" s="27"/>
      <c r="D3361" s="67"/>
      <c r="E3361" s="68"/>
      <c r="F3361" s="17"/>
      <c r="G3361" s="27"/>
    </row>
    <row r="3362" spans="2:7" ht="20.25" customHeight="1" x14ac:dyDescent="0.3">
      <c r="B3362" s="17"/>
      <c r="C3362" s="27"/>
      <c r="D3362" s="67"/>
      <c r="E3362" s="68"/>
      <c r="F3362" s="17"/>
      <c r="G3362" s="27"/>
    </row>
    <row r="3363" spans="2:7" ht="20.25" customHeight="1" x14ac:dyDescent="0.3">
      <c r="B3363" s="17"/>
      <c r="C3363" s="27"/>
      <c r="D3363" s="67"/>
      <c r="E3363" s="68"/>
      <c r="F3363" s="17"/>
      <c r="G3363" s="27"/>
    </row>
    <row r="3364" spans="2:7" ht="20.25" customHeight="1" x14ac:dyDescent="0.3">
      <c r="B3364" s="17"/>
      <c r="C3364" s="27"/>
      <c r="D3364" s="67"/>
      <c r="E3364" s="68"/>
      <c r="F3364" s="17"/>
      <c r="G3364" s="27"/>
    </row>
    <row r="3365" spans="2:7" ht="20.25" customHeight="1" x14ac:dyDescent="0.3">
      <c r="B3365" s="17"/>
      <c r="C3365" s="27"/>
      <c r="D3365" s="67"/>
      <c r="E3365" s="68"/>
      <c r="F3365" s="17"/>
      <c r="G3365" s="27"/>
    </row>
    <row r="3366" spans="2:7" ht="20.25" customHeight="1" x14ac:dyDescent="0.3">
      <c r="B3366" s="17"/>
      <c r="C3366" s="27"/>
      <c r="D3366" s="67"/>
      <c r="E3366" s="68"/>
      <c r="F3366" s="17"/>
      <c r="G3366" s="27"/>
    </row>
    <row r="3367" spans="2:7" ht="20.25" customHeight="1" x14ac:dyDescent="0.3">
      <c r="B3367" s="17"/>
      <c r="C3367" s="27"/>
      <c r="D3367" s="67"/>
      <c r="E3367" s="68"/>
      <c r="F3367" s="17"/>
      <c r="G3367" s="27"/>
    </row>
    <row r="3368" spans="2:7" ht="20.25" customHeight="1" x14ac:dyDescent="0.3">
      <c r="B3368" s="17"/>
      <c r="C3368" s="27"/>
      <c r="D3368" s="67"/>
      <c r="E3368" s="68"/>
      <c r="F3368" s="17"/>
      <c r="G3368" s="27"/>
    </row>
    <row r="3369" spans="2:7" ht="20.25" customHeight="1" x14ac:dyDescent="0.3">
      <c r="B3369" s="17"/>
      <c r="C3369" s="27"/>
      <c r="D3369" s="67"/>
      <c r="E3369" s="68"/>
      <c r="F3369" s="17"/>
      <c r="G3369" s="27"/>
    </row>
    <row r="3370" spans="2:7" ht="20.25" customHeight="1" x14ac:dyDescent="0.3">
      <c r="B3370" s="17"/>
      <c r="C3370" s="27"/>
      <c r="D3370" s="67"/>
      <c r="E3370" s="68"/>
      <c r="F3370" s="17"/>
      <c r="G3370" s="27"/>
    </row>
    <row r="3371" spans="2:7" ht="20.25" customHeight="1" x14ac:dyDescent="0.3">
      <c r="B3371" s="17"/>
      <c r="C3371" s="27"/>
      <c r="D3371" s="67"/>
      <c r="E3371" s="68"/>
      <c r="F3371" s="17"/>
      <c r="G3371" s="27"/>
    </row>
    <row r="3372" spans="2:7" ht="20.25" customHeight="1" x14ac:dyDescent="0.3">
      <c r="B3372" s="17"/>
      <c r="C3372" s="27"/>
      <c r="D3372" s="67"/>
      <c r="E3372" s="68"/>
      <c r="F3372" s="17"/>
      <c r="G3372" s="27"/>
    </row>
    <row r="3373" spans="2:7" ht="20.25" customHeight="1" x14ac:dyDescent="0.3">
      <c r="B3373" s="17"/>
      <c r="C3373" s="27"/>
      <c r="D3373" s="67"/>
      <c r="E3373" s="68"/>
      <c r="F3373" s="17"/>
      <c r="G3373" s="27"/>
    </row>
    <row r="3374" spans="2:7" ht="20.25" customHeight="1" x14ac:dyDescent="0.3">
      <c r="B3374" s="17"/>
      <c r="C3374" s="27"/>
      <c r="D3374" s="67"/>
      <c r="E3374" s="68"/>
      <c r="F3374" s="17"/>
      <c r="G3374" s="27"/>
    </row>
    <row r="3375" spans="2:7" ht="20.25" customHeight="1" x14ac:dyDescent="0.3">
      <c r="B3375" s="17"/>
      <c r="C3375" s="27"/>
      <c r="D3375" s="67"/>
      <c r="E3375" s="68"/>
      <c r="F3375" s="17"/>
      <c r="G3375" s="27"/>
    </row>
    <row r="3376" spans="2:7" ht="20.25" customHeight="1" x14ac:dyDescent="0.3">
      <c r="B3376" s="17"/>
      <c r="C3376" s="27"/>
      <c r="D3376" s="67"/>
      <c r="E3376" s="68"/>
      <c r="F3376" s="17"/>
      <c r="G3376" s="27"/>
    </row>
    <row r="3377" spans="2:7" ht="20.25" customHeight="1" x14ac:dyDescent="0.3">
      <c r="B3377" s="17"/>
      <c r="C3377" s="27"/>
      <c r="D3377" s="67"/>
      <c r="E3377" s="68"/>
      <c r="F3377" s="17"/>
      <c r="G3377" s="27"/>
    </row>
    <row r="3378" spans="2:7" ht="20.25" customHeight="1" x14ac:dyDescent="0.3">
      <c r="B3378" s="17"/>
      <c r="C3378" s="27"/>
      <c r="D3378" s="67"/>
      <c r="E3378" s="68"/>
      <c r="F3378" s="17"/>
      <c r="G3378" s="27"/>
    </row>
    <row r="3379" spans="2:7" ht="20.25" customHeight="1" x14ac:dyDescent="0.3">
      <c r="B3379" s="17"/>
      <c r="C3379" s="27"/>
      <c r="D3379" s="67"/>
      <c r="E3379" s="68"/>
      <c r="F3379" s="17"/>
      <c r="G3379" s="27"/>
    </row>
    <row r="3380" spans="2:7" ht="20.25" customHeight="1" x14ac:dyDescent="0.3">
      <c r="B3380" s="17"/>
      <c r="C3380" s="27"/>
      <c r="D3380" s="67"/>
      <c r="E3380" s="68"/>
      <c r="F3380" s="17"/>
      <c r="G3380" s="27"/>
    </row>
    <row r="3381" spans="2:7" ht="20.25" customHeight="1" x14ac:dyDescent="0.3">
      <c r="B3381" s="17"/>
      <c r="C3381" s="27"/>
      <c r="D3381" s="67"/>
      <c r="E3381" s="68"/>
      <c r="F3381" s="17"/>
      <c r="G3381" s="27"/>
    </row>
    <row r="3382" spans="2:7" ht="20.25" customHeight="1" x14ac:dyDescent="0.3">
      <c r="B3382" s="17"/>
      <c r="C3382" s="27"/>
      <c r="D3382" s="67"/>
      <c r="E3382" s="68"/>
      <c r="F3382" s="17"/>
      <c r="G3382" s="27"/>
    </row>
    <row r="3383" spans="2:7" ht="20.25" customHeight="1" x14ac:dyDescent="0.3">
      <c r="B3383" s="17"/>
      <c r="C3383" s="27"/>
      <c r="D3383" s="67"/>
      <c r="E3383" s="68"/>
      <c r="F3383" s="17"/>
      <c r="G3383" s="27"/>
    </row>
    <row r="3384" spans="2:7" ht="20.25" customHeight="1" x14ac:dyDescent="0.3">
      <c r="B3384" s="17"/>
      <c r="C3384" s="27"/>
      <c r="D3384" s="67"/>
      <c r="E3384" s="68"/>
      <c r="F3384" s="17"/>
      <c r="G3384" s="27"/>
    </row>
    <row r="3385" spans="2:7" ht="20.25" customHeight="1" x14ac:dyDescent="0.3">
      <c r="B3385" s="17"/>
      <c r="C3385" s="27"/>
      <c r="D3385" s="67"/>
      <c r="E3385" s="68"/>
      <c r="F3385" s="17"/>
      <c r="G3385" s="27"/>
    </row>
    <row r="3386" spans="2:7" ht="20.25" customHeight="1" x14ac:dyDescent="0.3">
      <c r="B3386" s="17"/>
      <c r="C3386" s="27"/>
      <c r="D3386" s="67"/>
      <c r="E3386" s="68"/>
      <c r="F3386" s="17"/>
      <c r="G3386" s="27"/>
    </row>
    <row r="3387" spans="2:7" ht="20.25" customHeight="1" x14ac:dyDescent="0.3">
      <c r="B3387" s="17"/>
      <c r="C3387" s="27"/>
      <c r="D3387" s="67"/>
      <c r="E3387" s="68"/>
      <c r="F3387" s="17"/>
      <c r="G3387" s="27"/>
    </row>
    <row r="3388" spans="2:7" ht="20.25" customHeight="1" x14ac:dyDescent="0.3">
      <c r="B3388" s="17"/>
      <c r="C3388" s="27"/>
      <c r="D3388" s="67"/>
      <c r="E3388" s="68"/>
      <c r="F3388" s="17"/>
      <c r="G3388" s="27"/>
    </row>
    <row r="3389" spans="2:7" ht="20.25" customHeight="1" x14ac:dyDescent="0.3">
      <c r="B3389" s="17"/>
      <c r="C3389" s="27"/>
      <c r="D3389" s="67"/>
      <c r="E3389" s="68"/>
      <c r="F3389" s="17"/>
      <c r="G3389" s="27"/>
    </row>
    <row r="3390" spans="2:7" ht="20.25" customHeight="1" x14ac:dyDescent="0.3">
      <c r="B3390" s="17"/>
      <c r="C3390" s="27"/>
      <c r="D3390" s="67"/>
      <c r="E3390" s="68"/>
      <c r="F3390" s="17"/>
      <c r="G3390" s="27"/>
    </row>
    <row r="3391" spans="2:7" ht="20.25" customHeight="1" x14ac:dyDescent="0.3">
      <c r="B3391" s="17"/>
      <c r="C3391" s="27"/>
      <c r="D3391" s="67"/>
      <c r="E3391" s="68"/>
      <c r="F3391" s="17"/>
      <c r="G3391" s="27"/>
    </row>
    <row r="3392" spans="2:7" ht="20.25" customHeight="1" x14ac:dyDescent="0.3">
      <c r="B3392" s="17"/>
      <c r="C3392" s="27"/>
      <c r="D3392" s="67"/>
      <c r="E3392" s="68"/>
      <c r="F3392" s="17"/>
      <c r="G3392" s="27"/>
    </row>
    <row r="3393" spans="2:7" ht="20.25" customHeight="1" x14ac:dyDescent="0.3">
      <c r="B3393" s="17"/>
      <c r="C3393" s="27"/>
      <c r="D3393" s="67"/>
      <c r="E3393" s="68"/>
      <c r="F3393" s="17"/>
      <c r="G3393" s="27"/>
    </row>
    <row r="3394" spans="2:7" ht="20.25" customHeight="1" x14ac:dyDescent="0.3">
      <c r="B3394" s="17"/>
      <c r="C3394" s="27"/>
      <c r="D3394" s="67"/>
      <c r="E3394" s="68"/>
      <c r="F3394" s="17"/>
      <c r="G3394" s="27"/>
    </row>
    <row r="3395" spans="2:7" ht="20.25" customHeight="1" x14ac:dyDescent="0.3">
      <c r="B3395" s="17"/>
      <c r="C3395" s="27"/>
      <c r="D3395" s="67"/>
      <c r="E3395" s="68"/>
      <c r="F3395" s="17"/>
      <c r="G3395" s="27"/>
    </row>
    <row r="3396" spans="2:7" ht="20.25" customHeight="1" x14ac:dyDescent="0.3">
      <c r="B3396" s="17"/>
      <c r="C3396" s="27"/>
      <c r="D3396" s="67"/>
      <c r="E3396" s="68"/>
      <c r="F3396" s="17"/>
      <c r="G3396" s="27"/>
    </row>
    <row r="3397" spans="2:7" ht="20.25" customHeight="1" x14ac:dyDescent="0.3">
      <c r="B3397" s="17"/>
      <c r="C3397" s="27"/>
      <c r="D3397" s="67"/>
      <c r="E3397" s="68"/>
      <c r="F3397" s="17"/>
      <c r="G3397" s="27"/>
    </row>
    <row r="3398" spans="2:7" ht="20.25" customHeight="1" x14ac:dyDescent="0.3">
      <c r="B3398" s="17"/>
      <c r="C3398" s="27"/>
      <c r="D3398" s="67"/>
      <c r="E3398" s="68"/>
      <c r="F3398" s="17"/>
      <c r="G3398" s="27"/>
    </row>
    <row r="3399" spans="2:7" ht="20.25" customHeight="1" x14ac:dyDescent="0.3">
      <c r="B3399" s="17"/>
      <c r="C3399" s="27"/>
      <c r="D3399" s="67"/>
      <c r="E3399" s="68"/>
      <c r="F3399" s="17"/>
      <c r="G3399" s="27"/>
    </row>
    <row r="3400" spans="2:7" ht="20.25" customHeight="1" x14ac:dyDescent="0.3">
      <c r="B3400" s="17"/>
      <c r="C3400" s="27"/>
      <c r="D3400" s="67"/>
      <c r="E3400" s="68"/>
      <c r="F3400" s="17"/>
      <c r="G3400" s="27"/>
    </row>
    <row r="3401" spans="2:7" ht="20.25" customHeight="1" x14ac:dyDescent="0.3">
      <c r="B3401" s="17"/>
      <c r="C3401" s="27"/>
      <c r="D3401" s="67"/>
      <c r="E3401" s="68"/>
      <c r="F3401" s="17"/>
      <c r="G3401" s="27"/>
    </row>
    <row r="3402" spans="2:7" ht="20.25" customHeight="1" x14ac:dyDescent="0.3">
      <c r="B3402" s="17"/>
      <c r="C3402" s="27"/>
      <c r="D3402" s="67"/>
      <c r="E3402" s="68"/>
      <c r="F3402" s="17"/>
      <c r="G3402" s="27"/>
    </row>
    <row r="3403" spans="2:7" ht="20.25" customHeight="1" x14ac:dyDescent="0.3">
      <c r="B3403" s="17"/>
      <c r="C3403" s="27"/>
      <c r="D3403" s="67"/>
      <c r="E3403" s="68"/>
      <c r="F3403" s="17"/>
      <c r="G3403" s="27"/>
    </row>
    <row r="3404" spans="2:7" ht="20.25" customHeight="1" x14ac:dyDescent="0.3">
      <c r="B3404" s="17"/>
      <c r="C3404" s="27"/>
      <c r="D3404" s="67"/>
      <c r="E3404" s="68"/>
      <c r="F3404" s="17"/>
      <c r="G3404" s="27"/>
    </row>
    <row r="3405" spans="2:7" ht="20.25" customHeight="1" x14ac:dyDescent="0.3">
      <c r="B3405" s="17"/>
      <c r="C3405" s="27"/>
      <c r="D3405" s="67"/>
      <c r="E3405" s="68"/>
      <c r="F3405" s="17"/>
      <c r="G3405" s="27"/>
    </row>
    <row r="3406" spans="2:7" ht="20.25" customHeight="1" x14ac:dyDescent="0.3">
      <c r="B3406" s="26"/>
      <c r="C3406" s="27"/>
      <c r="D3406" s="67"/>
      <c r="E3406" s="68"/>
      <c r="F3406" s="17"/>
      <c r="G3406" s="27"/>
    </row>
    <row r="3407" spans="2:7" ht="20.25" customHeight="1" x14ac:dyDescent="0.3">
      <c r="B3407" s="26"/>
      <c r="C3407" s="27"/>
      <c r="D3407" s="67"/>
      <c r="E3407" s="68"/>
      <c r="F3407" s="17"/>
      <c r="G3407" s="27"/>
    </row>
    <row r="3408" spans="2:7" ht="20.25" customHeight="1" x14ac:dyDescent="0.3">
      <c r="B3408" s="26"/>
      <c r="C3408" s="27"/>
      <c r="D3408" s="67"/>
      <c r="E3408" s="68"/>
      <c r="F3408" s="17"/>
      <c r="G3408" s="27"/>
    </row>
    <row r="3409" spans="2:7" ht="20.25" customHeight="1" x14ac:dyDescent="0.3">
      <c r="B3409" s="26"/>
      <c r="C3409" s="27"/>
      <c r="D3409" s="67"/>
      <c r="E3409" s="68"/>
      <c r="F3409" s="17"/>
      <c r="G3409" s="27"/>
    </row>
    <row r="3410" spans="2:7" ht="20.25" customHeight="1" x14ac:dyDescent="0.3">
      <c r="B3410" s="26"/>
      <c r="C3410" s="27"/>
      <c r="D3410" s="67"/>
      <c r="E3410" s="68"/>
      <c r="F3410" s="17"/>
      <c r="G3410" s="27"/>
    </row>
    <row r="3411" spans="2:7" ht="20.25" customHeight="1" x14ac:dyDescent="0.3">
      <c r="B3411" s="26"/>
      <c r="C3411" s="27"/>
      <c r="D3411" s="67"/>
      <c r="E3411" s="68"/>
      <c r="F3411" s="17"/>
      <c r="G3411" s="27"/>
    </row>
    <row r="3412" spans="2:7" ht="20.25" customHeight="1" x14ac:dyDescent="0.3">
      <c r="B3412" s="26"/>
      <c r="C3412" s="27"/>
      <c r="D3412" s="67"/>
      <c r="E3412" s="68"/>
      <c r="F3412" s="17"/>
      <c r="G3412" s="27"/>
    </row>
    <row r="3413" spans="2:7" ht="20.25" customHeight="1" x14ac:dyDescent="0.3">
      <c r="B3413" s="26"/>
      <c r="C3413" s="27"/>
      <c r="D3413" s="67"/>
      <c r="E3413" s="68"/>
      <c r="F3413" s="17"/>
      <c r="G3413" s="27"/>
    </row>
    <row r="3414" spans="2:7" ht="20.25" customHeight="1" x14ac:dyDescent="0.3">
      <c r="B3414" s="26"/>
      <c r="C3414" s="27"/>
      <c r="D3414" s="67"/>
      <c r="E3414" s="68"/>
      <c r="F3414" s="17"/>
      <c r="G3414" s="27"/>
    </row>
    <row r="3415" spans="2:7" ht="20.25" customHeight="1" x14ac:dyDescent="0.3">
      <c r="B3415" s="26"/>
      <c r="C3415" s="27"/>
      <c r="D3415" s="67"/>
      <c r="E3415" s="68"/>
      <c r="F3415" s="17"/>
      <c r="G3415" s="27"/>
    </row>
    <row r="3416" spans="2:7" ht="20.25" customHeight="1" x14ac:dyDescent="0.3">
      <c r="B3416" s="26"/>
      <c r="C3416" s="27"/>
      <c r="D3416" s="67"/>
      <c r="E3416" s="68"/>
      <c r="F3416" s="17"/>
      <c r="G3416" s="27"/>
    </row>
    <row r="3417" spans="2:7" ht="20.25" customHeight="1" x14ac:dyDescent="0.3">
      <c r="B3417" s="26"/>
      <c r="C3417" s="27"/>
      <c r="D3417" s="67"/>
      <c r="E3417" s="68"/>
      <c r="F3417" s="17"/>
      <c r="G3417" s="27"/>
    </row>
    <row r="3418" spans="2:7" ht="20.25" customHeight="1" x14ac:dyDescent="0.3">
      <c r="B3418" s="26"/>
      <c r="C3418" s="27"/>
      <c r="D3418" s="67"/>
      <c r="E3418" s="68"/>
      <c r="F3418" s="17"/>
      <c r="G3418" s="27"/>
    </row>
    <row r="3419" spans="2:7" ht="20.25" customHeight="1" x14ac:dyDescent="0.3">
      <c r="B3419" s="26"/>
      <c r="C3419" s="27"/>
      <c r="D3419" s="67"/>
      <c r="E3419" s="68"/>
      <c r="F3419" s="17"/>
      <c r="G3419" s="27"/>
    </row>
    <row r="3420" spans="2:7" ht="20.25" customHeight="1" x14ac:dyDescent="0.3">
      <c r="B3420" s="26"/>
      <c r="C3420" s="27"/>
      <c r="D3420" s="67"/>
      <c r="E3420" s="68"/>
      <c r="F3420" s="17"/>
      <c r="G3420" s="27"/>
    </row>
    <row r="3421" spans="2:7" ht="20.25" customHeight="1" x14ac:dyDescent="0.3">
      <c r="B3421" s="26"/>
      <c r="C3421" s="27"/>
      <c r="D3421" s="67"/>
      <c r="E3421" s="68"/>
      <c r="F3421" s="17"/>
      <c r="G3421" s="27"/>
    </row>
    <row r="3422" spans="2:7" ht="20.25" customHeight="1" x14ac:dyDescent="0.3">
      <c r="B3422" s="26"/>
      <c r="C3422" s="27"/>
      <c r="D3422" s="67"/>
      <c r="E3422" s="68"/>
      <c r="F3422" s="17"/>
      <c r="G3422" s="27"/>
    </row>
    <row r="3423" spans="2:7" ht="20.25" customHeight="1" x14ac:dyDescent="0.3">
      <c r="B3423" s="26"/>
      <c r="C3423" s="27"/>
      <c r="D3423" s="67"/>
      <c r="E3423" s="68"/>
      <c r="F3423" s="17"/>
      <c r="G3423" s="27"/>
    </row>
    <row r="3424" spans="2:7" ht="20.25" customHeight="1" x14ac:dyDescent="0.3">
      <c r="B3424" s="26"/>
      <c r="C3424" s="27"/>
      <c r="D3424" s="67"/>
      <c r="E3424" s="68"/>
      <c r="F3424" s="17"/>
      <c r="G3424" s="27"/>
    </row>
    <row r="3425" spans="2:7" ht="20.25" customHeight="1" x14ac:dyDescent="0.3">
      <c r="B3425" s="26"/>
      <c r="C3425" s="27"/>
      <c r="D3425" s="67"/>
      <c r="E3425" s="68"/>
      <c r="F3425" s="17"/>
      <c r="G3425" s="27"/>
    </row>
    <row r="3426" spans="2:7" ht="20.25" customHeight="1" x14ac:dyDescent="0.3">
      <c r="B3426" s="26"/>
      <c r="C3426" s="27"/>
      <c r="D3426" s="67"/>
      <c r="E3426" s="68"/>
      <c r="F3426" s="17"/>
      <c r="G3426" s="27"/>
    </row>
    <row r="3427" spans="2:7" ht="20.25" customHeight="1" x14ac:dyDescent="0.3">
      <c r="B3427" s="26"/>
      <c r="C3427" s="27"/>
      <c r="D3427" s="67"/>
      <c r="E3427" s="68"/>
      <c r="F3427" s="17"/>
      <c r="G3427" s="27"/>
    </row>
    <row r="3428" spans="2:7" ht="20.25" customHeight="1" x14ac:dyDescent="0.3">
      <c r="B3428" s="26"/>
      <c r="C3428" s="27"/>
      <c r="D3428" s="67"/>
      <c r="E3428" s="68"/>
      <c r="F3428" s="17"/>
      <c r="G3428" s="27"/>
    </row>
    <row r="3429" spans="2:7" ht="20.25" customHeight="1" x14ac:dyDescent="0.3">
      <c r="B3429" s="26"/>
      <c r="C3429" s="27"/>
      <c r="D3429" s="67"/>
      <c r="E3429" s="68"/>
      <c r="F3429" s="17"/>
      <c r="G3429" s="27"/>
    </row>
    <row r="3430" spans="2:7" ht="20.25" customHeight="1" x14ac:dyDescent="0.3">
      <c r="B3430" s="26"/>
      <c r="C3430" s="27"/>
      <c r="D3430" s="67"/>
      <c r="E3430" s="68"/>
      <c r="F3430" s="17"/>
      <c r="G3430" s="27"/>
    </row>
    <row r="3431" spans="2:7" ht="20.25" customHeight="1" x14ac:dyDescent="0.3">
      <c r="B3431" s="26"/>
      <c r="C3431" s="27"/>
      <c r="D3431" s="67"/>
      <c r="E3431" s="68"/>
      <c r="F3431" s="17"/>
      <c r="G3431" s="27"/>
    </row>
    <row r="3432" spans="2:7" ht="20.25" customHeight="1" x14ac:dyDescent="0.3">
      <c r="B3432" s="26"/>
      <c r="C3432" s="27"/>
      <c r="D3432" s="67"/>
      <c r="E3432" s="68"/>
      <c r="F3432" s="17"/>
      <c r="G3432" s="27"/>
    </row>
    <row r="3433" spans="2:7" ht="20.25" customHeight="1" x14ac:dyDescent="0.3">
      <c r="B3433" s="26"/>
      <c r="C3433" s="27"/>
      <c r="D3433" s="67"/>
      <c r="E3433" s="68"/>
      <c r="F3433" s="17"/>
      <c r="G3433" s="27"/>
    </row>
    <row r="3434" spans="2:7" ht="20.25" customHeight="1" x14ac:dyDescent="0.3">
      <c r="B3434" s="26"/>
      <c r="C3434" s="27"/>
      <c r="D3434" s="67"/>
      <c r="E3434" s="68"/>
      <c r="F3434" s="17"/>
      <c r="G3434" s="27"/>
    </row>
    <row r="3435" spans="2:7" ht="20.25" customHeight="1" x14ac:dyDescent="0.3">
      <c r="B3435" s="26"/>
      <c r="C3435" s="27"/>
      <c r="D3435" s="67"/>
      <c r="E3435" s="68"/>
      <c r="F3435" s="17"/>
      <c r="G3435" s="27"/>
    </row>
    <row r="3436" spans="2:7" ht="20.25" customHeight="1" x14ac:dyDescent="0.3">
      <c r="B3436" s="26"/>
      <c r="C3436" s="27"/>
      <c r="D3436" s="67"/>
      <c r="E3436" s="68"/>
      <c r="F3436" s="17"/>
      <c r="G3436" s="27"/>
    </row>
    <row r="3437" spans="2:7" ht="20.25" customHeight="1" x14ac:dyDescent="0.3">
      <c r="B3437" s="26"/>
      <c r="C3437" s="27"/>
      <c r="D3437" s="67"/>
      <c r="E3437" s="68"/>
      <c r="F3437" s="17"/>
      <c r="G3437" s="27"/>
    </row>
    <row r="3438" spans="2:7" ht="20.25" customHeight="1" x14ac:dyDescent="0.3">
      <c r="B3438" s="26"/>
      <c r="C3438" s="27"/>
      <c r="D3438" s="67"/>
      <c r="E3438" s="68"/>
      <c r="F3438" s="17"/>
      <c r="G3438" s="27"/>
    </row>
    <row r="3439" spans="2:7" ht="20.25" customHeight="1" x14ac:dyDescent="0.3">
      <c r="B3439" s="26"/>
      <c r="C3439" s="27"/>
      <c r="D3439" s="67"/>
      <c r="E3439" s="68"/>
      <c r="F3439" s="17"/>
      <c r="G3439" s="27"/>
    </row>
    <row r="3440" spans="2:7" ht="20.25" customHeight="1" x14ac:dyDescent="0.3">
      <c r="B3440" s="26"/>
      <c r="C3440" s="27"/>
      <c r="D3440" s="67"/>
      <c r="E3440" s="68"/>
      <c r="F3440" s="17"/>
      <c r="G3440" s="27"/>
    </row>
    <row r="3441" spans="2:7" ht="20.25" customHeight="1" x14ac:dyDescent="0.3">
      <c r="B3441" s="26"/>
      <c r="C3441" s="27"/>
      <c r="D3441" s="67"/>
      <c r="E3441" s="68"/>
      <c r="F3441" s="17"/>
      <c r="G3441" s="27"/>
    </row>
    <row r="3442" spans="2:7" ht="20.25" customHeight="1" x14ac:dyDescent="0.3">
      <c r="B3442" s="26"/>
      <c r="C3442" s="27"/>
      <c r="D3442" s="67"/>
      <c r="E3442" s="68"/>
      <c r="F3442" s="17"/>
      <c r="G3442" s="27"/>
    </row>
    <row r="3443" spans="2:7" ht="20.25" customHeight="1" x14ac:dyDescent="0.3">
      <c r="B3443" s="26"/>
      <c r="C3443" s="27"/>
      <c r="D3443" s="67"/>
      <c r="E3443" s="68"/>
      <c r="F3443" s="17"/>
      <c r="G3443" s="27"/>
    </row>
    <row r="3444" spans="2:7" ht="20.25" customHeight="1" x14ac:dyDescent="0.3">
      <c r="B3444" s="26"/>
      <c r="C3444" s="27"/>
      <c r="D3444" s="67"/>
      <c r="E3444" s="68"/>
      <c r="F3444" s="17"/>
      <c r="G3444" s="27"/>
    </row>
    <row r="3445" spans="2:7" ht="20.25" customHeight="1" x14ac:dyDescent="0.3">
      <c r="B3445" s="26"/>
      <c r="C3445" s="27"/>
      <c r="D3445" s="67"/>
      <c r="E3445" s="68"/>
      <c r="F3445" s="17"/>
      <c r="G3445" s="27"/>
    </row>
    <row r="3446" spans="2:7" ht="20.25" customHeight="1" x14ac:dyDescent="0.3">
      <c r="B3446" s="26"/>
      <c r="C3446" s="27"/>
      <c r="D3446" s="67"/>
      <c r="E3446" s="68"/>
      <c r="F3446" s="17"/>
      <c r="G3446" s="27"/>
    </row>
    <row r="3447" spans="2:7" ht="20.25" customHeight="1" x14ac:dyDescent="0.3">
      <c r="B3447" s="26"/>
      <c r="C3447" s="27"/>
      <c r="D3447" s="67"/>
      <c r="E3447" s="68"/>
      <c r="F3447" s="17"/>
      <c r="G3447" s="27"/>
    </row>
    <row r="3448" spans="2:7" ht="20.25" customHeight="1" x14ac:dyDescent="0.3">
      <c r="B3448" s="26"/>
      <c r="C3448" s="27"/>
      <c r="D3448" s="67"/>
      <c r="E3448" s="68"/>
      <c r="F3448" s="17"/>
      <c r="G3448" s="27"/>
    </row>
    <row r="3449" spans="2:7" ht="20.25" customHeight="1" x14ac:dyDescent="0.3">
      <c r="B3449" s="26"/>
      <c r="C3449" s="27"/>
      <c r="D3449" s="67"/>
      <c r="E3449" s="68"/>
      <c r="F3449" s="17"/>
      <c r="G3449" s="27"/>
    </row>
    <row r="3450" spans="2:7" ht="20.25" customHeight="1" x14ac:dyDescent="0.3">
      <c r="B3450" s="26"/>
      <c r="C3450" s="27"/>
      <c r="D3450" s="67"/>
      <c r="E3450" s="68"/>
      <c r="F3450" s="17"/>
      <c r="G3450" s="27"/>
    </row>
    <row r="3451" spans="2:7" ht="20.25" customHeight="1" x14ac:dyDescent="0.3">
      <c r="B3451" s="26"/>
      <c r="C3451" s="27"/>
      <c r="D3451" s="67"/>
      <c r="E3451" s="68"/>
      <c r="F3451" s="17"/>
      <c r="G3451" s="27"/>
    </row>
    <row r="3452" spans="2:7" ht="20.25" customHeight="1" x14ac:dyDescent="0.3">
      <c r="B3452" s="26"/>
      <c r="C3452" s="27"/>
      <c r="D3452" s="67"/>
      <c r="E3452" s="68"/>
      <c r="F3452" s="17"/>
      <c r="G3452" s="27"/>
    </row>
    <row r="3453" spans="2:7" ht="20.25" customHeight="1" x14ac:dyDescent="0.3">
      <c r="B3453" s="26"/>
      <c r="C3453" s="27"/>
      <c r="D3453" s="67"/>
      <c r="E3453" s="68"/>
      <c r="F3453" s="17"/>
      <c r="G3453" s="27"/>
    </row>
    <row r="3454" spans="2:7" ht="20.25" customHeight="1" x14ac:dyDescent="0.3">
      <c r="B3454" s="26"/>
      <c r="C3454" s="27"/>
      <c r="D3454" s="67"/>
      <c r="E3454" s="68"/>
      <c r="F3454" s="17"/>
      <c r="G3454" s="27"/>
    </row>
    <row r="3455" spans="2:7" ht="20.25" customHeight="1" x14ac:dyDescent="0.3">
      <c r="B3455" s="26"/>
      <c r="C3455" s="27"/>
      <c r="D3455" s="67"/>
      <c r="E3455" s="68"/>
      <c r="F3455" s="17"/>
      <c r="G3455" s="27"/>
    </row>
    <row r="3456" spans="2:7" ht="20.25" customHeight="1" x14ac:dyDescent="0.3">
      <c r="B3456" s="26"/>
      <c r="C3456" s="27"/>
      <c r="D3456" s="67"/>
      <c r="E3456" s="68"/>
      <c r="F3456" s="17"/>
      <c r="G3456" s="27"/>
    </row>
    <row r="3457" spans="2:7" ht="20.25" customHeight="1" x14ac:dyDescent="0.3">
      <c r="B3457" s="26"/>
      <c r="C3457" s="27"/>
      <c r="D3457" s="67"/>
      <c r="E3457" s="68"/>
      <c r="F3457" s="17"/>
      <c r="G3457" s="27"/>
    </row>
    <row r="3458" spans="2:7" ht="20.25" customHeight="1" x14ac:dyDescent="0.3">
      <c r="B3458" s="26"/>
      <c r="C3458" s="27"/>
      <c r="D3458" s="67"/>
      <c r="E3458" s="68"/>
      <c r="F3458" s="17"/>
      <c r="G3458" s="27"/>
    </row>
    <row r="3459" spans="2:7" ht="20.25" customHeight="1" x14ac:dyDescent="0.3">
      <c r="B3459" s="26"/>
      <c r="C3459" s="27"/>
      <c r="D3459" s="67"/>
      <c r="E3459" s="68"/>
      <c r="F3459" s="17"/>
      <c r="G3459" s="27"/>
    </row>
    <row r="3460" spans="2:7" ht="20.25" customHeight="1" x14ac:dyDescent="0.3">
      <c r="B3460" s="26"/>
      <c r="C3460" s="27"/>
      <c r="D3460" s="67"/>
      <c r="E3460" s="68"/>
      <c r="F3460" s="17"/>
      <c r="G3460" s="27"/>
    </row>
    <row r="3461" spans="2:7" ht="20.25" customHeight="1" x14ac:dyDescent="0.3">
      <c r="B3461" s="26"/>
      <c r="C3461" s="27"/>
      <c r="D3461" s="67"/>
      <c r="E3461" s="68"/>
      <c r="F3461" s="17"/>
      <c r="G3461" s="27"/>
    </row>
    <row r="3462" spans="2:7" ht="20.25" customHeight="1" x14ac:dyDescent="0.3">
      <c r="B3462" s="26"/>
      <c r="C3462" s="27"/>
      <c r="D3462" s="67"/>
      <c r="E3462" s="68"/>
      <c r="F3462" s="17"/>
      <c r="G3462" s="27"/>
    </row>
    <row r="3463" spans="2:7" ht="20.25" customHeight="1" x14ac:dyDescent="0.3">
      <c r="B3463" s="26"/>
      <c r="C3463" s="27"/>
      <c r="D3463" s="67"/>
      <c r="E3463" s="68"/>
      <c r="F3463" s="17"/>
      <c r="G3463" s="27"/>
    </row>
    <row r="3464" spans="2:7" ht="20.25" customHeight="1" x14ac:dyDescent="0.3">
      <c r="B3464" s="26"/>
      <c r="C3464" s="27"/>
      <c r="D3464" s="67"/>
      <c r="E3464" s="68"/>
      <c r="F3464" s="17"/>
      <c r="G3464" s="27"/>
    </row>
    <row r="3465" spans="2:7" ht="20.25" customHeight="1" x14ac:dyDescent="0.3">
      <c r="B3465" s="26"/>
      <c r="C3465" s="27"/>
      <c r="D3465" s="67"/>
      <c r="E3465" s="68"/>
      <c r="F3465" s="17"/>
      <c r="G3465" s="27"/>
    </row>
    <row r="3466" spans="2:7" ht="20.25" customHeight="1" x14ac:dyDescent="0.3">
      <c r="B3466" s="26"/>
      <c r="C3466" s="27"/>
      <c r="D3466" s="67"/>
      <c r="E3466" s="68"/>
      <c r="F3466" s="17"/>
      <c r="G3466" s="27"/>
    </row>
    <row r="3467" spans="2:7" ht="20.25" customHeight="1" x14ac:dyDescent="0.3">
      <c r="B3467" s="26"/>
      <c r="C3467" s="27"/>
      <c r="D3467" s="67"/>
      <c r="E3467" s="68"/>
      <c r="F3467" s="17"/>
      <c r="G3467" s="27"/>
    </row>
    <row r="3468" spans="2:7" ht="20.25" customHeight="1" x14ac:dyDescent="0.3">
      <c r="B3468" s="26"/>
      <c r="C3468" s="27"/>
      <c r="D3468" s="67"/>
      <c r="E3468" s="68"/>
      <c r="F3468" s="17"/>
      <c r="G3468" s="27"/>
    </row>
    <row r="3469" spans="2:7" ht="20.25" customHeight="1" x14ac:dyDescent="0.3">
      <c r="B3469" s="26"/>
      <c r="C3469" s="27"/>
      <c r="D3469" s="67"/>
      <c r="E3469" s="68"/>
      <c r="F3469" s="17"/>
      <c r="G3469" s="27"/>
    </row>
    <row r="3470" spans="2:7" ht="20.25" customHeight="1" x14ac:dyDescent="0.3">
      <c r="B3470" s="26"/>
      <c r="C3470" s="27"/>
      <c r="D3470" s="67"/>
      <c r="E3470" s="68"/>
      <c r="F3470" s="17"/>
      <c r="G3470" s="27"/>
    </row>
    <row r="3471" spans="2:7" ht="20.25" customHeight="1" x14ac:dyDescent="0.3">
      <c r="B3471" s="26"/>
      <c r="C3471" s="27"/>
      <c r="D3471" s="67"/>
      <c r="E3471" s="68"/>
      <c r="F3471" s="17"/>
      <c r="G3471" s="27"/>
    </row>
    <row r="3472" spans="2:7" ht="20.25" customHeight="1" x14ac:dyDescent="0.3">
      <c r="B3472" s="26"/>
      <c r="C3472" s="27"/>
      <c r="D3472" s="67"/>
      <c r="E3472" s="68"/>
      <c r="F3472" s="17"/>
      <c r="G3472" s="27"/>
    </row>
    <row r="3473" spans="2:7" ht="20.25" customHeight="1" x14ac:dyDescent="0.3">
      <c r="B3473" s="26"/>
      <c r="C3473" s="27"/>
      <c r="D3473" s="67"/>
      <c r="E3473" s="68"/>
      <c r="F3473" s="17"/>
      <c r="G3473" s="27"/>
    </row>
    <row r="3474" spans="2:7" ht="20.25" customHeight="1" x14ac:dyDescent="0.3">
      <c r="B3474" s="26"/>
      <c r="C3474" s="27"/>
      <c r="D3474" s="67"/>
      <c r="E3474" s="68"/>
      <c r="F3474" s="17"/>
      <c r="G3474" s="27"/>
    </row>
    <row r="3475" spans="2:7" ht="20.25" customHeight="1" x14ac:dyDescent="0.3">
      <c r="B3475" s="26"/>
      <c r="C3475" s="27"/>
      <c r="D3475" s="67"/>
      <c r="E3475" s="68"/>
      <c r="F3475" s="17"/>
      <c r="G3475" s="27"/>
    </row>
    <row r="3476" spans="2:7" ht="20.25" customHeight="1" x14ac:dyDescent="0.3">
      <c r="B3476" s="26"/>
      <c r="C3476" s="27"/>
      <c r="D3476" s="67"/>
      <c r="E3476" s="68"/>
      <c r="F3476" s="17"/>
      <c r="G3476" s="27"/>
    </row>
    <row r="3477" spans="2:7" ht="20.25" customHeight="1" x14ac:dyDescent="0.3">
      <c r="B3477" s="26"/>
      <c r="C3477" s="27"/>
      <c r="D3477" s="67"/>
      <c r="E3477" s="68"/>
      <c r="F3477" s="17"/>
      <c r="G3477" s="27"/>
    </row>
    <row r="3478" spans="2:7" ht="20.25" customHeight="1" x14ac:dyDescent="0.3">
      <c r="B3478" s="26"/>
      <c r="C3478" s="27"/>
      <c r="D3478" s="67"/>
      <c r="E3478" s="68"/>
      <c r="F3478" s="17"/>
      <c r="G3478" s="27"/>
    </row>
    <row r="3479" spans="2:7" ht="20.25" customHeight="1" x14ac:dyDescent="0.3">
      <c r="B3479" s="26"/>
      <c r="C3479" s="27"/>
      <c r="D3479" s="67"/>
      <c r="E3479" s="68"/>
      <c r="F3479" s="17"/>
      <c r="G3479" s="27"/>
    </row>
    <row r="3480" spans="2:7" ht="20.25" customHeight="1" x14ac:dyDescent="0.3">
      <c r="B3480" s="26"/>
      <c r="C3480" s="27"/>
      <c r="D3480" s="67"/>
      <c r="E3480" s="68"/>
      <c r="F3480" s="17"/>
      <c r="G3480" s="27"/>
    </row>
    <row r="3481" spans="2:7" ht="20.25" customHeight="1" x14ac:dyDescent="0.3">
      <c r="B3481" s="26"/>
      <c r="C3481" s="27"/>
      <c r="D3481" s="67"/>
      <c r="E3481" s="68"/>
      <c r="F3481" s="17"/>
      <c r="G3481" s="27"/>
    </row>
    <row r="3482" spans="2:7" ht="20.25" customHeight="1" x14ac:dyDescent="0.3">
      <c r="B3482" s="26"/>
      <c r="C3482" s="27"/>
      <c r="D3482" s="67"/>
      <c r="E3482" s="68"/>
      <c r="F3482" s="17"/>
      <c r="G3482" s="27"/>
    </row>
    <row r="3483" spans="2:7" ht="20.25" customHeight="1" x14ac:dyDescent="0.3">
      <c r="B3483" s="26"/>
      <c r="C3483" s="27"/>
      <c r="D3483" s="67"/>
      <c r="E3483" s="68"/>
      <c r="F3483" s="17"/>
      <c r="G3483" s="27"/>
    </row>
    <row r="3484" spans="2:7" ht="20.25" customHeight="1" x14ac:dyDescent="0.3">
      <c r="B3484" s="26"/>
      <c r="C3484" s="27"/>
      <c r="D3484" s="67"/>
      <c r="E3484" s="68"/>
      <c r="F3484" s="17"/>
      <c r="G3484" s="27"/>
    </row>
    <row r="3485" spans="2:7" ht="20.25" customHeight="1" x14ac:dyDescent="0.3">
      <c r="B3485" s="26"/>
      <c r="C3485" s="27"/>
      <c r="D3485" s="67"/>
      <c r="E3485" s="68"/>
      <c r="F3485" s="17"/>
      <c r="G3485" s="27"/>
    </row>
    <row r="3486" spans="2:7" ht="20.25" customHeight="1" x14ac:dyDescent="0.3">
      <c r="B3486" s="26"/>
      <c r="C3486" s="27"/>
      <c r="D3486" s="67"/>
      <c r="E3486" s="68"/>
      <c r="F3486" s="17"/>
      <c r="G3486" s="27"/>
    </row>
    <row r="3487" spans="2:7" ht="20.25" customHeight="1" x14ac:dyDescent="0.3">
      <c r="B3487" s="26"/>
      <c r="C3487" s="27"/>
      <c r="D3487" s="67"/>
      <c r="E3487" s="68"/>
      <c r="F3487" s="17"/>
      <c r="G3487" s="27"/>
    </row>
    <row r="3488" spans="2:7" ht="20.25" customHeight="1" x14ac:dyDescent="0.3">
      <c r="B3488" s="26"/>
      <c r="C3488" s="27"/>
      <c r="D3488" s="67"/>
      <c r="E3488" s="68"/>
      <c r="F3488" s="17"/>
      <c r="G3488" s="27"/>
    </row>
    <row r="3489" spans="2:7" ht="20.25" customHeight="1" x14ac:dyDescent="0.3">
      <c r="B3489" s="26"/>
      <c r="C3489" s="27"/>
      <c r="D3489" s="67"/>
      <c r="E3489" s="68"/>
      <c r="F3489" s="17"/>
      <c r="G3489" s="27"/>
    </row>
    <row r="3490" spans="2:7" ht="20.25" customHeight="1" x14ac:dyDescent="0.3">
      <c r="B3490" s="26"/>
      <c r="C3490" s="27"/>
      <c r="D3490" s="67"/>
      <c r="E3490" s="68"/>
      <c r="F3490" s="17"/>
      <c r="G3490" s="27"/>
    </row>
    <row r="3491" spans="2:7" ht="20.25" customHeight="1" x14ac:dyDescent="0.3">
      <c r="B3491" s="26"/>
      <c r="C3491" s="27"/>
      <c r="D3491" s="67"/>
      <c r="E3491" s="68"/>
      <c r="F3491" s="17"/>
      <c r="G3491" s="27"/>
    </row>
    <row r="3492" spans="2:7" ht="20.25" customHeight="1" x14ac:dyDescent="0.3">
      <c r="B3492" s="26"/>
      <c r="C3492" s="27"/>
      <c r="D3492" s="67"/>
      <c r="E3492" s="68"/>
      <c r="F3492" s="17"/>
      <c r="G3492" s="27"/>
    </row>
    <row r="3493" spans="2:7" ht="20.25" customHeight="1" x14ac:dyDescent="0.3">
      <c r="B3493" s="26"/>
      <c r="C3493" s="27"/>
      <c r="D3493" s="67"/>
      <c r="E3493" s="68"/>
      <c r="F3493" s="17"/>
      <c r="G3493" s="27"/>
    </row>
    <row r="3494" spans="2:7" ht="20.25" customHeight="1" x14ac:dyDescent="0.3">
      <c r="B3494" s="26"/>
      <c r="C3494" s="27"/>
      <c r="D3494" s="67"/>
      <c r="E3494" s="68"/>
      <c r="F3494" s="17"/>
      <c r="G3494" s="27"/>
    </row>
    <row r="3495" spans="2:7" ht="20.25" customHeight="1" x14ac:dyDescent="0.3">
      <c r="B3495" s="26"/>
      <c r="C3495" s="27"/>
      <c r="D3495" s="67"/>
      <c r="E3495" s="68"/>
      <c r="F3495" s="17"/>
      <c r="G3495" s="27"/>
    </row>
    <row r="3496" spans="2:7" ht="20.25" customHeight="1" x14ac:dyDescent="0.3">
      <c r="B3496" s="26"/>
      <c r="C3496" s="27"/>
      <c r="D3496" s="67"/>
      <c r="E3496" s="68"/>
      <c r="F3496" s="17"/>
      <c r="G3496" s="27"/>
    </row>
    <row r="3497" spans="2:7" ht="20.25" customHeight="1" x14ac:dyDescent="0.3">
      <c r="B3497" s="26"/>
      <c r="C3497" s="27"/>
      <c r="D3497" s="67"/>
      <c r="E3497" s="68"/>
      <c r="F3497" s="17"/>
      <c r="G3497" s="27"/>
    </row>
    <row r="3498" spans="2:7" ht="20.25" customHeight="1" x14ac:dyDescent="0.3">
      <c r="B3498" s="26"/>
      <c r="C3498" s="27"/>
      <c r="D3498" s="67"/>
      <c r="E3498" s="68"/>
      <c r="F3498" s="17"/>
      <c r="G3498" s="27"/>
    </row>
    <row r="3499" spans="2:7" ht="20.25" customHeight="1" x14ac:dyDescent="0.3">
      <c r="B3499" s="26"/>
      <c r="C3499" s="27"/>
      <c r="D3499" s="67"/>
      <c r="E3499" s="68"/>
      <c r="F3499" s="17"/>
      <c r="G3499" s="27"/>
    </row>
    <row r="3500" spans="2:7" ht="20.25" customHeight="1" x14ac:dyDescent="0.3">
      <c r="B3500" s="26"/>
      <c r="C3500" s="27"/>
      <c r="D3500" s="67"/>
      <c r="E3500" s="68"/>
      <c r="F3500" s="17"/>
      <c r="G3500" s="27"/>
    </row>
    <row r="3501" spans="2:7" ht="20.25" customHeight="1" x14ac:dyDescent="0.3">
      <c r="B3501" s="26"/>
      <c r="C3501" s="27"/>
      <c r="D3501" s="67"/>
      <c r="E3501" s="68"/>
      <c r="F3501" s="17"/>
      <c r="G3501" s="27"/>
    </row>
    <row r="3502" spans="2:7" ht="20.25" customHeight="1" x14ac:dyDescent="0.3">
      <c r="B3502" s="26"/>
      <c r="C3502" s="27"/>
      <c r="D3502" s="67"/>
      <c r="E3502" s="68"/>
      <c r="F3502" s="17"/>
      <c r="G3502" s="27"/>
    </row>
    <row r="3503" spans="2:7" ht="20.25" customHeight="1" x14ac:dyDescent="0.3">
      <c r="B3503" s="26"/>
      <c r="C3503" s="27"/>
      <c r="D3503" s="67"/>
      <c r="E3503" s="68"/>
      <c r="F3503" s="17"/>
      <c r="G3503" s="27"/>
    </row>
    <row r="3504" spans="2:7" ht="20.25" customHeight="1" x14ac:dyDescent="0.3">
      <c r="B3504" s="26"/>
      <c r="C3504" s="27"/>
      <c r="D3504" s="67"/>
      <c r="E3504" s="68"/>
      <c r="F3504" s="17"/>
      <c r="G3504" s="27"/>
    </row>
    <row r="3505" spans="2:7" ht="20.25" customHeight="1" x14ac:dyDescent="0.3">
      <c r="B3505" s="26"/>
      <c r="C3505" s="27"/>
      <c r="D3505" s="67"/>
      <c r="E3505" s="68"/>
      <c r="F3505" s="17"/>
      <c r="G3505" s="27"/>
    </row>
    <row r="3506" spans="2:7" ht="20.25" customHeight="1" x14ac:dyDescent="0.3">
      <c r="C3506" s="59"/>
      <c r="D3506" s="69"/>
      <c r="E3506" s="69"/>
      <c r="F3506" s="17"/>
      <c r="G3506" s="59"/>
    </row>
    <row r="3507" spans="2:7" ht="20.25" customHeight="1" x14ac:dyDescent="0.3">
      <c r="C3507" s="59"/>
      <c r="D3507" s="69"/>
      <c r="E3507" s="69"/>
      <c r="F3507" s="17"/>
      <c r="G3507" s="59"/>
    </row>
    <row r="3508" spans="2:7" ht="20.25" customHeight="1" x14ac:dyDescent="0.3">
      <c r="C3508" s="59"/>
      <c r="D3508" s="69"/>
      <c r="E3508" s="69"/>
      <c r="F3508" s="17"/>
      <c r="G3508" s="59"/>
    </row>
    <row r="3509" spans="2:7" ht="20.25" customHeight="1" x14ac:dyDescent="0.3">
      <c r="C3509" s="59"/>
      <c r="D3509" s="69"/>
      <c r="E3509" s="69"/>
      <c r="F3509" s="17"/>
      <c r="G3509" s="59"/>
    </row>
    <row r="3510" spans="2:7" ht="20.25" customHeight="1" x14ac:dyDescent="0.3">
      <c r="C3510" s="59"/>
      <c r="D3510" s="69"/>
      <c r="E3510" s="69"/>
      <c r="F3510" s="17"/>
      <c r="G3510" s="59"/>
    </row>
    <row r="3511" spans="2:7" ht="20.25" customHeight="1" x14ac:dyDescent="0.3">
      <c r="C3511" s="59"/>
      <c r="D3511" s="69"/>
      <c r="E3511" s="69"/>
      <c r="F3511" s="17"/>
      <c r="G3511" s="59"/>
    </row>
    <row r="3512" spans="2:7" ht="20.25" customHeight="1" x14ac:dyDescent="0.3">
      <c r="C3512" s="59"/>
      <c r="D3512" s="69"/>
      <c r="E3512" s="69"/>
      <c r="F3512" s="17"/>
      <c r="G3512" s="59"/>
    </row>
    <row r="3513" spans="2:7" ht="20.25" customHeight="1" x14ac:dyDescent="0.3">
      <c r="C3513" s="59"/>
      <c r="D3513" s="69"/>
      <c r="E3513" s="69"/>
      <c r="F3513" s="17"/>
      <c r="G3513" s="59"/>
    </row>
    <row r="3514" spans="2:7" ht="20.25" customHeight="1" x14ac:dyDescent="0.3">
      <c r="C3514" s="59"/>
      <c r="D3514" s="69"/>
      <c r="E3514" s="69"/>
      <c r="F3514" s="17"/>
      <c r="G3514" s="59"/>
    </row>
    <row r="3515" spans="2:7" ht="20.25" customHeight="1" x14ac:dyDescent="0.3">
      <c r="C3515" s="59"/>
      <c r="D3515" s="69"/>
      <c r="E3515" s="69"/>
      <c r="F3515" s="17"/>
      <c r="G3515" s="59"/>
    </row>
    <row r="3516" spans="2:7" ht="20.25" customHeight="1" x14ac:dyDescent="0.3">
      <c r="C3516" s="59"/>
      <c r="D3516" s="69"/>
      <c r="E3516" s="69"/>
      <c r="F3516" s="17"/>
      <c r="G3516" s="59"/>
    </row>
    <row r="3517" spans="2:7" ht="20.25" customHeight="1" x14ac:dyDescent="0.3">
      <c r="C3517" s="59"/>
      <c r="D3517" s="69"/>
      <c r="E3517" s="69"/>
      <c r="F3517" s="17"/>
      <c r="G3517" s="59"/>
    </row>
    <row r="3518" spans="2:7" ht="20.25" customHeight="1" x14ac:dyDescent="0.3">
      <c r="C3518" s="59"/>
      <c r="D3518" s="69"/>
      <c r="E3518" s="69"/>
      <c r="F3518" s="17"/>
      <c r="G3518" s="59"/>
    </row>
    <row r="3519" spans="2:7" ht="20.25" customHeight="1" x14ac:dyDescent="0.3">
      <c r="C3519" s="59"/>
      <c r="D3519" s="69"/>
      <c r="E3519" s="69"/>
      <c r="F3519" s="17"/>
      <c r="G3519" s="59"/>
    </row>
    <row r="3520" spans="2:7" ht="20.25" customHeight="1" x14ac:dyDescent="0.3">
      <c r="C3520" s="59"/>
      <c r="D3520" s="69"/>
      <c r="E3520" s="69"/>
      <c r="F3520" s="17"/>
      <c r="G3520" s="59"/>
    </row>
    <row r="3521" spans="3:7" ht="20.25" customHeight="1" x14ac:dyDescent="0.3">
      <c r="C3521" s="59"/>
      <c r="D3521" s="69"/>
      <c r="E3521" s="69"/>
      <c r="F3521" s="17"/>
      <c r="G3521" s="59"/>
    </row>
    <row r="3522" spans="3:7" ht="20.25" customHeight="1" x14ac:dyDescent="0.3">
      <c r="C3522" s="59"/>
      <c r="D3522" s="69"/>
      <c r="E3522" s="69"/>
      <c r="F3522" s="17"/>
      <c r="G3522" s="59"/>
    </row>
    <row r="3523" spans="3:7" ht="20.25" customHeight="1" x14ac:dyDescent="0.3">
      <c r="C3523" s="59"/>
      <c r="D3523" s="69"/>
      <c r="E3523" s="69"/>
      <c r="F3523" s="17"/>
      <c r="G3523" s="59"/>
    </row>
    <row r="3524" spans="3:7" ht="20.25" customHeight="1" x14ac:dyDescent="0.3">
      <c r="C3524" s="59"/>
      <c r="D3524" s="69"/>
      <c r="E3524" s="69"/>
      <c r="F3524" s="17"/>
      <c r="G3524" s="59"/>
    </row>
    <row r="3525" spans="3:7" ht="20.25" customHeight="1" x14ac:dyDescent="0.3">
      <c r="C3525" s="59"/>
      <c r="D3525" s="69"/>
      <c r="E3525" s="69"/>
      <c r="F3525" s="17"/>
      <c r="G3525" s="59"/>
    </row>
    <row r="3526" spans="3:7" ht="20.25" customHeight="1" x14ac:dyDescent="0.3">
      <c r="C3526" s="59"/>
      <c r="D3526" s="69"/>
      <c r="E3526" s="69"/>
      <c r="F3526" s="17"/>
      <c r="G3526" s="59"/>
    </row>
    <row r="3527" spans="3:7" ht="20.25" customHeight="1" x14ac:dyDescent="0.3">
      <c r="C3527" s="59"/>
      <c r="D3527" s="69"/>
      <c r="E3527" s="69"/>
      <c r="F3527" s="17"/>
      <c r="G3527" s="59"/>
    </row>
    <row r="3528" spans="3:7" ht="20.25" customHeight="1" x14ac:dyDescent="0.3">
      <c r="C3528" s="59"/>
      <c r="D3528" s="69"/>
      <c r="E3528" s="69"/>
      <c r="F3528" s="17"/>
      <c r="G3528" s="59"/>
    </row>
    <row r="3529" spans="3:7" ht="20.25" customHeight="1" x14ac:dyDescent="0.3">
      <c r="C3529" s="59"/>
      <c r="D3529" s="69"/>
      <c r="E3529" s="69"/>
      <c r="F3529" s="17"/>
      <c r="G3529" s="59"/>
    </row>
    <row r="3530" spans="3:7" ht="20.25" customHeight="1" x14ac:dyDescent="0.3">
      <c r="C3530" s="59"/>
      <c r="D3530" s="69"/>
      <c r="E3530" s="69"/>
      <c r="F3530" s="17"/>
      <c r="G3530" s="59"/>
    </row>
    <row r="3531" spans="3:7" ht="20.25" customHeight="1" x14ac:dyDescent="0.3">
      <c r="C3531" s="59"/>
      <c r="D3531" s="69"/>
      <c r="E3531" s="69"/>
      <c r="F3531" s="17"/>
      <c r="G3531" s="59"/>
    </row>
    <row r="3532" spans="3:7" ht="20.25" customHeight="1" x14ac:dyDescent="0.3">
      <c r="C3532" s="59"/>
      <c r="D3532" s="69"/>
      <c r="E3532" s="69"/>
      <c r="F3532" s="17"/>
      <c r="G3532" s="59"/>
    </row>
    <row r="3533" spans="3:7" ht="20.25" customHeight="1" x14ac:dyDescent="0.3">
      <c r="C3533" s="59"/>
      <c r="D3533" s="69"/>
      <c r="E3533" s="69"/>
      <c r="F3533" s="17"/>
      <c r="G3533" s="59"/>
    </row>
    <row r="3534" spans="3:7" ht="20.25" customHeight="1" x14ac:dyDescent="0.3">
      <c r="C3534" s="59"/>
      <c r="D3534" s="69"/>
      <c r="E3534" s="69"/>
      <c r="F3534" s="17"/>
      <c r="G3534" s="59"/>
    </row>
    <row r="3535" spans="3:7" ht="20.25" customHeight="1" x14ac:dyDescent="0.3">
      <c r="C3535" s="59"/>
      <c r="D3535" s="69"/>
      <c r="E3535" s="69"/>
      <c r="F3535" s="17"/>
      <c r="G3535" s="59"/>
    </row>
    <row r="3536" spans="3:7" ht="20.25" customHeight="1" x14ac:dyDescent="0.3">
      <c r="C3536" s="59"/>
      <c r="D3536" s="69"/>
      <c r="E3536" s="69"/>
      <c r="F3536" s="17"/>
      <c r="G3536" s="59"/>
    </row>
    <row r="3537" spans="3:7" ht="20.25" customHeight="1" x14ac:dyDescent="0.3">
      <c r="C3537" s="59"/>
      <c r="D3537" s="69"/>
      <c r="E3537" s="69"/>
      <c r="F3537" s="17"/>
      <c r="G3537" s="59"/>
    </row>
    <row r="3538" spans="3:7" ht="20.25" customHeight="1" x14ac:dyDescent="0.3">
      <c r="C3538" s="59"/>
      <c r="D3538" s="69"/>
      <c r="E3538" s="69"/>
      <c r="F3538" s="17"/>
      <c r="G3538" s="59"/>
    </row>
    <row r="3539" spans="3:7" ht="20.25" customHeight="1" x14ac:dyDescent="0.3">
      <c r="C3539" s="59"/>
      <c r="D3539" s="69"/>
      <c r="E3539" s="69"/>
      <c r="F3539" s="17"/>
      <c r="G3539" s="59"/>
    </row>
    <row r="3540" spans="3:7" ht="20.25" customHeight="1" x14ac:dyDescent="0.3">
      <c r="C3540" s="59"/>
      <c r="D3540" s="69"/>
      <c r="E3540" s="69"/>
      <c r="F3540" s="17"/>
      <c r="G3540" s="59"/>
    </row>
    <row r="3541" spans="3:7" ht="20.25" customHeight="1" x14ac:dyDescent="0.3">
      <c r="C3541" s="59"/>
      <c r="D3541" s="69"/>
      <c r="E3541" s="69"/>
      <c r="F3541" s="17"/>
      <c r="G3541" s="59"/>
    </row>
    <row r="3542" spans="3:7" ht="20.25" customHeight="1" x14ac:dyDescent="0.3">
      <c r="C3542" s="59"/>
      <c r="D3542" s="69"/>
      <c r="E3542" s="69"/>
      <c r="F3542" s="17"/>
      <c r="G3542" s="59"/>
    </row>
    <row r="3543" spans="3:7" ht="20.25" customHeight="1" x14ac:dyDescent="0.3">
      <c r="C3543" s="59"/>
      <c r="D3543" s="69"/>
      <c r="E3543" s="69"/>
      <c r="F3543" s="17"/>
      <c r="G3543" s="59"/>
    </row>
    <row r="3544" spans="3:7" ht="20.25" customHeight="1" x14ac:dyDescent="0.3">
      <c r="C3544" s="59"/>
      <c r="D3544" s="69"/>
      <c r="E3544" s="69"/>
      <c r="F3544" s="17"/>
      <c r="G3544" s="59"/>
    </row>
    <row r="3545" spans="3:7" ht="20.25" customHeight="1" x14ac:dyDescent="0.3">
      <c r="C3545" s="59"/>
      <c r="D3545" s="69"/>
      <c r="E3545" s="69"/>
      <c r="F3545" s="17"/>
      <c r="G3545" s="59"/>
    </row>
    <row r="3546" spans="3:7" ht="20.25" customHeight="1" x14ac:dyDescent="0.3">
      <c r="C3546" s="59"/>
      <c r="D3546" s="69"/>
      <c r="E3546" s="69"/>
      <c r="F3546" s="17"/>
      <c r="G3546" s="59"/>
    </row>
    <row r="3547" spans="3:7" ht="20.25" customHeight="1" x14ac:dyDescent="0.3">
      <c r="C3547" s="59"/>
      <c r="D3547" s="69"/>
      <c r="E3547" s="69"/>
      <c r="F3547" s="17"/>
      <c r="G3547" s="59"/>
    </row>
    <row r="3548" spans="3:7" ht="20.25" customHeight="1" x14ac:dyDescent="0.3">
      <c r="C3548" s="59"/>
      <c r="D3548" s="69"/>
      <c r="E3548" s="69"/>
      <c r="F3548" s="17"/>
      <c r="G3548" s="59"/>
    </row>
    <row r="3549" spans="3:7" ht="20.25" customHeight="1" x14ac:dyDescent="0.3">
      <c r="C3549" s="59"/>
      <c r="D3549" s="69"/>
      <c r="E3549" s="69"/>
      <c r="F3549" s="17"/>
      <c r="G3549" s="59"/>
    </row>
    <row r="3550" spans="3:7" ht="20.25" customHeight="1" x14ac:dyDescent="0.3">
      <c r="C3550" s="59"/>
      <c r="D3550" s="69"/>
      <c r="E3550" s="69"/>
      <c r="F3550" s="17"/>
      <c r="G3550" s="59"/>
    </row>
    <row r="3551" spans="3:7" ht="20.25" customHeight="1" x14ac:dyDescent="0.3">
      <c r="C3551" s="59"/>
      <c r="D3551" s="69"/>
      <c r="E3551" s="69"/>
      <c r="F3551" s="17"/>
      <c r="G3551" s="59"/>
    </row>
    <row r="3552" spans="3:7" ht="20.25" customHeight="1" x14ac:dyDescent="0.3">
      <c r="C3552" s="59"/>
      <c r="D3552" s="69"/>
      <c r="E3552" s="69"/>
      <c r="F3552" s="17"/>
      <c r="G3552" s="59"/>
    </row>
    <row r="3553" spans="3:7" ht="20.25" customHeight="1" x14ac:dyDescent="0.3">
      <c r="C3553" s="59"/>
      <c r="D3553" s="69"/>
      <c r="E3553" s="69"/>
      <c r="F3553" s="17"/>
      <c r="G3553" s="59"/>
    </row>
    <row r="3554" spans="3:7" ht="20.25" customHeight="1" x14ac:dyDescent="0.3">
      <c r="C3554" s="59"/>
      <c r="D3554" s="69"/>
      <c r="E3554" s="69"/>
      <c r="F3554" s="17"/>
      <c r="G3554" s="59"/>
    </row>
    <row r="3555" spans="3:7" ht="20.25" customHeight="1" x14ac:dyDescent="0.3">
      <c r="C3555" s="59"/>
      <c r="D3555" s="69"/>
      <c r="E3555" s="69"/>
      <c r="F3555" s="17"/>
      <c r="G3555" s="59"/>
    </row>
    <row r="3556" spans="3:7" ht="20.25" customHeight="1" x14ac:dyDescent="0.3">
      <c r="C3556" s="59"/>
      <c r="D3556" s="69"/>
      <c r="E3556" s="69"/>
      <c r="F3556" s="17"/>
      <c r="G3556" s="59"/>
    </row>
    <row r="3557" spans="3:7" ht="20.25" customHeight="1" x14ac:dyDescent="0.3">
      <c r="C3557" s="59"/>
      <c r="D3557" s="69"/>
      <c r="E3557" s="69"/>
      <c r="F3557" s="17"/>
      <c r="G3557" s="59"/>
    </row>
    <row r="3558" spans="3:7" ht="20.25" customHeight="1" x14ac:dyDescent="0.3">
      <c r="C3558" s="59"/>
      <c r="D3558" s="69"/>
      <c r="E3558" s="69"/>
      <c r="F3558" s="17"/>
      <c r="G3558" s="59"/>
    </row>
    <row r="3559" spans="3:7" ht="20.25" customHeight="1" x14ac:dyDescent="0.3">
      <c r="C3559" s="59"/>
      <c r="D3559" s="69"/>
      <c r="E3559" s="69"/>
      <c r="F3559" s="17"/>
      <c r="G3559" s="59"/>
    </row>
    <row r="3560" spans="3:7" ht="20.25" customHeight="1" x14ac:dyDescent="0.3">
      <c r="C3560" s="59"/>
      <c r="D3560" s="69"/>
      <c r="E3560" s="69"/>
      <c r="F3560" s="17"/>
      <c r="G3560" s="59"/>
    </row>
    <row r="3561" spans="3:7" ht="20.25" customHeight="1" x14ac:dyDescent="0.3">
      <c r="C3561" s="59"/>
      <c r="D3561" s="69"/>
      <c r="E3561" s="69"/>
      <c r="F3561" s="17"/>
      <c r="G3561" s="59"/>
    </row>
    <row r="3562" spans="3:7" ht="20.25" customHeight="1" x14ac:dyDescent="0.3">
      <c r="C3562" s="59"/>
      <c r="D3562" s="69"/>
      <c r="E3562" s="69"/>
      <c r="F3562" s="17"/>
      <c r="G3562" s="59"/>
    </row>
    <row r="3563" spans="3:7" ht="20.25" customHeight="1" x14ac:dyDescent="0.3">
      <c r="C3563" s="59"/>
      <c r="D3563" s="69"/>
      <c r="E3563" s="69"/>
      <c r="F3563" s="17"/>
      <c r="G3563" s="59"/>
    </row>
    <row r="3564" spans="3:7" ht="20.25" customHeight="1" x14ac:dyDescent="0.3">
      <c r="C3564" s="59"/>
      <c r="D3564" s="69"/>
      <c r="E3564" s="69"/>
      <c r="F3564" s="17"/>
      <c r="G3564" s="59"/>
    </row>
    <row r="3565" spans="3:7" ht="20.25" customHeight="1" x14ac:dyDescent="0.3">
      <c r="C3565" s="59"/>
      <c r="D3565" s="69"/>
      <c r="E3565" s="69"/>
      <c r="F3565" s="17"/>
      <c r="G3565" s="59"/>
    </row>
    <row r="3566" spans="3:7" ht="20.25" customHeight="1" x14ac:dyDescent="0.3">
      <c r="C3566" s="59"/>
      <c r="D3566" s="69"/>
      <c r="E3566" s="69"/>
      <c r="F3566" s="17"/>
      <c r="G3566" s="59"/>
    </row>
    <row r="3567" spans="3:7" ht="20.25" customHeight="1" x14ac:dyDescent="0.3">
      <c r="C3567" s="59"/>
      <c r="D3567" s="69"/>
      <c r="E3567" s="69"/>
      <c r="F3567" s="17"/>
      <c r="G3567" s="59"/>
    </row>
    <row r="3568" spans="3:7" ht="20.25" customHeight="1" x14ac:dyDescent="0.3">
      <c r="C3568" s="59"/>
      <c r="D3568" s="69"/>
      <c r="E3568" s="69"/>
      <c r="F3568" s="17"/>
      <c r="G3568" s="59"/>
    </row>
    <row r="3569" spans="3:7" ht="20.25" customHeight="1" x14ac:dyDescent="0.3">
      <c r="C3569" s="59"/>
      <c r="D3569" s="69"/>
      <c r="E3569" s="69"/>
      <c r="F3569" s="17"/>
      <c r="G3569" s="59"/>
    </row>
    <row r="3570" spans="3:7" ht="20.25" customHeight="1" x14ac:dyDescent="0.3">
      <c r="C3570" s="59"/>
      <c r="D3570" s="69"/>
      <c r="E3570" s="69"/>
      <c r="F3570" s="17"/>
      <c r="G3570" s="59"/>
    </row>
    <row r="3571" spans="3:7" ht="20.25" customHeight="1" x14ac:dyDescent="0.3">
      <c r="C3571" s="59"/>
      <c r="D3571" s="69"/>
      <c r="E3571" s="69"/>
      <c r="F3571" s="17"/>
      <c r="G3571" s="59"/>
    </row>
    <row r="3572" spans="3:7" ht="20.25" customHeight="1" x14ac:dyDescent="0.3">
      <c r="C3572" s="59"/>
      <c r="D3572" s="69"/>
      <c r="E3572" s="69"/>
      <c r="F3572" s="17"/>
      <c r="G3572" s="59"/>
    </row>
    <row r="3573" spans="3:7" ht="20.25" customHeight="1" x14ac:dyDescent="0.3">
      <c r="C3573" s="59"/>
      <c r="D3573" s="69"/>
      <c r="E3573" s="69"/>
      <c r="F3573" s="17"/>
      <c r="G3573" s="59"/>
    </row>
    <row r="3574" spans="3:7" ht="20.25" customHeight="1" x14ac:dyDescent="0.3">
      <c r="C3574" s="59"/>
      <c r="D3574" s="69"/>
      <c r="E3574" s="69"/>
      <c r="F3574" s="17"/>
      <c r="G3574" s="59"/>
    </row>
    <row r="3575" spans="3:7" ht="20.25" customHeight="1" x14ac:dyDescent="0.3">
      <c r="C3575" s="59"/>
      <c r="D3575" s="69"/>
      <c r="E3575" s="69"/>
      <c r="F3575" s="17"/>
      <c r="G3575" s="59"/>
    </row>
    <row r="3576" spans="3:7" ht="20.25" customHeight="1" x14ac:dyDescent="0.3">
      <c r="C3576" s="59"/>
      <c r="D3576" s="69"/>
      <c r="E3576" s="69"/>
      <c r="F3576" s="17"/>
      <c r="G3576" s="59"/>
    </row>
    <row r="3577" spans="3:7" ht="20.25" customHeight="1" x14ac:dyDescent="0.3">
      <c r="C3577" s="59"/>
      <c r="D3577" s="69"/>
      <c r="E3577" s="69"/>
      <c r="F3577" s="17"/>
      <c r="G3577" s="59"/>
    </row>
    <row r="3578" spans="3:7" ht="20.25" customHeight="1" x14ac:dyDescent="0.3">
      <c r="C3578" s="59"/>
      <c r="D3578" s="69"/>
      <c r="E3578" s="69"/>
      <c r="F3578" s="17"/>
      <c r="G3578" s="59"/>
    </row>
    <row r="3579" spans="3:7" ht="20.25" customHeight="1" x14ac:dyDescent="0.3">
      <c r="C3579" s="59"/>
      <c r="D3579" s="69"/>
      <c r="E3579" s="69"/>
      <c r="F3579" s="17"/>
      <c r="G3579" s="59"/>
    </row>
    <row r="3580" spans="3:7" ht="20.25" customHeight="1" x14ac:dyDescent="0.3">
      <c r="C3580" s="59"/>
      <c r="D3580" s="69"/>
      <c r="E3580" s="69"/>
      <c r="F3580" s="17"/>
      <c r="G3580" s="59"/>
    </row>
    <row r="3581" spans="3:7" ht="20.25" customHeight="1" x14ac:dyDescent="0.3">
      <c r="C3581" s="59"/>
      <c r="D3581" s="69"/>
      <c r="E3581" s="69"/>
      <c r="F3581" s="17"/>
      <c r="G3581" s="59"/>
    </row>
    <row r="3582" spans="3:7" ht="20.25" customHeight="1" x14ac:dyDescent="0.3">
      <c r="C3582" s="59"/>
      <c r="D3582" s="69"/>
      <c r="E3582" s="69"/>
      <c r="F3582" s="17"/>
      <c r="G3582" s="59"/>
    </row>
    <row r="3583" spans="3:7" ht="20.25" customHeight="1" x14ac:dyDescent="0.3">
      <c r="C3583" s="59"/>
      <c r="D3583" s="69"/>
      <c r="E3583" s="69"/>
      <c r="F3583" s="17"/>
      <c r="G3583" s="59"/>
    </row>
    <row r="3584" spans="3:7" ht="20.25" customHeight="1" x14ac:dyDescent="0.3">
      <c r="C3584" s="59"/>
      <c r="D3584" s="69"/>
      <c r="E3584" s="69"/>
      <c r="F3584" s="17"/>
      <c r="G3584" s="59"/>
    </row>
    <row r="3585" spans="3:7" ht="20.25" customHeight="1" x14ac:dyDescent="0.3">
      <c r="C3585" s="59"/>
      <c r="D3585" s="69"/>
      <c r="E3585" s="69"/>
      <c r="F3585" s="17"/>
      <c r="G3585" s="59"/>
    </row>
    <row r="3586" spans="3:7" ht="20.25" customHeight="1" x14ac:dyDescent="0.3">
      <c r="C3586" s="59"/>
      <c r="D3586" s="69"/>
      <c r="E3586" s="69"/>
      <c r="F3586" s="17"/>
      <c r="G3586" s="59"/>
    </row>
    <row r="3587" spans="3:7" ht="20.25" customHeight="1" x14ac:dyDescent="0.3">
      <c r="C3587" s="59"/>
      <c r="D3587" s="69"/>
      <c r="E3587" s="69"/>
      <c r="F3587" s="17"/>
      <c r="G3587" s="59"/>
    </row>
    <row r="3588" spans="3:7" ht="20.25" customHeight="1" x14ac:dyDescent="0.3">
      <c r="C3588" s="59"/>
      <c r="D3588" s="69"/>
      <c r="E3588" s="69"/>
      <c r="F3588" s="17"/>
      <c r="G3588" s="59"/>
    </row>
    <row r="3589" spans="3:7" ht="20.25" customHeight="1" x14ac:dyDescent="0.3">
      <c r="C3589" s="59"/>
      <c r="D3589" s="69"/>
      <c r="E3589" s="69"/>
      <c r="F3589" s="17"/>
      <c r="G3589" s="59"/>
    </row>
    <row r="3590" spans="3:7" ht="20.25" customHeight="1" x14ac:dyDescent="0.3">
      <c r="C3590" s="59"/>
      <c r="D3590" s="69"/>
      <c r="E3590" s="69"/>
      <c r="F3590" s="17"/>
      <c r="G3590" s="59"/>
    </row>
    <row r="3591" spans="3:7" ht="20.25" customHeight="1" x14ac:dyDescent="0.3">
      <c r="C3591" s="59"/>
      <c r="D3591" s="69"/>
      <c r="E3591" s="69"/>
      <c r="F3591" s="17"/>
      <c r="G3591" s="59"/>
    </row>
    <row r="3592" spans="3:7" ht="20.25" customHeight="1" x14ac:dyDescent="0.3">
      <c r="C3592" s="59"/>
      <c r="D3592" s="69"/>
      <c r="E3592" s="69"/>
      <c r="F3592" s="17"/>
      <c r="G3592" s="59"/>
    </row>
    <row r="3593" spans="3:7" ht="20.25" customHeight="1" x14ac:dyDescent="0.3">
      <c r="C3593" s="59"/>
      <c r="D3593" s="69"/>
      <c r="E3593" s="69"/>
      <c r="F3593" s="17"/>
      <c r="G3593" s="59"/>
    </row>
    <row r="3594" spans="3:7" ht="20.25" customHeight="1" x14ac:dyDescent="0.3">
      <c r="C3594" s="59"/>
      <c r="D3594" s="69"/>
      <c r="E3594" s="69"/>
      <c r="F3594" s="17"/>
      <c r="G3594" s="59"/>
    </row>
    <row r="3595" spans="3:7" ht="20.25" customHeight="1" x14ac:dyDescent="0.3">
      <c r="C3595" s="59"/>
      <c r="D3595" s="69"/>
      <c r="E3595" s="69"/>
      <c r="F3595" s="17"/>
      <c r="G3595" s="59"/>
    </row>
    <row r="3596" spans="3:7" ht="20.25" customHeight="1" x14ac:dyDescent="0.3">
      <c r="C3596" s="59"/>
      <c r="D3596" s="69"/>
      <c r="E3596" s="69"/>
      <c r="F3596" s="17"/>
      <c r="G3596" s="59"/>
    </row>
    <row r="3597" spans="3:7" ht="20.25" customHeight="1" x14ac:dyDescent="0.3">
      <c r="C3597" s="59"/>
      <c r="D3597" s="69"/>
      <c r="E3597" s="69"/>
      <c r="F3597" s="17"/>
      <c r="G3597" s="59"/>
    </row>
    <row r="3598" spans="3:7" ht="20.25" customHeight="1" x14ac:dyDescent="0.3">
      <c r="C3598" s="59"/>
      <c r="D3598" s="69"/>
      <c r="E3598" s="69"/>
      <c r="F3598" s="17"/>
      <c r="G3598" s="59"/>
    </row>
    <row r="3599" spans="3:7" ht="20.25" customHeight="1" x14ac:dyDescent="0.3">
      <c r="C3599" s="59"/>
      <c r="D3599" s="69"/>
      <c r="E3599" s="69"/>
      <c r="F3599" s="17"/>
      <c r="G3599" s="59"/>
    </row>
    <row r="3600" spans="3:7" ht="20.25" customHeight="1" x14ac:dyDescent="0.3">
      <c r="C3600" s="59"/>
      <c r="D3600" s="69"/>
      <c r="E3600" s="69"/>
      <c r="F3600" s="17"/>
      <c r="G3600" s="59"/>
    </row>
    <row r="3601" spans="3:7" ht="20.25" customHeight="1" x14ac:dyDescent="0.3">
      <c r="C3601" s="59"/>
      <c r="D3601" s="69"/>
      <c r="E3601" s="69"/>
      <c r="F3601" s="17"/>
      <c r="G3601" s="59"/>
    </row>
    <row r="3602" spans="3:7" ht="20.25" customHeight="1" x14ac:dyDescent="0.3">
      <c r="C3602" s="59"/>
      <c r="D3602" s="69"/>
      <c r="E3602" s="69"/>
      <c r="F3602" s="17"/>
      <c r="G3602" s="59"/>
    </row>
    <row r="3603" spans="3:7" ht="20.25" customHeight="1" x14ac:dyDescent="0.3">
      <c r="C3603" s="59"/>
      <c r="D3603" s="69"/>
      <c r="E3603" s="69"/>
      <c r="F3603" s="17"/>
      <c r="G3603" s="59"/>
    </row>
    <row r="3604" spans="3:7" ht="20.25" customHeight="1" x14ac:dyDescent="0.3">
      <c r="C3604" s="59"/>
      <c r="D3604" s="69"/>
      <c r="E3604" s="69"/>
      <c r="F3604" s="17"/>
      <c r="G3604" s="59"/>
    </row>
    <row r="3605" spans="3:7" ht="20.25" customHeight="1" x14ac:dyDescent="0.3">
      <c r="C3605" s="59"/>
      <c r="D3605" s="69"/>
      <c r="E3605" s="69"/>
      <c r="F3605" s="17"/>
      <c r="G3605" s="59"/>
    </row>
    <row r="3606" spans="3:7" ht="20.25" customHeight="1" x14ac:dyDescent="0.3">
      <c r="C3606" s="59"/>
      <c r="D3606" s="69"/>
      <c r="E3606" s="69"/>
      <c r="F3606" s="17"/>
      <c r="G3606" s="59"/>
    </row>
    <row r="3607" spans="3:7" ht="20.25" customHeight="1" x14ac:dyDescent="0.3">
      <c r="C3607" s="59"/>
      <c r="D3607" s="69"/>
      <c r="E3607" s="69"/>
      <c r="F3607" s="17"/>
      <c r="G3607" s="59"/>
    </row>
    <row r="3608" spans="3:7" ht="20.25" customHeight="1" x14ac:dyDescent="0.3">
      <c r="C3608" s="59"/>
      <c r="D3608" s="69"/>
      <c r="E3608" s="69"/>
      <c r="F3608" s="17"/>
      <c r="G3608" s="59"/>
    </row>
    <row r="3609" spans="3:7" ht="20.25" customHeight="1" x14ac:dyDescent="0.3">
      <c r="C3609" s="59"/>
      <c r="D3609" s="69"/>
      <c r="E3609" s="69"/>
      <c r="F3609" s="17"/>
      <c r="G3609" s="59"/>
    </row>
    <row r="3610" spans="3:7" ht="20.25" customHeight="1" x14ac:dyDescent="0.3">
      <c r="C3610" s="59"/>
      <c r="D3610" s="69"/>
      <c r="E3610" s="69"/>
      <c r="F3610" s="17"/>
      <c r="G3610" s="59"/>
    </row>
    <row r="3611" spans="3:7" ht="20.25" customHeight="1" x14ac:dyDescent="0.3">
      <c r="C3611" s="59"/>
      <c r="D3611" s="69"/>
      <c r="E3611" s="69"/>
      <c r="F3611" s="17"/>
      <c r="G3611" s="59"/>
    </row>
    <row r="3612" spans="3:7" ht="20.25" customHeight="1" x14ac:dyDescent="0.3">
      <c r="C3612" s="59"/>
      <c r="D3612" s="69"/>
      <c r="E3612" s="69"/>
      <c r="F3612" s="17"/>
      <c r="G3612" s="59"/>
    </row>
    <row r="3613" spans="3:7" ht="20.25" customHeight="1" x14ac:dyDescent="0.3">
      <c r="C3613" s="59"/>
      <c r="D3613" s="69"/>
      <c r="E3613" s="69"/>
      <c r="F3613" s="17"/>
      <c r="G3613" s="59"/>
    </row>
    <row r="3614" spans="3:7" ht="20.25" customHeight="1" x14ac:dyDescent="0.3">
      <c r="C3614" s="59"/>
      <c r="D3614" s="69"/>
      <c r="E3614" s="69"/>
      <c r="F3614" s="17"/>
      <c r="G3614" s="59"/>
    </row>
    <row r="3615" spans="3:7" ht="20.25" customHeight="1" x14ac:dyDescent="0.3">
      <c r="C3615" s="59"/>
      <c r="D3615" s="69"/>
      <c r="E3615" s="69"/>
      <c r="F3615" s="17"/>
      <c r="G3615" s="59"/>
    </row>
    <row r="3616" spans="3:7" ht="20.25" customHeight="1" x14ac:dyDescent="0.3">
      <c r="C3616" s="59"/>
      <c r="D3616" s="69"/>
      <c r="E3616" s="69"/>
      <c r="F3616" s="17"/>
      <c r="G3616" s="59"/>
    </row>
    <row r="3617" spans="3:7" ht="20.25" customHeight="1" x14ac:dyDescent="0.3">
      <c r="C3617" s="59"/>
      <c r="D3617" s="69"/>
      <c r="E3617" s="69"/>
      <c r="F3617" s="17"/>
      <c r="G3617" s="59"/>
    </row>
    <row r="3618" spans="3:7" ht="20.25" customHeight="1" x14ac:dyDescent="0.3">
      <c r="C3618" s="59"/>
      <c r="D3618" s="69"/>
      <c r="E3618" s="69"/>
      <c r="F3618" s="17"/>
      <c r="G3618" s="59"/>
    </row>
    <row r="3619" spans="3:7" ht="20.25" customHeight="1" x14ac:dyDescent="0.3">
      <c r="C3619" s="59"/>
      <c r="D3619" s="69"/>
      <c r="E3619" s="69"/>
      <c r="F3619" s="17"/>
      <c r="G3619" s="59"/>
    </row>
    <row r="3620" spans="3:7" ht="20.25" customHeight="1" x14ac:dyDescent="0.3">
      <c r="C3620" s="59"/>
      <c r="D3620" s="69"/>
      <c r="E3620" s="69"/>
      <c r="F3620" s="17"/>
      <c r="G3620" s="59"/>
    </row>
    <row r="3621" spans="3:7" ht="20.25" customHeight="1" x14ac:dyDescent="0.3">
      <c r="C3621" s="59"/>
      <c r="D3621" s="69"/>
      <c r="E3621" s="69"/>
      <c r="F3621" s="17"/>
      <c r="G3621" s="59"/>
    </row>
    <row r="3622" spans="3:7" ht="20.25" customHeight="1" x14ac:dyDescent="0.3">
      <c r="C3622" s="59"/>
      <c r="D3622" s="69"/>
      <c r="E3622" s="69"/>
      <c r="F3622" s="17"/>
      <c r="G3622" s="59"/>
    </row>
    <row r="3623" spans="3:7" ht="20.25" customHeight="1" x14ac:dyDescent="0.3">
      <c r="C3623" s="59"/>
      <c r="D3623" s="69"/>
      <c r="E3623" s="69"/>
      <c r="F3623" s="17"/>
      <c r="G3623" s="59"/>
    </row>
    <row r="3624" spans="3:7" ht="20.25" customHeight="1" x14ac:dyDescent="0.3">
      <c r="C3624" s="59"/>
      <c r="D3624" s="69"/>
      <c r="E3624" s="69"/>
      <c r="F3624" s="17"/>
      <c r="G3624" s="59"/>
    </row>
    <row r="3625" spans="3:7" ht="20.25" customHeight="1" x14ac:dyDescent="0.3">
      <c r="C3625" s="59"/>
      <c r="D3625" s="69"/>
      <c r="E3625" s="69"/>
      <c r="F3625" s="17"/>
      <c r="G3625" s="59"/>
    </row>
    <row r="3626" spans="3:7" ht="20.25" customHeight="1" x14ac:dyDescent="0.3">
      <c r="C3626" s="59"/>
      <c r="D3626" s="69"/>
      <c r="E3626" s="69"/>
      <c r="F3626" s="17"/>
      <c r="G3626" s="59"/>
    </row>
    <row r="3627" spans="3:7" ht="20.25" customHeight="1" x14ac:dyDescent="0.3">
      <c r="C3627" s="59"/>
      <c r="D3627" s="69"/>
      <c r="E3627" s="69"/>
      <c r="F3627" s="17"/>
      <c r="G3627" s="59"/>
    </row>
    <row r="3628" spans="3:7" ht="20.25" customHeight="1" x14ac:dyDescent="0.3">
      <c r="C3628" s="59"/>
      <c r="D3628" s="69"/>
      <c r="E3628" s="69"/>
      <c r="F3628" s="17"/>
      <c r="G3628" s="59"/>
    </row>
    <row r="3629" spans="3:7" ht="20.25" customHeight="1" x14ac:dyDescent="0.3">
      <c r="C3629" s="59"/>
      <c r="D3629" s="69"/>
      <c r="E3629" s="69"/>
      <c r="F3629" s="17"/>
      <c r="G3629" s="59"/>
    </row>
    <row r="3630" spans="3:7" ht="20.25" customHeight="1" x14ac:dyDescent="0.3">
      <c r="C3630" s="59"/>
      <c r="D3630" s="69"/>
      <c r="E3630" s="69"/>
      <c r="F3630" s="17"/>
      <c r="G3630" s="59"/>
    </row>
    <row r="3631" spans="3:7" ht="20.25" customHeight="1" x14ac:dyDescent="0.3">
      <c r="C3631" s="59"/>
      <c r="D3631" s="69"/>
      <c r="E3631" s="69"/>
      <c r="F3631" s="17"/>
      <c r="G3631" s="59"/>
    </row>
    <row r="3632" spans="3:7" ht="20.25" customHeight="1" x14ac:dyDescent="0.3">
      <c r="C3632" s="59"/>
      <c r="D3632" s="69"/>
      <c r="E3632" s="69"/>
      <c r="F3632" s="17"/>
      <c r="G3632" s="59"/>
    </row>
    <row r="3633" spans="3:7" ht="20.25" customHeight="1" x14ac:dyDescent="0.3">
      <c r="C3633" s="59"/>
      <c r="D3633" s="69"/>
      <c r="E3633" s="69"/>
      <c r="F3633" s="17"/>
      <c r="G3633" s="59"/>
    </row>
    <row r="3634" spans="3:7" ht="20.25" customHeight="1" x14ac:dyDescent="0.3">
      <c r="C3634" s="59"/>
      <c r="D3634" s="69"/>
      <c r="E3634" s="69"/>
      <c r="F3634" s="17"/>
      <c r="G3634" s="59"/>
    </row>
    <row r="3635" spans="3:7" ht="20.25" customHeight="1" x14ac:dyDescent="0.3">
      <c r="C3635" s="59"/>
      <c r="D3635" s="69"/>
      <c r="E3635" s="69"/>
      <c r="F3635" s="17"/>
      <c r="G3635" s="59"/>
    </row>
    <row r="3636" spans="3:7" ht="20.25" customHeight="1" x14ac:dyDescent="0.3">
      <c r="C3636" s="59"/>
      <c r="D3636" s="69"/>
      <c r="E3636" s="69"/>
      <c r="F3636" s="17"/>
      <c r="G3636" s="59"/>
    </row>
    <row r="3637" spans="3:7" ht="20.25" customHeight="1" x14ac:dyDescent="0.3">
      <c r="C3637" s="59"/>
      <c r="D3637" s="69"/>
      <c r="E3637" s="69"/>
      <c r="F3637" s="17"/>
      <c r="G3637" s="59"/>
    </row>
    <row r="3638" spans="3:7" ht="20.25" customHeight="1" x14ac:dyDescent="0.3">
      <c r="C3638" s="59"/>
      <c r="D3638" s="69"/>
      <c r="E3638" s="69"/>
      <c r="F3638" s="17"/>
      <c r="G3638" s="59"/>
    </row>
    <row r="3639" spans="3:7" ht="20.25" customHeight="1" x14ac:dyDescent="0.3">
      <c r="C3639" s="59"/>
      <c r="D3639" s="69"/>
      <c r="E3639" s="69"/>
      <c r="F3639" s="17"/>
      <c r="G3639" s="59"/>
    </row>
    <row r="3640" spans="3:7" ht="20.25" customHeight="1" x14ac:dyDescent="0.3">
      <c r="C3640" s="59"/>
      <c r="D3640" s="69"/>
      <c r="E3640" s="69"/>
      <c r="F3640" s="17"/>
      <c r="G3640" s="59"/>
    </row>
    <row r="3641" spans="3:7" ht="20.25" customHeight="1" x14ac:dyDescent="0.3">
      <c r="C3641" s="59"/>
      <c r="D3641" s="69"/>
      <c r="E3641" s="69"/>
      <c r="F3641" s="17"/>
      <c r="G3641" s="59"/>
    </row>
    <row r="3642" spans="3:7" ht="20.25" customHeight="1" x14ac:dyDescent="0.3">
      <c r="C3642" s="59"/>
      <c r="D3642" s="69"/>
      <c r="E3642" s="69"/>
      <c r="F3642" s="17"/>
      <c r="G3642" s="59"/>
    </row>
    <row r="3643" spans="3:7" ht="20.25" customHeight="1" x14ac:dyDescent="0.3">
      <c r="C3643" s="59"/>
      <c r="D3643" s="69"/>
      <c r="E3643" s="69"/>
      <c r="F3643" s="17"/>
      <c r="G3643" s="59"/>
    </row>
    <row r="3644" spans="3:7" ht="20.25" customHeight="1" x14ac:dyDescent="0.3">
      <c r="C3644" s="59"/>
      <c r="D3644" s="69"/>
      <c r="E3644" s="69"/>
      <c r="F3644" s="17"/>
      <c r="G3644" s="59"/>
    </row>
    <row r="3645" spans="3:7" ht="20.25" customHeight="1" x14ac:dyDescent="0.3">
      <c r="C3645" s="59"/>
      <c r="D3645" s="69"/>
      <c r="E3645" s="69"/>
      <c r="F3645" s="17"/>
      <c r="G3645" s="59"/>
    </row>
    <row r="3646" spans="3:7" ht="20.25" customHeight="1" x14ac:dyDescent="0.3">
      <c r="C3646" s="59"/>
      <c r="D3646" s="69"/>
      <c r="E3646" s="69"/>
      <c r="F3646" s="17"/>
      <c r="G3646" s="59"/>
    </row>
    <row r="3647" spans="3:7" ht="20.25" customHeight="1" x14ac:dyDescent="0.3">
      <c r="C3647" s="59"/>
      <c r="D3647" s="69"/>
      <c r="E3647" s="69"/>
      <c r="F3647" s="17"/>
      <c r="G3647" s="59"/>
    </row>
    <row r="3648" spans="3:7" ht="20.25" customHeight="1" x14ac:dyDescent="0.3">
      <c r="C3648" s="59"/>
      <c r="D3648" s="69"/>
      <c r="E3648" s="69"/>
      <c r="F3648" s="17"/>
      <c r="G3648" s="59"/>
    </row>
    <row r="3649" spans="3:7" ht="20.25" customHeight="1" x14ac:dyDescent="0.3">
      <c r="C3649" s="59"/>
      <c r="D3649" s="69"/>
      <c r="E3649" s="69"/>
      <c r="F3649" s="17"/>
      <c r="G3649" s="59"/>
    </row>
    <row r="3650" spans="3:7" ht="20.25" customHeight="1" x14ac:dyDescent="0.3">
      <c r="C3650" s="59"/>
      <c r="D3650" s="69"/>
      <c r="E3650" s="69"/>
      <c r="F3650" s="17"/>
      <c r="G3650" s="59"/>
    </row>
    <row r="3651" spans="3:7" ht="20.25" customHeight="1" x14ac:dyDescent="0.3">
      <c r="C3651" s="59"/>
      <c r="D3651" s="69"/>
      <c r="E3651" s="69"/>
      <c r="F3651" s="17"/>
      <c r="G3651" s="59"/>
    </row>
    <row r="3652" spans="3:7" ht="20.25" customHeight="1" x14ac:dyDescent="0.3">
      <c r="C3652" s="59"/>
      <c r="D3652" s="69"/>
      <c r="E3652" s="69"/>
      <c r="F3652" s="17"/>
      <c r="G3652" s="59"/>
    </row>
    <row r="3653" spans="3:7" ht="20.25" customHeight="1" x14ac:dyDescent="0.3">
      <c r="C3653" s="59"/>
      <c r="D3653" s="69"/>
      <c r="E3653" s="69"/>
      <c r="F3653" s="17"/>
      <c r="G3653" s="59"/>
    </row>
    <row r="3654" spans="3:7" ht="20.25" customHeight="1" x14ac:dyDescent="0.3">
      <c r="C3654" s="59"/>
      <c r="D3654" s="69"/>
      <c r="E3654" s="69"/>
      <c r="F3654" s="17"/>
      <c r="G3654" s="59"/>
    </row>
    <row r="3655" spans="3:7" ht="20.25" customHeight="1" x14ac:dyDescent="0.3">
      <c r="C3655" s="59"/>
      <c r="D3655" s="69"/>
      <c r="E3655" s="69"/>
      <c r="F3655" s="17"/>
      <c r="G3655" s="59"/>
    </row>
    <row r="3656" spans="3:7" ht="20.25" customHeight="1" x14ac:dyDescent="0.3">
      <c r="C3656" s="59"/>
      <c r="D3656" s="69"/>
      <c r="E3656" s="69"/>
      <c r="F3656" s="17"/>
      <c r="G3656" s="59"/>
    </row>
    <row r="3657" spans="3:7" ht="20.25" customHeight="1" x14ac:dyDescent="0.3">
      <c r="C3657" s="59"/>
      <c r="D3657" s="69"/>
      <c r="E3657" s="69"/>
      <c r="F3657" s="17"/>
      <c r="G3657" s="59"/>
    </row>
    <row r="3658" spans="3:7" ht="20.25" customHeight="1" x14ac:dyDescent="0.3">
      <c r="C3658" s="59"/>
      <c r="D3658" s="69"/>
      <c r="E3658" s="69"/>
      <c r="F3658" s="17"/>
      <c r="G3658" s="59"/>
    </row>
    <row r="3659" spans="3:7" ht="20.25" customHeight="1" x14ac:dyDescent="0.3">
      <c r="C3659" s="59"/>
      <c r="D3659" s="69"/>
      <c r="E3659" s="69"/>
      <c r="F3659" s="17"/>
      <c r="G3659" s="59"/>
    </row>
    <row r="3660" spans="3:7" ht="20.25" customHeight="1" x14ac:dyDescent="0.3">
      <c r="C3660" s="59"/>
      <c r="D3660" s="69"/>
      <c r="E3660" s="69"/>
      <c r="F3660" s="17"/>
      <c r="G3660" s="59"/>
    </row>
    <row r="3661" spans="3:7" ht="20.25" customHeight="1" x14ac:dyDescent="0.3">
      <c r="C3661" s="59"/>
      <c r="D3661" s="69"/>
      <c r="E3661" s="69"/>
      <c r="F3661" s="17"/>
      <c r="G3661" s="59"/>
    </row>
    <row r="3662" spans="3:7" ht="20.25" customHeight="1" x14ac:dyDescent="0.3">
      <c r="C3662" s="59"/>
      <c r="D3662" s="69"/>
      <c r="E3662" s="69"/>
      <c r="F3662" s="17"/>
      <c r="G3662" s="59"/>
    </row>
    <row r="3663" spans="3:7" ht="20.25" customHeight="1" x14ac:dyDescent="0.3">
      <c r="C3663" s="59"/>
      <c r="D3663" s="69"/>
      <c r="E3663" s="69"/>
      <c r="F3663" s="17"/>
      <c r="G3663" s="59"/>
    </row>
    <row r="3664" spans="3:7" ht="20.25" customHeight="1" x14ac:dyDescent="0.3">
      <c r="C3664" s="59"/>
      <c r="D3664" s="69"/>
      <c r="E3664" s="69"/>
      <c r="F3664" s="17"/>
      <c r="G3664" s="59"/>
    </row>
    <row r="3665" spans="3:7" ht="20.25" customHeight="1" x14ac:dyDescent="0.3">
      <c r="C3665" s="59"/>
      <c r="D3665" s="69"/>
      <c r="E3665" s="69"/>
      <c r="F3665" s="17"/>
      <c r="G3665" s="59"/>
    </row>
    <row r="3666" spans="3:7" ht="20.25" customHeight="1" x14ac:dyDescent="0.3">
      <c r="C3666" s="59"/>
      <c r="D3666" s="69"/>
      <c r="E3666" s="69"/>
      <c r="F3666" s="17"/>
      <c r="G3666" s="59"/>
    </row>
    <row r="3667" spans="3:7" ht="20.25" customHeight="1" x14ac:dyDescent="0.3">
      <c r="C3667" s="59"/>
      <c r="D3667" s="69"/>
      <c r="E3667" s="69"/>
      <c r="F3667" s="17"/>
      <c r="G3667" s="59"/>
    </row>
    <row r="3668" spans="3:7" ht="20.25" customHeight="1" x14ac:dyDescent="0.3">
      <c r="C3668" s="59"/>
      <c r="D3668" s="69"/>
      <c r="E3668" s="69"/>
      <c r="F3668" s="17"/>
      <c r="G3668" s="59"/>
    </row>
    <row r="3669" spans="3:7" ht="20.25" customHeight="1" x14ac:dyDescent="0.3">
      <c r="C3669" s="59"/>
      <c r="D3669" s="69"/>
      <c r="E3669" s="69"/>
      <c r="F3669" s="17"/>
      <c r="G3669" s="59"/>
    </row>
    <row r="3670" spans="3:7" ht="20.25" customHeight="1" x14ac:dyDescent="0.3">
      <c r="C3670" s="59"/>
      <c r="D3670" s="69"/>
      <c r="E3670" s="69"/>
      <c r="F3670" s="17"/>
      <c r="G3670" s="59"/>
    </row>
    <row r="3671" spans="3:7" ht="20.25" customHeight="1" x14ac:dyDescent="0.3">
      <c r="C3671" s="59"/>
      <c r="D3671" s="69"/>
      <c r="E3671" s="69"/>
      <c r="F3671" s="17"/>
      <c r="G3671" s="59"/>
    </row>
    <row r="3672" spans="3:7" ht="20.25" customHeight="1" x14ac:dyDescent="0.3">
      <c r="C3672" s="59"/>
      <c r="D3672" s="69"/>
      <c r="E3672" s="69"/>
      <c r="F3672" s="17"/>
      <c r="G3672" s="59"/>
    </row>
    <row r="3673" spans="3:7" ht="20.25" customHeight="1" x14ac:dyDescent="0.3">
      <c r="C3673" s="59"/>
      <c r="D3673" s="69"/>
      <c r="E3673" s="69"/>
      <c r="F3673" s="17"/>
      <c r="G3673" s="59"/>
    </row>
    <row r="3674" spans="3:7" ht="20.25" customHeight="1" x14ac:dyDescent="0.3">
      <c r="C3674" s="59"/>
      <c r="D3674" s="69"/>
      <c r="E3674" s="69"/>
      <c r="F3674" s="17"/>
      <c r="G3674" s="59"/>
    </row>
    <row r="3675" spans="3:7" ht="20.25" customHeight="1" x14ac:dyDescent="0.3">
      <c r="C3675" s="59"/>
      <c r="D3675" s="69"/>
      <c r="E3675" s="69"/>
      <c r="F3675" s="17"/>
      <c r="G3675" s="59"/>
    </row>
    <row r="3676" spans="3:7" ht="20.25" customHeight="1" x14ac:dyDescent="0.3">
      <c r="C3676" s="59"/>
      <c r="D3676" s="69"/>
      <c r="E3676" s="69"/>
      <c r="F3676" s="17"/>
      <c r="G3676" s="59"/>
    </row>
    <row r="3677" spans="3:7" ht="20.25" customHeight="1" x14ac:dyDescent="0.3">
      <c r="C3677" s="59"/>
      <c r="D3677" s="69"/>
      <c r="E3677" s="69"/>
      <c r="F3677" s="17"/>
      <c r="G3677" s="59"/>
    </row>
    <row r="3678" spans="3:7" ht="20.25" customHeight="1" x14ac:dyDescent="0.3">
      <c r="C3678" s="59"/>
      <c r="D3678" s="69"/>
      <c r="E3678" s="69"/>
      <c r="F3678" s="17"/>
      <c r="G3678" s="59"/>
    </row>
    <row r="3679" spans="3:7" ht="20.25" customHeight="1" x14ac:dyDescent="0.3">
      <c r="C3679" s="59"/>
      <c r="D3679" s="69"/>
      <c r="E3679" s="69"/>
      <c r="F3679" s="17"/>
      <c r="G3679" s="59"/>
    </row>
    <row r="3680" spans="3:7" ht="20.25" customHeight="1" x14ac:dyDescent="0.3">
      <c r="C3680" s="59"/>
      <c r="D3680" s="69"/>
      <c r="E3680" s="69"/>
      <c r="F3680" s="17"/>
      <c r="G3680" s="59"/>
    </row>
    <row r="3681" spans="3:7" ht="20.25" customHeight="1" x14ac:dyDescent="0.3">
      <c r="C3681" s="59"/>
      <c r="D3681" s="69"/>
      <c r="E3681" s="69"/>
      <c r="F3681" s="17"/>
      <c r="G3681" s="59"/>
    </row>
    <row r="3682" spans="3:7" ht="20.25" customHeight="1" x14ac:dyDescent="0.3">
      <c r="C3682" s="59"/>
      <c r="D3682" s="69"/>
      <c r="E3682" s="69"/>
      <c r="F3682" s="17"/>
      <c r="G3682" s="59"/>
    </row>
    <row r="3683" spans="3:7" ht="20.25" customHeight="1" x14ac:dyDescent="0.3">
      <c r="C3683" s="59"/>
      <c r="D3683" s="69"/>
      <c r="E3683" s="69"/>
      <c r="F3683" s="17"/>
      <c r="G3683" s="59"/>
    </row>
    <row r="3684" spans="3:7" ht="20.25" customHeight="1" x14ac:dyDescent="0.3">
      <c r="C3684" s="59"/>
      <c r="D3684" s="69"/>
      <c r="E3684" s="69"/>
      <c r="F3684" s="17"/>
      <c r="G3684" s="59"/>
    </row>
    <row r="3685" spans="3:7" ht="20.25" customHeight="1" x14ac:dyDescent="0.3">
      <c r="C3685" s="59"/>
      <c r="D3685" s="69"/>
      <c r="E3685" s="69"/>
      <c r="F3685" s="17"/>
      <c r="G3685" s="59"/>
    </row>
    <row r="3686" spans="3:7" ht="20.25" customHeight="1" x14ac:dyDescent="0.3">
      <c r="C3686" s="59"/>
      <c r="D3686" s="69"/>
      <c r="E3686" s="69"/>
      <c r="F3686" s="17"/>
      <c r="G3686" s="59"/>
    </row>
    <row r="3687" spans="3:7" ht="20.25" customHeight="1" x14ac:dyDescent="0.3">
      <c r="C3687" s="59"/>
      <c r="D3687" s="69"/>
      <c r="E3687" s="69"/>
      <c r="F3687" s="17"/>
      <c r="G3687" s="59"/>
    </row>
    <row r="3688" spans="3:7" ht="20.25" customHeight="1" x14ac:dyDescent="0.3">
      <c r="C3688" s="59"/>
      <c r="D3688" s="69"/>
      <c r="E3688" s="69"/>
      <c r="F3688" s="17"/>
      <c r="G3688" s="59"/>
    </row>
    <row r="3689" spans="3:7" ht="20.25" customHeight="1" x14ac:dyDescent="0.3">
      <c r="C3689" s="59"/>
      <c r="D3689" s="69"/>
      <c r="E3689" s="69"/>
      <c r="F3689" s="17"/>
      <c r="G3689" s="59"/>
    </row>
    <row r="3690" spans="3:7" ht="20.25" customHeight="1" x14ac:dyDescent="0.3">
      <c r="C3690" s="59"/>
      <c r="D3690" s="69"/>
      <c r="E3690" s="69"/>
      <c r="F3690" s="17"/>
      <c r="G3690" s="59"/>
    </row>
    <row r="3691" spans="3:7" ht="20.25" customHeight="1" x14ac:dyDescent="0.3">
      <c r="C3691" s="59"/>
      <c r="D3691" s="69"/>
      <c r="E3691" s="69"/>
      <c r="F3691" s="17"/>
      <c r="G3691" s="59"/>
    </row>
    <row r="3692" spans="3:7" ht="20.25" customHeight="1" x14ac:dyDescent="0.3">
      <c r="C3692" s="59"/>
      <c r="D3692" s="69"/>
      <c r="E3692" s="69"/>
      <c r="F3692" s="17"/>
      <c r="G3692" s="59"/>
    </row>
    <row r="3693" spans="3:7" ht="20.25" customHeight="1" x14ac:dyDescent="0.3">
      <c r="C3693" s="59"/>
      <c r="D3693" s="69"/>
      <c r="E3693" s="69"/>
      <c r="F3693" s="17"/>
      <c r="G3693" s="59"/>
    </row>
    <row r="3694" spans="3:7" ht="20.25" customHeight="1" x14ac:dyDescent="0.3">
      <c r="C3694" s="59"/>
      <c r="D3694" s="69"/>
      <c r="E3694" s="69"/>
      <c r="F3694" s="17"/>
      <c r="G3694" s="59"/>
    </row>
    <row r="3695" spans="3:7" ht="20.25" customHeight="1" x14ac:dyDescent="0.3">
      <c r="C3695" s="59"/>
      <c r="D3695" s="69"/>
      <c r="E3695" s="69"/>
      <c r="F3695" s="17"/>
      <c r="G3695" s="59"/>
    </row>
    <row r="3696" spans="3:7" ht="20.25" customHeight="1" x14ac:dyDescent="0.3">
      <c r="C3696" s="59"/>
      <c r="D3696" s="69"/>
      <c r="E3696" s="69"/>
      <c r="F3696" s="17"/>
      <c r="G3696" s="59"/>
    </row>
    <row r="3697" spans="3:7" ht="20.25" customHeight="1" x14ac:dyDescent="0.3">
      <c r="C3697" s="59"/>
      <c r="D3697" s="69"/>
      <c r="E3697" s="69"/>
      <c r="F3697" s="17"/>
      <c r="G3697" s="59"/>
    </row>
    <row r="3698" spans="3:7" ht="20.25" customHeight="1" x14ac:dyDescent="0.3">
      <c r="C3698" s="59"/>
      <c r="D3698" s="69"/>
      <c r="E3698" s="69"/>
      <c r="F3698" s="17"/>
      <c r="G3698" s="59"/>
    </row>
    <row r="3699" spans="3:7" ht="20.25" customHeight="1" x14ac:dyDescent="0.3">
      <c r="C3699" s="59"/>
      <c r="D3699" s="69"/>
      <c r="E3699" s="69"/>
      <c r="F3699" s="17"/>
      <c r="G3699" s="59"/>
    </row>
    <row r="3700" spans="3:7" ht="20.25" customHeight="1" x14ac:dyDescent="0.3">
      <c r="C3700" s="59"/>
      <c r="D3700" s="69"/>
      <c r="E3700" s="69"/>
      <c r="F3700" s="17"/>
      <c r="G3700" s="59"/>
    </row>
    <row r="3701" spans="3:7" ht="20.25" customHeight="1" x14ac:dyDescent="0.3">
      <c r="C3701" s="59"/>
      <c r="D3701" s="69"/>
      <c r="E3701" s="69"/>
      <c r="F3701" s="17"/>
      <c r="G3701" s="59"/>
    </row>
    <row r="3702" spans="3:7" ht="20.25" customHeight="1" x14ac:dyDescent="0.3">
      <c r="C3702" s="59"/>
      <c r="D3702" s="69"/>
      <c r="E3702" s="69"/>
      <c r="F3702" s="17"/>
      <c r="G3702" s="59"/>
    </row>
    <row r="3703" spans="3:7" ht="20.25" customHeight="1" x14ac:dyDescent="0.3">
      <c r="C3703" s="59"/>
      <c r="D3703" s="69"/>
      <c r="E3703" s="69"/>
      <c r="F3703" s="17"/>
      <c r="G3703" s="59"/>
    </row>
    <row r="3704" spans="3:7" ht="20.25" customHeight="1" x14ac:dyDescent="0.3">
      <c r="C3704" s="59"/>
      <c r="D3704" s="69"/>
      <c r="E3704" s="69"/>
      <c r="F3704" s="17"/>
      <c r="G3704" s="59"/>
    </row>
    <row r="3705" spans="3:7" ht="20.25" customHeight="1" x14ac:dyDescent="0.3">
      <c r="C3705" s="59"/>
      <c r="D3705" s="69"/>
      <c r="E3705" s="69"/>
      <c r="F3705" s="17"/>
      <c r="G3705" s="59"/>
    </row>
    <row r="3706" spans="3:7" ht="20.25" customHeight="1" x14ac:dyDescent="0.3">
      <c r="C3706" s="59"/>
      <c r="D3706" s="69"/>
      <c r="E3706" s="69"/>
      <c r="F3706" s="17"/>
      <c r="G3706" s="59"/>
    </row>
    <row r="3707" spans="3:7" ht="20.25" customHeight="1" x14ac:dyDescent="0.3">
      <c r="C3707" s="59"/>
      <c r="D3707" s="69"/>
      <c r="E3707" s="69"/>
      <c r="F3707" s="17"/>
      <c r="G3707" s="59"/>
    </row>
    <row r="3708" spans="3:7" ht="20.25" customHeight="1" x14ac:dyDescent="0.3">
      <c r="C3708" s="59"/>
      <c r="D3708" s="69"/>
      <c r="E3708" s="69"/>
      <c r="F3708" s="17"/>
      <c r="G3708" s="59"/>
    </row>
    <row r="3709" spans="3:7" ht="20.25" customHeight="1" x14ac:dyDescent="0.3">
      <c r="C3709" s="59"/>
      <c r="D3709" s="69"/>
      <c r="E3709" s="69"/>
      <c r="F3709" s="17"/>
      <c r="G3709" s="59"/>
    </row>
    <row r="3710" spans="3:7" ht="20.25" customHeight="1" x14ac:dyDescent="0.3">
      <c r="C3710" s="59"/>
      <c r="D3710" s="69"/>
      <c r="E3710" s="69"/>
      <c r="F3710" s="17"/>
      <c r="G3710" s="59"/>
    </row>
    <row r="3711" spans="3:7" ht="20.25" customHeight="1" x14ac:dyDescent="0.3">
      <c r="C3711" s="59"/>
      <c r="D3711" s="69"/>
      <c r="E3711" s="69"/>
      <c r="F3711" s="17"/>
      <c r="G3711" s="59"/>
    </row>
    <row r="3712" spans="3:7" ht="20.25" customHeight="1" x14ac:dyDescent="0.3">
      <c r="C3712" s="59"/>
      <c r="D3712" s="69"/>
      <c r="E3712" s="69"/>
      <c r="F3712" s="17"/>
      <c r="G3712" s="59"/>
    </row>
    <row r="3713" spans="3:7" ht="20.25" customHeight="1" x14ac:dyDescent="0.3">
      <c r="C3713" s="59"/>
      <c r="D3713" s="69"/>
      <c r="E3713" s="69"/>
      <c r="F3713" s="17"/>
      <c r="G3713" s="59"/>
    </row>
    <row r="3714" spans="3:7" ht="20.25" customHeight="1" x14ac:dyDescent="0.3">
      <c r="C3714" s="59"/>
      <c r="D3714" s="69"/>
      <c r="E3714" s="69"/>
      <c r="F3714" s="17"/>
      <c r="G3714" s="59"/>
    </row>
    <row r="3715" spans="3:7" ht="20.25" customHeight="1" x14ac:dyDescent="0.3">
      <c r="C3715" s="59"/>
      <c r="D3715" s="69"/>
      <c r="E3715" s="69"/>
      <c r="F3715" s="17"/>
      <c r="G3715" s="59"/>
    </row>
    <row r="3716" spans="3:7" ht="20.25" customHeight="1" x14ac:dyDescent="0.3">
      <c r="C3716" s="59"/>
      <c r="D3716" s="69"/>
      <c r="E3716" s="69"/>
      <c r="F3716" s="17"/>
      <c r="G3716" s="59"/>
    </row>
    <row r="3717" spans="3:7" ht="20.25" customHeight="1" x14ac:dyDescent="0.3">
      <c r="C3717" s="59"/>
      <c r="D3717" s="69"/>
      <c r="E3717" s="69"/>
      <c r="F3717" s="17"/>
      <c r="G3717" s="59"/>
    </row>
    <row r="3718" spans="3:7" ht="20.25" customHeight="1" x14ac:dyDescent="0.3">
      <c r="C3718" s="59"/>
      <c r="D3718" s="69"/>
      <c r="E3718" s="69"/>
      <c r="F3718" s="17"/>
      <c r="G3718" s="59"/>
    </row>
    <row r="3719" spans="3:7" ht="20.25" customHeight="1" x14ac:dyDescent="0.3">
      <c r="C3719" s="59"/>
      <c r="D3719" s="69"/>
      <c r="E3719" s="69"/>
      <c r="F3719" s="17"/>
      <c r="G3719" s="59"/>
    </row>
    <row r="3720" spans="3:7" ht="20.25" customHeight="1" x14ac:dyDescent="0.3">
      <c r="C3720" s="59"/>
      <c r="D3720" s="69"/>
      <c r="E3720" s="69"/>
      <c r="F3720" s="17"/>
      <c r="G3720" s="59"/>
    </row>
    <row r="3721" spans="3:7" ht="20.25" customHeight="1" x14ac:dyDescent="0.3">
      <c r="C3721" s="59"/>
      <c r="D3721" s="69"/>
      <c r="E3721" s="69"/>
      <c r="F3721" s="17"/>
      <c r="G3721" s="59"/>
    </row>
    <row r="3722" spans="3:7" ht="20.25" customHeight="1" x14ac:dyDescent="0.3">
      <c r="C3722" s="59"/>
      <c r="D3722" s="69"/>
      <c r="E3722" s="69"/>
      <c r="F3722" s="17"/>
      <c r="G3722" s="59"/>
    </row>
    <row r="3723" spans="3:7" ht="20.25" customHeight="1" x14ac:dyDescent="0.3">
      <c r="C3723" s="59"/>
      <c r="D3723" s="69"/>
      <c r="E3723" s="69"/>
      <c r="F3723" s="17"/>
      <c r="G3723" s="59"/>
    </row>
    <row r="3724" spans="3:7" ht="20.25" customHeight="1" x14ac:dyDescent="0.3">
      <c r="C3724" s="59"/>
      <c r="D3724" s="69"/>
      <c r="E3724" s="69"/>
      <c r="F3724" s="17"/>
      <c r="G3724" s="59"/>
    </row>
    <row r="3725" spans="3:7" ht="20.25" customHeight="1" x14ac:dyDescent="0.3">
      <c r="C3725" s="59"/>
      <c r="D3725" s="69"/>
      <c r="E3725" s="69"/>
      <c r="F3725" s="17"/>
      <c r="G3725" s="59"/>
    </row>
    <row r="3726" spans="3:7" ht="20.25" customHeight="1" x14ac:dyDescent="0.3">
      <c r="C3726" s="59"/>
      <c r="D3726" s="69"/>
      <c r="E3726" s="69"/>
      <c r="F3726" s="17"/>
      <c r="G3726" s="59"/>
    </row>
    <row r="3727" spans="3:7" ht="20.25" customHeight="1" x14ac:dyDescent="0.3">
      <c r="C3727" s="59"/>
      <c r="D3727" s="69"/>
      <c r="E3727" s="69"/>
      <c r="F3727" s="17"/>
      <c r="G3727" s="59"/>
    </row>
    <row r="3728" spans="3:7" ht="20.25" customHeight="1" x14ac:dyDescent="0.3">
      <c r="C3728" s="59"/>
      <c r="D3728" s="69"/>
      <c r="E3728" s="69"/>
      <c r="F3728" s="17"/>
      <c r="G3728" s="59"/>
    </row>
    <row r="3729" spans="3:7" ht="20.25" customHeight="1" x14ac:dyDescent="0.3">
      <c r="C3729" s="59"/>
      <c r="D3729" s="69"/>
      <c r="E3729" s="69"/>
      <c r="F3729" s="17"/>
      <c r="G3729" s="59"/>
    </row>
    <row r="3730" spans="3:7" ht="20.25" customHeight="1" x14ac:dyDescent="0.3">
      <c r="C3730" s="59"/>
      <c r="D3730" s="69"/>
      <c r="E3730" s="69"/>
      <c r="F3730" s="17"/>
      <c r="G3730" s="59"/>
    </row>
    <row r="3731" spans="3:7" ht="20.25" customHeight="1" x14ac:dyDescent="0.3">
      <c r="C3731" s="59"/>
      <c r="D3731" s="69"/>
      <c r="E3731" s="69"/>
      <c r="F3731" s="17"/>
      <c r="G3731" s="59"/>
    </row>
    <row r="3732" spans="3:7" ht="20.25" customHeight="1" x14ac:dyDescent="0.3">
      <c r="C3732" s="59"/>
      <c r="D3732" s="69"/>
      <c r="E3732" s="69"/>
      <c r="F3732" s="17"/>
      <c r="G3732" s="59"/>
    </row>
    <row r="3733" spans="3:7" ht="20.25" customHeight="1" x14ac:dyDescent="0.3">
      <c r="C3733" s="59"/>
      <c r="D3733" s="69"/>
      <c r="E3733" s="69"/>
      <c r="F3733" s="17"/>
      <c r="G3733" s="59"/>
    </row>
    <row r="3734" spans="3:7" ht="20.25" customHeight="1" x14ac:dyDescent="0.3">
      <c r="C3734" s="59"/>
      <c r="D3734" s="69"/>
      <c r="E3734" s="69"/>
      <c r="F3734" s="17"/>
      <c r="G3734" s="59"/>
    </row>
    <row r="3735" spans="3:7" ht="20.25" customHeight="1" x14ac:dyDescent="0.3">
      <c r="C3735" s="59"/>
      <c r="D3735" s="69"/>
      <c r="E3735" s="69"/>
      <c r="F3735" s="17"/>
      <c r="G3735" s="59"/>
    </row>
    <row r="3736" spans="3:7" ht="20.25" customHeight="1" x14ac:dyDescent="0.3">
      <c r="C3736" s="59"/>
      <c r="D3736" s="69"/>
      <c r="E3736" s="69"/>
      <c r="F3736" s="17"/>
      <c r="G3736" s="59"/>
    </row>
    <row r="3737" spans="3:7" ht="20.25" customHeight="1" x14ac:dyDescent="0.3">
      <c r="C3737" s="59"/>
      <c r="D3737" s="69"/>
      <c r="E3737" s="69"/>
      <c r="F3737" s="17"/>
      <c r="G3737" s="59"/>
    </row>
    <row r="3738" spans="3:7" ht="20.25" customHeight="1" x14ac:dyDescent="0.3">
      <c r="C3738" s="59"/>
      <c r="D3738" s="69"/>
      <c r="E3738" s="69"/>
      <c r="F3738" s="17"/>
      <c r="G3738" s="59"/>
    </row>
    <row r="3739" spans="3:7" ht="20.25" customHeight="1" x14ac:dyDescent="0.3">
      <c r="C3739" s="59"/>
      <c r="D3739" s="69"/>
      <c r="E3739" s="69"/>
      <c r="F3739" s="17"/>
      <c r="G3739" s="59"/>
    </row>
    <row r="3740" spans="3:7" ht="20.25" customHeight="1" x14ac:dyDescent="0.3">
      <c r="C3740" s="59"/>
      <c r="D3740" s="69"/>
      <c r="E3740" s="69"/>
      <c r="F3740" s="17"/>
      <c r="G3740" s="59"/>
    </row>
    <row r="3741" spans="3:7" ht="20.25" customHeight="1" x14ac:dyDescent="0.3">
      <c r="C3741" s="59"/>
      <c r="D3741" s="69"/>
      <c r="E3741" s="69"/>
      <c r="F3741" s="17"/>
      <c r="G3741" s="59"/>
    </row>
    <row r="3742" spans="3:7" ht="20.25" customHeight="1" x14ac:dyDescent="0.3">
      <c r="C3742" s="59"/>
      <c r="D3742" s="69"/>
      <c r="E3742" s="69"/>
      <c r="F3742" s="17"/>
      <c r="G3742" s="59"/>
    </row>
    <row r="3743" spans="3:7" ht="20.25" customHeight="1" x14ac:dyDescent="0.3">
      <c r="C3743" s="59"/>
      <c r="D3743" s="69"/>
      <c r="E3743" s="69"/>
      <c r="F3743" s="17"/>
      <c r="G3743" s="59"/>
    </row>
    <row r="3744" spans="3:7" ht="20.25" customHeight="1" x14ac:dyDescent="0.3">
      <c r="C3744" s="59"/>
      <c r="D3744" s="69"/>
      <c r="E3744" s="69"/>
      <c r="F3744" s="17"/>
      <c r="G3744" s="59"/>
    </row>
    <row r="3745" spans="3:7" ht="20.25" customHeight="1" x14ac:dyDescent="0.3">
      <c r="C3745" s="59"/>
      <c r="D3745" s="69"/>
      <c r="E3745" s="69"/>
      <c r="F3745" s="17"/>
      <c r="G3745" s="59"/>
    </row>
    <row r="3746" spans="3:7" ht="20.25" customHeight="1" x14ac:dyDescent="0.3">
      <c r="C3746" s="59"/>
      <c r="D3746" s="69"/>
      <c r="E3746" s="69"/>
      <c r="F3746" s="17"/>
      <c r="G3746" s="59"/>
    </row>
    <row r="3747" spans="3:7" ht="20.25" customHeight="1" x14ac:dyDescent="0.3">
      <c r="C3747" s="59"/>
      <c r="D3747" s="69"/>
      <c r="E3747" s="69"/>
      <c r="F3747" s="17"/>
      <c r="G3747" s="59"/>
    </row>
    <row r="3748" spans="3:7" ht="20.25" customHeight="1" x14ac:dyDescent="0.3">
      <c r="C3748" s="59"/>
      <c r="D3748" s="69"/>
      <c r="E3748" s="69"/>
      <c r="F3748" s="17"/>
      <c r="G3748" s="59"/>
    </row>
    <row r="3749" spans="3:7" ht="20.25" customHeight="1" x14ac:dyDescent="0.3">
      <c r="C3749" s="59"/>
      <c r="D3749" s="69"/>
      <c r="E3749" s="69"/>
      <c r="F3749" s="17"/>
      <c r="G3749" s="59"/>
    </row>
    <row r="3750" spans="3:7" ht="20.25" customHeight="1" x14ac:dyDescent="0.3">
      <c r="C3750" s="59"/>
      <c r="D3750" s="69"/>
      <c r="E3750" s="69"/>
      <c r="F3750" s="17"/>
      <c r="G3750" s="59"/>
    </row>
    <row r="3751" spans="3:7" ht="20.25" customHeight="1" x14ac:dyDescent="0.3">
      <c r="C3751" s="59"/>
      <c r="D3751" s="69"/>
      <c r="E3751" s="69"/>
      <c r="F3751" s="17"/>
      <c r="G3751" s="59"/>
    </row>
    <row r="3752" spans="3:7" ht="20.25" customHeight="1" x14ac:dyDescent="0.3">
      <c r="C3752" s="59"/>
      <c r="D3752" s="69"/>
      <c r="E3752" s="69"/>
      <c r="F3752" s="17"/>
      <c r="G3752" s="59"/>
    </row>
    <row r="3753" spans="3:7" ht="20.25" customHeight="1" x14ac:dyDescent="0.3">
      <c r="C3753" s="59"/>
      <c r="D3753" s="69"/>
      <c r="E3753" s="69"/>
      <c r="F3753" s="17"/>
      <c r="G3753" s="59"/>
    </row>
    <row r="3754" spans="3:7" ht="20.25" customHeight="1" x14ac:dyDescent="0.3">
      <c r="C3754" s="59"/>
      <c r="D3754" s="69"/>
      <c r="E3754" s="69"/>
      <c r="F3754" s="17"/>
      <c r="G3754" s="59"/>
    </row>
    <row r="3755" spans="3:7" ht="20.25" customHeight="1" x14ac:dyDescent="0.3">
      <c r="C3755" s="59"/>
      <c r="D3755" s="69"/>
      <c r="E3755" s="69"/>
      <c r="F3755" s="17"/>
      <c r="G3755" s="59"/>
    </row>
    <row r="3756" spans="3:7" ht="20.25" customHeight="1" x14ac:dyDescent="0.3">
      <c r="C3756" s="59"/>
      <c r="D3756" s="69"/>
      <c r="E3756" s="69"/>
      <c r="F3756" s="17"/>
      <c r="G3756" s="59"/>
    </row>
    <row r="3757" spans="3:7" ht="20.25" customHeight="1" x14ac:dyDescent="0.3">
      <c r="C3757" s="59"/>
      <c r="D3757" s="69"/>
      <c r="E3757" s="69"/>
      <c r="F3757" s="17"/>
      <c r="G3757" s="59"/>
    </row>
    <row r="3758" spans="3:7" ht="20.25" customHeight="1" x14ac:dyDescent="0.3">
      <c r="C3758" s="59"/>
      <c r="D3758" s="69"/>
      <c r="E3758" s="69"/>
      <c r="F3758" s="17"/>
      <c r="G3758" s="59"/>
    </row>
    <row r="3759" spans="3:7" ht="20.25" customHeight="1" x14ac:dyDescent="0.3">
      <c r="C3759" s="59"/>
      <c r="D3759" s="69"/>
      <c r="E3759" s="69"/>
      <c r="F3759" s="17"/>
      <c r="G3759" s="59"/>
    </row>
    <row r="3760" spans="3:7" ht="20.25" customHeight="1" x14ac:dyDescent="0.3">
      <c r="C3760" s="59"/>
      <c r="D3760" s="69"/>
      <c r="E3760" s="69"/>
      <c r="F3760" s="17"/>
      <c r="G3760" s="59"/>
    </row>
    <row r="3761" spans="3:7" ht="20.25" customHeight="1" x14ac:dyDescent="0.3">
      <c r="C3761" s="59"/>
      <c r="D3761" s="69"/>
      <c r="E3761" s="69"/>
      <c r="F3761" s="17"/>
      <c r="G3761" s="59"/>
    </row>
    <row r="3762" spans="3:7" ht="20.25" customHeight="1" x14ac:dyDescent="0.3">
      <c r="C3762" s="59"/>
      <c r="D3762" s="69"/>
      <c r="E3762" s="69"/>
      <c r="F3762" s="17"/>
      <c r="G3762" s="59"/>
    </row>
    <row r="3763" spans="3:7" ht="20.25" customHeight="1" x14ac:dyDescent="0.3">
      <c r="C3763" s="59"/>
      <c r="D3763" s="69"/>
      <c r="E3763" s="69"/>
      <c r="F3763" s="17"/>
      <c r="G3763" s="59"/>
    </row>
    <row r="3764" spans="3:7" ht="20.25" customHeight="1" x14ac:dyDescent="0.3">
      <c r="C3764" s="59"/>
      <c r="D3764" s="69"/>
      <c r="E3764" s="69"/>
      <c r="F3764" s="17"/>
      <c r="G3764" s="59"/>
    </row>
    <row r="3765" spans="3:7" ht="20.25" customHeight="1" x14ac:dyDescent="0.3">
      <c r="C3765" s="59"/>
      <c r="D3765" s="69"/>
      <c r="E3765" s="69"/>
      <c r="F3765" s="17"/>
      <c r="G3765" s="59"/>
    </row>
    <row r="3766" spans="3:7" ht="20.25" customHeight="1" x14ac:dyDescent="0.3">
      <c r="C3766" s="59"/>
      <c r="D3766" s="69"/>
      <c r="E3766" s="69"/>
      <c r="F3766" s="17"/>
      <c r="G3766" s="59"/>
    </row>
    <row r="3767" spans="3:7" ht="20.25" customHeight="1" x14ac:dyDescent="0.3">
      <c r="C3767" s="59"/>
      <c r="D3767" s="69"/>
      <c r="E3767" s="69"/>
      <c r="F3767" s="17"/>
      <c r="G3767" s="59"/>
    </row>
    <row r="3768" spans="3:7" ht="20.25" customHeight="1" x14ac:dyDescent="0.3">
      <c r="C3768" s="59"/>
      <c r="D3768" s="69"/>
      <c r="E3768" s="69"/>
      <c r="F3768" s="17"/>
      <c r="G3768" s="59"/>
    </row>
    <row r="3769" spans="3:7" ht="20.25" customHeight="1" x14ac:dyDescent="0.3">
      <c r="C3769" s="59"/>
      <c r="D3769" s="69"/>
      <c r="E3769" s="69"/>
      <c r="F3769" s="17"/>
      <c r="G3769" s="59"/>
    </row>
    <row r="3770" spans="3:7" ht="20.25" customHeight="1" x14ac:dyDescent="0.3">
      <c r="C3770" s="59"/>
      <c r="D3770" s="69"/>
      <c r="E3770" s="69"/>
      <c r="F3770" s="17"/>
      <c r="G3770" s="59"/>
    </row>
    <row r="3771" spans="3:7" ht="20.25" customHeight="1" x14ac:dyDescent="0.3">
      <c r="C3771" s="59"/>
      <c r="D3771" s="69"/>
      <c r="E3771" s="69"/>
      <c r="F3771" s="17"/>
      <c r="G3771" s="59"/>
    </row>
    <row r="3772" spans="3:7" ht="20.25" customHeight="1" x14ac:dyDescent="0.3">
      <c r="C3772" s="59"/>
      <c r="D3772" s="69"/>
      <c r="E3772" s="69"/>
      <c r="F3772" s="17"/>
      <c r="G3772" s="59"/>
    </row>
    <row r="3773" spans="3:7" ht="20.25" customHeight="1" x14ac:dyDescent="0.3">
      <c r="C3773" s="59"/>
      <c r="D3773" s="69"/>
      <c r="E3773" s="69"/>
      <c r="F3773" s="17"/>
      <c r="G3773" s="59"/>
    </row>
    <row r="3774" spans="3:7" ht="20.25" customHeight="1" x14ac:dyDescent="0.3">
      <c r="C3774" s="59"/>
      <c r="D3774" s="69"/>
      <c r="E3774" s="69"/>
      <c r="F3774" s="17"/>
      <c r="G3774" s="59"/>
    </row>
    <row r="3775" spans="3:7" ht="20.25" customHeight="1" x14ac:dyDescent="0.3">
      <c r="C3775" s="59"/>
      <c r="D3775" s="69"/>
      <c r="E3775" s="69"/>
      <c r="F3775" s="17"/>
      <c r="G3775" s="59"/>
    </row>
    <row r="3776" spans="3:7" ht="20.25" customHeight="1" x14ac:dyDescent="0.3">
      <c r="C3776" s="59"/>
      <c r="D3776" s="69"/>
      <c r="E3776" s="69"/>
      <c r="F3776" s="17"/>
      <c r="G3776" s="59"/>
    </row>
    <row r="3777" spans="3:7" ht="20.25" customHeight="1" x14ac:dyDescent="0.3">
      <c r="C3777" s="59"/>
      <c r="D3777" s="69"/>
      <c r="E3777" s="69"/>
      <c r="F3777" s="17"/>
      <c r="G3777" s="59"/>
    </row>
    <row r="3778" spans="3:7" ht="20.25" customHeight="1" x14ac:dyDescent="0.3">
      <c r="C3778" s="59"/>
      <c r="D3778" s="69"/>
      <c r="E3778" s="69"/>
      <c r="F3778" s="17"/>
      <c r="G3778" s="59"/>
    </row>
    <row r="3779" spans="3:7" ht="20.25" customHeight="1" x14ac:dyDescent="0.3">
      <c r="C3779" s="59"/>
      <c r="D3779" s="69"/>
      <c r="E3779" s="69"/>
      <c r="F3779" s="17"/>
      <c r="G3779" s="59"/>
    </row>
    <row r="3780" spans="3:7" ht="20.25" customHeight="1" x14ac:dyDescent="0.3">
      <c r="C3780" s="59"/>
      <c r="D3780" s="69"/>
      <c r="E3780" s="69"/>
      <c r="F3780" s="17"/>
      <c r="G3780" s="59"/>
    </row>
    <row r="3781" spans="3:7" ht="20.25" customHeight="1" x14ac:dyDescent="0.3">
      <c r="C3781" s="59"/>
      <c r="D3781" s="69"/>
      <c r="E3781" s="69"/>
      <c r="F3781" s="17"/>
      <c r="G3781" s="59"/>
    </row>
    <row r="3782" spans="3:7" ht="20.25" customHeight="1" x14ac:dyDescent="0.3">
      <c r="C3782" s="59"/>
      <c r="D3782" s="69"/>
      <c r="E3782" s="69"/>
      <c r="F3782" s="17"/>
      <c r="G3782" s="59"/>
    </row>
    <row r="3783" spans="3:7" ht="20.25" customHeight="1" x14ac:dyDescent="0.3">
      <c r="C3783" s="59"/>
      <c r="D3783" s="69"/>
      <c r="E3783" s="69"/>
      <c r="F3783" s="17"/>
      <c r="G3783" s="59"/>
    </row>
    <row r="3784" spans="3:7" ht="20.25" customHeight="1" x14ac:dyDescent="0.3">
      <c r="C3784" s="59"/>
      <c r="D3784" s="69"/>
      <c r="E3784" s="69"/>
      <c r="F3784" s="17"/>
      <c r="G3784" s="59"/>
    </row>
    <row r="3785" spans="3:7" ht="20.25" customHeight="1" x14ac:dyDescent="0.3">
      <c r="C3785" s="59"/>
      <c r="D3785" s="69"/>
      <c r="E3785" s="69"/>
      <c r="F3785" s="17"/>
      <c r="G3785" s="59"/>
    </row>
    <row r="3786" spans="3:7" ht="20.25" customHeight="1" x14ac:dyDescent="0.3">
      <c r="C3786" s="59"/>
      <c r="D3786" s="69"/>
      <c r="E3786" s="69"/>
      <c r="F3786" s="17"/>
      <c r="G3786" s="59"/>
    </row>
    <row r="3787" spans="3:7" ht="20.25" customHeight="1" x14ac:dyDescent="0.3">
      <c r="C3787" s="59"/>
      <c r="D3787" s="69"/>
      <c r="E3787" s="69"/>
      <c r="F3787" s="17"/>
      <c r="G3787" s="59"/>
    </row>
    <row r="3788" spans="3:7" ht="20.25" customHeight="1" x14ac:dyDescent="0.3">
      <c r="C3788" s="59"/>
      <c r="D3788" s="69"/>
      <c r="E3788" s="69"/>
      <c r="F3788" s="17"/>
      <c r="G3788" s="59"/>
    </row>
    <row r="3789" spans="3:7" ht="20.25" customHeight="1" x14ac:dyDescent="0.3">
      <c r="C3789" s="59"/>
      <c r="D3789" s="69"/>
      <c r="E3789" s="69"/>
      <c r="F3789" s="17"/>
      <c r="G3789" s="59"/>
    </row>
    <row r="3790" spans="3:7" ht="20.25" customHeight="1" x14ac:dyDescent="0.3">
      <c r="C3790" s="59"/>
      <c r="D3790" s="69"/>
      <c r="E3790" s="69"/>
      <c r="F3790" s="17"/>
      <c r="G3790" s="59"/>
    </row>
    <row r="3791" spans="3:7" ht="20.25" customHeight="1" x14ac:dyDescent="0.3">
      <c r="C3791" s="59"/>
      <c r="D3791" s="69"/>
      <c r="E3791" s="69"/>
      <c r="F3791" s="17"/>
      <c r="G3791" s="59"/>
    </row>
    <row r="3792" spans="3:7" ht="20.25" customHeight="1" x14ac:dyDescent="0.3">
      <c r="C3792" s="59"/>
      <c r="D3792" s="69"/>
      <c r="E3792" s="69"/>
      <c r="F3792" s="17"/>
      <c r="G3792" s="59"/>
    </row>
    <row r="3793" spans="3:7" ht="20.25" customHeight="1" x14ac:dyDescent="0.3">
      <c r="C3793" s="59"/>
      <c r="D3793" s="69"/>
      <c r="E3793" s="69"/>
      <c r="F3793" s="17"/>
      <c r="G3793" s="59"/>
    </row>
    <row r="3794" spans="3:7" ht="20.25" customHeight="1" x14ac:dyDescent="0.3">
      <c r="C3794" s="59"/>
      <c r="D3794" s="69"/>
      <c r="E3794" s="69"/>
      <c r="F3794" s="17"/>
      <c r="G3794" s="59"/>
    </row>
    <row r="3795" spans="3:7" ht="20.25" customHeight="1" x14ac:dyDescent="0.3">
      <c r="C3795" s="59"/>
      <c r="D3795" s="69"/>
      <c r="E3795" s="69"/>
      <c r="F3795" s="17"/>
      <c r="G3795" s="59"/>
    </row>
    <row r="3796" spans="3:7" ht="20.25" customHeight="1" x14ac:dyDescent="0.3">
      <c r="C3796" s="59"/>
      <c r="D3796" s="69"/>
      <c r="E3796" s="69"/>
      <c r="F3796" s="17"/>
      <c r="G3796" s="59"/>
    </row>
    <row r="3797" spans="3:7" ht="20.25" customHeight="1" x14ac:dyDescent="0.3">
      <c r="C3797" s="59"/>
      <c r="D3797" s="69"/>
      <c r="E3797" s="69"/>
      <c r="F3797" s="17"/>
      <c r="G3797" s="59"/>
    </row>
    <row r="3798" spans="3:7" ht="20.25" customHeight="1" x14ac:dyDescent="0.3">
      <c r="C3798" s="59"/>
      <c r="D3798" s="69"/>
      <c r="E3798" s="69"/>
      <c r="F3798" s="17"/>
      <c r="G3798" s="59"/>
    </row>
    <row r="3799" spans="3:7" ht="20.25" customHeight="1" x14ac:dyDescent="0.3">
      <c r="C3799" s="59"/>
      <c r="D3799" s="69"/>
      <c r="E3799" s="69"/>
      <c r="F3799" s="17"/>
      <c r="G3799" s="59"/>
    </row>
    <row r="3800" spans="3:7" ht="20.25" customHeight="1" x14ac:dyDescent="0.3">
      <c r="C3800" s="59"/>
      <c r="D3800" s="69"/>
      <c r="E3800" s="69"/>
      <c r="F3800" s="17"/>
      <c r="G3800" s="59"/>
    </row>
    <row r="3801" spans="3:7" ht="20.25" customHeight="1" x14ac:dyDescent="0.3">
      <c r="C3801" s="59"/>
      <c r="D3801" s="69"/>
      <c r="E3801" s="69"/>
      <c r="F3801" s="17"/>
      <c r="G3801" s="59"/>
    </row>
    <row r="3802" spans="3:7" ht="20.25" customHeight="1" x14ac:dyDescent="0.3">
      <c r="C3802" s="59"/>
      <c r="D3802" s="69"/>
      <c r="E3802" s="69"/>
      <c r="F3802" s="17"/>
      <c r="G3802" s="59"/>
    </row>
    <row r="3803" spans="3:7" ht="20.25" customHeight="1" x14ac:dyDescent="0.3">
      <c r="C3803" s="59"/>
      <c r="D3803" s="69"/>
      <c r="E3803" s="69"/>
      <c r="F3803" s="17"/>
      <c r="G3803" s="59"/>
    </row>
    <row r="3804" spans="3:7" ht="20.25" customHeight="1" x14ac:dyDescent="0.3">
      <c r="C3804" s="59"/>
      <c r="D3804" s="69"/>
      <c r="E3804" s="69"/>
      <c r="F3804" s="17"/>
      <c r="G3804" s="59"/>
    </row>
    <row r="3805" spans="3:7" ht="20.25" customHeight="1" x14ac:dyDescent="0.3">
      <c r="C3805" s="59"/>
      <c r="D3805" s="69"/>
      <c r="E3805" s="69"/>
      <c r="F3805" s="17"/>
      <c r="G3805" s="59"/>
    </row>
    <row r="3806" spans="3:7" ht="20.25" customHeight="1" x14ac:dyDescent="0.3">
      <c r="C3806" s="59"/>
      <c r="D3806" s="69"/>
      <c r="E3806" s="69"/>
      <c r="F3806" s="17"/>
      <c r="G3806" s="59"/>
    </row>
    <row r="3807" spans="3:7" ht="20.25" customHeight="1" x14ac:dyDescent="0.3">
      <c r="C3807" s="59"/>
      <c r="D3807" s="69"/>
      <c r="E3807" s="69"/>
      <c r="F3807" s="17"/>
      <c r="G3807" s="59"/>
    </row>
    <row r="3808" spans="3:7" ht="20.25" customHeight="1" x14ac:dyDescent="0.3">
      <c r="C3808" s="59"/>
      <c r="D3808" s="69"/>
      <c r="E3808" s="69"/>
      <c r="F3808" s="17"/>
      <c r="G3808" s="59"/>
    </row>
    <row r="3809" spans="3:7" ht="20.25" customHeight="1" x14ac:dyDescent="0.3">
      <c r="C3809" s="59"/>
      <c r="D3809" s="69"/>
      <c r="E3809" s="69"/>
      <c r="F3809" s="17"/>
      <c r="G3809" s="59"/>
    </row>
    <row r="3810" spans="3:7" ht="20.25" customHeight="1" x14ac:dyDescent="0.3">
      <c r="C3810" s="59"/>
      <c r="D3810" s="69"/>
      <c r="E3810" s="69"/>
      <c r="F3810" s="17"/>
      <c r="G3810" s="59"/>
    </row>
    <row r="3811" spans="3:7" ht="20.25" customHeight="1" x14ac:dyDescent="0.3">
      <c r="C3811" s="59"/>
      <c r="D3811" s="69"/>
      <c r="E3811" s="69"/>
      <c r="F3811" s="17"/>
      <c r="G3811" s="59"/>
    </row>
    <row r="3812" spans="3:7" ht="20.25" customHeight="1" x14ac:dyDescent="0.3">
      <c r="C3812" s="59"/>
      <c r="D3812" s="69"/>
      <c r="E3812" s="69"/>
      <c r="F3812" s="17"/>
      <c r="G3812" s="59"/>
    </row>
    <row r="3813" spans="3:7" ht="20.25" customHeight="1" x14ac:dyDescent="0.3">
      <c r="C3813" s="59"/>
      <c r="D3813" s="69"/>
      <c r="E3813" s="69"/>
      <c r="F3813" s="17"/>
      <c r="G3813" s="59"/>
    </row>
    <row r="3814" spans="3:7" ht="20.25" customHeight="1" x14ac:dyDescent="0.3">
      <c r="C3814" s="59"/>
      <c r="D3814" s="69"/>
      <c r="E3814" s="69"/>
      <c r="F3814" s="17"/>
      <c r="G3814" s="59"/>
    </row>
    <row r="3815" spans="3:7" ht="20.25" customHeight="1" x14ac:dyDescent="0.3">
      <c r="C3815" s="59"/>
      <c r="D3815" s="69"/>
      <c r="E3815" s="69"/>
      <c r="F3815" s="17"/>
      <c r="G3815" s="59"/>
    </row>
    <row r="3816" spans="3:7" ht="20.25" customHeight="1" x14ac:dyDescent="0.3">
      <c r="C3816" s="59"/>
      <c r="D3816" s="69"/>
      <c r="E3816" s="69"/>
      <c r="F3816" s="17"/>
      <c r="G3816" s="59"/>
    </row>
    <row r="3817" spans="3:7" ht="20.25" customHeight="1" x14ac:dyDescent="0.3">
      <c r="C3817" s="59"/>
      <c r="D3817" s="69"/>
      <c r="E3817" s="69"/>
      <c r="F3817" s="17"/>
      <c r="G3817" s="59"/>
    </row>
    <row r="3818" spans="3:7" ht="20.25" customHeight="1" x14ac:dyDescent="0.3">
      <c r="C3818" s="59"/>
      <c r="D3818" s="69"/>
      <c r="E3818" s="69"/>
      <c r="F3818" s="17"/>
      <c r="G3818" s="59"/>
    </row>
    <row r="3819" spans="3:7" ht="20.25" customHeight="1" x14ac:dyDescent="0.3">
      <c r="C3819" s="59"/>
      <c r="D3819" s="69"/>
      <c r="E3819" s="69"/>
      <c r="F3819" s="17"/>
      <c r="G3819" s="59"/>
    </row>
    <row r="3820" spans="3:7" ht="20.25" customHeight="1" x14ac:dyDescent="0.3">
      <c r="C3820" s="59"/>
      <c r="D3820" s="69"/>
      <c r="E3820" s="69"/>
      <c r="F3820" s="17"/>
      <c r="G3820" s="59"/>
    </row>
    <row r="3821" spans="3:7" ht="20.25" customHeight="1" x14ac:dyDescent="0.3">
      <c r="C3821" s="59"/>
      <c r="D3821" s="69"/>
      <c r="E3821" s="69"/>
      <c r="F3821" s="17"/>
      <c r="G3821" s="59"/>
    </row>
    <row r="3822" spans="3:7" ht="20.25" customHeight="1" x14ac:dyDescent="0.3">
      <c r="C3822" s="59"/>
      <c r="D3822" s="69"/>
      <c r="E3822" s="69"/>
      <c r="F3822" s="17"/>
      <c r="G3822" s="59"/>
    </row>
    <row r="3823" spans="3:7" ht="20.25" customHeight="1" x14ac:dyDescent="0.3">
      <c r="C3823" s="59"/>
      <c r="D3823" s="69"/>
      <c r="E3823" s="69"/>
      <c r="F3823" s="17"/>
      <c r="G3823" s="59"/>
    </row>
    <row r="3824" spans="3:7" ht="20.25" customHeight="1" x14ac:dyDescent="0.3">
      <c r="C3824" s="59"/>
      <c r="D3824" s="69"/>
      <c r="E3824" s="69"/>
      <c r="F3824" s="17"/>
      <c r="G3824" s="59"/>
    </row>
    <row r="3825" spans="3:7" ht="20.25" customHeight="1" x14ac:dyDescent="0.3">
      <c r="C3825" s="59"/>
      <c r="D3825" s="69"/>
      <c r="E3825" s="69"/>
      <c r="F3825" s="17"/>
      <c r="G3825" s="59"/>
    </row>
    <row r="3826" spans="3:7" ht="20.25" customHeight="1" x14ac:dyDescent="0.3">
      <c r="C3826" s="59"/>
      <c r="D3826" s="69"/>
      <c r="E3826" s="69"/>
      <c r="F3826" s="17"/>
      <c r="G3826" s="59"/>
    </row>
    <row r="3827" spans="3:7" ht="20.25" customHeight="1" x14ac:dyDescent="0.3">
      <c r="C3827" s="59"/>
      <c r="D3827" s="69"/>
      <c r="E3827" s="69"/>
      <c r="F3827" s="17"/>
      <c r="G3827" s="59"/>
    </row>
    <row r="3828" spans="3:7" ht="20.25" customHeight="1" x14ac:dyDescent="0.3">
      <c r="C3828" s="59"/>
      <c r="D3828" s="69"/>
      <c r="E3828" s="69"/>
      <c r="F3828" s="17"/>
      <c r="G3828" s="59"/>
    </row>
    <row r="3829" spans="3:7" ht="20.25" customHeight="1" x14ac:dyDescent="0.3">
      <c r="C3829" s="59"/>
      <c r="D3829" s="69"/>
      <c r="E3829" s="69"/>
      <c r="F3829" s="17"/>
      <c r="G3829" s="59"/>
    </row>
    <row r="3830" spans="3:7" ht="20.25" customHeight="1" x14ac:dyDescent="0.3">
      <c r="C3830" s="59"/>
      <c r="D3830" s="69"/>
      <c r="E3830" s="69"/>
      <c r="F3830" s="17"/>
      <c r="G3830" s="59"/>
    </row>
    <row r="3831" spans="3:7" ht="20.25" customHeight="1" x14ac:dyDescent="0.3">
      <c r="C3831" s="59"/>
      <c r="D3831" s="69"/>
      <c r="E3831" s="69"/>
      <c r="F3831" s="17"/>
      <c r="G3831" s="59"/>
    </row>
    <row r="3832" spans="3:7" ht="20.25" customHeight="1" x14ac:dyDescent="0.3">
      <c r="C3832" s="59"/>
      <c r="D3832" s="69"/>
      <c r="E3832" s="69"/>
      <c r="F3832" s="17"/>
      <c r="G3832" s="59"/>
    </row>
    <row r="3833" spans="3:7" ht="20.25" customHeight="1" x14ac:dyDescent="0.3">
      <c r="C3833" s="59"/>
      <c r="D3833" s="69"/>
      <c r="E3833" s="69"/>
      <c r="F3833" s="17"/>
      <c r="G3833" s="59"/>
    </row>
    <row r="3834" spans="3:7" ht="20.25" customHeight="1" x14ac:dyDescent="0.3">
      <c r="C3834" s="59"/>
      <c r="D3834" s="69"/>
      <c r="E3834" s="69"/>
      <c r="F3834" s="17"/>
      <c r="G3834" s="59"/>
    </row>
    <row r="3835" spans="3:7" ht="20.25" customHeight="1" x14ac:dyDescent="0.3">
      <c r="C3835" s="59"/>
      <c r="D3835" s="69"/>
      <c r="E3835" s="69"/>
      <c r="F3835" s="17"/>
      <c r="G3835" s="59"/>
    </row>
    <row r="3836" spans="3:7" ht="20.25" customHeight="1" x14ac:dyDescent="0.3">
      <c r="C3836" s="59"/>
      <c r="D3836" s="69"/>
      <c r="E3836" s="69"/>
      <c r="F3836" s="17"/>
      <c r="G3836" s="59"/>
    </row>
    <row r="3837" spans="3:7" ht="20.25" customHeight="1" x14ac:dyDescent="0.3">
      <c r="C3837" s="59"/>
      <c r="D3837" s="69"/>
      <c r="E3837" s="69"/>
      <c r="F3837" s="17"/>
      <c r="G3837" s="59"/>
    </row>
    <row r="3838" spans="3:7" ht="20.25" customHeight="1" x14ac:dyDescent="0.3">
      <c r="C3838" s="59"/>
      <c r="D3838" s="69"/>
      <c r="E3838" s="69"/>
      <c r="F3838" s="17"/>
      <c r="G3838" s="59"/>
    </row>
    <row r="3839" spans="3:7" ht="20.25" customHeight="1" x14ac:dyDescent="0.3">
      <c r="C3839" s="59"/>
      <c r="D3839" s="69"/>
      <c r="E3839" s="69"/>
      <c r="F3839" s="17"/>
      <c r="G3839" s="59"/>
    </row>
    <row r="3840" spans="3:7" ht="20.25" customHeight="1" x14ac:dyDescent="0.3">
      <c r="C3840" s="59"/>
      <c r="D3840" s="69"/>
      <c r="E3840" s="69"/>
      <c r="F3840" s="17"/>
      <c r="G3840" s="59"/>
    </row>
    <row r="3841" spans="3:7" ht="20.25" customHeight="1" x14ac:dyDescent="0.3">
      <c r="C3841" s="59"/>
      <c r="D3841" s="69"/>
      <c r="E3841" s="69"/>
      <c r="F3841" s="17"/>
      <c r="G3841" s="59"/>
    </row>
    <row r="3842" spans="3:7" ht="20.25" customHeight="1" x14ac:dyDescent="0.3">
      <c r="C3842" s="59"/>
      <c r="D3842" s="69"/>
      <c r="E3842" s="69"/>
      <c r="F3842" s="17"/>
      <c r="G3842" s="59"/>
    </row>
    <row r="3843" spans="3:7" ht="20.25" customHeight="1" x14ac:dyDescent="0.3">
      <c r="C3843" s="59"/>
      <c r="D3843" s="69"/>
      <c r="E3843" s="69"/>
      <c r="F3843" s="17"/>
      <c r="G3843" s="59"/>
    </row>
    <row r="3844" spans="3:7" ht="20.25" customHeight="1" x14ac:dyDescent="0.3">
      <c r="C3844" s="59"/>
      <c r="D3844" s="69"/>
      <c r="E3844" s="69"/>
      <c r="F3844" s="17"/>
      <c r="G3844" s="59"/>
    </row>
    <row r="3845" spans="3:7" ht="20.25" customHeight="1" x14ac:dyDescent="0.3">
      <c r="C3845" s="59"/>
      <c r="D3845" s="69"/>
      <c r="E3845" s="69"/>
      <c r="F3845" s="17"/>
      <c r="G3845" s="59"/>
    </row>
    <row r="3846" spans="3:7" ht="20.25" customHeight="1" x14ac:dyDescent="0.3">
      <c r="C3846" s="59"/>
      <c r="D3846" s="69"/>
      <c r="E3846" s="69"/>
      <c r="F3846" s="17"/>
      <c r="G3846" s="59"/>
    </row>
    <row r="3847" spans="3:7" ht="20.25" customHeight="1" x14ac:dyDescent="0.3">
      <c r="C3847" s="59"/>
      <c r="D3847" s="69"/>
      <c r="E3847" s="69"/>
      <c r="F3847" s="17"/>
      <c r="G3847" s="59"/>
    </row>
    <row r="3848" spans="3:7" ht="20.25" customHeight="1" x14ac:dyDescent="0.3">
      <c r="C3848" s="59"/>
      <c r="D3848" s="69"/>
      <c r="E3848" s="69"/>
      <c r="F3848" s="17"/>
      <c r="G3848" s="59"/>
    </row>
    <row r="3849" spans="3:7" ht="20.25" customHeight="1" x14ac:dyDescent="0.3">
      <c r="C3849" s="59"/>
      <c r="D3849" s="69"/>
      <c r="E3849" s="69"/>
      <c r="F3849" s="17"/>
      <c r="G3849" s="59"/>
    </row>
    <row r="3850" spans="3:7" ht="20.25" customHeight="1" x14ac:dyDescent="0.3">
      <c r="C3850" s="59"/>
      <c r="D3850" s="69"/>
      <c r="E3850" s="69"/>
      <c r="F3850" s="17"/>
      <c r="G3850" s="59"/>
    </row>
    <row r="3851" spans="3:7" ht="20.25" customHeight="1" x14ac:dyDescent="0.3">
      <c r="C3851" s="59"/>
      <c r="D3851" s="69"/>
      <c r="E3851" s="69"/>
      <c r="F3851" s="17"/>
      <c r="G3851" s="59"/>
    </row>
    <row r="3852" spans="3:7" ht="20.25" customHeight="1" x14ac:dyDescent="0.3">
      <c r="C3852" s="59"/>
      <c r="D3852" s="69"/>
      <c r="E3852" s="69"/>
      <c r="F3852" s="17"/>
      <c r="G3852" s="59"/>
    </row>
    <row r="3853" spans="3:7" ht="20.25" customHeight="1" x14ac:dyDescent="0.3">
      <c r="C3853" s="59"/>
      <c r="D3853" s="69"/>
      <c r="E3853" s="69"/>
      <c r="F3853" s="17"/>
      <c r="G3853" s="59"/>
    </row>
    <row r="3854" spans="3:7" ht="20.25" customHeight="1" x14ac:dyDescent="0.3">
      <c r="C3854" s="59"/>
      <c r="D3854" s="69"/>
      <c r="E3854" s="69"/>
      <c r="F3854" s="17"/>
      <c r="G3854" s="59"/>
    </row>
    <row r="3855" spans="3:7" ht="20.25" customHeight="1" x14ac:dyDescent="0.3">
      <c r="C3855" s="59"/>
      <c r="D3855" s="69"/>
      <c r="E3855" s="69"/>
      <c r="F3855" s="17"/>
      <c r="G3855" s="59"/>
    </row>
    <row r="3856" spans="3:7" ht="20.25" customHeight="1" x14ac:dyDescent="0.3">
      <c r="C3856" s="59"/>
      <c r="D3856" s="69"/>
      <c r="E3856" s="69"/>
      <c r="F3856" s="17"/>
      <c r="G3856" s="59"/>
    </row>
    <row r="3857" spans="3:7" ht="20.25" customHeight="1" x14ac:dyDescent="0.3">
      <c r="C3857" s="59"/>
      <c r="D3857" s="69"/>
      <c r="E3857" s="69"/>
      <c r="F3857" s="17"/>
      <c r="G3857" s="59"/>
    </row>
    <row r="3858" spans="3:7" ht="20.25" customHeight="1" x14ac:dyDescent="0.3">
      <c r="C3858" s="59"/>
      <c r="D3858" s="69"/>
      <c r="E3858" s="69"/>
      <c r="F3858" s="17"/>
      <c r="G3858" s="59"/>
    </row>
    <row r="3859" spans="3:7" ht="20.25" customHeight="1" x14ac:dyDescent="0.3">
      <c r="C3859" s="59"/>
      <c r="D3859" s="69"/>
      <c r="E3859" s="69"/>
      <c r="F3859" s="17"/>
      <c r="G3859" s="59"/>
    </row>
    <row r="3860" spans="3:7" ht="20.25" customHeight="1" x14ac:dyDescent="0.3">
      <c r="C3860" s="59"/>
      <c r="D3860" s="69"/>
      <c r="E3860" s="69"/>
      <c r="F3860" s="17"/>
      <c r="G3860" s="59"/>
    </row>
    <row r="3861" spans="3:7" ht="20.25" customHeight="1" x14ac:dyDescent="0.3">
      <c r="C3861" s="59"/>
      <c r="D3861" s="69"/>
      <c r="E3861" s="69"/>
      <c r="F3861" s="17"/>
      <c r="G3861" s="59"/>
    </row>
    <row r="3862" spans="3:7" ht="20.25" customHeight="1" x14ac:dyDescent="0.3">
      <c r="C3862" s="59"/>
      <c r="D3862" s="69"/>
      <c r="E3862" s="69"/>
      <c r="F3862" s="17"/>
      <c r="G3862" s="59"/>
    </row>
    <row r="3863" spans="3:7" ht="20.25" customHeight="1" x14ac:dyDescent="0.3">
      <c r="C3863" s="59"/>
      <c r="D3863" s="69"/>
      <c r="E3863" s="69"/>
      <c r="F3863" s="17"/>
      <c r="G3863" s="59"/>
    </row>
    <row r="3864" spans="3:7" ht="20.25" customHeight="1" x14ac:dyDescent="0.3">
      <c r="C3864" s="59"/>
      <c r="D3864" s="69"/>
      <c r="E3864" s="69"/>
      <c r="F3864" s="17"/>
      <c r="G3864" s="59"/>
    </row>
    <row r="3865" spans="3:7" ht="20.25" customHeight="1" x14ac:dyDescent="0.3">
      <c r="C3865" s="59"/>
      <c r="D3865" s="69"/>
      <c r="E3865" s="69"/>
      <c r="F3865" s="17"/>
      <c r="G3865" s="59"/>
    </row>
    <row r="3866" spans="3:7" ht="20.25" customHeight="1" x14ac:dyDescent="0.3">
      <c r="C3866" s="59"/>
      <c r="D3866" s="69"/>
      <c r="E3866" s="69"/>
      <c r="F3866" s="17"/>
      <c r="G3866" s="59"/>
    </row>
    <row r="3867" spans="3:7" ht="20.25" customHeight="1" x14ac:dyDescent="0.3">
      <c r="C3867" s="59"/>
      <c r="D3867" s="69"/>
      <c r="E3867" s="69"/>
      <c r="F3867" s="17"/>
      <c r="G3867" s="59"/>
    </row>
    <row r="3868" spans="3:7" ht="20.25" customHeight="1" x14ac:dyDescent="0.3">
      <c r="C3868" s="59"/>
      <c r="D3868" s="69"/>
      <c r="E3868" s="69"/>
      <c r="F3868" s="17"/>
      <c r="G3868" s="59"/>
    </row>
    <row r="3869" spans="3:7" ht="20.25" customHeight="1" x14ac:dyDescent="0.3">
      <c r="C3869" s="59"/>
      <c r="D3869" s="69"/>
      <c r="E3869" s="69"/>
      <c r="F3869" s="17"/>
      <c r="G3869" s="59"/>
    </row>
    <row r="3870" spans="3:7" ht="20.25" customHeight="1" x14ac:dyDescent="0.3">
      <c r="C3870" s="59"/>
      <c r="D3870" s="69"/>
      <c r="E3870" s="69"/>
      <c r="F3870" s="17"/>
      <c r="G3870" s="59"/>
    </row>
    <row r="3871" spans="3:7" ht="20.25" customHeight="1" x14ac:dyDescent="0.3">
      <c r="C3871" s="59"/>
      <c r="D3871" s="69"/>
      <c r="E3871" s="69"/>
      <c r="F3871" s="17"/>
      <c r="G3871" s="59"/>
    </row>
    <row r="3872" spans="3:7" ht="20.25" customHeight="1" x14ac:dyDescent="0.3">
      <c r="C3872" s="59"/>
      <c r="D3872" s="69"/>
      <c r="E3872" s="69"/>
      <c r="F3872" s="17"/>
      <c r="G3872" s="59"/>
    </row>
    <row r="3873" spans="3:7" ht="20.25" customHeight="1" x14ac:dyDescent="0.3">
      <c r="C3873" s="59"/>
      <c r="D3873" s="69"/>
      <c r="E3873" s="69"/>
      <c r="F3873" s="17"/>
      <c r="G3873" s="59"/>
    </row>
    <row r="3874" spans="3:7" ht="20.25" customHeight="1" x14ac:dyDescent="0.3">
      <c r="C3874" s="59"/>
      <c r="D3874" s="69"/>
      <c r="E3874" s="69"/>
      <c r="F3874" s="17"/>
      <c r="G3874" s="59"/>
    </row>
    <row r="3875" spans="3:7" ht="20.25" customHeight="1" x14ac:dyDescent="0.3">
      <c r="C3875" s="59"/>
      <c r="D3875" s="69"/>
      <c r="E3875" s="69"/>
      <c r="F3875" s="17"/>
      <c r="G3875" s="59"/>
    </row>
    <row r="3876" spans="3:7" ht="20.25" customHeight="1" x14ac:dyDescent="0.3">
      <c r="C3876" s="59"/>
      <c r="D3876" s="69"/>
      <c r="E3876" s="69"/>
      <c r="F3876" s="17"/>
      <c r="G3876" s="59"/>
    </row>
    <row r="3877" spans="3:7" ht="20.25" customHeight="1" x14ac:dyDescent="0.3">
      <c r="C3877" s="59"/>
      <c r="D3877" s="69"/>
      <c r="E3877" s="69"/>
      <c r="F3877" s="17"/>
      <c r="G3877" s="59"/>
    </row>
    <row r="3878" spans="3:7" ht="20.25" customHeight="1" x14ac:dyDescent="0.3">
      <c r="C3878" s="59"/>
      <c r="D3878" s="69"/>
      <c r="E3878" s="69"/>
      <c r="F3878" s="17"/>
      <c r="G3878" s="59"/>
    </row>
    <row r="3879" spans="3:7" ht="20.25" customHeight="1" x14ac:dyDescent="0.3">
      <c r="C3879" s="59"/>
      <c r="D3879" s="69"/>
      <c r="E3879" s="69"/>
      <c r="F3879" s="17"/>
      <c r="G3879" s="59"/>
    </row>
    <row r="3880" spans="3:7" ht="20.25" customHeight="1" x14ac:dyDescent="0.3">
      <c r="C3880" s="59"/>
      <c r="D3880" s="69"/>
      <c r="E3880" s="69"/>
      <c r="F3880" s="17"/>
      <c r="G3880" s="59"/>
    </row>
    <row r="3881" spans="3:7" ht="20.25" customHeight="1" x14ac:dyDescent="0.3">
      <c r="C3881" s="59"/>
      <c r="D3881" s="69"/>
      <c r="E3881" s="69"/>
      <c r="F3881" s="17"/>
      <c r="G3881" s="59"/>
    </row>
    <row r="3882" spans="3:7" ht="20.25" customHeight="1" x14ac:dyDescent="0.3">
      <c r="C3882" s="59"/>
      <c r="D3882" s="69"/>
      <c r="E3882" s="69"/>
      <c r="F3882" s="17"/>
      <c r="G3882" s="59"/>
    </row>
    <row r="3883" spans="3:7" ht="20.25" customHeight="1" x14ac:dyDescent="0.3">
      <c r="C3883" s="59"/>
      <c r="D3883" s="69"/>
      <c r="E3883" s="69"/>
      <c r="F3883" s="17"/>
      <c r="G3883" s="59"/>
    </row>
    <row r="3884" spans="3:7" ht="20.25" customHeight="1" x14ac:dyDescent="0.3">
      <c r="C3884" s="59"/>
      <c r="D3884" s="69"/>
      <c r="E3884" s="69"/>
      <c r="F3884" s="17"/>
      <c r="G3884" s="59"/>
    </row>
    <row r="3885" spans="3:7" ht="20.25" customHeight="1" x14ac:dyDescent="0.3">
      <c r="C3885" s="59"/>
      <c r="D3885" s="69"/>
      <c r="E3885" s="69"/>
      <c r="F3885" s="17"/>
      <c r="G3885" s="59"/>
    </row>
    <row r="3886" spans="3:7" ht="20.25" customHeight="1" x14ac:dyDescent="0.3">
      <c r="C3886" s="59"/>
      <c r="D3886" s="69"/>
      <c r="E3886" s="69"/>
      <c r="F3886" s="17"/>
      <c r="G3886" s="59"/>
    </row>
    <row r="3887" spans="3:7" ht="20.25" customHeight="1" x14ac:dyDescent="0.3">
      <c r="C3887" s="59"/>
      <c r="D3887" s="69"/>
      <c r="E3887" s="69"/>
      <c r="F3887" s="17"/>
      <c r="G3887" s="59"/>
    </row>
    <row r="3888" spans="3:7" ht="20.25" customHeight="1" x14ac:dyDescent="0.3">
      <c r="C3888" s="59"/>
      <c r="D3888" s="69"/>
      <c r="E3888" s="69"/>
      <c r="F3888" s="17"/>
      <c r="G3888" s="59"/>
    </row>
    <row r="3889" spans="3:7" ht="20.25" customHeight="1" x14ac:dyDescent="0.3">
      <c r="C3889" s="59"/>
      <c r="D3889" s="69"/>
      <c r="E3889" s="69"/>
      <c r="F3889" s="17"/>
      <c r="G3889" s="59"/>
    </row>
    <row r="3890" spans="3:7" ht="20.25" customHeight="1" x14ac:dyDescent="0.3">
      <c r="C3890" s="59"/>
      <c r="D3890" s="69"/>
      <c r="E3890" s="69"/>
      <c r="F3890" s="17"/>
      <c r="G3890" s="59"/>
    </row>
    <row r="3891" spans="3:7" ht="20.25" customHeight="1" x14ac:dyDescent="0.3">
      <c r="C3891" s="59"/>
      <c r="D3891" s="69"/>
      <c r="E3891" s="69"/>
      <c r="F3891" s="17"/>
      <c r="G3891" s="59"/>
    </row>
    <row r="3892" spans="3:7" ht="20.25" customHeight="1" x14ac:dyDescent="0.3">
      <c r="C3892" s="59"/>
      <c r="D3892" s="69"/>
      <c r="E3892" s="69"/>
      <c r="F3892" s="17"/>
      <c r="G3892" s="59"/>
    </row>
    <row r="3893" spans="3:7" ht="20.25" customHeight="1" x14ac:dyDescent="0.3">
      <c r="C3893" s="59"/>
      <c r="D3893" s="69"/>
      <c r="E3893" s="69"/>
      <c r="F3893" s="17"/>
      <c r="G3893" s="59"/>
    </row>
    <row r="3894" spans="3:7" ht="20.25" customHeight="1" x14ac:dyDescent="0.3">
      <c r="C3894" s="59"/>
      <c r="D3894" s="69"/>
      <c r="E3894" s="69"/>
      <c r="F3894" s="17"/>
      <c r="G3894" s="59"/>
    </row>
    <row r="3895" spans="3:7" ht="20.25" customHeight="1" x14ac:dyDescent="0.3">
      <c r="C3895" s="59"/>
      <c r="D3895" s="69"/>
      <c r="E3895" s="69"/>
      <c r="F3895" s="17"/>
      <c r="G3895" s="59"/>
    </row>
    <row r="3896" spans="3:7" ht="20.25" customHeight="1" x14ac:dyDescent="0.3">
      <c r="C3896" s="59"/>
      <c r="D3896" s="69"/>
      <c r="E3896" s="69"/>
      <c r="F3896" s="17"/>
      <c r="G3896" s="59"/>
    </row>
    <row r="3897" spans="3:7" ht="20.25" customHeight="1" x14ac:dyDescent="0.3">
      <c r="C3897" s="59"/>
      <c r="D3897" s="69"/>
      <c r="E3897" s="69"/>
      <c r="F3897" s="17"/>
      <c r="G3897" s="59"/>
    </row>
    <row r="3898" spans="3:7" ht="20.25" customHeight="1" x14ac:dyDescent="0.3">
      <c r="C3898" s="59"/>
      <c r="D3898" s="69"/>
      <c r="E3898" s="69"/>
      <c r="F3898" s="17"/>
      <c r="G3898" s="59"/>
    </row>
    <row r="3899" spans="3:7" ht="20.25" customHeight="1" x14ac:dyDescent="0.3">
      <c r="C3899" s="59"/>
      <c r="D3899" s="69"/>
      <c r="E3899" s="69"/>
      <c r="F3899" s="17"/>
      <c r="G3899" s="59"/>
    </row>
    <row r="3900" spans="3:7" ht="20.25" customHeight="1" x14ac:dyDescent="0.3">
      <c r="C3900" s="59"/>
      <c r="D3900" s="69"/>
      <c r="E3900" s="69"/>
      <c r="F3900" s="17"/>
      <c r="G3900" s="59"/>
    </row>
    <row r="3901" spans="3:7" ht="20.25" customHeight="1" x14ac:dyDescent="0.3">
      <c r="C3901" s="59"/>
      <c r="D3901" s="69"/>
      <c r="E3901" s="69"/>
      <c r="F3901" s="17"/>
      <c r="G3901" s="59"/>
    </row>
    <row r="3902" spans="3:7" ht="20.25" customHeight="1" x14ac:dyDescent="0.3">
      <c r="C3902" s="59"/>
      <c r="D3902" s="69"/>
      <c r="E3902" s="69"/>
      <c r="F3902" s="17"/>
      <c r="G3902" s="59"/>
    </row>
    <row r="3903" spans="3:7" ht="20.25" customHeight="1" x14ac:dyDescent="0.3">
      <c r="C3903" s="59"/>
      <c r="D3903" s="69"/>
      <c r="E3903" s="69"/>
      <c r="F3903" s="17"/>
      <c r="G3903" s="59"/>
    </row>
    <row r="3904" spans="3:7" ht="20.25" customHeight="1" x14ac:dyDescent="0.3">
      <c r="C3904" s="59"/>
      <c r="D3904" s="69"/>
      <c r="E3904" s="69"/>
      <c r="F3904" s="17"/>
      <c r="G3904" s="59"/>
    </row>
    <row r="3905" spans="3:7" ht="20.25" customHeight="1" x14ac:dyDescent="0.3">
      <c r="C3905" s="59"/>
      <c r="D3905" s="69"/>
      <c r="E3905" s="69"/>
      <c r="F3905" s="17"/>
      <c r="G3905" s="59"/>
    </row>
    <row r="3906" spans="3:7" ht="20.25" customHeight="1" x14ac:dyDescent="0.3">
      <c r="C3906" s="59"/>
      <c r="D3906" s="69"/>
      <c r="E3906" s="69"/>
      <c r="F3906" s="17"/>
      <c r="G3906" s="59"/>
    </row>
    <row r="3907" spans="3:7" ht="20.25" customHeight="1" x14ac:dyDescent="0.3">
      <c r="C3907" s="59"/>
      <c r="D3907" s="69"/>
      <c r="E3907" s="69"/>
      <c r="F3907" s="17"/>
      <c r="G3907" s="59"/>
    </row>
    <row r="3908" spans="3:7" ht="20.25" customHeight="1" x14ac:dyDescent="0.3">
      <c r="C3908" s="59"/>
      <c r="D3908" s="69"/>
      <c r="E3908" s="69"/>
      <c r="F3908" s="17"/>
      <c r="G3908" s="59"/>
    </row>
    <row r="3909" spans="3:7" ht="20.25" customHeight="1" x14ac:dyDescent="0.3">
      <c r="C3909" s="59"/>
      <c r="D3909" s="69"/>
      <c r="E3909" s="69"/>
      <c r="F3909" s="17"/>
      <c r="G3909" s="59"/>
    </row>
    <row r="3910" spans="3:7" ht="20.25" customHeight="1" x14ac:dyDescent="0.3">
      <c r="C3910" s="59"/>
      <c r="D3910" s="69"/>
      <c r="E3910" s="69"/>
      <c r="F3910" s="17"/>
      <c r="G3910" s="59"/>
    </row>
    <row r="3911" spans="3:7" ht="20.25" customHeight="1" x14ac:dyDescent="0.3">
      <c r="C3911" s="59"/>
      <c r="D3911" s="69"/>
      <c r="E3911" s="69"/>
      <c r="F3911" s="17"/>
      <c r="G3911" s="59"/>
    </row>
    <row r="3912" spans="3:7" ht="20.25" customHeight="1" x14ac:dyDescent="0.3">
      <c r="C3912" s="59"/>
      <c r="D3912" s="69"/>
      <c r="E3912" s="69"/>
      <c r="F3912" s="17"/>
      <c r="G3912" s="59"/>
    </row>
    <row r="3913" spans="3:7" ht="20.25" customHeight="1" x14ac:dyDescent="0.3">
      <c r="C3913" s="59"/>
      <c r="D3913" s="69"/>
      <c r="E3913" s="69"/>
      <c r="F3913" s="17"/>
      <c r="G3913" s="59"/>
    </row>
    <row r="3914" spans="3:7" ht="20.25" customHeight="1" x14ac:dyDescent="0.3">
      <c r="C3914" s="59"/>
      <c r="D3914" s="69"/>
      <c r="E3914" s="69"/>
      <c r="F3914" s="17"/>
      <c r="G3914" s="59"/>
    </row>
    <row r="3915" spans="3:7" ht="20.25" customHeight="1" x14ac:dyDescent="0.3">
      <c r="C3915" s="59"/>
      <c r="D3915" s="69"/>
      <c r="E3915" s="69"/>
      <c r="F3915" s="17"/>
      <c r="G3915" s="59"/>
    </row>
    <row r="3916" spans="3:7" ht="20.25" customHeight="1" x14ac:dyDescent="0.3">
      <c r="C3916" s="59"/>
      <c r="D3916" s="69"/>
      <c r="E3916" s="69"/>
      <c r="F3916" s="17"/>
      <c r="G3916" s="59"/>
    </row>
    <row r="3917" spans="3:7" ht="20.25" customHeight="1" x14ac:dyDescent="0.3">
      <c r="C3917" s="59"/>
      <c r="D3917" s="69"/>
      <c r="E3917" s="69"/>
      <c r="F3917" s="17"/>
      <c r="G3917" s="59"/>
    </row>
    <row r="3918" spans="3:7" ht="20.25" customHeight="1" x14ac:dyDescent="0.3">
      <c r="C3918" s="59"/>
      <c r="D3918" s="69"/>
      <c r="E3918" s="69"/>
      <c r="F3918" s="17"/>
      <c r="G3918" s="59"/>
    </row>
    <row r="3919" spans="3:7" ht="20.25" customHeight="1" x14ac:dyDescent="0.3">
      <c r="C3919" s="59"/>
      <c r="D3919" s="69"/>
      <c r="E3919" s="69"/>
      <c r="F3919" s="17"/>
      <c r="G3919" s="59"/>
    </row>
    <row r="3920" spans="3:7" ht="20.25" customHeight="1" x14ac:dyDescent="0.3">
      <c r="C3920" s="59"/>
      <c r="D3920" s="69"/>
      <c r="E3920" s="69"/>
      <c r="F3920" s="17"/>
      <c r="G3920" s="59"/>
    </row>
    <row r="3921" spans="3:7" ht="20.25" customHeight="1" x14ac:dyDescent="0.3">
      <c r="C3921" s="59"/>
      <c r="D3921" s="69"/>
      <c r="E3921" s="69"/>
      <c r="F3921" s="17"/>
      <c r="G3921" s="59"/>
    </row>
    <row r="3922" spans="3:7" ht="20.25" customHeight="1" x14ac:dyDescent="0.3">
      <c r="C3922" s="59"/>
      <c r="D3922" s="69"/>
      <c r="E3922" s="69"/>
      <c r="F3922" s="17"/>
      <c r="G3922" s="59"/>
    </row>
    <row r="3923" spans="3:7" ht="20.25" customHeight="1" x14ac:dyDescent="0.3">
      <c r="C3923" s="59"/>
      <c r="D3923" s="69"/>
      <c r="E3923" s="69"/>
      <c r="F3923" s="17"/>
      <c r="G3923" s="59"/>
    </row>
    <row r="3924" spans="3:7" ht="20.25" customHeight="1" x14ac:dyDescent="0.3">
      <c r="C3924" s="59"/>
      <c r="D3924" s="69"/>
      <c r="E3924" s="69"/>
      <c r="F3924" s="17"/>
      <c r="G3924" s="59"/>
    </row>
    <row r="3925" spans="3:7" ht="20.25" customHeight="1" x14ac:dyDescent="0.3">
      <c r="C3925" s="59"/>
      <c r="D3925" s="69"/>
      <c r="E3925" s="69"/>
      <c r="F3925" s="17"/>
      <c r="G3925" s="59"/>
    </row>
    <row r="3926" spans="3:7" ht="20.25" customHeight="1" x14ac:dyDescent="0.3">
      <c r="C3926" s="59"/>
      <c r="D3926" s="69"/>
      <c r="E3926" s="69"/>
      <c r="F3926" s="17"/>
      <c r="G3926" s="59"/>
    </row>
    <row r="3927" spans="3:7" ht="20.25" customHeight="1" x14ac:dyDescent="0.3">
      <c r="C3927" s="59"/>
      <c r="D3927" s="69"/>
      <c r="E3927" s="69"/>
      <c r="F3927" s="17"/>
      <c r="G3927" s="59"/>
    </row>
    <row r="3928" spans="3:7" ht="20.25" customHeight="1" x14ac:dyDescent="0.3">
      <c r="C3928" s="59"/>
      <c r="D3928" s="69"/>
      <c r="E3928" s="69"/>
      <c r="F3928" s="17"/>
      <c r="G3928" s="59"/>
    </row>
    <row r="3929" spans="3:7" ht="20.25" customHeight="1" x14ac:dyDescent="0.3">
      <c r="C3929" s="59"/>
      <c r="D3929" s="69"/>
      <c r="E3929" s="69"/>
      <c r="F3929" s="17"/>
      <c r="G3929" s="59"/>
    </row>
    <row r="3930" spans="3:7" ht="20.25" customHeight="1" x14ac:dyDescent="0.3">
      <c r="C3930" s="59"/>
      <c r="D3930" s="69"/>
      <c r="E3930" s="69"/>
      <c r="F3930" s="17"/>
      <c r="G3930" s="59"/>
    </row>
    <row r="3931" spans="3:7" ht="20.25" customHeight="1" x14ac:dyDescent="0.3">
      <c r="C3931" s="59"/>
      <c r="D3931" s="69"/>
      <c r="E3931" s="69"/>
      <c r="F3931" s="17"/>
      <c r="G3931" s="59"/>
    </row>
    <row r="3932" spans="3:7" ht="20.25" customHeight="1" x14ac:dyDescent="0.3">
      <c r="C3932" s="59"/>
      <c r="D3932" s="69"/>
      <c r="E3932" s="69"/>
      <c r="F3932" s="17"/>
      <c r="G3932" s="59"/>
    </row>
    <row r="3933" spans="3:7" ht="20.25" customHeight="1" x14ac:dyDescent="0.3">
      <c r="C3933" s="59"/>
      <c r="D3933" s="69"/>
      <c r="E3933" s="69"/>
      <c r="F3933" s="17"/>
      <c r="G3933" s="59"/>
    </row>
    <row r="3934" spans="3:7" ht="20.25" customHeight="1" x14ac:dyDescent="0.3">
      <c r="C3934" s="59"/>
      <c r="D3934" s="69"/>
      <c r="E3934" s="69"/>
      <c r="F3934" s="17"/>
      <c r="G3934" s="59"/>
    </row>
    <row r="3935" spans="3:7" ht="20.25" customHeight="1" x14ac:dyDescent="0.3">
      <c r="C3935" s="59"/>
      <c r="D3935" s="69"/>
      <c r="E3935" s="69"/>
      <c r="F3935" s="17"/>
      <c r="G3935" s="59"/>
    </row>
    <row r="3936" spans="3:7" ht="20.25" customHeight="1" x14ac:dyDescent="0.3">
      <c r="C3936" s="59"/>
      <c r="D3936" s="69"/>
      <c r="E3936" s="69"/>
      <c r="F3936" s="17"/>
      <c r="G3936" s="59"/>
    </row>
    <row r="3937" spans="3:7" ht="20.25" customHeight="1" x14ac:dyDescent="0.3">
      <c r="C3937" s="59"/>
      <c r="D3937" s="69"/>
      <c r="E3937" s="69"/>
      <c r="F3937" s="17"/>
      <c r="G3937" s="59"/>
    </row>
    <row r="3938" spans="3:7" ht="20.25" customHeight="1" x14ac:dyDescent="0.3">
      <c r="C3938" s="59"/>
      <c r="D3938" s="69"/>
      <c r="E3938" s="69"/>
      <c r="F3938" s="17"/>
      <c r="G3938" s="59"/>
    </row>
    <row r="3939" spans="3:7" ht="20.25" customHeight="1" x14ac:dyDescent="0.3">
      <c r="C3939" s="59"/>
      <c r="D3939" s="69"/>
      <c r="E3939" s="69"/>
      <c r="F3939" s="17"/>
      <c r="G3939" s="59"/>
    </row>
    <row r="3940" spans="3:7" ht="20.25" customHeight="1" x14ac:dyDescent="0.3">
      <c r="C3940" s="59"/>
      <c r="D3940" s="69"/>
      <c r="E3940" s="69"/>
      <c r="F3940" s="17"/>
      <c r="G3940" s="59"/>
    </row>
    <row r="3941" spans="3:7" ht="20.25" customHeight="1" x14ac:dyDescent="0.3">
      <c r="C3941" s="59"/>
      <c r="D3941" s="69"/>
      <c r="E3941" s="69"/>
      <c r="F3941" s="17"/>
      <c r="G3941" s="59"/>
    </row>
    <row r="3942" spans="3:7" ht="20.25" customHeight="1" x14ac:dyDescent="0.3">
      <c r="C3942" s="59"/>
      <c r="D3942" s="69"/>
      <c r="E3942" s="69"/>
      <c r="F3942" s="17"/>
      <c r="G3942" s="59"/>
    </row>
    <row r="3943" spans="3:7" ht="20.25" customHeight="1" x14ac:dyDescent="0.3">
      <c r="C3943" s="59"/>
      <c r="D3943" s="69"/>
      <c r="E3943" s="69"/>
      <c r="F3943" s="17"/>
      <c r="G3943" s="59"/>
    </row>
    <row r="3944" spans="3:7" ht="20.25" customHeight="1" x14ac:dyDescent="0.3">
      <c r="C3944" s="59"/>
      <c r="D3944" s="69"/>
      <c r="E3944" s="69"/>
      <c r="F3944" s="17"/>
      <c r="G3944" s="59"/>
    </row>
    <row r="3945" spans="3:7" ht="20.25" customHeight="1" x14ac:dyDescent="0.3">
      <c r="C3945" s="59"/>
      <c r="D3945" s="69"/>
      <c r="E3945" s="69"/>
      <c r="F3945" s="17"/>
      <c r="G3945" s="59"/>
    </row>
    <row r="3946" spans="3:7" ht="20.25" customHeight="1" x14ac:dyDescent="0.3">
      <c r="C3946" s="59"/>
      <c r="D3946" s="69"/>
      <c r="E3946" s="69"/>
      <c r="F3946" s="17"/>
      <c r="G3946" s="59"/>
    </row>
    <row r="3947" spans="3:7" ht="20.25" customHeight="1" x14ac:dyDescent="0.3">
      <c r="C3947" s="59"/>
      <c r="D3947" s="69"/>
      <c r="E3947" s="69"/>
      <c r="F3947" s="17"/>
      <c r="G3947" s="59"/>
    </row>
    <row r="3948" spans="3:7" ht="20.25" customHeight="1" x14ac:dyDescent="0.3">
      <c r="C3948" s="59"/>
      <c r="D3948" s="69"/>
      <c r="E3948" s="69"/>
      <c r="F3948" s="17"/>
      <c r="G3948" s="59"/>
    </row>
    <row r="3949" spans="3:7" ht="20.25" customHeight="1" x14ac:dyDescent="0.3">
      <c r="C3949" s="59"/>
      <c r="D3949" s="69"/>
      <c r="E3949" s="69"/>
      <c r="F3949" s="17"/>
      <c r="G3949" s="59"/>
    </row>
    <row r="3950" spans="3:7" ht="20.25" customHeight="1" x14ac:dyDescent="0.3">
      <c r="C3950" s="59"/>
      <c r="D3950" s="69"/>
      <c r="E3950" s="69"/>
      <c r="F3950" s="17"/>
      <c r="G3950" s="59"/>
    </row>
    <row r="3951" spans="3:7" ht="20.25" customHeight="1" x14ac:dyDescent="0.3">
      <c r="C3951" s="59"/>
      <c r="D3951" s="69"/>
      <c r="E3951" s="69"/>
      <c r="F3951" s="17"/>
      <c r="G3951" s="59"/>
    </row>
    <row r="3952" spans="3:7" ht="20.25" customHeight="1" x14ac:dyDescent="0.3">
      <c r="C3952" s="59"/>
      <c r="D3952" s="69"/>
      <c r="E3952" s="69"/>
      <c r="F3952" s="17"/>
      <c r="G3952" s="59"/>
    </row>
    <row r="3953" spans="3:7" ht="20.25" customHeight="1" x14ac:dyDescent="0.3">
      <c r="C3953" s="59"/>
      <c r="D3953" s="69"/>
      <c r="E3953" s="69"/>
      <c r="F3953" s="17"/>
      <c r="G3953" s="59"/>
    </row>
    <row r="3954" spans="3:7" ht="20.25" customHeight="1" x14ac:dyDescent="0.3">
      <c r="C3954" s="59"/>
      <c r="D3954" s="69"/>
      <c r="E3954" s="69"/>
      <c r="F3954" s="17"/>
      <c r="G3954" s="59"/>
    </row>
    <row r="3955" spans="3:7" ht="20.25" customHeight="1" x14ac:dyDescent="0.3">
      <c r="C3955" s="59"/>
      <c r="D3955" s="69"/>
      <c r="E3955" s="69"/>
      <c r="F3955" s="17"/>
      <c r="G3955" s="59"/>
    </row>
    <row r="3956" spans="3:7" ht="20.25" customHeight="1" x14ac:dyDescent="0.3">
      <c r="C3956" s="59"/>
      <c r="D3956" s="69"/>
      <c r="E3956" s="69"/>
      <c r="F3956" s="17"/>
      <c r="G3956" s="59"/>
    </row>
    <row r="3957" spans="3:7" ht="20.25" customHeight="1" x14ac:dyDescent="0.3">
      <c r="C3957" s="59"/>
      <c r="D3957" s="69"/>
      <c r="E3957" s="69"/>
      <c r="F3957" s="17"/>
      <c r="G3957" s="59"/>
    </row>
    <row r="3958" spans="3:7" ht="20.25" customHeight="1" x14ac:dyDescent="0.3">
      <c r="C3958" s="59"/>
      <c r="D3958" s="69"/>
      <c r="E3958" s="69"/>
      <c r="F3958" s="17"/>
      <c r="G3958" s="59"/>
    </row>
    <row r="3959" spans="3:7" ht="20.25" customHeight="1" x14ac:dyDescent="0.3">
      <c r="C3959" s="59"/>
      <c r="D3959" s="69"/>
      <c r="E3959" s="69"/>
      <c r="F3959" s="17"/>
      <c r="G3959" s="59"/>
    </row>
    <row r="3960" spans="3:7" ht="20.25" customHeight="1" x14ac:dyDescent="0.3">
      <c r="C3960" s="59"/>
      <c r="D3960" s="69"/>
      <c r="E3960" s="69"/>
      <c r="F3960" s="17"/>
      <c r="G3960" s="59"/>
    </row>
    <row r="3961" spans="3:7" ht="20.25" customHeight="1" x14ac:dyDescent="0.3">
      <c r="C3961" s="59"/>
      <c r="D3961" s="69"/>
      <c r="E3961" s="69"/>
      <c r="F3961" s="17"/>
      <c r="G3961" s="59"/>
    </row>
    <row r="3962" spans="3:7" ht="20.25" customHeight="1" x14ac:dyDescent="0.3">
      <c r="C3962" s="59"/>
      <c r="D3962" s="69"/>
      <c r="E3962" s="69"/>
      <c r="F3962" s="17"/>
      <c r="G3962" s="59"/>
    </row>
    <row r="3963" spans="3:7" ht="20.25" customHeight="1" x14ac:dyDescent="0.3">
      <c r="C3963" s="59"/>
      <c r="D3963" s="69"/>
      <c r="E3963" s="69"/>
      <c r="F3963" s="17"/>
      <c r="G3963" s="59"/>
    </row>
    <row r="3964" spans="3:7" ht="20.25" customHeight="1" x14ac:dyDescent="0.3">
      <c r="C3964" s="59"/>
      <c r="D3964" s="69"/>
      <c r="E3964" s="69"/>
      <c r="F3964" s="17"/>
      <c r="G3964" s="59"/>
    </row>
    <row r="3965" spans="3:7" ht="20.25" customHeight="1" x14ac:dyDescent="0.3">
      <c r="C3965" s="59"/>
      <c r="D3965" s="69"/>
      <c r="E3965" s="69"/>
      <c r="F3965" s="17"/>
      <c r="G3965" s="59"/>
    </row>
    <row r="3966" spans="3:7" ht="20.25" customHeight="1" x14ac:dyDescent="0.3">
      <c r="C3966" s="59"/>
      <c r="D3966" s="69"/>
      <c r="E3966" s="69"/>
      <c r="F3966" s="17"/>
      <c r="G3966" s="59"/>
    </row>
    <row r="3967" spans="3:7" ht="20.25" customHeight="1" x14ac:dyDescent="0.3">
      <c r="C3967" s="59"/>
      <c r="D3967" s="69"/>
      <c r="E3967" s="69"/>
      <c r="F3967" s="17"/>
      <c r="G3967" s="59"/>
    </row>
    <row r="3968" spans="3:7" ht="20.25" customHeight="1" x14ac:dyDescent="0.3">
      <c r="C3968" s="59"/>
      <c r="D3968" s="69"/>
      <c r="E3968" s="69"/>
      <c r="F3968" s="17"/>
      <c r="G3968" s="59"/>
    </row>
    <row r="3969" spans="3:7" ht="20.25" customHeight="1" x14ac:dyDescent="0.3">
      <c r="C3969" s="59"/>
      <c r="D3969" s="69"/>
      <c r="E3969" s="69"/>
      <c r="F3969" s="17"/>
      <c r="G3969" s="59"/>
    </row>
    <row r="3970" spans="3:7" ht="20.25" customHeight="1" x14ac:dyDescent="0.3">
      <c r="C3970" s="59"/>
      <c r="D3970" s="69"/>
      <c r="E3970" s="69"/>
      <c r="F3970" s="17"/>
      <c r="G3970" s="59"/>
    </row>
    <row r="3971" spans="3:7" ht="20.25" customHeight="1" x14ac:dyDescent="0.3">
      <c r="C3971" s="59"/>
      <c r="D3971" s="69"/>
      <c r="E3971" s="69"/>
      <c r="F3971" s="17"/>
      <c r="G3971" s="59"/>
    </row>
    <row r="3972" spans="3:7" ht="20.25" customHeight="1" x14ac:dyDescent="0.3">
      <c r="C3972" s="59"/>
      <c r="D3972" s="69"/>
      <c r="E3972" s="69"/>
      <c r="F3972" s="17"/>
      <c r="G3972" s="59"/>
    </row>
    <row r="3973" spans="3:7" ht="20.25" customHeight="1" x14ac:dyDescent="0.3">
      <c r="C3973" s="59"/>
      <c r="D3973" s="69"/>
      <c r="E3973" s="69"/>
      <c r="F3973" s="17"/>
      <c r="G3973" s="59"/>
    </row>
    <row r="3974" spans="3:7" ht="20.25" customHeight="1" x14ac:dyDescent="0.3">
      <c r="C3974" s="59"/>
      <c r="D3974" s="69"/>
      <c r="E3974" s="69"/>
      <c r="F3974" s="17"/>
      <c r="G3974" s="59"/>
    </row>
    <row r="3975" spans="3:7" ht="20.25" customHeight="1" x14ac:dyDescent="0.3">
      <c r="C3975" s="59"/>
      <c r="D3975" s="69"/>
      <c r="E3975" s="69"/>
      <c r="F3975" s="17"/>
      <c r="G3975" s="59"/>
    </row>
    <row r="3976" spans="3:7" ht="20.25" customHeight="1" x14ac:dyDescent="0.3">
      <c r="C3976" s="59"/>
      <c r="D3976" s="69"/>
      <c r="E3976" s="69"/>
      <c r="F3976" s="17"/>
      <c r="G3976" s="59"/>
    </row>
    <row r="3977" spans="3:7" ht="20.25" customHeight="1" x14ac:dyDescent="0.3">
      <c r="C3977" s="59"/>
      <c r="D3977" s="69"/>
      <c r="E3977" s="69"/>
      <c r="F3977" s="17"/>
      <c r="G3977" s="59"/>
    </row>
    <row r="3978" spans="3:7" ht="20.25" customHeight="1" x14ac:dyDescent="0.3">
      <c r="C3978" s="59"/>
      <c r="D3978" s="69"/>
      <c r="E3978" s="69"/>
      <c r="F3978" s="17"/>
      <c r="G3978" s="59"/>
    </row>
    <row r="3979" spans="3:7" ht="20.25" customHeight="1" x14ac:dyDescent="0.3">
      <c r="C3979" s="59"/>
      <c r="D3979" s="69"/>
      <c r="E3979" s="69"/>
      <c r="F3979" s="17"/>
      <c r="G3979" s="59"/>
    </row>
    <row r="3980" spans="3:7" ht="20.25" customHeight="1" x14ac:dyDescent="0.3">
      <c r="C3980" s="59"/>
      <c r="D3980" s="69"/>
      <c r="E3980" s="69"/>
      <c r="F3980" s="17"/>
      <c r="G3980" s="59"/>
    </row>
    <row r="3981" spans="3:7" ht="20.25" customHeight="1" x14ac:dyDescent="0.3">
      <c r="C3981" s="59"/>
      <c r="D3981" s="69"/>
      <c r="E3981" s="69"/>
      <c r="F3981" s="17"/>
      <c r="G3981" s="59"/>
    </row>
    <row r="3982" spans="3:7" ht="20.25" customHeight="1" x14ac:dyDescent="0.3">
      <c r="C3982" s="59"/>
      <c r="D3982" s="69"/>
      <c r="E3982" s="69"/>
      <c r="F3982" s="17"/>
      <c r="G3982" s="59"/>
    </row>
    <row r="3983" spans="3:7" ht="20.25" customHeight="1" x14ac:dyDescent="0.3">
      <c r="C3983" s="59"/>
      <c r="D3983" s="69"/>
      <c r="E3983" s="69"/>
      <c r="F3983" s="17"/>
      <c r="G3983" s="59"/>
    </row>
    <row r="3984" spans="3:7" ht="20.25" customHeight="1" x14ac:dyDescent="0.3">
      <c r="C3984" s="59"/>
      <c r="D3984" s="69"/>
      <c r="E3984" s="69"/>
      <c r="F3984" s="17"/>
      <c r="G3984" s="59"/>
    </row>
    <row r="3985" spans="3:7" ht="20.25" customHeight="1" x14ac:dyDescent="0.3">
      <c r="C3985" s="59"/>
      <c r="D3985" s="69"/>
      <c r="E3985" s="69"/>
      <c r="F3985" s="17"/>
      <c r="G3985" s="59"/>
    </row>
    <row r="3986" spans="3:7" ht="20.25" customHeight="1" x14ac:dyDescent="0.3">
      <c r="C3986" s="59"/>
      <c r="D3986" s="69"/>
      <c r="E3986" s="69"/>
      <c r="F3986" s="17"/>
      <c r="G3986" s="59"/>
    </row>
    <row r="3987" spans="3:7" ht="20.25" customHeight="1" x14ac:dyDescent="0.3">
      <c r="C3987" s="59"/>
      <c r="D3987" s="69"/>
      <c r="E3987" s="69"/>
      <c r="F3987" s="17"/>
      <c r="G3987" s="59"/>
    </row>
    <row r="3988" spans="3:7" ht="20.25" customHeight="1" x14ac:dyDescent="0.3">
      <c r="C3988" s="59"/>
      <c r="D3988" s="69"/>
      <c r="E3988" s="69"/>
      <c r="F3988" s="17"/>
      <c r="G3988" s="59"/>
    </row>
    <row r="3989" spans="3:7" ht="20.25" customHeight="1" x14ac:dyDescent="0.3">
      <c r="C3989" s="59"/>
      <c r="D3989" s="69"/>
      <c r="E3989" s="69"/>
      <c r="F3989" s="17"/>
      <c r="G3989" s="59"/>
    </row>
    <row r="3990" spans="3:7" ht="20.25" customHeight="1" x14ac:dyDescent="0.3">
      <c r="C3990" s="59"/>
      <c r="D3990" s="69"/>
      <c r="E3990" s="69"/>
      <c r="F3990" s="17"/>
      <c r="G3990" s="59"/>
    </row>
    <row r="3991" spans="3:7" ht="20.25" customHeight="1" x14ac:dyDescent="0.3">
      <c r="C3991" s="59"/>
      <c r="D3991" s="69"/>
      <c r="E3991" s="69"/>
      <c r="F3991" s="17"/>
      <c r="G3991" s="59"/>
    </row>
    <row r="3992" spans="3:7" ht="20.25" customHeight="1" x14ac:dyDescent="0.3">
      <c r="C3992" s="59"/>
      <c r="D3992" s="69"/>
      <c r="E3992" s="69"/>
      <c r="F3992" s="17"/>
      <c r="G3992" s="59"/>
    </row>
    <row r="3993" spans="3:7" ht="20.25" customHeight="1" x14ac:dyDescent="0.3">
      <c r="C3993" s="59"/>
      <c r="D3993" s="69"/>
      <c r="E3993" s="69"/>
      <c r="F3993" s="17"/>
      <c r="G3993" s="59"/>
    </row>
    <row r="3994" spans="3:7" ht="20.25" customHeight="1" x14ac:dyDescent="0.3">
      <c r="C3994" s="59"/>
      <c r="D3994" s="69"/>
      <c r="E3994" s="69"/>
      <c r="F3994" s="17"/>
      <c r="G3994" s="59"/>
    </row>
    <row r="3995" spans="3:7" ht="20.25" customHeight="1" x14ac:dyDescent="0.3">
      <c r="C3995" s="59"/>
      <c r="D3995" s="69"/>
      <c r="E3995" s="69"/>
      <c r="F3995" s="17"/>
      <c r="G3995" s="59"/>
    </row>
    <row r="3996" spans="3:7" ht="20.25" customHeight="1" x14ac:dyDescent="0.3">
      <c r="C3996" s="59"/>
      <c r="D3996" s="69"/>
      <c r="E3996" s="69"/>
      <c r="F3996" s="17"/>
      <c r="G3996" s="59"/>
    </row>
    <row r="3997" spans="3:7" ht="20.25" customHeight="1" x14ac:dyDescent="0.3">
      <c r="C3997" s="59"/>
      <c r="D3997" s="69"/>
      <c r="E3997" s="69"/>
      <c r="F3997" s="17"/>
      <c r="G3997" s="59"/>
    </row>
    <row r="3998" spans="3:7" ht="20.25" customHeight="1" x14ac:dyDescent="0.3">
      <c r="C3998" s="59"/>
      <c r="D3998" s="69"/>
      <c r="E3998" s="69"/>
      <c r="F3998" s="17"/>
      <c r="G3998" s="59"/>
    </row>
    <row r="3999" spans="3:7" ht="20.25" customHeight="1" x14ac:dyDescent="0.3">
      <c r="C3999" s="59"/>
      <c r="D3999" s="69"/>
      <c r="E3999" s="69"/>
      <c r="F3999" s="17"/>
      <c r="G3999" s="59"/>
    </row>
    <row r="4000" spans="3:7" ht="20.25" customHeight="1" x14ac:dyDescent="0.3">
      <c r="C4000" s="59"/>
      <c r="D4000" s="69"/>
      <c r="E4000" s="69"/>
      <c r="F4000" s="17"/>
      <c r="G4000" s="59"/>
    </row>
    <row r="4001" spans="3:7" ht="20.25" customHeight="1" x14ac:dyDescent="0.3">
      <c r="C4001" s="59"/>
      <c r="D4001" s="69"/>
      <c r="E4001" s="69"/>
      <c r="F4001" s="17"/>
      <c r="G4001" s="59"/>
    </row>
    <row r="4002" spans="3:7" ht="20.25" customHeight="1" x14ac:dyDescent="0.3">
      <c r="C4002" s="59"/>
      <c r="D4002" s="69"/>
      <c r="E4002" s="69"/>
      <c r="F4002" s="17"/>
      <c r="G4002" s="59"/>
    </row>
    <row r="4003" spans="3:7" ht="20.25" customHeight="1" x14ac:dyDescent="0.3">
      <c r="C4003" s="59"/>
      <c r="D4003" s="69"/>
      <c r="E4003" s="69"/>
      <c r="F4003" s="17"/>
      <c r="G4003" s="59"/>
    </row>
    <row r="4004" spans="3:7" ht="20.25" customHeight="1" x14ac:dyDescent="0.3">
      <c r="C4004" s="59"/>
      <c r="D4004" s="69"/>
      <c r="E4004" s="69"/>
      <c r="F4004" s="17"/>
      <c r="G4004" s="59"/>
    </row>
    <row r="4005" spans="3:7" ht="20.25" customHeight="1" x14ac:dyDescent="0.3">
      <c r="C4005" s="59"/>
      <c r="D4005" s="69"/>
      <c r="E4005" s="69"/>
      <c r="F4005" s="17"/>
      <c r="G4005" s="59"/>
    </row>
    <row r="4006" spans="3:7" ht="20.25" customHeight="1" x14ac:dyDescent="0.3">
      <c r="C4006" s="59"/>
      <c r="D4006" s="69"/>
      <c r="E4006" s="69"/>
      <c r="F4006" s="17"/>
      <c r="G4006" s="59"/>
    </row>
    <row r="4007" spans="3:7" ht="20.25" customHeight="1" x14ac:dyDescent="0.3">
      <c r="C4007" s="59"/>
      <c r="D4007" s="69"/>
      <c r="E4007" s="69"/>
      <c r="F4007" s="17"/>
      <c r="G4007" s="59"/>
    </row>
    <row r="4008" spans="3:7" ht="20.25" customHeight="1" x14ac:dyDescent="0.3">
      <c r="C4008" s="59"/>
      <c r="D4008" s="69"/>
      <c r="E4008" s="69"/>
      <c r="F4008" s="17"/>
      <c r="G4008" s="59"/>
    </row>
    <row r="4009" spans="3:7" ht="20.25" customHeight="1" x14ac:dyDescent="0.3">
      <c r="C4009" s="59"/>
      <c r="D4009" s="69"/>
      <c r="E4009" s="69"/>
      <c r="F4009" s="17"/>
      <c r="G4009" s="59"/>
    </row>
    <row r="4010" spans="3:7" ht="20.25" customHeight="1" x14ac:dyDescent="0.3">
      <c r="C4010" s="59"/>
      <c r="D4010" s="69"/>
      <c r="E4010" s="69"/>
      <c r="F4010" s="17"/>
      <c r="G4010" s="59"/>
    </row>
    <row r="4011" spans="3:7" ht="20.25" customHeight="1" x14ac:dyDescent="0.3">
      <c r="C4011" s="59"/>
      <c r="D4011" s="69"/>
      <c r="E4011" s="69"/>
      <c r="F4011" s="17"/>
      <c r="G4011" s="59"/>
    </row>
    <row r="4012" spans="3:7" ht="20.25" customHeight="1" x14ac:dyDescent="0.3">
      <c r="C4012" s="59"/>
      <c r="D4012" s="69"/>
      <c r="E4012" s="69"/>
      <c r="F4012" s="17"/>
      <c r="G4012" s="59"/>
    </row>
    <row r="4013" spans="3:7" ht="20.25" customHeight="1" x14ac:dyDescent="0.3">
      <c r="C4013" s="59"/>
      <c r="D4013" s="69"/>
      <c r="E4013" s="69"/>
      <c r="F4013" s="17"/>
      <c r="G4013" s="59"/>
    </row>
    <row r="4014" spans="3:7" ht="20.25" customHeight="1" x14ac:dyDescent="0.3">
      <c r="C4014" s="59"/>
      <c r="D4014" s="69"/>
      <c r="E4014" s="69"/>
      <c r="F4014" s="17"/>
      <c r="G4014" s="59"/>
    </row>
    <row r="4015" spans="3:7" ht="20.25" customHeight="1" x14ac:dyDescent="0.3">
      <c r="C4015" s="59"/>
      <c r="D4015" s="69"/>
      <c r="E4015" s="69"/>
      <c r="F4015" s="17"/>
      <c r="G4015" s="59"/>
    </row>
    <row r="4016" spans="3:7" ht="20.25" customHeight="1" x14ac:dyDescent="0.3">
      <c r="C4016" s="59"/>
      <c r="D4016" s="69"/>
      <c r="E4016" s="69"/>
      <c r="F4016" s="17"/>
      <c r="G4016" s="59"/>
    </row>
    <row r="4017" spans="3:7" ht="20.25" customHeight="1" x14ac:dyDescent="0.3">
      <c r="C4017" s="59"/>
      <c r="D4017" s="69"/>
      <c r="E4017" s="69"/>
      <c r="F4017" s="17"/>
      <c r="G4017" s="59"/>
    </row>
    <row r="4018" spans="3:7" ht="20.25" customHeight="1" x14ac:dyDescent="0.3">
      <c r="C4018" s="59"/>
      <c r="D4018" s="69"/>
      <c r="E4018" s="69"/>
      <c r="F4018" s="17"/>
      <c r="G4018" s="59"/>
    </row>
    <row r="4019" spans="3:7" ht="20.25" customHeight="1" x14ac:dyDescent="0.3">
      <c r="C4019" s="59"/>
      <c r="D4019" s="69"/>
      <c r="E4019" s="69"/>
      <c r="F4019" s="17"/>
      <c r="G4019" s="59"/>
    </row>
    <row r="4020" spans="3:7" ht="20.25" customHeight="1" x14ac:dyDescent="0.3">
      <c r="C4020" s="59"/>
      <c r="D4020" s="69"/>
      <c r="E4020" s="69"/>
      <c r="F4020" s="17"/>
      <c r="G4020" s="59"/>
    </row>
    <row r="4021" spans="3:7" ht="20.25" customHeight="1" x14ac:dyDescent="0.3">
      <c r="C4021" s="59"/>
      <c r="D4021" s="69"/>
      <c r="E4021" s="69"/>
      <c r="F4021" s="17"/>
      <c r="G4021" s="59"/>
    </row>
    <row r="4022" spans="3:7" ht="20.25" customHeight="1" x14ac:dyDescent="0.3">
      <c r="C4022" s="59"/>
      <c r="D4022" s="69"/>
      <c r="E4022" s="69"/>
      <c r="F4022" s="17"/>
      <c r="G4022" s="59"/>
    </row>
    <row r="4023" spans="3:7" ht="20.25" customHeight="1" x14ac:dyDescent="0.3">
      <c r="C4023" s="59"/>
      <c r="D4023" s="69"/>
      <c r="E4023" s="69"/>
      <c r="F4023" s="17"/>
      <c r="G4023" s="59"/>
    </row>
    <row r="4024" spans="3:7" ht="20.25" customHeight="1" x14ac:dyDescent="0.3">
      <c r="C4024" s="59"/>
      <c r="D4024" s="69"/>
      <c r="E4024" s="69"/>
      <c r="F4024" s="17"/>
      <c r="G4024" s="59"/>
    </row>
    <row r="4025" spans="3:7" ht="20.25" customHeight="1" x14ac:dyDescent="0.3">
      <c r="C4025" s="59"/>
      <c r="D4025" s="69"/>
      <c r="E4025" s="69"/>
      <c r="F4025" s="17"/>
      <c r="G4025" s="59"/>
    </row>
    <row r="4026" spans="3:7" ht="20.25" customHeight="1" x14ac:dyDescent="0.3">
      <c r="C4026" s="59"/>
      <c r="D4026" s="69"/>
      <c r="E4026" s="69"/>
      <c r="F4026" s="17"/>
      <c r="G4026" s="59"/>
    </row>
    <row r="4027" spans="3:7" ht="20.25" customHeight="1" x14ac:dyDescent="0.3">
      <c r="C4027" s="59"/>
      <c r="D4027" s="69"/>
      <c r="E4027" s="69"/>
      <c r="F4027" s="17"/>
      <c r="G4027" s="59"/>
    </row>
    <row r="4028" spans="3:7" ht="20.25" customHeight="1" x14ac:dyDescent="0.3">
      <c r="C4028" s="59"/>
      <c r="D4028" s="69"/>
      <c r="E4028" s="69"/>
      <c r="F4028" s="17"/>
      <c r="G4028" s="59"/>
    </row>
    <row r="4029" spans="3:7" ht="20.25" customHeight="1" x14ac:dyDescent="0.3">
      <c r="C4029" s="59"/>
      <c r="D4029" s="69"/>
      <c r="E4029" s="69"/>
      <c r="F4029" s="17"/>
      <c r="G4029" s="59"/>
    </row>
    <row r="4030" spans="3:7" ht="20.25" customHeight="1" x14ac:dyDescent="0.3">
      <c r="C4030" s="59"/>
      <c r="D4030" s="69"/>
      <c r="E4030" s="69"/>
      <c r="F4030" s="17"/>
      <c r="G4030" s="59"/>
    </row>
    <row r="4031" spans="3:7" ht="20.25" customHeight="1" x14ac:dyDescent="0.3">
      <c r="C4031" s="59"/>
      <c r="D4031" s="69"/>
      <c r="E4031" s="69"/>
      <c r="F4031" s="17"/>
      <c r="G4031" s="59"/>
    </row>
    <row r="4032" spans="3:7" ht="20.25" customHeight="1" x14ac:dyDescent="0.3">
      <c r="C4032" s="59"/>
      <c r="D4032" s="69"/>
      <c r="E4032" s="69"/>
      <c r="F4032" s="17"/>
      <c r="G4032" s="59"/>
    </row>
    <row r="4033" spans="3:7" ht="20.25" customHeight="1" x14ac:dyDescent="0.3">
      <c r="C4033" s="59"/>
      <c r="D4033" s="69"/>
      <c r="E4033" s="69"/>
      <c r="F4033" s="17"/>
      <c r="G4033" s="59"/>
    </row>
    <row r="4034" spans="3:7" ht="20.25" customHeight="1" x14ac:dyDescent="0.3">
      <c r="C4034" s="59"/>
      <c r="D4034" s="69"/>
      <c r="E4034" s="69"/>
      <c r="F4034" s="17"/>
      <c r="G4034" s="59"/>
    </row>
    <row r="4035" spans="3:7" ht="20.25" customHeight="1" x14ac:dyDescent="0.3">
      <c r="C4035" s="59"/>
      <c r="D4035" s="69"/>
      <c r="E4035" s="69"/>
      <c r="F4035" s="17"/>
      <c r="G4035" s="59"/>
    </row>
    <row r="4036" spans="3:7" ht="20.25" customHeight="1" x14ac:dyDescent="0.3">
      <c r="C4036" s="59"/>
      <c r="D4036" s="69"/>
      <c r="E4036" s="69"/>
      <c r="F4036" s="17"/>
      <c r="G4036" s="59"/>
    </row>
    <row r="4037" spans="3:7" ht="20.25" customHeight="1" x14ac:dyDescent="0.3">
      <c r="C4037" s="59"/>
      <c r="D4037" s="69"/>
      <c r="E4037" s="69"/>
      <c r="F4037" s="17"/>
      <c r="G4037" s="59"/>
    </row>
    <row r="4038" spans="3:7" ht="20.25" customHeight="1" x14ac:dyDescent="0.3">
      <c r="C4038" s="59"/>
      <c r="D4038" s="69"/>
      <c r="E4038" s="69"/>
      <c r="F4038" s="17"/>
      <c r="G4038" s="59"/>
    </row>
    <row r="4039" spans="3:7" ht="20.25" customHeight="1" x14ac:dyDescent="0.3">
      <c r="C4039" s="59"/>
      <c r="D4039" s="69"/>
      <c r="E4039" s="69"/>
      <c r="F4039" s="17"/>
      <c r="G4039" s="59"/>
    </row>
    <row r="4040" spans="3:7" ht="20.25" customHeight="1" x14ac:dyDescent="0.3">
      <c r="C4040" s="59"/>
      <c r="D4040" s="69"/>
      <c r="E4040" s="69"/>
      <c r="F4040" s="17"/>
      <c r="G4040" s="59"/>
    </row>
    <row r="4041" spans="3:7" ht="20.25" customHeight="1" x14ac:dyDescent="0.3">
      <c r="C4041" s="59"/>
      <c r="D4041" s="69"/>
      <c r="E4041" s="69"/>
      <c r="F4041" s="17"/>
      <c r="G4041" s="59"/>
    </row>
    <row r="4042" spans="3:7" ht="20.25" customHeight="1" x14ac:dyDescent="0.3">
      <c r="C4042" s="59"/>
      <c r="D4042" s="69"/>
      <c r="E4042" s="69"/>
      <c r="F4042" s="17"/>
      <c r="G4042" s="59"/>
    </row>
    <row r="4043" spans="3:7" ht="20.25" customHeight="1" x14ac:dyDescent="0.3">
      <c r="C4043" s="59"/>
      <c r="D4043" s="69"/>
      <c r="E4043" s="69"/>
      <c r="F4043" s="17"/>
      <c r="G4043" s="59"/>
    </row>
    <row r="4044" spans="3:7" ht="20.25" customHeight="1" x14ac:dyDescent="0.3">
      <c r="C4044" s="59"/>
      <c r="D4044" s="69"/>
      <c r="E4044" s="69"/>
      <c r="F4044" s="17"/>
      <c r="G4044" s="59"/>
    </row>
    <row r="4045" spans="3:7" ht="20.25" customHeight="1" x14ac:dyDescent="0.3">
      <c r="C4045" s="59"/>
      <c r="D4045" s="69"/>
      <c r="E4045" s="69"/>
      <c r="F4045" s="17"/>
      <c r="G4045" s="59"/>
    </row>
    <row r="4046" spans="3:7" ht="20.25" customHeight="1" x14ac:dyDescent="0.3">
      <c r="C4046" s="59"/>
      <c r="D4046" s="69"/>
      <c r="E4046" s="69"/>
      <c r="F4046" s="17"/>
      <c r="G4046" s="59"/>
    </row>
    <row r="4047" spans="3:7" ht="20.25" customHeight="1" x14ac:dyDescent="0.3">
      <c r="C4047" s="59"/>
      <c r="D4047" s="69"/>
      <c r="E4047" s="69"/>
      <c r="F4047" s="17"/>
      <c r="G4047" s="59"/>
    </row>
    <row r="4048" spans="3:7" ht="20.25" customHeight="1" x14ac:dyDescent="0.3">
      <c r="C4048" s="59"/>
      <c r="D4048" s="69"/>
      <c r="E4048" s="69"/>
      <c r="F4048" s="17"/>
      <c r="G4048" s="59"/>
    </row>
    <row r="4049" spans="3:7" ht="20.25" customHeight="1" x14ac:dyDescent="0.3">
      <c r="C4049" s="59"/>
      <c r="D4049" s="69"/>
      <c r="E4049" s="69"/>
      <c r="F4049" s="17"/>
      <c r="G4049" s="59"/>
    </row>
    <row r="4050" spans="3:7" ht="20.25" customHeight="1" x14ac:dyDescent="0.3">
      <c r="C4050" s="59"/>
      <c r="D4050" s="69"/>
      <c r="E4050" s="69"/>
      <c r="F4050" s="17"/>
      <c r="G4050" s="59"/>
    </row>
    <row r="4051" spans="3:7" ht="20.25" customHeight="1" x14ac:dyDescent="0.3">
      <c r="C4051" s="59"/>
      <c r="D4051" s="69"/>
      <c r="E4051" s="69"/>
      <c r="F4051" s="17"/>
      <c r="G4051" s="59"/>
    </row>
    <row r="4052" spans="3:7" ht="20.25" customHeight="1" x14ac:dyDescent="0.3">
      <c r="C4052" s="59"/>
      <c r="D4052" s="69"/>
      <c r="E4052" s="69"/>
      <c r="F4052" s="17"/>
      <c r="G4052" s="59"/>
    </row>
    <row r="4053" spans="3:7" ht="20.25" customHeight="1" x14ac:dyDescent="0.3">
      <c r="C4053" s="59"/>
      <c r="D4053" s="69"/>
      <c r="E4053" s="69"/>
      <c r="F4053" s="17"/>
      <c r="G4053" s="59"/>
    </row>
    <row r="4054" spans="3:7" ht="20.25" customHeight="1" x14ac:dyDescent="0.3">
      <c r="C4054" s="59"/>
      <c r="D4054" s="69"/>
      <c r="E4054" s="69"/>
      <c r="F4054" s="17"/>
      <c r="G4054" s="59"/>
    </row>
    <row r="4055" spans="3:7" ht="20.25" customHeight="1" x14ac:dyDescent="0.3">
      <c r="C4055" s="59"/>
      <c r="D4055" s="69"/>
      <c r="E4055" s="69"/>
      <c r="F4055" s="17"/>
      <c r="G4055" s="59"/>
    </row>
    <row r="4056" spans="3:7" ht="20.25" customHeight="1" x14ac:dyDescent="0.3">
      <c r="C4056" s="59"/>
      <c r="D4056" s="69"/>
      <c r="E4056" s="69"/>
      <c r="F4056" s="17"/>
      <c r="G4056" s="59"/>
    </row>
    <row r="4057" spans="3:7" ht="20.25" customHeight="1" x14ac:dyDescent="0.3">
      <c r="C4057" s="59"/>
      <c r="D4057" s="69"/>
      <c r="E4057" s="69"/>
      <c r="F4057" s="17"/>
      <c r="G4057" s="59"/>
    </row>
    <row r="4058" spans="3:7" ht="20.25" customHeight="1" x14ac:dyDescent="0.3">
      <c r="C4058" s="59"/>
      <c r="D4058" s="69"/>
      <c r="E4058" s="69"/>
      <c r="F4058" s="17"/>
      <c r="G4058" s="59"/>
    </row>
    <row r="4059" spans="3:7" ht="20.25" customHeight="1" x14ac:dyDescent="0.3">
      <c r="C4059" s="59"/>
      <c r="D4059" s="69"/>
      <c r="E4059" s="69"/>
      <c r="F4059" s="17"/>
      <c r="G4059" s="59"/>
    </row>
    <row r="4060" spans="3:7" ht="20.25" customHeight="1" x14ac:dyDescent="0.3">
      <c r="C4060" s="59"/>
      <c r="D4060" s="69"/>
      <c r="E4060" s="69"/>
      <c r="F4060" s="17"/>
      <c r="G4060" s="59"/>
    </row>
    <row r="4061" spans="3:7" ht="20.25" customHeight="1" x14ac:dyDescent="0.3">
      <c r="C4061" s="59"/>
      <c r="D4061" s="69"/>
      <c r="E4061" s="69"/>
      <c r="F4061" s="17"/>
      <c r="G4061" s="59"/>
    </row>
    <row r="4062" spans="3:7" ht="20.25" customHeight="1" x14ac:dyDescent="0.3">
      <c r="C4062" s="59"/>
      <c r="D4062" s="69"/>
      <c r="E4062" s="69"/>
      <c r="F4062" s="17"/>
      <c r="G4062" s="59"/>
    </row>
    <row r="4063" spans="3:7" ht="20.25" customHeight="1" x14ac:dyDescent="0.3">
      <c r="C4063" s="59"/>
      <c r="D4063" s="69"/>
      <c r="E4063" s="69"/>
      <c r="F4063" s="17"/>
      <c r="G4063" s="59"/>
    </row>
    <row r="4064" spans="3:7" ht="20.25" customHeight="1" x14ac:dyDescent="0.3">
      <c r="C4064" s="59"/>
      <c r="D4064" s="69"/>
      <c r="E4064" s="69"/>
      <c r="F4064" s="17"/>
      <c r="G4064" s="59"/>
    </row>
    <row r="4065" spans="3:7" ht="20.25" customHeight="1" x14ac:dyDescent="0.3">
      <c r="C4065" s="59"/>
      <c r="D4065" s="69"/>
      <c r="E4065" s="69"/>
      <c r="F4065" s="17"/>
      <c r="G4065" s="59"/>
    </row>
    <row r="4066" spans="3:7" ht="20.25" customHeight="1" x14ac:dyDescent="0.3">
      <c r="C4066" s="59"/>
      <c r="D4066" s="69"/>
      <c r="E4066" s="69"/>
      <c r="F4066" s="17"/>
      <c r="G4066" s="59"/>
    </row>
    <row r="4067" spans="3:7" ht="20.25" customHeight="1" x14ac:dyDescent="0.3">
      <c r="C4067" s="59"/>
      <c r="D4067" s="69"/>
      <c r="E4067" s="69"/>
      <c r="F4067" s="17"/>
      <c r="G4067" s="59"/>
    </row>
    <row r="4068" spans="3:7" ht="20.25" customHeight="1" x14ac:dyDescent="0.3">
      <c r="C4068" s="59"/>
      <c r="D4068" s="69"/>
      <c r="E4068" s="69"/>
      <c r="F4068" s="17"/>
      <c r="G4068" s="59"/>
    </row>
    <row r="4069" spans="3:7" ht="20.25" customHeight="1" x14ac:dyDescent="0.3">
      <c r="C4069" s="59"/>
      <c r="D4069" s="69"/>
      <c r="E4069" s="69"/>
      <c r="F4069" s="17"/>
      <c r="G4069" s="59"/>
    </row>
    <row r="4070" spans="3:7" ht="20.25" customHeight="1" x14ac:dyDescent="0.3">
      <c r="C4070" s="59"/>
      <c r="D4070" s="69"/>
      <c r="E4070" s="69"/>
      <c r="F4070" s="17"/>
      <c r="G4070" s="59"/>
    </row>
    <row r="4071" spans="3:7" ht="20.25" customHeight="1" x14ac:dyDescent="0.3">
      <c r="C4071" s="59"/>
      <c r="D4071" s="69"/>
      <c r="E4071" s="69"/>
      <c r="F4071" s="17"/>
      <c r="G4071" s="59"/>
    </row>
    <row r="4072" spans="3:7" ht="20.25" customHeight="1" x14ac:dyDescent="0.3">
      <c r="C4072" s="59"/>
      <c r="D4072" s="69"/>
      <c r="E4072" s="69"/>
      <c r="F4072" s="17"/>
      <c r="G4072" s="59"/>
    </row>
    <row r="4073" spans="3:7" ht="20.25" customHeight="1" x14ac:dyDescent="0.3">
      <c r="C4073" s="59"/>
      <c r="D4073" s="69"/>
      <c r="E4073" s="69"/>
      <c r="F4073" s="17"/>
      <c r="G4073" s="59"/>
    </row>
    <row r="4074" spans="3:7" ht="20.25" customHeight="1" x14ac:dyDescent="0.3">
      <c r="C4074" s="59"/>
      <c r="D4074" s="69"/>
      <c r="E4074" s="69"/>
      <c r="F4074" s="17"/>
      <c r="G4074" s="59"/>
    </row>
    <row r="4075" spans="3:7" ht="20.25" customHeight="1" x14ac:dyDescent="0.3">
      <c r="C4075" s="59"/>
      <c r="D4075" s="69"/>
      <c r="E4075" s="69"/>
      <c r="F4075" s="17"/>
      <c r="G4075" s="59"/>
    </row>
    <row r="4076" spans="3:7" ht="20.25" customHeight="1" x14ac:dyDescent="0.3">
      <c r="C4076" s="59"/>
      <c r="D4076" s="69"/>
      <c r="E4076" s="69"/>
      <c r="F4076" s="17"/>
      <c r="G4076" s="59"/>
    </row>
    <row r="4077" spans="3:7" ht="20.25" customHeight="1" x14ac:dyDescent="0.3">
      <c r="C4077" s="59"/>
      <c r="D4077" s="69"/>
      <c r="E4077" s="69"/>
      <c r="F4077" s="17"/>
      <c r="G4077" s="59"/>
    </row>
    <row r="4078" spans="3:7" ht="20.25" customHeight="1" x14ac:dyDescent="0.3">
      <c r="C4078" s="59"/>
      <c r="D4078" s="69"/>
      <c r="E4078" s="69"/>
      <c r="F4078" s="17"/>
      <c r="G4078" s="59"/>
    </row>
    <row r="4079" spans="3:7" ht="20.25" customHeight="1" x14ac:dyDescent="0.3">
      <c r="C4079" s="59"/>
      <c r="D4079" s="69"/>
      <c r="E4079" s="69"/>
      <c r="F4079" s="17"/>
      <c r="G4079" s="59"/>
    </row>
    <row r="4080" spans="3:7" ht="20.25" customHeight="1" x14ac:dyDescent="0.3">
      <c r="C4080" s="59"/>
      <c r="D4080" s="69"/>
      <c r="E4080" s="69"/>
      <c r="F4080" s="17"/>
      <c r="G4080" s="59"/>
    </row>
    <row r="4081" spans="3:7" ht="20.25" customHeight="1" x14ac:dyDescent="0.3">
      <c r="C4081" s="59"/>
      <c r="D4081" s="69"/>
      <c r="E4081" s="69"/>
      <c r="F4081" s="17"/>
      <c r="G4081" s="59"/>
    </row>
    <row r="4082" spans="3:7" ht="20.25" customHeight="1" x14ac:dyDescent="0.3">
      <c r="C4082" s="59"/>
      <c r="D4082" s="69"/>
      <c r="E4082" s="69"/>
      <c r="F4082" s="17"/>
      <c r="G4082" s="59"/>
    </row>
    <row r="4083" spans="3:7" ht="20.25" customHeight="1" x14ac:dyDescent="0.3">
      <c r="C4083" s="59"/>
      <c r="D4083" s="69"/>
      <c r="E4083" s="69"/>
      <c r="F4083" s="17"/>
      <c r="G4083" s="59"/>
    </row>
    <row r="4084" spans="3:7" ht="20.25" customHeight="1" x14ac:dyDescent="0.3">
      <c r="C4084" s="59"/>
      <c r="D4084" s="69"/>
      <c r="E4084" s="69"/>
      <c r="F4084" s="17"/>
      <c r="G4084" s="59"/>
    </row>
    <row r="4085" spans="3:7" ht="20.25" customHeight="1" x14ac:dyDescent="0.3">
      <c r="C4085" s="59"/>
      <c r="D4085" s="69"/>
      <c r="E4085" s="69"/>
      <c r="F4085" s="17"/>
      <c r="G4085" s="59"/>
    </row>
    <row r="4086" spans="3:7" ht="20.25" customHeight="1" x14ac:dyDescent="0.3">
      <c r="C4086" s="59"/>
      <c r="D4086" s="69"/>
      <c r="E4086" s="69"/>
      <c r="F4086" s="17"/>
      <c r="G4086" s="59"/>
    </row>
    <row r="4087" spans="3:7" ht="20.25" customHeight="1" x14ac:dyDescent="0.3">
      <c r="C4087" s="59"/>
      <c r="D4087" s="69"/>
      <c r="E4087" s="69"/>
      <c r="F4087" s="17"/>
      <c r="G4087" s="59"/>
    </row>
    <row r="4088" spans="3:7" ht="20.25" customHeight="1" x14ac:dyDescent="0.3">
      <c r="C4088" s="59"/>
      <c r="D4088" s="69"/>
      <c r="E4088" s="69"/>
      <c r="F4088" s="17"/>
      <c r="G4088" s="59"/>
    </row>
    <row r="4089" spans="3:7" ht="20.25" customHeight="1" x14ac:dyDescent="0.3">
      <c r="C4089" s="59"/>
      <c r="D4089" s="69"/>
      <c r="E4089" s="69"/>
      <c r="F4089" s="17"/>
      <c r="G4089" s="59"/>
    </row>
    <row r="4090" spans="3:7" ht="20.25" customHeight="1" x14ac:dyDescent="0.3">
      <c r="C4090" s="59"/>
      <c r="D4090" s="69"/>
      <c r="E4090" s="69"/>
      <c r="F4090" s="17"/>
      <c r="G4090" s="59"/>
    </row>
    <row r="4091" spans="3:7" ht="20.25" customHeight="1" x14ac:dyDescent="0.3">
      <c r="C4091" s="59"/>
      <c r="D4091" s="69"/>
      <c r="E4091" s="69"/>
      <c r="F4091" s="17"/>
      <c r="G4091" s="59"/>
    </row>
    <row r="4092" spans="3:7" ht="20.25" customHeight="1" x14ac:dyDescent="0.3">
      <c r="C4092" s="59"/>
      <c r="D4092" s="69"/>
      <c r="E4092" s="69"/>
      <c r="F4092" s="17"/>
      <c r="G4092" s="59"/>
    </row>
    <row r="4093" spans="3:7" ht="20.25" customHeight="1" x14ac:dyDescent="0.3">
      <c r="C4093" s="59"/>
      <c r="D4093" s="69"/>
      <c r="E4093" s="69"/>
      <c r="F4093" s="17"/>
      <c r="G4093" s="59"/>
    </row>
    <row r="4094" spans="3:7" ht="20.25" customHeight="1" x14ac:dyDescent="0.3">
      <c r="C4094" s="59"/>
      <c r="D4094" s="69"/>
      <c r="E4094" s="69"/>
      <c r="F4094" s="17"/>
      <c r="G4094" s="59"/>
    </row>
    <row r="4095" spans="3:7" ht="20.25" customHeight="1" x14ac:dyDescent="0.3">
      <c r="C4095" s="59"/>
      <c r="D4095" s="69"/>
      <c r="E4095" s="69"/>
      <c r="F4095" s="17"/>
      <c r="G4095" s="59"/>
    </row>
    <row r="4096" spans="3:7" ht="20.25" customHeight="1" x14ac:dyDescent="0.3">
      <c r="C4096" s="59"/>
      <c r="D4096" s="69"/>
      <c r="E4096" s="69"/>
      <c r="F4096" s="17"/>
      <c r="G4096" s="59"/>
    </row>
    <row r="4097" spans="3:7" ht="20.25" customHeight="1" x14ac:dyDescent="0.3">
      <c r="C4097" s="59"/>
      <c r="D4097" s="69"/>
      <c r="E4097" s="69"/>
      <c r="F4097" s="17"/>
      <c r="G4097" s="59"/>
    </row>
    <row r="4098" spans="3:7" ht="20.25" customHeight="1" x14ac:dyDescent="0.3">
      <c r="C4098" s="59"/>
      <c r="D4098" s="69"/>
      <c r="E4098" s="69"/>
      <c r="F4098" s="17"/>
      <c r="G4098" s="59"/>
    </row>
    <row r="4099" spans="3:7" ht="20.25" customHeight="1" x14ac:dyDescent="0.3">
      <c r="C4099" s="59"/>
      <c r="D4099" s="69"/>
      <c r="E4099" s="69"/>
      <c r="F4099" s="17"/>
      <c r="G4099" s="59"/>
    </row>
    <row r="4100" spans="3:7" ht="20.25" customHeight="1" x14ac:dyDescent="0.3">
      <c r="C4100" s="59"/>
      <c r="D4100" s="69"/>
      <c r="E4100" s="69"/>
      <c r="F4100" s="17"/>
      <c r="G4100" s="59"/>
    </row>
    <row r="4101" spans="3:7" ht="20.25" customHeight="1" x14ac:dyDescent="0.3">
      <c r="C4101" s="59"/>
      <c r="D4101" s="69"/>
      <c r="E4101" s="69"/>
      <c r="F4101" s="17"/>
      <c r="G4101" s="59"/>
    </row>
    <row r="4102" spans="3:7" ht="20.25" customHeight="1" x14ac:dyDescent="0.3">
      <c r="C4102" s="59"/>
      <c r="D4102" s="69"/>
      <c r="E4102" s="69"/>
      <c r="F4102" s="17"/>
      <c r="G4102" s="59"/>
    </row>
    <row r="4103" spans="3:7" ht="20.25" customHeight="1" x14ac:dyDescent="0.3">
      <c r="C4103" s="59"/>
      <c r="D4103" s="69"/>
      <c r="E4103" s="69"/>
      <c r="F4103" s="17"/>
      <c r="G4103" s="59"/>
    </row>
    <row r="4104" spans="3:7" ht="20.25" customHeight="1" x14ac:dyDescent="0.3">
      <c r="C4104" s="59"/>
      <c r="D4104" s="69"/>
      <c r="E4104" s="69"/>
      <c r="F4104" s="17"/>
      <c r="G4104" s="59"/>
    </row>
    <row r="4105" spans="3:7" ht="20.25" customHeight="1" x14ac:dyDescent="0.3">
      <c r="C4105" s="59"/>
      <c r="D4105" s="69"/>
      <c r="E4105" s="69"/>
      <c r="F4105" s="17"/>
      <c r="G4105" s="59"/>
    </row>
    <row r="4106" spans="3:7" ht="20.25" customHeight="1" x14ac:dyDescent="0.3">
      <c r="C4106" s="59"/>
      <c r="D4106" s="69"/>
      <c r="E4106" s="69"/>
      <c r="F4106" s="17"/>
      <c r="G4106" s="59"/>
    </row>
    <row r="4107" spans="3:7" ht="20.25" customHeight="1" x14ac:dyDescent="0.3">
      <c r="C4107" s="59"/>
      <c r="D4107" s="69"/>
      <c r="E4107" s="69"/>
      <c r="F4107" s="17"/>
      <c r="G4107" s="59"/>
    </row>
    <row r="4108" spans="3:7" ht="20.25" customHeight="1" x14ac:dyDescent="0.3">
      <c r="C4108" s="59"/>
      <c r="D4108" s="69"/>
      <c r="E4108" s="69"/>
      <c r="F4108" s="17"/>
      <c r="G4108" s="59"/>
    </row>
    <row r="4109" spans="3:7" ht="20.25" customHeight="1" x14ac:dyDescent="0.3">
      <c r="C4109" s="59"/>
      <c r="D4109" s="69"/>
      <c r="E4109" s="69"/>
      <c r="F4109" s="17"/>
      <c r="G4109" s="59"/>
    </row>
    <row r="4110" spans="3:7" ht="20.25" customHeight="1" x14ac:dyDescent="0.3">
      <c r="C4110" s="59"/>
      <c r="D4110" s="69"/>
      <c r="E4110" s="69"/>
      <c r="F4110" s="17"/>
      <c r="G4110" s="59"/>
    </row>
    <row r="4111" spans="3:7" ht="20.25" customHeight="1" x14ac:dyDescent="0.3">
      <c r="C4111" s="59"/>
      <c r="D4111" s="69"/>
      <c r="E4111" s="69"/>
      <c r="F4111" s="17"/>
      <c r="G4111" s="59"/>
    </row>
    <row r="4112" spans="3:7" ht="20.25" customHeight="1" x14ac:dyDescent="0.3">
      <c r="C4112" s="59"/>
      <c r="D4112" s="69"/>
      <c r="E4112" s="69"/>
      <c r="F4112" s="17"/>
      <c r="G4112" s="59"/>
    </row>
    <row r="4113" spans="3:7" ht="20.25" customHeight="1" x14ac:dyDescent="0.3">
      <c r="C4113" s="59"/>
      <c r="D4113" s="69"/>
      <c r="E4113" s="69"/>
      <c r="F4113" s="17"/>
      <c r="G4113" s="59"/>
    </row>
    <row r="4114" spans="3:7" ht="20.25" customHeight="1" x14ac:dyDescent="0.3">
      <c r="C4114" s="59"/>
      <c r="D4114" s="69"/>
      <c r="E4114" s="69"/>
      <c r="F4114" s="17"/>
      <c r="G4114" s="59"/>
    </row>
    <row r="4115" spans="3:7" ht="20.25" customHeight="1" x14ac:dyDescent="0.3">
      <c r="C4115" s="59"/>
      <c r="D4115" s="69"/>
      <c r="E4115" s="69"/>
      <c r="F4115" s="17"/>
      <c r="G4115" s="59"/>
    </row>
    <row r="4116" spans="3:7" ht="20.25" customHeight="1" x14ac:dyDescent="0.3">
      <c r="C4116" s="59"/>
      <c r="D4116" s="69"/>
      <c r="E4116" s="69"/>
      <c r="F4116" s="17"/>
      <c r="G4116" s="59"/>
    </row>
    <row r="4117" spans="3:7" ht="20.25" customHeight="1" x14ac:dyDescent="0.3">
      <c r="C4117" s="59"/>
      <c r="D4117" s="69"/>
      <c r="E4117" s="69"/>
      <c r="F4117" s="17"/>
      <c r="G4117" s="59"/>
    </row>
    <row r="4118" spans="3:7" ht="20.25" customHeight="1" x14ac:dyDescent="0.3">
      <c r="C4118" s="59"/>
      <c r="D4118" s="69"/>
      <c r="E4118" s="69"/>
      <c r="F4118" s="17"/>
      <c r="G4118" s="59"/>
    </row>
    <row r="4119" spans="3:7" ht="20.25" customHeight="1" x14ac:dyDescent="0.3">
      <c r="C4119" s="59"/>
      <c r="D4119" s="69"/>
      <c r="E4119" s="69"/>
      <c r="F4119" s="17"/>
      <c r="G4119" s="59"/>
    </row>
    <row r="4120" spans="3:7" ht="20.25" customHeight="1" x14ac:dyDescent="0.3">
      <c r="C4120" s="59"/>
      <c r="D4120" s="69"/>
      <c r="E4120" s="69"/>
      <c r="F4120" s="17"/>
      <c r="G4120" s="59"/>
    </row>
    <row r="4121" spans="3:7" ht="20.25" customHeight="1" x14ac:dyDescent="0.3">
      <c r="C4121" s="59"/>
      <c r="D4121" s="69"/>
      <c r="E4121" s="69"/>
      <c r="F4121" s="17"/>
      <c r="G4121" s="59"/>
    </row>
    <row r="4122" spans="3:7" ht="20.25" customHeight="1" x14ac:dyDescent="0.3">
      <c r="C4122" s="59"/>
      <c r="D4122" s="69"/>
      <c r="E4122" s="69"/>
      <c r="F4122" s="17"/>
      <c r="G4122" s="59"/>
    </row>
    <row r="4123" spans="3:7" ht="20.25" customHeight="1" x14ac:dyDescent="0.3">
      <c r="C4123" s="59"/>
      <c r="D4123" s="69"/>
      <c r="E4123" s="69"/>
      <c r="F4123" s="17"/>
      <c r="G4123" s="59"/>
    </row>
    <row r="4124" spans="3:7" ht="20.25" customHeight="1" x14ac:dyDescent="0.3">
      <c r="C4124" s="59"/>
      <c r="D4124" s="69"/>
      <c r="E4124" s="69"/>
      <c r="F4124" s="17"/>
      <c r="G4124" s="59"/>
    </row>
    <row r="4125" spans="3:7" ht="20.25" customHeight="1" x14ac:dyDescent="0.3">
      <c r="C4125" s="59"/>
      <c r="D4125" s="69"/>
      <c r="E4125" s="69"/>
      <c r="F4125" s="17"/>
      <c r="G4125" s="59"/>
    </row>
    <row r="4126" spans="3:7" ht="20.25" customHeight="1" x14ac:dyDescent="0.3">
      <c r="C4126" s="59"/>
      <c r="D4126" s="69"/>
      <c r="E4126" s="69"/>
      <c r="F4126" s="17"/>
      <c r="G4126" s="59"/>
    </row>
    <row r="4127" spans="3:7" ht="20.25" customHeight="1" x14ac:dyDescent="0.3">
      <c r="C4127" s="59"/>
      <c r="D4127" s="69"/>
      <c r="E4127" s="69"/>
      <c r="F4127" s="17"/>
      <c r="G4127" s="59"/>
    </row>
    <row r="4128" spans="3:7" ht="20.25" customHeight="1" x14ac:dyDescent="0.3">
      <c r="C4128" s="59"/>
      <c r="D4128" s="69"/>
      <c r="E4128" s="69"/>
      <c r="F4128" s="17"/>
      <c r="G4128" s="59"/>
    </row>
    <row r="4129" spans="3:7" ht="20.25" customHeight="1" x14ac:dyDescent="0.3">
      <c r="C4129" s="59"/>
      <c r="D4129" s="69"/>
      <c r="E4129" s="69"/>
      <c r="F4129" s="17"/>
      <c r="G4129" s="59"/>
    </row>
    <row r="4130" spans="3:7" ht="20.25" customHeight="1" x14ac:dyDescent="0.3">
      <c r="C4130" s="59"/>
      <c r="D4130" s="69"/>
      <c r="E4130" s="69"/>
      <c r="F4130" s="17"/>
      <c r="G4130" s="59"/>
    </row>
    <row r="4131" spans="3:7" ht="20.25" customHeight="1" x14ac:dyDescent="0.3">
      <c r="C4131" s="59"/>
      <c r="D4131" s="69"/>
      <c r="E4131" s="69"/>
      <c r="F4131" s="17"/>
      <c r="G4131" s="59"/>
    </row>
    <row r="4132" spans="3:7" ht="20.25" customHeight="1" x14ac:dyDescent="0.3">
      <c r="C4132" s="59"/>
      <c r="D4132" s="69"/>
      <c r="E4132" s="69"/>
      <c r="F4132" s="17"/>
      <c r="G4132" s="59"/>
    </row>
    <row r="4133" spans="3:7" ht="20.25" customHeight="1" x14ac:dyDescent="0.3">
      <c r="C4133" s="59"/>
      <c r="D4133" s="69"/>
      <c r="E4133" s="69"/>
      <c r="F4133" s="17"/>
      <c r="G4133" s="59"/>
    </row>
    <row r="4134" spans="3:7" ht="20.25" customHeight="1" x14ac:dyDescent="0.3">
      <c r="C4134" s="59"/>
      <c r="D4134" s="69"/>
      <c r="E4134" s="69"/>
      <c r="F4134" s="17"/>
      <c r="G4134" s="59"/>
    </row>
    <row r="4135" spans="3:7" ht="20.25" customHeight="1" x14ac:dyDescent="0.3">
      <c r="C4135" s="59"/>
      <c r="D4135" s="69"/>
      <c r="E4135" s="69"/>
      <c r="F4135" s="17"/>
      <c r="G4135" s="59"/>
    </row>
    <row r="4136" spans="3:7" ht="20.25" customHeight="1" x14ac:dyDescent="0.3">
      <c r="C4136" s="59"/>
      <c r="D4136" s="69"/>
      <c r="E4136" s="69"/>
      <c r="F4136" s="17"/>
      <c r="G4136" s="59"/>
    </row>
    <row r="4137" spans="3:7" ht="20.25" customHeight="1" x14ac:dyDescent="0.3">
      <c r="C4137" s="59"/>
      <c r="D4137" s="69"/>
      <c r="E4137" s="69"/>
      <c r="F4137" s="17"/>
      <c r="G4137" s="59"/>
    </row>
    <row r="4138" spans="3:7" ht="20.25" customHeight="1" x14ac:dyDescent="0.3">
      <c r="C4138" s="59"/>
      <c r="D4138" s="69"/>
      <c r="E4138" s="69"/>
      <c r="F4138" s="17"/>
      <c r="G4138" s="59"/>
    </row>
    <row r="4139" spans="3:7" ht="20.25" customHeight="1" x14ac:dyDescent="0.3">
      <c r="C4139" s="59"/>
      <c r="D4139" s="69"/>
      <c r="E4139" s="69"/>
      <c r="F4139" s="17"/>
      <c r="G4139" s="59"/>
    </row>
    <row r="4140" spans="3:7" ht="20.25" customHeight="1" x14ac:dyDescent="0.3">
      <c r="C4140" s="59"/>
      <c r="D4140" s="69"/>
      <c r="E4140" s="69"/>
      <c r="F4140" s="17"/>
      <c r="G4140" s="59"/>
    </row>
    <row r="4141" spans="3:7" ht="20.25" customHeight="1" x14ac:dyDescent="0.3">
      <c r="C4141" s="59"/>
      <c r="D4141" s="69"/>
      <c r="E4141" s="69"/>
      <c r="F4141" s="17"/>
      <c r="G4141" s="59"/>
    </row>
    <row r="4142" spans="3:7" ht="20.25" customHeight="1" x14ac:dyDescent="0.3">
      <c r="C4142" s="59"/>
      <c r="D4142" s="69"/>
      <c r="E4142" s="69"/>
      <c r="F4142" s="17"/>
      <c r="G4142" s="59"/>
    </row>
    <row r="4143" spans="3:7" ht="20.25" customHeight="1" x14ac:dyDescent="0.3">
      <c r="C4143" s="59"/>
      <c r="D4143" s="69"/>
      <c r="E4143" s="69"/>
      <c r="F4143" s="17"/>
      <c r="G4143" s="59"/>
    </row>
    <row r="4144" spans="3:7" ht="20.25" customHeight="1" x14ac:dyDescent="0.3">
      <c r="C4144" s="59"/>
      <c r="D4144" s="69"/>
      <c r="E4144" s="69"/>
      <c r="F4144" s="17"/>
      <c r="G4144" s="59"/>
    </row>
    <row r="4145" spans="3:7" ht="20.25" customHeight="1" x14ac:dyDescent="0.3">
      <c r="C4145" s="59"/>
      <c r="D4145" s="69"/>
      <c r="E4145" s="69"/>
      <c r="F4145" s="17"/>
      <c r="G4145" s="59"/>
    </row>
    <row r="4146" spans="3:7" ht="20.25" customHeight="1" x14ac:dyDescent="0.3">
      <c r="C4146" s="59"/>
      <c r="D4146" s="69"/>
      <c r="E4146" s="69"/>
      <c r="F4146" s="17"/>
      <c r="G4146" s="59"/>
    </row>
    <row r="4147" spans="3:7" ht="20.25" customHeight="1" x14ac:dyDescent="0.3">
      <c r="C4147" s="59"/>
      <c r="D4147" s="69"/>
      <c r="E4147" s="69"/>
      <c r="F4147" s="17"/>
      <c r="G4147" s="59"/>
    </row>
    <row r="4148" spans="3:7" ht="20.25" customHeight="1" x14ac:dyDescent="0.3">
      <c r="C4148" s="59"/>
      <c r="D4148" s="69"/>
      <c r="E4148" s="69"/>
      <c r="F4148" s="17"/>
      <c r="G4148" s="59"/>
    </row>
    <row r="4149" spans="3:7" ht="20.25" customHeight="1" x14ac:dyDescent="0.3">
      <c r="C4149" s="59"/>
      <c r="D4149" s="69"/>
      <c r="E4149" s="69"/>
      <c r="F4149" s="17"/>
      <c r="G4149" s="59"/>
    </row>
    <row r="4150" spans="3:7" ht="20.25" customHeight="1" x14ac:dyDescent="0.3">
      <c r="C4150" s="59"/>
      <c r="D4150" s="69"/>
      <c r="E4150" s="69"/>
      <c r="F4150" s="17"/>
      <c r="G4150" s="59"/>
    </row>
    <row r="4151" spans="3:7" ht="20.25" customHeight="1" x14ac:dyDescent="0.3">
      <c r="C4151" s="59"/>
      <c r="D4151" s="69"/>
      <c r="E4151" s="69"/>
      <c r="F4151" s="17"/>
      <c r="G4151" s="59"/>
    </row>
    <row r="4152" spans="3:7" ht="20.25" customHeight="1" x14ac:dyDescent="0.3">
      <c r="C4152" s="59"/>
      <c r="D4152" s="69"/>
      <c r="E4152" s="69"/>
      <c r="F4152" s="17"/>
      <c r="G4152" s="59"/>
    </row>
    <row r="4153" spans="3:7" ht="20.25" customHeight="1" x14ac:dyDescent="0.3">
      <c r="C4153" s="59"/>
      <c r="D4153" s="69"/>
      <c r="E4153" s="69"/>
      <c r="F4153" s="17"/>
      <c r="G4153" s="59"/>
    </row>
    <row r="4154" spans="3:7" ht="20.25" customHeight="1" x14ac:dyDescent="0.3">
      <c r="C4154" s="59"/>
      <c r="D4154" s="69"/>
      <c r="E4154" s="69"/>
      <c r="F4154" s="17"/>
      <c r="G4154" s="59"/>
    </row>
    <row r="4155" spans="3:7" ht="20.25" customHeight="1" x14ac:dyDescent="0.3">
      <c r="C4155" s="59"/>
      <c r="D4155" s="69"/>
      <c r="E4155" s="69"/>
      <c r="F4155" s="17"/>
      <c r="G4155" s="59"/>
    </row>
    <row r="4156" spans="3:7" ht="20.25" customHeight="1" x14ac:dyDescent="0.3">
      <c r="C4156" s="59"/>
      <c r="D4156" s="69"/>
      <c r="E4156" s="69"/>
      <c r="F4156" s="17"/>
      <c r="G4156" s="59"/>
    </row>
    <row r="4157" spans="3:7" ht="20.25" customHeight="1" x14ac:dyDescent="0.3">
      <c r="C4157" s="59"/>
      <c r="D4157" s="69"/>
      <c r="E4157" s="69"/>
      <c r="F4157" s="17"/>
      <c r="G4157" s="59"/>
    </row>
    <row r="4158" spans="3:7" ht="20.25" customHeight="1" x14ac:dyDescent="0.3">
      <c r="C4158" s="59"/>
      <c r="D4158" s="69"/>
      <c r="E4158" s="69"/>
      <c r="F4158" s="17"/>
      <c r="G4158" s="59"/>
    </row>
    <row r="4159" spans="3:7" ht="20.25" customHeight="1" x14ac:dyDescent="0.3">
      <c r="C4159" s="59"/>
      <c r="D4159" s="69"/>
      <c r="E4159" s="69"/>
      <c r="F4159" s="17"/>
      <c r="G4159" s="59"/>
    </row>
    <row r="4160" spans="3:7" ht="20.25" customHeight="1" x14ac:dyDescent="0.3">
      <c r="C4160" s="59"/>
      <c r="D4160" s="69"/>
      <c r="E4160" s="69"/>
      <c r="F4160" s="17"/>
      <c r="G4160" s="59"/>
    </row>
    <row r="4161" spans="3:7" ht="20.25" customHeight="1" x14ac:dyDescent="0.3">
      <c r="C4161" s="59"/>
      <c r="D4161" s="69"/>
      <c r="E4161" s="69"/>
      <c r="F4161" s="17"/>
      <c r="G4161" s="59"/>
    </row>
    <row r="4162" spans="3:7" ht="20.25" customHeight="1" x14ac:dyDescent="0.3">
      <c r="C4162" s="59"/>
      <c r="D4162" s="69"/>
      <c r="E4162" s="69"/>
      <c r="F4162" s="17"/>
      <c r="G4162" s="59"/>
    </row>
    <row r="4163" spans="3:7" ht="20.25" customHeight="1" x14ac:dyDescent="0.3">
      <c r="C4163" s="59"/>
      <c r="D4163" s="69"/>
      <c r="E4163" s="69"/>
      <c r="F4163" s="17"/>
      <c r="G4163" s="59"/>
    </row>
    <row r="4164" spans="3:7" ht="20.25" customHeight="1" x14ac:dyDescent="0.3">
      <c r="C4164" s="59"/>
      <c r="D4164" s="69"/>
      <c r="E4164" s="69"/>
      <c r="F4164" s="17"/>
      <c r="G4164" s="59"/>
    </row>
    <row r="4165" spans="3:7" ht="20.25" customHeight="1" x14ac:dyDescent="0.3">
      <c r="C4165" s="59"/>
      <c r="D4165" s="69"/>
      <c r="E4165" s="69"/>
      <c r="F4165" s="17"/>
      <c r="G4165" s="59"/>
    </row>
    <row r="4166" spans="3:7" ht="20.25" customHeight="1" x14ac:dyDescent="0.3">
      <c r="C4166" s="59"/>
      <c r="D4166" s="69"/>
      <c r="E4166" s="69"/>
      <c r="F4166" s="17"/>
      <c r="G4166" s="59"/>
    </row>
    <row r="4167" spans="3:7" ht="20.25" customHeight="1" x14ac:dyDescent="0.3">
      <c r="C4167" s="59"/>
      <c r="D4167" s="69"/>
      <c r="E4167" s="69"/>
      <c r="F4167" s="17"/>
      <c r="G4167" s="59"/>
    </row>
    <row r="4168" spans="3:7" ht="20.25" customHeight="1" x14ac:dyDescent="0.3">
      <c r="C4168" s="59"/>
      <c r="D4168" s="69"/>
      <c r="E4168" s="69"/>
      <c r="F4168" s="17"/>
      <c r="G4168" s="59"/>
    </row>
    <row r="4169" spans="3:7" ht="20.25" customHeight="1" x14ac:dyDescent="0.3">
      <c r="C4169" s="59"/>
      <c r="D4169" s="69"/>
      <c r="E4169" s="69"/>
      <c r="F4169" s="17"/>
      <c r="G4169" s="59"/>
    </row>
    <row r="4170" spans="3:7" ht="20.25" customHeight="1" x14ac:dyDescent="0.3">
      <c r="C4170" s="59"/>
      <c r="D4170" s="69"/>
      <c r="E4170" s="69"/>
      <c r="F4170" s="17"/>
      <c r="G4170" s="59"/>
    </row>
    <row r="4171" spans="3:7" ht="20.25" customHeight="1" x14ac:dyDescent="0.3">
      <c r="C4171" s="59"/>
      <c r="D4171" s="69"/>
      <c r="E4171" s="69"/>
      <c r="F4171" s="17"/>
      <c r="G4171" s="59"/>
    </row>
    <row r="4172" spans="3:7" ht="20.25" customHeight="1" x14ac:dyDescent="0.3">
      <c r="C4172" s="59"/>
      <c r="D4172" s="69"/>
      <c r="E4172" s="69"/>
      <c r="F4172" s="17"/>
      <c r="G4172" s="59"/>
    </row>
    <row r="4173" spans="3:7" ht="20.25" customHeight="1" x14ac:dyDescent="0.3">
      <c r="C4173" s="59"/>
      <c r="D4173" s="69"/>
      <c r="E4173" s="69"/>
      <c r="F4173" s="17"/>
      <c r="G4173" s="59"/>
    </row>
    <row r="4174" spans="3:7" ht="20.25" customHeight="1" x14ac:dyDescent="0.3">
      <c r="C4174" s="59"/>
      <c r="D4174" s="69"/>
      <c r="E4174" s="69"/>
      <c r="F4174" s="17"/>
      <c r="G4174" s="59"/>
    </row>
    <row r="4175" spans="3:7" ht="20.25" customHeight="1" x14ac:dyDescent="0.3">
      <c r="C4175" s="59"/>
      <c r="D4175" s="69"/>
      <c r="E4175" s="69"/>
      <c r="F4175" s="17"/>
      <c r="G4175" s="59"/>
    </row>
    <row r="4176" spans="3:7" ht="20.25" customHeight="1" x14ac:dyDescent="0.3">
      <c r="C4176" s="59"/>
      <c r="D4176" s="69"/>
      <c r="E4176" s="69"/>
      <c r="F4176" s="17"/>
      <c r="G4176" s="59"/>
    </row>
    <row r="4177" spans="3:7" ht="20.25" customHeight="1" x14ac:dyDescent="0.3">
      <c r="C4177" s="59"/>
      <c r="D4177" s="69"/>
      <c r="E4177" s="69"/>
      <c r="F4177" s="17"/>
      <c r="G4177" s="59"/>
    </row>
    <row r="4178" spans="3:7" ht="20.25" customHeight="1" x14ac:dyDescent="0.3">
      <c r="C4178" s="59"/>
      <c r="D4178" s="69"/>
      <c r="E4178" s="69"/>
      <c r="F4178" s="17"/>
      <c r="G4178" s="59"/>
    </row>
    <row r="4179" spans="3:7" ht="20.25" customHeight="1" x14ac:dyDescent="0.3">
      <c r="C4179" s="59"/>
      <c r="D4179" s="69"/>
      <c r="E4179" s="69"/>
      <c r="F4179" s="17"/>
      <c r="G4179" s="59"/>
    </row>
    <row r="4180" spans="3:7" ht="20.25" customHeight="1" x14ac:dyDescent="0.3">
      <c r="C4180" s="59"/>
      <c r="D4180" s="69"/>
      <c r="E4180" s="69"/>
      <c r="F4180" s="17"/>
      <c r="G4180" s="59"/>
    </row>
    <row r="4181" spans="3:7" ht="20.25" customHeight="1" x14ac:dyDescent="0.3">
      <c r="C4181" s="59"/>
      <c r="D4181" s="69"/>
      <c r="E4181" s="69"/>
      <c r="F4181" s="17"/>
      <c r="G4181" s="59"/>
    </row>
    <row r="4182" spans="3:7" ht="20.25" customHeight="1" x14ac:dyDescent="0.3">
      <c r="C4182" s="59"/>
      <c r="D4182" s="69"/>
      <c r="E4182" s="69"/>
      <c r="F4182" s="17"/>
      <c r="G4182" s="59"/>
    </row>
    <row r="4183" spans="3:7" ht="20.25" customHeight="1" x14ac:dyDescent="0.3">
      <c r="C4183" s="59"/>
      <c r="D4183" s="69"/>
      <c r="E4183" s="69"/>
      <c r="F4183" s="17"/>
      <c r="G4183" s="59"/>
    </row>
    <row r="4184" spans="3:7" ht="20.25" customHeight="1" x14ac:dyDescent="0.3">
      <c r="C4184" s="59"/>
      <c r="D4184" s="69"/>
      <c r="E4184" s="69"/>
      <c r="F4184" s="17"/>
      <c r="G4184" s="59"/>
    </row>
    <row r="4185" spans="3:7" ht="20.25" customHeight="1" x14ac:dyDescent="0.3">
      <c r="C4185" s="59"/>
      <c r="D4185" s="69"/>
      <c r="E4185" s="69"/>
      <c r="F4185" s="17"/>
      <c r="G4185" s="59"/>
    </row>
    <row r="4186" spans="3:7" ht="20.25" customHeight="1" x14ac:dyDescent="0.3">
      <c r="C4186" s="59"/>
      <c r="D4186" s="69"/>
      <c r="E4186" s="69"/>
      <c r="F4186" s="17"/>
      <c r="G4186" s="59"/>
    </row>
    <row r="4187" spans="3:7" ht="20.25" customHeight="1" x14ac:dyDescent="0.3">
      <c r="C4187" s="59"/>
      <c r="D4187" s="69"/>
      <c r="E4187" s="69"/>
      <c r="F4187" s="17"/>
      <c r="G4187" s="59"/>
    </row>
    <row r="4188" spans="3:7" ht="20.25" customHeight="1" x14ac:dyDescent="0.3">
      <c r="C4188" s="59"/>
      <c r="D4188" s="69"/>
      <c r="E4188" s="69"/>
      <c r="F4188" s="17"/>
      <c r="G4188" s="59"/>
    </row>
    <row r="4189" spans="3:7" ht="20.25" customHeight="1" x14ac:dyDescent="0.3">
      <c r="C4189" s="59"/>
      <c r="D4189" s="69"/>
      <c r="E4189" s="69"/>
      <c r="F4189" s="17"/>
      <c r="G4189" s="59"/>
    </row>
    <row r="4190" spans="3:7" ht="20.25" customHeight="1" x14ac:dyDescent="0.3">
      <c r="C4190" s="59"/>
      <c r="D4190" s="69"/>
      <c r="E4190" s="69"/>
      <c r="F4190" s="17"/>
      <c r="G4190" s="59"/>
    </row>
    <row r="4191" spans="3:7" ht="20.25" customHeight="1" x14ac:dyDescent="0.3">
      <c r="C4191" s="59"/>
      <c r="D4191" s="69"/>
      <c r="E4191" s="69"/>
      <c r="F4191" s="17"/>
      <c r="G4191" s="59"/>
    </row>
    <row r="4192" spans="3:7" ht="20.25" customHeight="1" x14ac:dyDescent="0.3">
      <c r="C4192" s="59"/>
      <c r="D4192" s="69"/>
      <c r="E4192" s="69"/>
      <c r="F4192" s="17"/>
      <c r="G4192" s="59"/>
    </row>
    <row r="4193" spans="3:7" ht="20.25" customHeight="1" x14ac:dyDescent="0.3">
      <c r="C4193" s="59"/>
      <c r="D4193" s="69"/>
      <c r="E4193" s="69"/>
      <c r="F4193" s="17"/>
      <c r="G4193" s="59"/>
    </row>
    <row r="4194" spans="3:7" ht="20.25" customHeight="1" x14ac:dyDescent="0.3">
      <c r="C4194" s="59"/>
      <c r="D4194" s="69"/>
      <c r="E4194" s="69"/>
      <c r="F4194" s="17"/>
      <c r="G4194" s="59"/>
    </row>
    <row r="4195" spans="3:7" ht="20.25" customHeight="1" x14ac:dyDescent="0.3">
      <c r="C4195" s="59"/>
      <c r="D4195" s="69"/>
      <c r="E4195" s="69"/>
      <c r="F4195" s="17"/>
      <c r="G4195" s="59"/>
    </row>
    <row r="4196" spans="3:7" ht="20.25" customHeight="1" x14ac:dyDescent="0.3">
      <c r="C4196" s="59"/>
      <c r="D4196" s="69"/>
      <c r="E4196" s="69"/>
      <c r="F4196" s="17"/>
      <c r="G4196" s="59"/>
    </row>
    <row r="4197" spans="3:7" ht="20.25" customHeight="1" x14ac:dyDescent="0.3">
      <c r="C4197" s="59"/>
      <c r="D4197" s="69"/>
      <c r="E4197" s="69"/>
      <c r="F4197" s="17"/>
      <c r="G4197" s="59"/>
    </row>
    <row r="4198" spans="3:7" ht="20.25" customHeight="1" x14ac:dyDescent="0.3">
      <c r="C4198" s="59"/>
      <c r="D4198" s="69"/>
      <c r="E4198" s="69"/>
      <c r="F4198" s="17"/>
      <c r="G4198" s="59"/>
    </row>
    <row r="4199" spans="3:7" ht="20.25" customHeight="1" x14ac:dyDescent="0.3">
      <c r="C4199" s="59"/>
      <c r="D4199" s="69"/>
      <c r="E4199" s="69"/>
      <c r="F4199" s="17"/>
      <c r="G4199" s="59"/>
    </row>
    <row r="4200" spans="3:7" ht="20.25" customHeight="1" x14ac:dyDescent="0.3">
      <c r="C4200" s="59"/>
      <c r="D4200" s="69"/>
      <c r="E4200" s="69"/>
      <c r="F4200" s="17"/>
      <c r="G4200" s="59"/>
    </row>
    <row r="4201" spans="3:7" ht="20.25" customHeight="1" x14ac:dyDescent="0.3">
      <c r="C4201" s="59"/>
      <c r="D4201" s="69"/>
      <c r="E4201" s="69"/>
      <c r="F4201" s="17"/>
      <c r="G4201" s="59"/>
    </row>
    <row r="4202" spans="3:7" ht="20.25" customHeight="1" x14ac:dyDescent="0.3">
      <c r="C4202" s="59"/>
      <c r="D4202" s="69"/>
      <c r="E4202" s="69"/>
      <c r="F4202" s="17"/>
      <c r="G4202" s="59"/>
    </row>
    <row r="4203" spans="3:7" ht="20.25" customHeight="1" x14ac:dyDescent="0.3">
      <c r="C4203" s="59"/>
      <c r="D4203" s="69"/>
      <c r="E4203" s="69"/>
      <c r="F4203" s="17"/>
      <c r="G4203" s="59"/>
    </row>
    <row r="4204" spans="3:7" ht="20.25" customHeight="1" x14ac:dyDescent="0.3">
      <c r="C4204" s="59"/>
      <c r="D4204" s="69"/>
      <c r="E4204" s="69"/>
      <c r="F4204" s="17"/>
      <c r="G4204" s="59"/>
    </row>
    <row r="4205" spans="3:7" ht="20.25" customHeight="1" x14ac:dyDescent="0.3">
      <c r="C4205" s="59"/>
      <c r="D4205" s="69"/>
      <c r="E4205" s="69"/>
      <c r="F4205" s="17"/>
      <c r="G4205" s="59"/>
    </row>
    <row r="4206" spans="3:7" ht="20.25" customHeight="1" x14ac:dyDescent="0.3">
      <c r="C4206" s="59"/>
      <c r="D4206" s="69"/>
      <c r="E4206" s="69"/>
      <c r="F4206" s="17"/>
      <c r="G4206" s="59"/>
    </row>
    <row r="4207" spans="3:7" ht="20.25" customHeight="1" x14ac:dyDescent="0.3">
      <c r="C4207" s="59"/>
      <c r="D4207" s="69"/>
      <c r="E4207" s="69"/>
      <c r="F4207" s="17"/>
      <c r="G4207" s="59"/>
    </row>
    <row r="4208" spans="3:7" ht="20.25" customHeight="1" x14ac:dyDescent="0.3">
      <c r="C4208" s="59"/>
      <c r="D4208" s="69"/>
      <c r="E4208" s="69"/>
      <c r="F4208" s="17"/>
      <c r="G4208" s="59"/>
    </row>
    <row r="4209" spans="3:7" ht="20.25" customHeight="1" x14ac:dyDescent="0.3">
      <c r="C4209" s="59"/>
      <c r="D4209" s="69"/>
      <c r="E4209" s="69"/>
      <c r="F4209" s="17"/>
      <c r="G4209" s="59"/>
    </row>
    <row r="4210" spans="3:7" ht="20.25" customHeight="1" x14ac:dyDescent="0.3">
      <c r="C4210" s="59"/>
      <c r="D4210" s="69"/>
      <c r="E4210" s="69"/>
      <c r="F4210" s="17"/>
      <c r="G4210" s="59"/>
    </row>
    <row r="4211" spans="3:7" ht="20.25" customHeight="1" x14ac:dyDescent="0.3">
      <c r="C4211" s="59"/>
      <c r="D4211" s="69"/>
      <c r="E4211" s="69"/>
      <c r="F4211" s="17"/>
      <c r="G4211" s="59"/>
    </row>
    <row r="4212" spans="3:7" ht="20.25" customHeight="1" x14ac:dyDescent="0.3">
      <c r="C4212" s="59"/>
      <c r="D4212" s="69"/>
      <c r="E4212" s="69"/>
      <c r="F4212" s="17"/>
      <c r="G4212" s="59"/>
    </row>
    <row r="4213" spans="3:7" ht="20.25" customHeight="1" x14ac:dyDescent="0.3">
      <c r="C4213" s="59"/>
      <c r="D4213" s="69"/>
      <c r="E4213" s="69"/>
      <c r="F4213" s="17"/>
      <c r="G4213" s="59"/>
    </row>
    <row r="4214" spans="3:7" ht="20.25" customHeight="1" x14ac:dyDescent="0.3">
      <c r="C4214" s="59"/>
      <c r="D4214" s="69"/>
      <c r="E4214" s="69"/>
      <c r="F4214" s="17"/>
      <c r="G4214" s="59"/>
    </row>
    <row r="4215" spans="3:7" ht="20.25" customHeight="1" x14ac:dyDescent="0.3">
      <c r="C4215" s="59"/>
      <c r="D4215" s="69"/>
      <c r="E4215" s="69"/>
      <c r="F4215" s="17"/>
      <c r="G4215" s="59"/>
    </row>
    <row r="4216" spans="3:7" ht="20.25" customHeight="1" x14ac:dyDescent="0.3">
      <c r="C4216" s="59"/>
      <c r="D4216" s="69"/>
      <c r="E4216" s="69"/>
      <c r="F4216" s="17"/>
      <c r="G4216" s="59"/>
    </row>
    <row r="4217" spans="3:7" ht="20.25" customHeight="1" x14ac:dyDescent="0.3">
      <c r="C4217" s="59"/>
      <c r="D4217" s="69"/>
      <c r="E4217" s="69"/>
      <c r="F4217" s="17"/>
      <c r="G4217" s="59"/>
    </row>
    <row r="4218" spans="3:7" ht="20.25" customHeight="1" x14ac:dyDescent="0.3">
      <c r="C4218" s="59"/>
      <c r="D4218" s="69"/>
      <c r="E4218" s="69"/>
      <c r="F4218" s="17"/>
      <c r="G4218" s="59"/>
    </row>
    <row r="4219" spans="3:7" ht="20.25" customHeight="1" x14ac:dyDescent="0.3">
      <c r="C4219" s="59"/>
      <c r="D4219" s="69"/>
      <c r="E4219" s="69"/>
      <c r="F4219" s="17"/>
      <c r="G4219" s="59"/>
    </row>
    <row r="4220" spans="3:7" ht="20.25" customHeight="1" x14ac:dyDescent="0.3">
      <c r="C4220" s="59"/>
      <c r="D4220" s="69"/>
      <c r="E4220" s="69"/>
      <c r="F4220" s="17"/>
      <c r="G4220" s="59"/>
    </row>
    <row r="4221" spans="3:7" ht="20.25" customHeight="1" x14ac:dyDescent="0.3">
      <c r="C4221" s="59"/>
      <c r="D4221" s="69"/>
      <c r="E4221" s="69"/>
      <c r="F4221" s="17"/>
      <c r="G4221" s="59"/>
    </row>
    <row r="4222" spans="3:7" ht="20.25" customHeight="1" x14ac:dyDescent="0.3">
      <c r="C4222" s="59"/>
      <c r="D4222" s="69"/>
      <c r="E4222" s="69"/>
      <c r="F4222" s="17"/>
      <c r="G4222" s="59"/>
    </row>
    <row r="4223" spans="3:7" ht="20.25" customHeight="1" x14ac:dyDescent="0.3">
      <c r="C4223" s="59"/>
      <c r="D4223" s="69"/>
      <c r="E4223" s="69"/>
      <c r="F4223" s="17"/>
      <c r="G4223" s="59"/>
    </row>
    <row r="4224" spans="3:7" ht="20.25" customHeight="1" x14ac:dyDescent="0.3">
      <c r="C4224" s="59"/>
      <c r="D4224" s="69"/>
      <c r="E4224" s="69"/>
      <c r="F4224" s="17"/>
      <c r="G4224" s="59"/>
    </row>
    <row r="4225" spans="3:7" ht="20.25" customHeight="1" x14ac:dyDescent="0.3">
      <c r="C4225" s="59"/>
      <c r="D4225" s="69"/>
      <c r="E4225" s="69"/>
      <c r="F4225" s="17"/>
      <c r="G4225" s="59"/>
    </row>
    <row r="4226" spans="3:7" ht="20.25" customHeight="1" x14ac:dyDescent="0.3">
      <c r="C4226" s="59"/>
      <c r="D4226" s="69"/>
      <c r="E4226" s="69"/>
      <c r="F4226" s="17"/>
      <c r="G4226" s="59"/>
    </row>
    <row r="4227" spans="3:7" ht="20.25" customHeight="1" x14ac:dyDescent="0.3">
      <c r="C4227" s="59"/>
      <c r="D4227" s="69"/>
      <c r="E4227" s="69"/>
      <c r="F4227" s="17"/>
      <c r="G4227" s="59"/>
    </row>
    <row r="4228" spans="3:7" ht="20.25" customHeight="1" x14ac:dyDescent="0.3">
      <c r="C4228" s="59"/>
      <c r="D4228" s="69"/>
      <c r="E4228" s="69"/>
      <c r="F4228" s="17"/>
      <c r="G4228" s="59"/>
    </row>
    <row r="4229" spans="3:7" ht="20.25" customHeight="1" x14ac:dyDescent="0.3">
      <c r="C4229" s="59"/>
      <c r="D4229" s="69"/>
      <c r="E4229" s="69"/>
      <c r="F4229" s="17"/>
      <c r="G4229" s="59"/>
    </row>
    <row r="4230" spans="3:7" ht="20.25" customHeight="1" x14ac:dyDescent="0.3">
      <c r="C4230" s="59"/>
      <c r="D4230" s="69"/>
      <c r="E4230" s="69"/>
      <c r="F4230" s="17"/>
      <c r="G4230" s="59"/>
    </row>
    <row r="4231" spans="3:7" ht="20.25" customHeight="1" x14ac:dyDescent="0.3">
      <c r="C4231" s="59"/>
      <c r="D4231" s="69"/>
      <c r="E4231" s="69"/>
      <c r="F4231" s="17"/>
      <c r="G4231" s="59"/>
    </row>
    <row r="4232" spans="3:7" ht="20.25" customHeight="1" x14ac:dyDescent="0.3">
      <c r="C4232" s="59"/>
      <c r="D4232" s="69"/>
      <c r="E4232" s="69"/>
      <c r="F4232" s="17"/>
      <c r="G4232" s="59"/>
    </row>
    <row r="4233" spans="3:7" ht="20.25" customHeight="1" x14ac:dyDescent="0.3">
      <c r="C4233" s="59"/>
      <c r="D4233" s="69"/>
      <c r="E4233" s="69"/>
      <c r="F4233" s="17"/>
      <c r="G4233" s="59"/>
    </row>
    <row r="4234" spans="3:7" ht="20.25" customHeight="1" x14ac:dyDescent="0.3">
      <c r="C4234" s="59"/>
      <c r="D4234" s="69"/>
      <c r="E4234" s="69"/>
      <c r="F4234" s="17"/>
      <c r="G4234" s="59"/>
    </row>
    <row r="4235" spans="3:7" ht="20.25" customHeight="1" x14ac:dyDescent="0.3">
      <c r="C4235" s="59"/>
      <c r="D4235" s="69"/>
      <c r="E4235" s="69"/>
      <c r="F4235" s="17"/>
      <c r="G4235" s="59"/>
    </row>
    <row r="4236" spans="3:7" ht="20.25" customHeight="1" x14ac:dyDescent="0.3">
      <c r="C4236" s="59"/>
      <c r="D4236" s="69"/>
      <c r="E4236" s="69"/>
      <c r="F4236" s="17"/>
      <c r="G4236" s="59"/>
    </row>
    <row r="4237" spans="3:7" ht="20.25" customHeight="1" x14ac:dyDescent="0.3">
      <c r="C4237" s="59"/>
      <c r="D4237" s="69"/>
      <c r="E4237" s="69"/>
      <c r="F4237" s="17"/>
      <c r="G4237" s="59"/>
    </row>
    <row r="4238" spans="3:7" ht="20.25" customHeight="1" x14ac:dyDescent="0.3">
      <c r="C4238" s="59"/>
      <c r="D4238" s="69"/>
      <c r="E4238" s="69"/>
      <c r="F4238" s="17"/>
      <c r="G4238" s="59"/>
    </row>
    <row r="4239" spans="3:7" ht="20.25" customHeight="1" x14ac:dyDescent="0.3">
      <c r="C4239" s="59"/>
      <c r="D4239" s="69"/>
      <c r="E4239" s="69"/>
      <c r="F4239" s="17"/>
      <c r="G4239" s="59"/>
    </row>
    <row r="4240" spans="3:7" ht="20.25" customHeight="1" x14ac:dyDescent="0.3">
      <c r="C4240" s="59"/>
      <c r="D4240" s="69"/>
      <c r="E4240" s="69"/>
      <c r="F4240" s="17"/>
      <c r="G4240" s="59"/>
    </row>
    <row r="4241" spans="3:7" ht="20.25" customHeight="1" x14ac:dyDescent="0.3">
      <c r="C4241" s="59"/>
      <c r="D4241" s="69"/>
      <c r="E4241" s="69"/>
      <c r="F4241" s="17"/>
      <c r="G4241" s="59"/>
    </row>
    <row r="4242" spans="3:7" ht="20.25" customHeight="1" x14ac:dyDescent="0.3">
      <c r="C4242" s="59"/>
      <c r="D4242" s="69"/>
      <c r="E4242" s="69"/>
      <c r="F4242" s="17"/>
      <c r="G4242" s="59"/>
    </row>
    <row r="4243" spans="3:7" ht="20.25" customHeight="1" x14ac:dyDescent="0.3">
      <c r="C4243" s="59"/>
      <c r="D4243" s="69"/>
      <c r="E4243" s="69"/>
      <c r="F4243" s="17"/>
      <c r="G4243" s="59"/>
    </row>
    <row r="4244" spans="3:7" ht="20.25" customHeight="1" x14ac:dyDescent="0.3">
      <c r="C4244" s="59"/>
      <c r="D4244" s="69"/>
      <c r="E4244" s="69"/>
      <c r="F4244" s="17"/>
      <c r="G4244" s="59"/>
    </row>
    <row r="4245" spans="3:7" ht="20.25" customHeight="1" x14ac:dyDescent="0.3">
      <c r="C4245" s="59"/>
      <c r="D4245" s="69"/>
      <c r="E4245" s="69"/>
      <c r="F4245" s="17"/>
      <c r="G4245" s="59"/>
    </row>
    <row r="4246" spans="3:7" ht="20.25" customHeight="1" x14ac:dyDescent="0.3">
      <c r="C4246" s="59"/>
      <c r="D4246" s="69"/>
      <c r="E4246" s="69"/>
      <c r="F4246" s="17"/>
      <c r="G4246" s="59"/>
    </row>
    <row r="4247" spans="3:7" ht="20.25" customHeight="1" x14ac:dyDescent="0.3">
      <c r="C4247" s="59"/>
      <c r="D4247" s="69"/>
      <c r="E4247" s="69"/>
      <c r="F4247" s="17"/>
      <c r="G4247" s="59"/>
    </row>
    <row r="4248" spans="3:7" ht="20.25" customHeight="1" x14ac:dyDescent="0.3">
      <c r="C4248" s="59"/>
      <c r="D4248" s="69"/>
      <c r="E4248" s="69"/>
      <c r="F4248" s="17"/>
      <c r="G4248" s="59"/>
    </row>
    <row r="4249" spans="3:7" ht="20.25" customHeight="1" x14ac:dyDescent="0.3">
      <c r="C4249" s="59"/>
      <c r="D4249" s="69"/>
      <c r="E4249" s="69"/>
      <c r="F4249" s="17"/>
      <c r="G4249" s="59"/>
    </row>
    <row r="4250" spans="3:7" ht="20.25" customHeight="1" x14ac:dyDescent="0.3">
      <c r="C4250" s="59"/>
      <c r="D4250" s="69"/>
      <c r="E4250" s="69"/>
      <c r="F4250" s="17"/>
      <c r="G4250" s="59"/>
    </row>
    <row r="4251" spans="3:7" ht="20.25" customHeight="1" x14ac:dyDescent="0.3">
      <c r="C4251" s="59"/>
      <c r="D4251" s="69"/>
      <c r="E4251" s="69"/>
      <c r="F4251" s="17"/>
      <c r="G4251" s="59"/>
    </row>
    <row r="4252" spans="3:7" ht="20.25" customHeight="1" x14ac:dyDescent="0.3">
      <c r="C4252" s="59"/>
      <c r="D4252" s="69"/>
      <c r="E4252" s="69"/>
      <c r="F4252" s="17"/>
      <c r="G4252" s="59"/>
    </row>
    <row r="4253" spans="3:7" ht="20.25" customHeight="1" x14ac:dyDescent="0.3">
      <c r="C4253" s="59"/>
      <c r="D4253" s="69"/>
      <c r="E4253" s="69"/>
      <c r="F4253" s="17"/>
      <c r="G4253" s="59"/>
    </row>
    <row r="4254" spans="3:7" ht="20.25" customHeight="1" x14ac:dyDescent="0.3">
      <c r="C4254" s="59"/>
      <c r="D4254" s="69"/>
      <c r="E4254" s="69"/>
      <c r="F4254" s="17"/>
      <c r="G4254" s="59"/>
    </row>
    <row r="4255" spans="3:7" ht="20.25" customHeight="1" x14ac:dyDescent="0.3">
      <c r="C4255" s="59"/>
      <c r="D4255" s="69"/>
      <c r="E4255" s="69"/>
      <c r="F4255" s="17"/>
      <c r="G4255" s="59"/>
    </row>
    <row r="4256" spans="3:7" ht="20.25" customHeight="1" x14ac:dyDescent="0.3">
      <c r="C4256" s="59"/>
      <c r="D4256" s="69"/>
      <c r="E4256" s="69"/>
      <c r="F4256" s="17"/>
      <c r="G4256" s="59"/>
    </row>
    <row r="4257" spans="3:7" ht="20.25" customHeight="1" x14ac:dyDescent="0.3">
      <c r="C4257" s="59"/>
      <c r="D4257" s="69"/>
      <c r="E4257" s="69"/>
      <c r="F4257" s="17"/>
      <c r="G4257" s="59"/>
    </row>
    <row r="4258" spans="3:7" ht="20.25" customHeight="1" x14ac:dyDescent="0.3">
      <c r="C4258" s="59"/>
      <c r="D4258" s="69"/>
      <c r="E4258" s="69"/>
      <c r="F4258" s="17"/>
      <c r="G4258" s="59"/>
    </row>
    <row r="4259" spans="3:7" ht="20.25" customHeight="1" x14ac:dyDescent="0.3">
      <c r="C4259" s="59"/>
      <c r="D4259" s="69"/>
      <c r="E4259" s="69"/>
      <c r="F4259" s="17"/>
      <c r="G4259" s="59"/>
    </row>
    <row r="4260" spans="3:7" ht="20.25" customHeight="1" x14ac:dyDescent="0.3">
      <c r="C4260" s="59"/>
      <c r="D4260" s="69"/>
      <c r="E4260" s="69"/>
      <c r="F4260" s="17"/>
      <c r="G4260" s="59"/>
    </row>
    <row r="4261" spans="3:7" ht="20.25" customHeight="1" x14ac:dyDescent="0.3">
      <c r="C4261" s="59"/>
      <c r="D4261" s="69"/>
      <c r="E4261" s="69"/>
      <c r="F4261" s="17"/>
      <c r="G4261" s="59"/>
    </row>
    <row r="4262" spans="3:7" ht="20.25" customHeight="1" x14ac:dyDescent="0.3">
      <c r="C4262" s="59"/>
      <c r="D4262" s="69"/>
      <c r="E4262" s="69"/>
      <c r="F4262" s="17"/>
      <c r="G4262" s="59"/>
    </row>
    <row r="4263" spans="3:7" ht="20.25" customHeight="1" x14ac:dyDescent="0.3">
      <c r="C4263" s="59"/>
      <c r="D4263" s="69"/>
      <c r="E4263" s="69"/>
      <c r="F4263" s="17"/>
      <c r="G4263" s="59"/>
    </row>
    <row r="4264" spans="3:7" ht="20.25" customHeight="1" x14ac:dyDescent="0.3">
      <c r="C4264" s="59"/>
      <c r="D4264" s="69"/>
      <c r="E4264" s="69"/>
      <c r="F4264" s="17"/>
      <c r="G4264" s="59"/>
    </row>
    <row r="4265" spans="3:7" ht="20.25" customHeight="1" x14ac:dyDescent="0.3">
      <c r="C4265" s="59"/>
      <c r="D4265" s="69"/>
      <c r="E4265" s="69"/>
      <c r="F4265" s="17"/>
      <c r="G4265" s="59"/>
    </row>
    <row r="4266" spans="3:7" ht="20.25" customHeight="1" x14ac:dyDescent="0.3">
      <c r="C4266" s="59"/>
      <c r="D4266" s="69"/>
      <c r="E4266" s="69"/>
      <c r="F4266" s="17"/>
      <c r="G4266" s="59"/>
    </row>
    <row r="4267" spans="3:7" ht="20.25" customHeight="1" x14ac:dyDescent="0.3">
      <c r="C4267" s="59"/>
      <c r="D4267" s="69"/>
      <c r="E4267" s="69"/>
      <c r="F4267" s="17"/>
      <c r="G4267" s="59"/>
    </row>
    <row r="4268" spans="3:7" ht="20.25" customHeight="1" x14ac:dyDescent="0.3">
      <c r="C4268" s="59"/>
      <c r="D4268" s="69"/>
      <c r="E4268" s="69"/>
      <c r="F4268" s="17"/>
      <c r="G4268" s="59"/>
    </row>
    <row r="4269" spans="3:7" ht="20.25" customHeight="1" x14ac:dyDescent="0.3">
      <c r="C4269" s="59"/>
      <c r="D4269" s="69"/>
      <c r="E4269" s="69"/>
      <c r="F4269" s="17"/>
      <c r="G4269" s="59"/>
    </row>
    <row r="4270" spans="3:7" ht="20.25" customHeight="1" x14ac:dyDescent="0.3">
      <c r="C4270" s="59"/>
      <c r="D4270" s="69"/>
      <c r="E4270" s="69"/>
      <c r="F4270" s="17"/>
      <c r="G4270" s="59"/>
    </row>
    <row r="4271" spans="3:7" ht="20.25" customHeight="1" x14ac:dyDescent="0.3">
      <c r="C4271" s="59"/>
      <c r="D4271" s="69"/>
      <c r="E4271" s="69"/>
      <c r="F4271" s="17"/>
      <c r="G4271" s="59"/>
    </row>
    <row r="4272" spans="3:7" ht="20.25" customHeight="1" x14ac:dyDescent="0.3">
      <c r="C4272" s="59"/>
      <c r="D4272" s="69"/>
      <c r="E4272" s="69"/>
      <c r="F4272" s="17"/>
      <c r="G4272" s="59"/>
    </row>
    <row r="4273" spans="3:7" ht="20.25" customHeight="1" x14ac:dyDescent="0.3">
      <c r="C4273" s="59"/>
      <c r="D4273" s="69"/>
      <c r="E4273" s="69"/>
      <c r="F4273" s="17"/>
      <c r="G4273" s="59"/>
    </row>
    <row r="4274" spans="3:7" ht="20.25" customHeight="1" x14ac:dyDescent="0.3">
      <c r="C4274" s="59"/>
      <c r="D4274" s="69"/>
      <c r="E4274" s="69"/>
      <c r="F4274" s="17"/>
      <c r="G4274" s="59"/>
    </row>
    <row r="4275" spans="3:7" ht="20.25" customHeight="1" x14ac:dyDescent="0.3">
      <c r="C4275" s="59"/>
      <c r="D4275" s="69"/>
      <c r="E4275" s="69"/>
      <c r="F4275" s="17"/>
      <c r="G4275" s="59"/>
    </row>
    <row r="4276" spans="3:7" ht="20.25" customHeight="1" x14ac:dyDescent="0.3">
      <c r="C4276" s="59"/>
      <c r="D4276" s="69"/>
      <c r="E4276" s="69"/>
      <c r="F4276" s="17"/>
      <c r="G4276" s="59"/>
    </row>
    <row r="4277" spans="3:7" ht="20.25" customHeight="1" x14ac:dyDescent="0.3">
      <c r="C4277" s="59"/>
      <c r="D4277" s="69"/>
      <c r="E4277" s="69"/>
      <c r="F4277" s="17"/>
      <c r="G4277" s="59"/>
    </row>
    <row r="4278" spans="3:7" ht="20.25" customHeight="1" x14ac:dyDescent="0.3">
      <c r="C4278" s="59"/>
      <c r="D4278" s="69"/>
      <c r="E4278" s="69"/>
      <c r="F4278" s="17"/>
      <c r="G4278" s="59"/>
    </row>
    <row r="4279" spans="3:7" ht="20.25" customHeight="1" x14ac:dyDescent="0.3">
      <c r="C4279" s="59"/>
      <c r="D4279" s="69"/>
      <c r="E4279" s="69"/>
      <c r="F4279" s="17"/>
      <c r="G4279" s="59"/>
    </row>
    <row r="4280" spans="3:7" ht="20.25" customHeight="1" x14ac:dyDescent="0.3">
      <c r="C4280" s="59"/>
      <c r="D4280" s="69"/>
      <c r="E4280" s="69"/>
      <c r="F4280" s="17"/>
      <c r="G4280" s="59"/>
    </row>
    <row r="4281" spans="3:7" ht="20.25" customHeight="1" x14ac:dyDescent="0.3">
      <c r="C4281" s="59"/>
      <c r="D4281" s="69"/>
      <c r="E4281" s="69"/>
      <c r="F4281" s="17"/>
      <c r="G4281" s="59"/>
    </row>
    <row r="4282" spans="3:7" ht="20.25" customHeight="1" x14ac:dyDescent="0.3">
      <c r="C4282" s="59"/>
      <c r="D4282" s="69"/>
      <c r="E4282" s="69"/>
      <c r="F4282" s="17"/>
      <c r="G4282" s="59"/>
    </row>
    <row r="4283" spans="3:7" ht="20.25" customHeight="1" x14ac:dyDescent="0.3">
      <c r="C4283" s="59"/>
      <c r="D4283" s="69"/>
      <c r="E4283" s="69"/>
      <c r="F4283" s="17"/>
      <c r="G4283" s="59"/>
    </row>
    <row r="4284" spans="3:7" ht="20.25" customHeight="1" x14ac:dyDescent="0.3">
      <c r="C4284" s="59"/>
      <c r="D4284" s="69"/>
      <c r="E4284" s="69"/>
      <c r="F4284" s="17"/>
      <c r="G4284" s="59"/>
    </row>
    <row r="4285" spans="3:7" ht="20.25" customHeight="1" x14ac:dyDescent="0.3">
      <c r="C4285" s="59"/>
      <c r="D4285" s="69"/>
      <c r="E4285" s="69"/>
      <c r="F4285" s="17"/>
      <c r="G4285" s="59"/>
    </row>
    <row r="4286" spans="3:7" ht="20.25" customHeight="1" x14ac:dyDescent="0.3">
      <c r="C4286" s="59"/>
      <c r="D4286" s="69"/>
      <c r="E4286" s="69"/>
      <c r="F4286" s="17"/>
      <c r="G4286" s="59"/>
    </row>
    <row r="4287" spans="3:7" ht="20.25" customHeight="1" x14ac:dyDescent="0.3">
      <c r="C4287" s="59"/>
      <c r="D4287" s="69"/>
      <c r="E4287" s="69"/>
      <c r="F4287" s="17"/>
      <c r="G4287" s="59"/>
    </row>
    <row r="4288" spans="3:7" ht="20.25" customHeight="1" x14ac:dyDescent="0.3">
      <c r="C4288" s="59"/>
      <c r="D4288" s="69"/>
      <c r="E4288" s="69"/>
      <c r="F4288" s="17"/>
      <c r="G4288" s="59"/>
    </row>
    <row r="4289" spans="3:7" ht="20.25" customHeight="1" x14ac:dyDescent="0.3">
      <c r="C4289" s="59"/>
      <c r="D4289" s="69"/>
      <c r="E4289" s="69"/>
      <c r="F4289" s="17"/>
      <c r="G4289" s="59"/>
    </row>
    <row r="4290" spans="3:7" ht="20.25" customHeight="1" x14ac:dyDescent="0.3">
      <c r="C4290" s="59"/>
      <c r="D4290" s="69"/>
      <c r="E4290" s="69"/>
      <c r="F4290" s="17"/>
      <c r="G4290" s="59"/>
    </row>
    <row r="4291" spans="3:7" ht="20.25" customHeight="1" x14ac:dyDescent="0.3">
      <c r="C4291" s="59"/>
      <c r="D4291" s="69"/>
      <c r="E4291" s="69"/>
      <c r="F4291" s="17"/>
      <c r="G4291" s="59"/>
    </row>
    <row r="4292" spans="3:7" ht="20.25" customHeight="1" x14ac:dyDescent="0.3">
      <c r="C4292" s="59"/>
      <c r="D4292" s="69"/>
      <c r="E4292" s="69"/>
      <c r="F4292" s="17"/>
      <c r="G4292" s="59"/>
    </row>
    <row r="4293" spans="3:7" ht="20.25" customHeight="1" x14ac:dyDescent="0.3">
      <c r="C4293" s="59"/>
      <c r="D4293" s="69"/>
      <c r="E4293" s="69"/>
      <c r="F4293" s="17"/>
      <c r="G4293" s="59"/>
    </row>
    <row r="4294" spans="3:7" ht="20.25" customHeight="1" x14ac:dyDescent="0.3">
      <c r="C4294" s="59"/>
      <c r="D4294" s="69"/>
      <c r="E4294" s="69"/>
      <c r="F4294" s="17"/>
      <c r="G4294" s="59"/>
    </row>
    <row r="4295" spans="3:7" ht="20.25" customHeight="1" x14ac:dyDescent="0.3">
      <c r="C4295" s="59"/>
      <c r="D4295" s="69"/>
      <c r="E4295" s="69"/>
      <c r="F4295" s="17"/>
      <c r="G4295" s="59"/>
    </row>
    <row r="4296" spans="3:7" ht="20.25" customHeight="1" x14ac:dyDescent="0.3">
      <c r="C4296" s="59"/>
      <c r="D4296" s="69"/>
      <c r="E4296" s="69"/>
      <c r="F4296" s="17"/>
      <c r="G4296" s="59"/>
    </row>
    <row r="4297" spans="3:7" ht="20.25" customHeight="1" x14ac:dyDescent="0.3">
      <c r="C4297" s="59"/>
      <c r="D4297" s="69"/>
      <c r="E4297" s="69"/>
      <c r="F4297" s="17"/>
      <c r="G4297" s="59"/>
    </row>
    <row r="4298" spans="3:7" ht="20.25" customHeight="1" x14ac:dyDescent="0.3">
      <c r="C4298" s="59"/>
      <c r="D4298" s="69"/>
      <c r="E4298" s="69"/>
      <c r="F4298" s="17"/>
      <c r="G4298" s="59"/>
    </row>
    <row r="4299" spans="3:7" ht="20.25" customHeight="1" x14ac:dyDescent="0.3">
      <c r="C4299" s="59"/>
      <c r="D4299" s="69"/>
      <c r="E4299" s="69"/>
      <c r="F4299" s="17"/>
      <c r="G4299" s="59"/>
    </row>
    <row r="4300" spans="3:7" ht="20.25" customHeight="1" x14ac:dyDescent="0.3">
      <c r="C4300" s="59"/>
      <c r="D4300" s="69"/>
      <c r="E4300" s="69"/>
      <c r="F4300" s="17"/>
      <c r="G4300" s="59"/>
    </row>
    <row r="4301" spans="3:7" ht="20.25" customHeight="1" x14ac:dyDescent="0.3">
      <c r="C4301" s="59"/>
      <c r="D4301" s="69"/>
      <c r="E4301" s="69"/>
      <c r="F4301" s="17"/>
      <c r="G4301" s="59"/>
    </row>
    <row r="4302" spans="3:7" ht="20.25" customHeight="1" x14ac:dyDescent="0.3">
      <c r="C4302" s="59"/>
      <c r="D4302" s="69"/>
      <c r="E4302" s="69"/>
      <c r="F4302" s="17"/>
      <c r="G4302" s="59"/>
    </row>
    <row r="4303" spans="3:7" ht="20.25" customHeight="1" x14ac:dyDescent="0.3">
      <c r="C4303" s="59"/>
      <c r="D4303" s="69"/>
      <c r="E4303" s="69"/>
      <c r="F4303" s="17"/>
      <c r="G4303" s="59"/>
    </row>
    <row r="4304" spans="3:7" ht="20.25" customHeight="1" x14ac:dyDescent="0.3">
      <c r="C4304" s="59"/>
      <c r="D4304" s="69"/>
      <c r="E4304" s="69"/>
      <c r="F4304" s="17"/>
      <c r="G4304" s="59"/>
    </row>
    <row r="4305" spans="3:7" ht="20.25" customHeight="1" x14ac:dyDescent="0.3">
      <c r="C4305" s="59"/>
      <c r="D4305" s="69"/>
      <c r="E4305" s="69"/>
      <c r="F4305" s="17"/>
      <c r="G4305" s="59"/>
    </row>
    <row r="4306" spans="3:7" ht="20.25" customHeight="1" x14ac:dyDescent="0.3">
      <c r="C4306" s="59"/>
      <c r="D4306" s="69"/>
      <c r="E4306" s="69"/>
      <c r="F4306" s="17"/>
      <c r="G4306" s="59"/>
    </row>
    <row r="4307" spans="3:7" ht="20.25" customHeight="1" x14ac:dyDescent="0.3">
      <c r="C4307" s="59"/>
      <c r="D4307" s="69"/>
      <c r="E4307" s="69"/>
      <c r="F4307" s="17"/>
      <c r="G4307" s="59"/>
    </row>
    <row r="4308" spans="3:7" ht="20.25" customHeight="1" x14ac:dyDescent="0.3">
      <c r="C4308" s="59"/>
      <c r="D4308" s="69"/>
      <c r="E4308" s="69"/>
      <c r="F4308" s="17"/>
      <c r="G4308" s="59"/>
    </row>
    <row r="4309" spans="3:7" ht="20.25" customHeight="1" x14ac:dyDescent="0.3">
      <c r="C4309" s="59"/>
      <c r="D4309" s="69"/>
      <c r="E4309" s="69"/>
      <c r="F4309" s="17"/>
      <c r="G4309" s="59"/>
    </row>
    <row r="4310" spans="3:7" ht="20.25" customHeight="1" x14ac:dyDescent="0.3">
      <c r="C4310" s="59"/>
      <c r="D4310" s="69"/>
      <c r="E4310" s="69"/>
      <c r="F4310" s="17"/>
      <c r="G4310" s="59"/>
    </row>
    <row r="4311" spans="3:7" ht="20.25" customHeight="1" x14ac:dyDescent="0.3">
      <c r="C4311" s="59"/>
      <c r="D4311" s="69"/>
      <c r="E4311" s="69"/>
      <c r="F4311" s="17"/>
      <c r="G4311" s="59"/>
    </row>
    <row r="4312" spans="3:7" ht="20.25" customHeight="1" x14ac:dyDescent="0.3">
      <c r="C4312" s="59"/>
      <c r="D4312" s="69"/>
      <c r="E4312" s="69"/>
      <c r="F4312" s="17"/>
      <c r="G4312" s="59"/>
    </row>
    <row r="4313" spans="3:7" ht="20.25" customHeight="1" x14ac:dyDescent="0.3">
      <c r="C4313" s="59"/>
      <c r="D4313" s="69"/>
      <c r="E4313" s="69"/>
      <c r="F4313" s="17"/>
      <c r="G4313" s="59"/>
    </row>
    <row r="4314" spans="3:7" ht="20.25" customHeight="1" x14ac:dyDescent="0.3">
      <c r="C4314" s="59"/>
      <c r="D4314" s="69"/>
      <c r="E4314" s="69"/>
      <c r="F4314" s="17"/>
      <c r="G4314" s="59"/>
    </row>
    <row r="4315" spans="3:7" ht="20.25" customHeight="1" x14ac:dyDescent="0.3">
      <c r="C4315" s="59"/>
      <c r="D4315" s="69"/>
      <c r="E4315" s="69"/>
      <c r="F4315" s="17"/>
      <c r="G4315" s="59"/>
    </row>
    <row r="4316" spans="3:7" ht="20.25" customHeight="1" x14ac:dyDescent="0.3">
      <c r="C4316" s="59"/>
      <c r="D4316" s="69"/>
      <c r="E4316" s="69"/>
      <c r="F4316" s="17"/>
      <c r="G4316" s="59"/>
    </row>
    <row r="4317" spans="3:7" ht="20.25" customHeight="1" x14ac:dyDescent="0.3">
      <c r="C4317" s="59"/>
      <c r="D4317" s="69"/>
      <c r="E4317" s="69"/>
      <c r="F4317" s="17"/>
      <c r="G4317" s="59"/>
    </row>
    <row r="4318" spans="3:7" ht="20.25" customHeight="1" x14ac:dyDescent="0.3">
      <c r="C4318" s="59"/>
      <c r="D4318" s="69"/>
      <c r="E4318" s="69"/>
      <c r="F4318" s="17"/>
      <c r="G4318" s="59"/>
    </row>
    <row r="4319" spans="3:7" ht="20.25" customHeight="1" x14ac:dyDescent="0.3">
      <c r="C4319" s="59"/>
      <c r="D4319" s="69"/>
      <c r="E4319" s="69"/>
      <c r="F4319" s="17"/>
      <c r="G4319" s="59"/>
    </row>
    <row r="4320" spans="3:7" ht="20.25" customHeight="1" x14ac:dyDescent="0.3">
      <c r="C4320" s="59"/>
      <c r="D4320" s="69"/>
      <c r="E4320" s="69"/>
      <c r="F4320" s="17"/>
      <c r="G4320" s="59"/>
    </row>
    <row r="4321" spans="3:7" ht="20.25" customHeight="1" x14ac:dyDescent="0.3">
      <c r="C4321" s="59"/>
      <c r="D4321" s="69"/>
      <c r="E4321" s="69"/>
      <c r="F4321" s="17"/>
      <c r="G4321" s="59"/>
    </row>
    <row r="4322" spans="3:7" ht="20.25" customHeight="1" x14ac:dyDescent="0.3">
      <c r="C4322" s="59"/>
      <c r="D4322" s="69"/>
      <c r="E4322" s="69"/>
      <c r="F4322" s="17"/>
      <c r="G4322" s="59"/>
    </row>
    <row r="4323" spans="3:7" ht="20.25" customHeight="1" x14ac:dyDescent="0.3">
      <c r="C4323" s="59"/>
      <c r="D4323" s="69"/>
      <c r="E4323" s="69"/>
      <c r="F4323" s="17"/>
      <c r="G4323" s="59"/>
    </row>
    <row r="4324" spans="3:7" ht="20.25" customHeight="1" x14ac:dyDescent="0.3">
      <c r="C4324" s="59"/>
      <c r="D4324" s="69"/>
      <c r="E4324" s="69"/>
      <c r="F4324" s="17"/>
      <c r="G4324" s="59"/>
    </row>
    <row r="4325" spans="3:7" ht="20.25" customHeight="1" x14ac:dyDescent="0.3">
      <c r="C4325" s="59"/>
      <c r="D4325" s="69"/>
      <c r="E4325" s="69"/>
      <c r="F4325" s="17"/>
      <c r="G4325" s="59"/>
    </row>
    <row r="4326" spans="3:7" ht="20.25" customHeight="1" x14ac:dyDescent="0.3">
      <c r="C4326" s="59"/>
      <c r="D4326" s="69"/>
      <c r="E4326" s="69"/>
      <c r="F4326" s="17"/>
      <c r="G4326" s="59"/>
    </row>
    <row r="4327" spans="3:7" ht="20.25" customHeight="1" x14ac:dyDescent="0.3">
      <c r="C4327" s="59"/>
      <c r="D4327" s="69"/>
      <c r="E4327" s="69"/>
      <c r="F4327" s="17"/>
      <c r="G4327" s="59"/>
    </row>
    <row r="4328" spans="3:7" ht="20.25" customHeight="1" x14ac:dyDescent="0.3">
      <c r="C4328" s="59"/>
      <c r="D4328" s="69"/>
      <c r="E4328" s="69"/>
      <c r="F4328" s="17"/>
      <c r="G4328" s="59"/>
    </row>
    <row r="4329" spans="3:7" ht="20.25" customHeight="1" x14ac:dyDescent="0.3">
      <c r="C4329" s="59"/>
      <c r="D4329" s="69"/>
      <c r="E4329" s="69"/>
      <c r="F4329" s="17"/>
      <c r="G4329" s="59"/>
    </row>
    <row r="4330" spans="3:7" ht="20.25" customHeight="1" x14ac:dyDescent="0.3">
      <c r="C4330" s="59"/>
      <c r="D4330" s="69"/>
      <c r="E4330" s="69"/>
      <c r="F4330" s="17"/>
      <c r="G4330" s="59"/>
    </row>
    <row r="4331" spans="3:7" ht="20.25" customHeight="1" x14ac:dyDescent="0.3">
      <c r="C4331" s="59"/>
      <c r="D4331" s="69"/>
      <c r="E4331" s="69"/>
      <c r="F4331" s="17"/>
      <c r="G4331" s="59"/>
    </row>
    <row r="4332" spans="3:7" ht="20.25" customHeight="1" x14ac:dyDescent="0.3">
      <c r="C4332" s="59"/>
      <c r="D4332" s="69"/>
      <c r="E4332" s="69"/>
      <c r="F4332" s="17"/>
      <c r="G4332" s="59"/>
    </row>
    <row r="4333" spans="3:7" ht="20.25" customHeight="1" x14ac:dyDescent="0.3">
      <c r="C4333" s="59"/>
      <c r="D4333" s="69"/>
      <c r="E4333" s="69"/>
      <c r="F4333" s="17"/>
      <c r="G4333" s="59"/>
    </row>
    <row r="4334" spans="3:7" ht="20.25" customHeight="1" x14ac:dyDescent="0.3">
      <c r="C4334" s="59"/>
      <c r="D4334" s="69"/>
      <c r="E4334" s="69"/>
      <c r="F4334" s="17"/>
      <c r="G4334" s="59"/>
    </row>
    <row r="4335" spans="3:7" ht="20.25" customHeight="1" x14ac:dyDescent="0.3">
      <c r="C4335" s="59"/>
      <c r="D4335" s="69"/>
      <c r="E4335" s="69"/>
      <c r="F4335" s="17"/>
      <c r="G4335" s="59"/>
    </row>
    <row r="4336" spans="3:7" ht="20.25" customHeight="1" x14ac:dyDescent="0.3">
      <c r="C4336" s="59"/>
      <c r="D4336" s="69"/>
      <c r="E4336" s="69"/>
      <c r="F4336" s="17"/>
      <c r="G4336" s="59"/>
    </row>
    <row r="4337" spans="3:7" ht="20.25" customHeight="1" x14ac:dyDescent="0.3">
      <c r="C4337" s="59"/>
      <c r="D4337" s="69"/>
      <c r="E4337" s="69"/>
      <c r="F4337" s="17"/>
      <c r="G4337" s="59"/>
    </row>
    <row r="4338" spans="3:7" ht="20.25" customHeight="1" x14ac:dyDescent="0.3">
      <c r="C4338" s="59"/>
      <c r="D4338" s="69"/>
      <c r="E4338" s="69"/>
      <c r="F4338" s="17"/>
      <c r="G4338" s="59"/>
    </row>
    <row r="4339" spans="3:7" ht="20.25" customHeight="1" x14ac:dyDescent="0.3">
      <c r="C4339" s="59"/>
      <c r="D4339" s="69"/>
      <c r="E4339" s="69"/>
      <c r="F4339" s="17"/>
      <c r="G4339" s="59"/>
    </row>
    <row r="4340" spans="3:7" ht="20.25" customHeight="1" x14ac:dyDescent="0.3">
      <c r="C4340" s="59"/>
      <c r="D4340" s="69"/>
      <c r="E4340" s="69"/>
      <c r="F4340" s="17"/>
      <c r="G4340" s="59"/>
    </row>
    <row r="4341" spans="3:7" ht="20.25" customHeight="1" x14ac:dyDescent="0.3">
      <c r="C4341" s="59"/>
      <c r="D4341" s="69"/>
      <c r="E4341" s="69"/>
      <c r="F4341" s="17"/>
      <c r="G4341" s="59"/>
    </row>
    <row r="4342" spans="3:7" ht="20.25" customHeight="1" x14ac:dyDescent="0.3">
      <c r="C4342" s="59"/>
      <c r="D4342" s="69"/>
      <c r="E4342" s="69"/>
      <c r="F4342" s="17"/>
      <c r="G4342" s="59"/>
    </row>
    <row r="4343" spans="3:7" ht="20.25" customHeight="1" x14ac:dyDescent="0.3">
      <c r="C4343" s="59"/>
      <c r="D4343" s="69"/>
      <c r="E4343" s="69"/>
      <c r="F4343" s="17"/>
      <c r="G4343" s="59"/>
    </row>
    <row r="4344" spans="3:7" ht="20.25" customHeight="1" x14ac:dyDescent="0.3">
      <c r="C4344" s="59"/>
      <c r="D4344" s="69"/>
      <c r="E4344" s="69"/>
      <c r="F4344" s="17"/>
      <c r="G4344" s="59"/>
    </row>
    <row r="4345" spans="3:7" ht="20.25" customHeight="1" x14ac:dyDescent="0.3">
      <c r="C4345" s="59"/>
      <c r="D4345" s="69"/>
      <c r="E4345" s="69"/>
      <c r="F4345" s="17"/>
      <c r="G4345" s="59"/>
    </row>
    <row r="4346" spans="3:7" ht="20.25" customHeight="1" x14ac:dyDescent="0.3">
      <c r="C4346" s="59"/>
      <c r="D4346" s="69"/>
      <c r="E4346" s="69"/>
      <c r="F4346" s="17"/>
      <c r="G4346" s="59"/>
    </row>
    <row r="4347" spans="3:7" ht="20.25" customHeight="1" x14ac:dyDescent="0.3">
      <c r="C4347" s="59"/>
      <c r="D4347" s="69"/>
      <c r="E4347" s="69"/>
      <c r="F4347" s="17"/>
      <c r="G4347" s="59"/>
    </row>
    <row r="4348" spans="3:7" ht="20.25" customHeight="1" x14ac:dyDescent="0.3">
      <c r="C4348" s="59"/>
      <c r="D4348" s="69"/>
      <c r="E4348" s="69"/>
      <c r="F4348" s="17"/>
      <c r="G4348" s="59"/>
    </row>
    <row r="4349" spans="3:7" ht="20.25" customHeight="1" x14ac:dyDescent="0.3">
      <c r="C4349" s="59"/>
      <c r="D4349" s="69"/>
      <c r="E4349" s="69"/>
      <c r="F4349" s="17"/>
      <c r="G4349" s="59"/>
    </row>
    <row r="4350" spans="3:7" ht="20.25" customHeight="1" x14ac:dyDescent="0.3">
      <c r="C4350" s="59"/>
      <c r="D4350" s="69"/>
      <c r="E4350" s="69"/>
      <c r="F4350" s="17"/>
      <c r="G4350" s="59"/>
    </row>
    <row r="4351" spans="3:7" ht="20.25" customHeight="1" x14ac:dyDescent="0.3">
      <c r="C4351" s="59"/>
      <c r="D4351" s="69"/>
      <c r="E4351" s="69"/>
      <c r="F4351" s="17"/>
      <c r="G4351" s="59"/>
    </row>
    <row r="4352" spans="3:7" ht="20.25" customHeight="1" x14ac:dyDescent="0.3">
      <c r="C4352" s="59"/>
      <c r="D4352" s="69"/>
      <c r="E4352" s="69"/>
      <c r="F4352" s="17"/>
      <c r="G4352" s="59"/>
    </row>
    <row r="4353" spans="3:7" ht="20.25" customHeight="1" x14ac:dyDescent="0.3">
      <c r="C4353" s="59"/>
      <c r="D4353" s="69"/>
      <c r="E4353" s="69"/>
      <c r="F4353" s="17"/>
      <c r="G4353" s="59"/>
    </row>
    <row r="4354" spans="3:7" ht="20.25" customHeight="1" x14ac:dyDescent="0.3">
      <c r="C4354" s="59"/>
      <c r="D4354" s="69"/>
      <c r="E4354" s="69"/>
      <c r="F4354" s="17"/>
      <c r="G4354" s="59"/>
    </row>
    <row r="4355" spans="3:7" ht="20.25" customHeight="1" x14ac:dyDescent="0.3">
      <c r="C4355" s="59"/>
      <c r="D4355" s="69"/>
      <c r="E4355" s="69"/>
      <c r="F4355" s="17"/>
      <c r="G4355" s="59"/>
    </row>
    <row r="4356" spans="3:7" ht="20.25" customHeight="1" x14ac:dyDescent="0.3">
      <c r="C4356" s="59"/>
      <c r="D4356" s="69"/>
      <c r="E4356" s="69"/>
      <c r="F4356" s="17"/>
      <c r="G4356" s="59"/>
    </row>
    <row r="4357" spans="3:7" ht="20.25" customHeight="1" x14ac:dyDescent="0.3">
      <c r="C4357" s="59"/>
      <c r="D4357" s="69"/>
      <c r="E4357" s="69"/>
      <c r="F4357" s="17"/>
      <c r="G4357" s="59"/>
    </row>
    <row r="4358" spans="3:7" ht="20.25" customHeight="1" x14ac:dyDescent="0.3">
      <c r="C4358" s="59"/>
      <c r="D4358" s="69"/>
      <c r="E4358" s="69"/>
      <c r="F4358" s="17"/>
      <c r="G4358" s="59"/>
    </row>
    <row r="4359" spans="3:7" ht="20.25" customHeight="1" x14ac:dyDescent="0.3">
      <c r="C4359" s="59"/>
      <c r="D4359" s="69"/>
      <c r="E4359" s="69"/>
      <c r="F4359" s="17"/>
      <c r="G4359" s="59"/>
    </row>
    <row r="4360" spans="3:7" ht="20.25" customHeight="1" x14ac:dyDescent="0.3">
      <c r="C4360" s="59"/>
      <c r="D4360" s="69"/>
      <c r="E4360" s="69"/>
      <c r="F4360" s="17"/>
      <c r="G4360" s="59"/>
    </row>
    <row r="4361" spans="3:7" ht="20.25" customHeight="1" x14ac:dyDescent="0.3">
      <c r="C4361" s="59"/>
      <c r="D4361" s="69"/>
      <c r="E4361" s="69"/>
      <c r="F4361" s="17"/>
      <c r="G4361" s="59"/>
    </row>
    <row r="4362" spans="3:7" ht="20.25" customHeight="1" x14ac:dyDescent="0.3">
      <c r="C4362" s="59"/>
      <c r="D4362" s="69"/>
      <c r="E4362" s="69"/>
      <c r="F4362" s="17"/>
      <c r="G4362" s="59"/>
    </row>
    <row r="4363" spans="3:7" ht="20.25" customHeight="1" x14ac:dyDescent="0.3">
      <c r="C4363" s="59"/>
      <c r="D4363" s="69"/>
      <c r="E4363" s="69"/>
      <c r="F4363" s="17"/>
      <c r="G4363" s="59"/>
    </row>
    <row r="4364" spans="3:7" ht="20.25" customHeight="1" x14ac:dyDescent="0.3">
      <c r="C4364" s="59"/>
      <c r="D4364" s="69"/>
      <c r="E4364" s="69"/>
      <c r="F4364" s="17"/>
      <c r="G4364" s="59"/>
    </row>
    <row r="4365" spans="3:7" ht="20.25" customHeight="1" x14ac:dyDescent="0.3">
      <c r="C4365" s="59"/>
      <c r="D4365" s="69"/>
      <c r="E4365" s="69"/>
      <c r="F4365" s="17"/>
      <c r="G4365" s="59"/>
    </row>
    <row r="4366" spans="3:7" ht="20.25" customHeight="1" x14ac:dyDescent="0.3">
      <c r="C4366" s="59"/>
      <c r="D4366" s="69"/>
      <c r="E4366" s="69"/>
      <c r="F4366" s="17"/>
      <c r="G4366" s="59"/>
    </row>
    <row r="4367" spans="3:7" ht="20.25" customHeight="1" x14ac:dyDescent="0.3">
      <c r="C4367" s="59"/>
      <c r="D4367" s="69"/>
      <c r="E4367" s="69"/>
      <c r="F4367" s="17"/>
      <c r="G4367" s="59"/>
    </row>
    <row r="4368" spans="3:7" ht="20.25" customHeight="1" x14ac:dyDescent="0.3">
      <c r="C4368" s="59"/>
      <c r="D4368" s="69"/>
      <c r="E4368" s="69"/>
      <c r="F4368" s="17"/>
      <c r="G4368" s="59"/>
    </row>
    <row r="4369" spans="3:7" ht="20.25" customHeight="1" x14ac:dyDescent="0.3">
      <c r="C4369" s="59"/>
      <c r="D4369" s="69"/>
      <c r="E4369" s="69"/>
      <c r="F4369" s="17"/>
      <c r="G4369" s="59"/>
    </row>
    <row r="4370" spans="3:7" ht="20.25" customHeight="1" x14ac:dyDescent="0.3">
      <c r="C4370" s="59"/>
      <c r="D4370" s="69"/>
      <c r="E4370" s="69"/>
      <c r="F4370" s="17"/>
      <c r="G4370" s="59"/>
    </row>
    <row r="4371" spans="3:7" ht="20.25" customHeight="1" x14ac:dyDescent="0.3">
      <c r="C4371" s="59"/>
      <c r="D4371" s="69"/>
      <c r="E4371" s="69"/>
      <c r="F4371" s="17"/>
      <c r="G4371" s="59"/>
    </row>
    <row r="4372" spans="3:7" ht="20.25" customHeight="1" x14ac:dyDescent="0.3">
      <c r="C4372" s="59"/>
      <c r="D4372" s="69"/>
      <c r="E4372" s="69"/>
      <c r="F4372" s="17"/>
      <c r="G4372" s="59"/>
    </row>
    <row r="4373" spans="3:7" ht="20.25" customHeight="1" x14ac:dyDescent="0.3">
      <c r="C4373" s="59"/>
      <c r="D4373" s="69"/>
      <c r="E4373" s="69"/>
      <c r="F4373" s="17"/>
      <c r="G4373" s="59"/>
    </row>
    <row r="4374" spans="3:7" ht="20.25" customHeight="1" x14ac:dyDescent="0.3">
      <c r="C4374" s="59"/>
      <c r="D4374" s="69"/>
      <c r="E4374" s="69"/>
      <c r="F4374" s="17"/>
      <c r="G4374" s="59"/>
    </row>
    <row r="4375" spans="3:7" ht="20.25" customHeight="1" x14ac:dyDescent="0.3">
      <c r="C4375" s="59"/>
      <c r="D4375" s="69"/>
      <c r="E4375" s="69"/>
      <c r="F4375" s="17"/>
      <c r="G4375" s="59"/>
    </row>
    <row r="4376" spans="3:7" ht="20.25" customHeight="1" x14ac:dyDescent="0.3">
      <c r="C4376" s="59"/>
      <c r="D4376" s="69"/>
      <c r="E4376" s="69"/>
      <c r="F4376" s="17"/>
      <c r="G4376" s="59"/>
    </row>
    <row r="4377" spans="3:7" ht="20.25" customHeight="1" x14ac:dyDescent="0.3">
      <c r="C4377" s="59"/>
      <c r="D4377" s="69"/>
      <c r="E4377" s="69"/>
      <c r="F4377" s="17"/>
      <c r="G4377" s="59"/>
    </row>
    <row r="4378" spans="3:7" ht="20.25" customHeight="1" x14ac:dyDescent="0.3">
      <c r="C4378" s="59"/>
      <c r="D4378" s="69"/>
      <c r="E4378" s="69"/>
      <c r="F4378" s="17"/>
      <c r="G4378" s="59"/>
    </row>
    <row r="4379" spans="3:7" ht="20.25" customHeight="1" x14ac:dyDescent="0.3">
      <c r="C4379" s="59"/>
      <c r="D4379" s="69"/>
      <c r="E4379" s="69"/>
      <c r="F4379" s="17"/>
      <c r="G4379" s="59"/>
    </row>
    <row r="4380" spans="3:7" ht="20.25" customHeight="1" x14ac:dyDescent="0.3">
      <c r="C4380" s="59"/>
      <c r="D4380" s="69"/>
      <c r="E4380" s="69"/>
      <c r="F4380" s="17"/>
      <c r="G4380" s="59"/>
    </row>
    <row r="4381" spans="3:7" ht="20.25" customHeight="1" x14ac:dyDescent="0.3">
      <c r="C4381" s="59"/>
      <c r="D4381" s="69"/>
      <c r="E4381" s="69"/>
      <c r="F4381" s="17"/>
      <c r="G4381" s="59"/>
    </row>
    <row r="4382" spans="3:7" ht="20.25" customHeight="1" x14ac:dyDescent="0.3">
      <c r="C4382" s="59"/>
      <c r="D4382" s="69"/>
      <c r="E4382" s="69"/>
      <c r="F4382" s="17"/>
      <c r="G4382" s="59"/>
    </row>
    <row r="4383" spans="3:7" ht="20.25" customHeight="1" x14ac:dyDescent="0.3">
      <c r="C4383" s="59"/>
      <c r="D4383" s="69"/>
      <c r="E4383" s="69"/>
      <c r="F4383" s="17"/>
      <c r="G4383" s="59"/>
    </row>
    <row r="4384" spans="3:7" ht="20.25" customHeight="1" x14ac:dyDescent="0.3">
      <c r="C4384" s="59"/>
      <c r="D4384" s="69"/>
      <c r="E4384" s="69"/>
      <c r="F4384" s="17"/>
      <c r="G4384" s="59"/>
    </row>
    <row r="4385" spans="3:7" ht="20.25" customHeight="1" x14ac:dyDescent="0.3">
      <c r="C4385" s="59"/>
      <c r="D4385" s="69"/>
      <c r="E4385" s="69"/>
      <c r="F4385" s="17"/>
      <c r="G4385" s="59"/>
    </row>
    <row r="4386" spans="3:7" ht="20.25" customHeight="1" x14ac:dyDescent="0.3">
      <c r="C4386" s="59"/>
      <c r="D4386" s="69"/>
      <c r="E4386" s="69"/>
      <c r="F4386" s="17"/>
      <c r="G4386" s="59"/>
    </row>
    <row r="4387" spans="3:7" ht="20.25" customHeight="1" x14ac:dyDescent="0.3">
      <c r="C4387" s="59"/>
      <c r="D4387" s="69"/>
      <c r="E4387" s="69"/>
      <c r="F4387" s="17"/>
      <c r="G4387" s="59"/>
    </row>
    <row r="4388" spans="3:7" ht="20.25" customHeight="1" x14ac:dyDescent="0.3">
      <c r="C4388" s="59"/>
      <c r="D4388" s="69"/>
      <c r="E4388" s="69"/>
      <c r="F4388" s="17"/>
      <c r="G4388" s="59"/>
    </row>
    <row r="4389" spans="3:7" ht="20.25" customHeight="1" x14ac:dyDescent="0.3">
      <c r="C4389" s="59"/>
      <c r="D4389" s="69"/>
      <c r="E4389" s="69"/>
      <c r="F4389" s="17"/>
      <c r="G4389" s="59"/>
    </row>
    <row r="4390" spans="3:7" ht="20.25" customHeight="1" x14ac:dyDescent="0.3">
      <c r="C4390" s="59"/>
      <c r="D4390" s="69"/>
      <c r="E4390" s="69"/>
      <c r="F4390" s="17"/>
      <c r="G4390" s="59"/>
    </row>
    <row r="4391" spans="3:7" ht="20.25" customHeight="1" x14ac:dyDescent="0.3">
      <c r="C4391" s="59"/>
      <c r="D4391" s="69"/>
      <c r="E4391" s="69"/>
      <c r="F4391" s="17"/>
      <c r="G4391" s="59"/>
    </row>
    <row r="4392" spans="3:7" ht="20.25" customHeight="1" x14ac:dyDescent="0.3">
      <c r="C4392" s="59"/>
      <c r="D4392" s="69"/>
      <c r="E4392" s="69"/>
      <c r="F4392" s="17"/>
      <c r="G4392" s="59"/>
    </row>
    <row r="4393" spans="3:7" ht="20.25" customHeight="1" x14ac:dyDescent="0.3">
      <c r="C4393" s="59"/>
      <c r="D4393" s="69"/>
      <c r="E4393" s="69"/>
      <c r="F4393" s="17"/>
      <c r="G4393" s="59"/>
    </row>
    <row r="4394" spans="3:7" ht="20.25" customHeight="1" x14ac:dyDescent="0.3">
      <c r="C4394" s="59"/>
      <c r="D4394" s="69"/>
      <c r="E4394" s="69"/>
      <c r="F4394" s="17"/>
      <c r="G4394" s="59"/>
    </row>
    <row r="4395" spans="3:7" ht="20.25" customHeight="1" x14ac:dyDescent="0.3">
      <c r="C4395" s="59"/>
      <c r="D4395" s="69"/>
      <c r="E4395" s="69"/>
      <c r="F4395" s="17"/>
      <c r="G4395" s="59"/>
    </row>
    <row r="4396" spans="3:7" ht="20.25" customHeight="1" x14ac:dyDescent="0.3">
      <c r="C4396" s="59"/>
      <c r="D4396" s="69"/>
      <c r="E4396" s="69"/>
      <c r="F4396" s="17"/>
      <c r="G4396" s="59"/>
    </row>
    <row r="4397" spans="3:7" ht="20.25" customHeight="1" x14ac:dyDescent="0.3">
      <c r="C4397" s="59"/>
      <c r="D4397" s="69"/>
      <c r="E4397" s="69"/>
      <c r="F4397" s="17"/>
      <c r="G4397" s="59"/>
    </row>
    <row r="4398" spans="3:7" ht="20.25" customHeight="1" x14ac:dyDescent="0.3">
      <c r="C4398" s="59"/>
      <c r="D4398" s="69"/>
      <c r="E4398" s="69"/>
      <c r="F4398" s="17"/>
      <c r="G4398" s="59"/>
    </row>
    <row r="4399" spans="3:7" ht="20.25" customHeight="1" x14ac:dyDescent="0.3">
      <c r="C4399" s="59"/>
      <c r="D4399" s="69"/>
      <c r="E4399" s="69"/>
      <c r="F4399" s="17"/>
      <c r="G4399" s="59"/>
    </row>
    <row r="4400" spans="3:7" ht="20.25" customHeight="1" x14ac:dyDescent="0.3">
      <c r="C4400" s="59"/>
      <c r="D4400" s="69"/>
      <c r="E4400" s="69"/>
      <c r="F4400" s="17"/>
      <c r="G4400" s="59"/>
    </row>
    <row r="4401" spans="3:7" ht="20.25" customHeight="1" x14ac:dyDescent="0.3">
      <c r="C4401" s="59"/>
      <c r="D4401" s="69"/>
      <c r="E4401" s="69"/>
      <c r="F4401" s="17"/>
      <c r="G4401" s="59"/>
    </row>
    <row r="4402" spans="3:7" ht="20.25" customHeight="1" x14ac:dyDescent="0.3">
      <c r="C4402" s="59"/>
      <c r="D4402" s="69"/>
      <c r="E4402" s="69"/>
      <c r="F4402" s="17"/>
      <c r="G4402" s="59"/>
    </row>
    <row r="4403" spans="3:7" ht="20.25" customHeight="1" x14ac:dyDescent="0.3">
      <c r="C4403" s="59"/>
      <c r="D4403" s="69"/>
      <c r="E4403" s="69"/>
      <c r="F4403" s="17"/>
      <c r="G4403" s="59"/>
    </row>
    <row r="4404" spans="3:7" ht="20.25" customHeight="1" x14ac:dyDescent="0.3">
      <c r="C4404" s="59"/>
      <c r="D4404" s="69"/>
      <c r="E4404" s="69"/>
      <c r="F4404" s="17"/>
      <c r="G4404" s="59"/>
    </row>
    <row r="4405" spans="3:7" ht="20.25" customHeight="1" x14ac:dyDescent="0.3">
      <c r="C4405" s="59"/>
      <c r="D4405" s="69"/>
      <c r="E4405" s="69"/>
      <c r="F4405" s="17"/>
      <c r="G4405" s="59"/>
    </row>
    <row r="4406" spans="3:7" ht="20.25" customHeight="1" x14ac:dyDescent="0.3">
      <c r="C4406" s="59"/>
      <c r="D4406" s="69"/>
      <c r="E4406" s="69"/>
      <c r="F4406" s="17"/>
      <c r="G4406" s="59"/>
    </row>
    <row r="4407" spans="3:7" ht="20.25" customHeight="1" x14ac:dyDescent="0.3">
      <c r="C4407" s="59"/>
      <c r="D4407" s="69"/>
      <c r="E4407" s="69"/>
      <c r="F4407" s="17"/>
      <c r="G4407" s="59"/>
    </row>
    <row r="4408" spans="3:7" ht="20.25" customHeight="1" x14ac:dyDescent="0.3">
      <c r="C4408" s="59"/>
      <c r="D4408" s="69"/>
      <c r="E4408" s="69"/>
      <c r="F4408" s="17"/>
      <c r="G4408" s="59"/>
    </row>
    <row r="4409" spans="3:7" ht="20.25" customHeight="1" x14ac:dyDescent="0.3">
      <c r="C4409" s="59"/>
      <c r="D4409" s="69"/>
      <c r="E4409" s="69"/>
      <c r="F4409" s="17"/>
      <c r="G4409" s="59"/>
    </row>
    <row r="4410" spans="3:7" ht="20.25" customHeight="1" x14ac:dyDescent="0.3">
      <c r="C4410" s="59"/>
      <c r="D4410" s="69"/>
      <c r="E4410" s="69"/>
      <c r="F4410" s="17"/>
      <c r="G4410" s="59"/>
    </row>
    <row r="4411" spans="3:7" ht="20.25" customHeight="1" x14ac:dyDescent="0.3">
      <c r="C4411" s="59"/>
      <c r="D4411" s="69"/>
      <c r="E4411" s="69"/>
      <c r="F4411" s="17"/>
      <c r="G4411" s="59"/>
    </row>
    <row r="4412" spans="3:7" ht="20.25" customHeight="1" x14ac:dyDescent="0.3">
      <c r="C4412" s="59"/>
      <c r="D4412" s="69"/>
      <c r="E4412" s="69"/>
      <c r="F4412" s="17"/>
      <c r="G4412" s="59"/>
    </row>
    <row r="4413" spans="3:7" ht="20.25" customHeight="1" x14ac:dyDescent="0.3">
      <c r="C4413" s="59"/>
      <c r="D4413" s="69"/>
      <c r="E4413" s="69"/>
      <c r="F4413" s="17"/>
      <c r="G4413" s="59"/>
    </row>
    <row r="4414" spans="3:7" ht="20.25" customHeight="1" x14ac:dyDescent="0.3">
      <c r="C4414" s="59"/>
      <c r="D4414" s="69"/>
      <c r="E4414" s="69"/>
      <c r="F4414" s="17"/>
      <c r="G4414" s="59"/>
    </row>
    <row r="4415" spans="3:7" ht="20.25" customHeight="1" x14ac:dyDescent="0.3">
      <c r="C4415" s="59"/>
      <c r="D4415" s="69"/>
      <c r="E4415" s="69"/>
      <c r="F4415" s="17"/>
      <c r="G4415" s="59"/>
    </row>
    <row r="4416" spans="3:7" ht="20.25" customHeight="1" x14ac:dyDescent="0.3">
      <c r="C4416" s="59"/>
      <c r="D4416" s="69"/>
      <c r="E4416" s="69"/>
      <c r="F4416" s="17"/>
      <c r="G4416" s="59"/>
    </row>
    <row r="4417" spans="3:7" ht="20.25" customHeight="1" x14ac:dyDescent="0.3">
      <c r="C4417" s="59"/>
      <c r="D4417" s="69"/>
      <c r="E4417" s="69"/>
      <c r="F4417" s="17"/>
      <c r="G4417" s="59"/>
    </row>
    <row r="4418" spans="3:7" ht="20.25" customHeight="1" x14ac:dyDescent="0.3">
      <c r="C4418" s="59"/>
      <c r="D4418" s="69"/>
      <c r="E4418" s="69"/>
      <c r="F4418" s="17"/>
      <c r="G4418" s="59"/>
    </row>
    <row r="4419" spans="3:7" ht="20.25" customHeight="1" x14ac:dyDescent="0.3">
      <c r="C4419" s="59"/>
      <c r="D4419" s="69"/>
      <c r="E4419" s="69"/>
      <c r="F4419" s="17"/>
      <c r="G4419" s="59"/>
    </row>
    <row r="4420" spans="3:7" ht="20.25" customHeight="1" x14ac:dyDescent="0.3">
      <c r="C4420" s="59"/>
      <c r="D4420" s="69"/>
      <c r="E4420" s="69"/>
      <c r="F4420" s="17"/>
      <c r="G4420" s="59"/>
    </row>
    <row r="4421" spans="3:7" ht="20.25" customHeight="1" x14ac:dyDescent="0.3">
      <c r="C4421" s="59"/>
      <c r="D4421" s="69"/>
      <c r="E4421" s="69"/>
      <c r="F4421" s="17"/>
      <c r="G4421" s="59"/>
    </row>
    <row r="4422" spans="3:7" ht="20.25" customHeight="1" x14ac:dyDescent="0.3">
      <c r="C4422" s="59"/>
      <c r="D4422" s="69"/>
      <c r="E4422" s="69"/>
      <c r="F4422" s="17"/>
      <c r="G4422" s="59"/>
    </row>
    <row r="4423" spans="3:7" ht="20.25" customHeight="1" x14ac:dyDescent="0.3">
      <c r="C4423" s="59"/>
      <c r="D4423" s="69"/>
      <c r="E4423" s="69"/>
      <c r="F4423" s="17"/>
      <c r="G4423" s="59"/>
    </row>
    <row r="4424" spans="3:7" ht="20.25" customHeight="1" x14ac:dyDescent="0.3">
      <c r="C4424" s="59"/>
      <c r="D4424" s="69"/>
      <c r="E4424" s="69"/>
      <c r="F4424" s="17"/>
      <c r="G4424" s="59"/>
    </row>
    <row r="4425" spans="3:7" ht="20.25" customHeight="1" x14ac:dyDescent="0.3">
      <c r="C4425" s="59"/>
      <c r="D4425" s="69"/>
      <c r="E4425" s="69"/>
      <c r="F4425" s="17"/>
      <c r="G4425" s="59"/>
    </row>
    <row r="4426" spans="3:7" ht="20.25" customHeight="1" x14ac:dyDescent="0.3">
      <c r="C4426" s="59"/>
      <c r="D4426" s="69"/>
      <c r="E4426" s="69"/>
      <c r="F4426" s="17"/>
      <c r="G4426" s="59"/>
    </row>
    <row r="4427" spans="3:7" ht="20.25" customHeight="1" x14ac:dyDescent="0.3">
      <c r="C4427" s="59"/>
      <c r="D4427" s="69"/>
      <c r="E4427" s="69"/>
      <c r="F4427" s="17"/>
      <c r="G4427" s="59"/>
    </row>
    <row r="4428" spans="3:7" ht="20.25" customHeight="1" x14ac:dyDescent="0.3">
      <c r="C4428" s="59"/>
      <c r="D4428" s="69"/>
      <c r="E4428" s="69"/>
      <c r="F4428" s="17"/>
      <c r="G4428" s="59"/>
    </row>
    <row r="4429" spans="3:7" ht="20.25" customHeight="1" x14ac:dyDescent="0.3">
      <c r="C4429" s="59"/>
      <c r="D4429" s="69"/>
      <c r="E4429" s="69"/>
      <c r="F4429" s="17"/>
      <c r="G4429" s="59"/>
    </row>
    <row r="4430" spans="3:7" ht="20.25" customHeight="1" x14ac:dyDescent="0.3">
      <c r="C4430" s="59"/>
      <c r="D4430" s="69"/>
      <c r="E4430" s="69"/>
      <c r="F4430" s="17"/>
      <c r="G4430" s="59"/>
    </row>
    <row r="4431" spans="3:7" ht="20.25" customHeight="1" x14ac:dyDescent="0.3">
      <c r="C4431" s="59"/>
      <c r="D4431" s="69"/>
      <c r="E4431" s="69"/>
      <c r="F4431" s="17"/>
      <c r="G4431" s="59"/>
    </row>
    <row r="4432" spans="3:7" ht="20.25" customHeight="1" x14ac:dyDescent="0.3">
      <c r="C4432" s="59"/>
      <c r="D4432" s="69"/>
      <c r="E4432" s="69"/>
      <c r="F4432" s="17"/>
      <c r="G4432" s="59"/>
    </row>
    <row r="4433" spans="3:7" ht="20.25" customHeight="1" x14ac:dyDescent="0.3">
      <c r="C4433" s="59"/>
      <c r="D4433" s="69"/>
      <c r="E4433" s="69"/>
      <c r="F4433" s="17"/>
      <c r="G4433" s="59"/>
    </row>
    <row r="4434" spans="3:7" ht="20.25" customHeight="1" x14ac:dyDescent="0.3">
      <c r="C4434" s="59"/>
      <c r="D4434" s="69"/>
      <c r="E4434" s="69"/>
      <c r="F4434" s="17"/>
      <c r="G4434" s="59"/>
    </row>
    <row r="4435" spans="3:7" ht="20.25" customHeight="1" x14ac:dyDescent="0.3">
      <c r="C4435" s="59"/>
      <c r="D4435" s="69"/>
      <c r="E4435" s="69"/>
      <c r="F4435" s="17"/>
      <c r="G4435" s="59"/>
    </row>
    <row r="4436" spans="3:7" ht="20.25" customHeight="1" x14ac:dyDescent="0.3">
      <c r="C4436" s="59"/>
      <c r="D4436" s="69"/>
      <c r="E4436" s="69"/>
      <c r="F4436" s="17"/>
      <c r="G4436" s="59"/>
    </row>
    <row r="4437" spans="3:7" ht="20.25" customHeight="1" x14ac:dyDescent="0.3">
      <c r="C4437" s="59"/>
      <c r="D4437" s="69"/>
      <c r="E4437" s="69"/>
      <c r="F4437" s="17"/>
      <c r="G4437" s="59"/>
    </row>
    <row r="4438" spans="3:7" ht="20.25" customHeight="1" x14ac:dyDescent="0.3">
      <c r="C4438" s="59"/>
      <c r="D4438" s="69"/>
      <c r="E4438" s="69"/>
      <c r="F4438" s="17"/>
      <c r="G4438" s="59"/>
    </row>
    <row r="4439" spans="3:7" ht="20.25" customHeight="1" x14ac:dyDescent="0.3">
      <c r="C4439" s="59"/>
      <c r="D4439" s="69"/>
      <c r="E4439" s="69"/>
      <c r="F4439" s="17"/>
      <c r="G4439" s="59"/>
    </row>
    <row r="4440" spans="3:7" ht="20.25" customHeight="1" x14ac:dyDescent="0.3">
      <c r="C4440" s="59"/>
      <c r="D4440" s="69"/>
      <c r="E4440" s="69"/>
      <c r="F4440" s="17"/>
      <c r="G4440" s="59"/>
    </row>
    <row r="4441" spans="3:7" ht="20.25" customHeight="1" x14ac:dyDescent="0.3">
      <c r="C4441" s="59"/>
      <c r="D4441" s="69"/>
      <c r="E4441" s="69"/>
      <c r="F4441" s="17"/>
      <c r="G4441" s="59"/>
    </row>
    <row r="4442" spans="3:7" ht="20.25" customHeight="1" x14ac:dyDescent="0.3">
      <c r="C4442" s="59"/>
      <c r="D4442" s="69"/>
      <c r="E4442" s="69"/>
      <c r="F4442" s="17"/>
      <c r="G4442" s="59"/>
    </row>
    <row r="4443" spans="3:7" ht="20.25" customHeight="1" x14ac:dyDescent="0.3">
      <c r="C4443" s="59"/>
      <c r="D4443" s="69"/>
      <c r="E4443" s="69"/>
      <c r="F4443" s="17"/>
      <c r="G4443" s="59"/>
    </row>
    <row r="4444" spans="3:7" ht="20.25" customHeight="1" x14ac:dyDescent="0.3">
      <c r="C4444" s="59"/>
      <c r="D4444" s="69"/>
      <c r="E4444" s="69"/>
      <c r="F4444" s="17"/>
      <c r="G4444" s="59"/>
    </row>
    <row r="4445" spans="3:7" ht="20.25" customHeight="1" x14ac:dyDescent="0.3">
      <c r="C4445" s="59"/>
      <c r="D4445" s="69"/>
      <c r="E4445" s="69"/>
      <c r="F4445" s="17"/>
      <c r="G4445" s="59"/>
    </row>
    <row r="4446" spans="3:7" ht="20.25" customHeight="1" x14ac:dyDescent="0.3">
      <c r="C4446" s="59"/>
      <c r="D4446" s="69"/>
      <c r="E4446" s="69"/>
      <c r="F4446" s="17"/>
      <c r="G4446" s="59"/>
    </row>
    <row r="4447" spans="3:7" ht="20.25" customHeight="1" x14ac:dyDescent="0.3">
      <c r="C4447" s="59"/>
      <c r="D4447" s="69"/>
      <c r="E4447" s="69"/>
      <c r="F4447" s="17"/>
      <c r="G4447" s="59"/>
    </row>
    <row r="4448" spans="3:7" ht="20.25" customHeight="1" x14ac:dyDescent="0.3">
      <c r="C4448" s="59"/>
      <c r="D4448" s="69"/>
      <c r="E4448" s="69"/>
      <c r="F4448" s="17"/>
      <c r="G4448" s="59"/>
    </row>
    <row r="4449" spans="3:7" ht="20.25" customHeight="1" x14ac:dyDescent="0.3">
      <c r="C4449" s="59"/>
      <c r="D4449" s="69"/>
      <c r="E4449" s="69"/>
      <c r="F4449" s="17"/>
      <c r="G4449" s="59"/>
    </row>
    <row r="4450" spans="3:7" ht="20.25" customHeight="1" x14ac:dyDescent="0.3">
      <c r="C4450" s="59"/>
      <c r="D4450" s="69"/>
      <c r="E4450" s="69"/>
      <c r="F4450" s="17"/>
      <c r="G4450" s="59"/>
    </row>
    <row r="4451" spans="3:7" ht="20.25" customHeight="1" x14ac:dyDescent="0.3">
      <c r="C4451" s="59"/>
      <c r="D4451" s="69"/>
      <c r="E4451" s="69"/>
      <c r="F4451" s="17"/>
      <c r="G4451" s="59"/>
    </row>
    <row r="4452" spans="3:7" ht="20.25" customHeight="1" x14ac:dyDescent="0.3">
      <c r="C4452" s="59"/>
      <c r="D4452" s="69"/>
      <c r="E4452" s="69"/>
      <c r="F4452" s="17"/>
      <c r="G4452" s="59"/>
    </row>
    <row r="4453" spans="3:7" ht="20.25" customHeight="1" x14ac:dyDescent="0.3">
      <c r="C4453" s="59"/>
      <c r="D4453" s="69"/>
      <c r="E4453" s="69"/>
      <c r="F4453" s="17"/>
      <c r="G4453" s="59"/>
    </row>
    <row r="4454" spans="3:7" ht="20.25" customHeight="1" x14ac:dyDescent="0.3">
      <c r="C4454" s="59"/>
      <c r="D4454" s="69"/>
      <c r="E4454" s="69"/>
      <c r="F4454" s="17"/>
      <c r="G4454" s="59"/>
    </row>
    <row r="4455" spans="3:7" ht="20.25" customHeight="1" x14ac:dyDescent="0.3">
      <c r="C4455" s="59"/>
      <c r="D4455" s="69"/>
      <c r="E4455" s="69"/>
      <c r="F4455" s="17"/>
      <c r="G4455" s="59"/>
    </row>
    <row r="4456" spans="3:7" ht="20.25" customHeight="1" x14ac:dyDescent="0.3">
      <c r="C4456" s="59"/>
      <c r="D4456" s="69"/>
      <c r="E4456" s="69"/>
      <c r="F4456" s="17"/>
      <c r="G4456" s="59"/>
    </row>
    <row r="4457" spans="3:7" ht="20.25" customHeight="1" x14ac:dyDescent="0.3">
      <c r="C4457" s="59"/>
      <c r="D4457" s="69"/>
      <c r="E4457" s="69"/>
      <c r="F4457" s="17"/>
      <c r="G4457" s="59"/>
    </row>
    <row r="4458" spans="3:7" ht="20.25" customHeight="1" x14ac:dyDescent="0.3">
      <c r="C4458" s="59"/>
      <c r="D4458" s="69"/>
      <c r="E4458" s="69"/>
      <c r="F4458" s="17"/>
      <c r="G4458" s="59"/>
    </row>
    <row r="4459" spans="3:7" ht="20.25" customHeight="1" x14ac:dyDescent="0.3">
      <c r="C4459" s="59"/>
      <c r="D4459" s="69"/>
      <c r="E4459" s="69"/>
      <c r="F4459" s="17"/>
      <c r="G4459" s="59"/>
    </row>
    <row r="4460" spans="3:7" ht="20.25" customHeight="1" x14ac:dyDescent="0.3">
      <c r="C4460" s="59"/>
      <c r="D4460" s="69"/>
      <c r="E4460" s="69"/>
      <c r="F4460" s="17"/>
      <c r="G4460" s="59"/>
    </row>
    <row r="4461" spans="3:7" ht="20.25" customHeight="1" x14ac:dyDescent="0.3">
      <c r="C4461" s="59"/>
      <c r="D4461" s="69"/>
      <c r="E4461" s="69"/>
      <c r="F4461" s="17"/>
      <c r="G4461" s="59"/>
    </row>
    <row r="4462" spans="3:7" ht="20.25" customHeight="1" x14ac:dyDescent="0.3">
      <c r="C4462" s="59"/>
      <c r="D4462" s="69"/>
      <c r="E4462" s="69"/>
      <c r="F4462" s="17"/>
      <c r="G4462" s="59"/>
    </row>
    <row r="4463" spans="3:7" ht="20.25" customHeight="1" x14ac:dyDescent="0.3">
      <c r="C4463" s="59"/>
      <c r="D4463" s="69"/>
      <c r="E4463" s="69"/>
      <c r="F4463" s="17"/>
      <c r="G4463" s="59"/>
    </row>
    <row r="4464" spans="3:7" ht="20.25" customHeight="1" x14ac:dyDescent="0.3">
      <c r="C4464" s="59"/>
      <c r="D4464" s="69"/>
      <c r="E4464" s="69"/>
      <c r="F4464" s="17"/>
      <c r="G4464" s="59"/>
    </row>
    <row r="4465" spans="3:7" ht="20.25" customHeight="1" x14ac:dyDescent="0.3">
      <c r="C4465" s="59"/>
      <c r="D4465" s="69"/>
      <c r="E4465" s="69"/>
      <c r="F4465" s="17"/>
      <c r="G4465" s="59"/>
    </row>
    <row r="4466" spans="3:7" ht="20.25" customHeight="1" x14ac:dyDescent="0.3">
      <c r="C4466" s="59"/>
      <c r="D4466" s="69"/>
      <c r="E4466" s="69"/>
      <c r="F4466" s="17"/>
      <c r="G4466" s="59"/>
    </row>
    <row r="4467" spans="3:7" ht="20.25" customHeight="1" x14ac:dyDescent="0.3">
      <c r="C4467" s="59"/>
      <c r="D4467" s="69"/>
      <c r="E4467" s="69"/>
      <c r="F4467" s="17"/>
      <c r="G4467" s="59"/>
    </row>
    <row r="4468" spans="3:7" ht="20.25" customHeight="1" x14ac:dyDescent="0.3">
      <c r="C4468" s="59"/>
      <c r="D4468" s="69"/>
      <c r="E4468" s="69"/>
      <c r="F4468" s="17"/>
      <c r="G4468" s="59"/>
    </row>
    <row r="4469" spans="3:7" ht="20.25" customHeight="1" x14ac:dyDescent="0.3">
      <c r="C4469" s="59"/>
      <c r="D4469" s="69"/>
      <c r="E4469" s="69"/>
      <c r="F4469" s="17"/>
      <c r="G4469" s="59"/>
    </row>
    <row r="4470" spans="3:7" ht="20.25" customHeight="1" x14ac:dyDescent="0.3">
      <c r="C4470" s="59"/>
      <c r="D4470" s="69"/>
      <c r="E4470" s="69"/>
      <c r="F4470" s="17"/>
      <c r="G4470" s="59"/>
    </row>
    <row r="4471" spans="3:7" ht="20.25" customHeight="1" x14ac:dyDescent="0.3">
      <c r="C4471" s="59"/>
      <c r="D4471" s="69"/>
      <c r="E4471" s="69"/>
      <c r="F4471" s="17"/>
      <c r="G4471" s="59"/>
    </row>
    <row r="4472" spans="3:7" ht="20.25" customHeight="1" x14ac:dyDescent="0.3">
      <c r="C4472" s="59"/>
      <c r="D4472" s="69"/>
      <c r="E4472" s="69"/>
      <c r="F4472" s="17"/>
      <c r="G4472" s="59"/>
    </row>
    <row r="4473" spans="3:7" ht="20.25" customHeight="1" x14ac:dyDescent="0.3">
      <c r="C4473" s="59"/>
      <c r="D4473" s="69"/>
      <c r="E4473" s="69"/>
      <c r="F4473" s="17"/>
      <c r="G4473" s="59"/>
    </row>
    <row r="4474" spans="3:7" ht="20.25" customHeight="1" x14ac:dyDescent="0.3">
      <c r="C4474" s="59"/>
      <c r="D4474" s="69"/>
      <c r="E4474" s="69"/>
      <c r="F4474" s="17"/>
      <c r="G4474" s="59"/>
    </row>
    <row r="4475" spans="3:7" ht="20.25" customHeight="1" x14ac:dyDescent="0.3">
      <c r="C4475" s="59"/>
      <c r="D4475" s="69"/>
      <c r="E4475" s="69"/>
      <c r="F4475" s="17"/>
      <c r="G4475" s="59"/>
    </row>
    <row r="4476" spans="3:7" ht="20.25" customHeight="1" x14ac:dyDescent="0.3">
      <c r="C4476" s="59"/>
      <c r="D4476" s="69"/>
      <c r="E4476" s="69"/>
      <c r="F4476" s="17"/>
      <c r="G4476" s="59"/>
    </row>
    <row r="4477" spans="3:7" ht="20.25" customHeight="1" x14ac:dyDescent="0.3">
      <c r="C4477" s="59"/>
      <c r="D4477" s="69"/>
      <c r="E4477" s="69"/>
      <c r="F4477" s="17"/>
      <c r="G4477" s="59"/>
    </row>
    <row r="4478" spans="3:7" ht="20.25" customHeight="1" x14ac:dyDescent="0.3">
      <c r="C4478" s="59"/>
      <c r="D4478" s="69"/>
      <c r="E4478" s="69"/>
      <c r="F4478" s="17"/>
      <c r="G4478" s="59"/>
    </row>
    <row r="4479" spans="3:7" ht="20.25" customHeight="1" x14ac:dyDescent="0.3">
      <c r="C4479" s="59"/>
      <c r="D4479" s="69"/>
      <c r="E4479" s="69"/>
      <c r="F4479" s="17"/>
      <c r="G4479" s="59"/>
    </row>
    <row r="4480" spans="3:7" ht="20.25" customHeight="1" x14ac:dyDescent="0.3">
      <c r="C4480" s="59"/>
      <c r="D4480" s="69"/>
      <c r="E4480" s="69"/>
      <c r="F4480" s="17"/>
      <c r="G4480" s="59"/>
    </row>
    <row r="4481" spans="3:7" ht="20.25" customHeight="1" x14ac:dyDescent="0.3">
      <c r="C4481" s="59"/>
      <c r="D4481" s="69"/>
      <c r="E4481" s="69"/>
      <c r="F4481" s="17"/>
      <c r="G4481" s="59"/>
    </row>
    <row r="4482" spans="3:7" ht="20.25" customHeight="1" x14ac:dyDescent="0.3">
      <c r="C4482" s="59"/>
      <c r="D4482" s="69"/>
      <c r="E4482" s="69"/>
      <c r="F4482" s="17"/>
      <c r="G4482" s="59"/>
    </row>
    <row r="4483" spans="3:7" ht="20.25" customHeight="1" x14ac:dyDescent="0.3">
      <c r="C4483" s="59"/>
      <c r="D4483" s="69"/>
      <c r="E4483" s="69"/>
      <c r="F4483" s="17"/>
      <c r="G4483" s="59"/>
    </row>
    <row r="4484" spans="3:7" ht="20.25" customHeight="1" x14ac:dyDescent="0.3">
      <c r="C4484" s="59"/>
      <c r="D4484" s="69"/>
      <c r="E4484" s="69"/>
      <c r="F4484" s="17"/>
      <c r="G4484" s="59"/>
    </row>
    <row r="4485" spans="3:7" ht="20.25" customHeight="1" x14ac:dyDescent="0.3">
      <c r="C4485" s="59"/>
      <c r="D4485" s="69"/>
      <c r="E4485" s="69"/>
      <c r="F4485" s="17"/>
      <c r="G4485" s="59"/>
    </row>
    <row r="4486" spans="3:7" ht="20.25" customHeight="1" x14ac:dyDescent="0.3">
      <c r="C4486" s="59"/>
      <c r="D4486" s="69"/>
      <c r="E4486" s="69"/>
      <c r="F4486" s="17"/>
      <c r="G4486" s="59"/>
    </row>
    <row r="4487" spans="3:7" ht="20.25" customHeight="1" x14ac:dyDescent="0.3">
      <c r="C4487" s="59"/>
      <c r="D4487" s="69"/>
      <c r="E4487" s="69"/>
      <c r="F4487" s="17"/>
      <c r="G4487" s="59"/>
    </row>
    <row r="4488" spans="3:7" ht="20.25" customHeight="1" x14ac:dyDescent="0.3">
      <c r="C4488" s="59"/>
      <c r="D4488" s="69"/>
      <c r="E4488" s="69"/>
      <c r="F4488" s="17"/>
      <c r="G4488" s="59"/>
    </row>
    <row r="4489" spans="3:7" ht="20.25" customHeight="1" x14ac:dyDescent="0.3">
      <c r="C4489" s="59"/>
      <c r="D4489" s="69"/>
      <c r="E4489" s="69"/>
      <c r="F4489" s="17"/>
      <c r="G4489" s="59"/>
    </row>
    <row r="4490" spans="3:7" ht="20.25" customHeight="1" x14ac:dyDescent="0.3">
      <c r="C4490" s="59"/>
      <c r="D4490" s="69"/>
      <c r="E4490" s="69"/>
      <c r="F4490" s="17"/>
      <c r="G4490" s="59"/>
    </row>
    <row r="4491" spans="3:7" ht="20.25" customHeight="1" x14ac:dyDescent="0.3">
      <c r="C4491" s="59"/>
      <c r="D4491" s="69"/>
      <c r="E4491" s="69"/>
      <c r="F4491" s="17"/>
      <c r="G4491" s="59"/>
    </row>
    <row r="4492" spans="3:7" ht="20.25" customHeight="1" x14ac:dyDescent="0.3">
      <c r="C4492" s="59"/>
      <c r="D4492" s="69"/>
      <c r="E4492" s="69"/>
      <c r="F4492" s="17"/>
      <c r="G4492" s="59"/>
    </row>
    <row r="4493" spans="3:7" ht="20.25" customHeight="1" x14ac:dyDescent="0.3">
      <c r="C4493" s="59"/>
      <c r="D4493" s="69"/>
      <c r="E4493" s="69"/>
      <c r="F4493" s="17"/>
      <c r="G4493" s="59"/>
    </row>
    <row r="4494" spans="3:7" ht="20.25" customHeight="1" x14ac:dyDescent="0.3">
      <c r="C4494" s="59"/>
      <c r="D4494" s="69"/>
      <c r="E4494" s="69"/>
      <c r="F4494" s="17"/>
      <c r="G4494" s="59"/>
    </row>
    <row r="4495" spans="3:7" ht="20.25" customHeight="1" x14ac:dyDescent="0.3">
      <c r="C4495" s="59"/>
      <c r="D4495" s="69"/>
      <c r="E4495" s="69"/>
      <c r="F4495" s="17"/>
      <c r="G4495" s="59"/>
    </row>
    <row r="4496" spans="3:7" ht="20.25" customHeight="1" x14ac:dyDescent="0.3">
      <c r="C4496" s="59"/>
      <c r="D4496" s="69"/>
      <c r="E4496" s="69"/>
      <c r="F4496" s="17"/>
      <c r="G4496" s="59"/>
    </row>
    <row r="4497" spans="3:7" ht="20.25" customHeight="1" x14ac:dyDescent="0.3">
      <c r="C4497" s="59"/>
      <c r="D4497" s="69"/>
      <c r="E4497" s="69"/>
      <c r="F4497" s="17"/>
      <c r="G4497" s="59"/>
    </row>
    <row r="4498" spans="3:7" ht="20.25" customHeight="1" x14ac:dyDescent="0.3">
      <c r="C4498" s="59"/>
      <c r="D4498" s="69"/>
      <c r="E4498" s="69"/>
      <c r="F4498" s="17"/>
      <c r="G4498" s="59"/>
    </row>
    <row r="4499" spans="3:7" ht="20.25" customHeight="1" x14ac:dyDescent="0.3">
      <c r="C4499" s="59"/>
      <c r="D4499" s="69"/>
      <c r="E4499" s="69"/>
      <c r="F4499" s="17"/>
      <c r="G4499" s="59"/>
    </row>
    <row r="4500" spans="3:7" ht="20.25" customHeight="1" x14ac:dyDescent="0.3">
      <c r="C4500" s="59"/>
      <c r="D4500" s="69"/>
      <c r="E4500" s="69"/>
      <c r="F4500" s="17"/>
      <c r="G4500" s="59"/>
    </row>
    <row r="4501" spans="3:7" ht="20.25" customHeight="1" x14ac:dyDescent="0.3">
      <c r="C4501" s="59"/>
      <c r="D4501" s="69"/>
      <c r="E4501" s="69"/>
      <c r="F4501" s="17"/>
      <c r="G4501" s="59"/>
    </row>
    <row r="4502" spans="3:7" ht="20.25" customHeight="1" x14ac:dyDescent="0.3">
      <c r="C4502" s="59"/>
      <c r="D4502" s="69"/>
      <c r="E4502" s="69"/>
      <c r="F4502" s="17"/>
      <c r="G4502" s="59"/>
    </row>
    <row r="4503" spans="3:7" ht="20.25" customHeight="1" x14ac:dyDescent="0.3">
      <c r="C4503" s="59"/>
      <c r="D4503" s="69"/>
      <c r="E4503" s="69"/>
      <c r="F4503" s="17"/>
      <c r="G4503" s="59"/>
    </row>
    <row r="4504" spans="3:7" ht="20.25" customHeight="1" x14ac:dyDescent="0.3">
      <c r="C4504" s="59"/>
      <c r="D4504" s="69"/>
      <c r="E4504" s="69"/>
      <c r="F4504" s="17"/>
      <c r="G4504" s="59"/>
    </row>
    <row r="4505" spans="3:7" ht="20.25" customHeight="1" x14ac:dyDescent="0.3">
      <c r="C4505" s="59"/>
      <c r="D4505" s="69"/>
      <c r="E4505" s="69"/>
      <c r="F4505" s="17"/>
      <c r="G4505" s="59"/>
    </row>
    <row r="4506" spans="3:7" ht="20.25" customHeight="1" x14ac:dyDescent="0.3">
      <c r="C4506" s="59"/>
      <c r="D4506" s="69"/>
      <c r="E4506" s="69"/>
      <c r="F4506" s="17"/>
      <c r="G4506" s="59"/>
    </row>
    <row r="4507" spans="3:7" ht="20.25" customHeight="1" x14ac:dyDescent="0.3">
      <c r="C4507" s="59"/>
      <c r="D4507" s="69"/>
      <c r="E4507" s="69"/>
      <c r="F4507" s="17"/>
      <c r="G4507" s="59"/>
    </row>
    <row r="4508" spans="3:7" ht="20.25" customHeight="1" x14ac:dyDescent="0.3">
      <c r="C4508" s="59"/>
      <c r="D4508" s="69"/>
      <c r="E4508" s="69"/>
      <c r="F4508" s="17"/>
      <c r="G4508" s="59"/>
    </row>
    <row r="4509" spans="3:7" ht="20.25" customHeight="1" x14ac:dyDescent="0.3">
      <c r="C4509" s="59"/>
      <c r="D4509" s="69"/>
      <c r="E4509" s="69"/>
      <c r="F4509" s="17"/>
      <c r="G4509" s="59"/>
    </row>
    <row r="4510" spans="3:7" ht="20.25" customHeight="1" x14ac:dyDescent="0.3">
      <c r="C4510" s="59"/>
      <c r="D4510" s="69"/>
      <c r="E4510" s="69"/>
      <c r="F4510" s="17"/>
      <c r="G4510" s="59"/>
    </row>
    <row r="4511" spans="3:7" ht="20.25" customHeight="1" x14ac:dyDescent="0.3">
      <c r="C4511" s="59"/>
      <c r="D4511" s="69"/>
      <c r="E4511" s="69"/>
      <c r="F4511" s="17"/>
      <c r="G4511" s="59"/>
    </row>
    <row r="4512" spans="3:7" ht="20.25" customHeight="1" x14ac:dyDescent="0.3">
      <c r="C4512" s="59"/>
      <c r="D4512" s="69"/>
      <c r="E4512" s="69"/>
      <c r="F4512" s="17"/>
      <c r="G4512" s="59"/>
    </row>
    <row r="4513" spans="3:7" ht="20.25" customHeight="1" x14ac:dyDescent="0.3">
      <c r="C4513" s="59"/>
      <c r="D4513" s="69"/>
      <c r="E4513" s="69"/>
      <c r="F4513" s="17"/>
      <c r="G4513" s="59"/>
    </row>
    <row r="4514" spans="3:7" ht="20.25" customHeight="1" x14ac:dyDescent="0.3">
      <c r="C4514" s="59"/>
      <c r="D4514" s="69"/>
      <c r="E4514" s="69"/>
      <c r="F4514" s="17"/>
      <c r="G4514" s="59"/>
    </row>
    <row r="4515" spans="3:7" ht="20.25" customHeight="1" x14ac:dyDescent="0.3">
      <c r="C4515" s="59"/>
      <c r="D4515" s="69"/>
      <c r="E4515" s="69"/>
      <c r="F4515" s="17"/>
      <c r="G4515" s="59"/>
    </row>
    <row r="4516" spans="3:7" ht="20.25" customHeight="1" x14ac:dyDescent="0.3">
      <c r="C4516" s="59"/>
      <c r="D4516" s="69"/>
      <c r="E4516" s="69"/>
      <c r="F4516" s="17"/>
      <c r="G4516" s="59"/>
    </row>
    <row r="4517" spans="3:7" ht="20.25" customHeight="1" x14ac:dyDescent="0.3">
      <c r="C4517" s="59"/>
      <c r="D4517" s="69"/>
      <c r="E4517" s="69"/>
      <c r="F4517" s="17"/>
      <c r="G4517" s="59"/>
    </row>
    <row r="4518" spans="3:7" ht="20.25" customHeight="1" x14ac:dyDescent="0.3">
      <c r="C4518" s="59"/>
      <c r="D4518" s="69"/>
      <c r="E4518" s="69"/>
      <c r="F4518" s="17"/>
      <c r="G4518" s="59"/>
    </row>
    <row r="4519" spans="3:7" ht="20.25" customHeight="1" x14ac:dyDescent="0.3">
      <c r="C4519" s="59"/>
      <c r="D4519" s="69"/>
      <c r="E4519" s="69"/>
      <c r="F4519" s="17"/>
      <c r="G4519" s="59"/>
    </row>
    <row r="4520" spans="3:7" ht="20.25" customHeight="1" x14ac:dyDescent="0.3">
      <c r="C4520" s="59"/>
      <c r="D4520" s="69"/>
      <c r="E4520" s="69"/>
      <c r="F4520" s="17"/>
      <c r="G4520" s="59"/>
    </row>
    <row r="4521" spans="3:7" ht="20.25" customHeight="1" x14ac:dyDescent="0.3">
      <c r="C4521" s="59"/>
      <c r="D4521" s="69"/>
      <c r="E4521" s="69"/>
      <c r="F4521" s="17"/>
      <c r="G4521" s="59"/>
    </row>
    <row r="4522" spans="3:7" ht="20.25" customHeight="1" x14ac:dyDescent="0.3">
      <c r="C4522" s="59"/>
      <c r="D4522" s="69"/>
      <c r="E4522" s="69"/>
      <c r="F4522" s="17"/>
      <c r="G4522" s="59"/>
    </row>
    <row r="4523" spans="3:7" ht="20.25" customHeight="1" x14ac:dyDescent="0.3">
      <c r="C4523" s="59"/>
      <c r="D4523" s="69"/>
      <c r="E4523" s="69"/>
      <c r="F4523" s="17"/>
      <c r="G4523" s="59"/>
    </row>
    <row r="4524" spans="3:7" ht="20.25" customHeight="1" x14ac:dyDescent="0.3">
      <c r="C4524" s="59"/>
      <c r="D4524" s="69"/>
      <c r="E4524" s="69"/>
      <c r="F4524" s="17"/>
      <c r="G4524" s="59"/>
    </row>
    <row r="4525" spans="3:7" ht="20.25" customHeight="1" x14ac:dyDescent="0.3">
      <c r="C4525" s="59"/>
      <c r="D4525" s="69"/>
      <c r="E4525" s="69"/>
      <c r="F4525" s="17"/>
      <c r="G4525" s="59"/>
    </row>
    <row r="4526" spans="3:7" ht="20.25" customHeight="1" x14ac:dyDescent="0.3">
      <c r="C4526" s="59"/>
      <c r="D4526" s="69"/>
      <c r="E4526" s="69"/>
      <c r="F4526" s="17"/>
      <c r="G4526" s="59"/>
    </row>
    <row r="4527" spans="3:7" ht="20.25" customHeight="1" x14ac:dyDescent="0.3">
      <c r="C4527" s="59"/>
      <c r="D4527" s="69"/>
      <c r="E4527" s="69"/>
      <c r="F4527" s="17"/>
      <c r="G4527" s="59"/>
    </row>
    <row r="4528" spans="3:7" ht="20.25" customHeight="1" x14ac:dyDescent="0.3">
      <c r="C4528" s="59"/>
      <c r="D4528" s="69"/>
      <c r="E4528" s="69"/>
      <c r="F4528" s="17"/>
      <c r="G4528" s="59"/>
    </row>
    <row r="4529" spans="3:7" ht="20.25" customHeight="1" x14ac:dyDescent="0.3">
      <c r="C4529" s="59"/>
      <c r="D4529" s="69"/>
      <c r="E4529" s="69"/>
      <c r="F4529" s="17"/>
      <c r="G4529" s="59"/>
    </row>
    <row r="4530" spans="3:7" ht="20.25" customHeight="1" x14ac:dyDescent="0.3">
      <c r="C4530" s="59"/>
      <c r="D4530" s="69"/>
      <c r="E4530" s="69"/>
      <c r="F4530" s="17"/>
      <c r="G4530" s="59"/>
    </row>
    <row r="4531" spans="3:7" ht="20.25" customHeight="1" x14ac:dyDescent="0.3">
      <c r="C4531" s="59"/>
      <c r="D4531" s="69"/>
      <c r="E4531" s="69"/>
      <c r="F4531" s="17"/>
      <c r="G4531" s="59"/>
    </row>
    <row r="4532" spans="3:7" ht="20.25" customHeight="1" x14ac:dyDescent="0.3">
      <c r="C4532" s="59"/>
      <c r="D4532" s="69"/>
      <c r="E4532" s="69"/>
      <c r="F4532" s="17"/>
      <c r="G4532" s="59"/>
    </row>
    <row r="4533" spans="3:7" ht="20.25" customHeight="1" x14ac:dyDescent="0.3">
      <c r="C4533" s="59"/>
      <c r="D4533" s="69"/>
      <c r="E4533" s="69"/>
      <c r="F4533" s="17"/>
      <c r="G4533" s="59"/>
    </row>
    <row r="4534" spans="3:7" ht="20.25" customHeight="1" x14ac:dyDescent="0.3">
      <c r="C4534" s="59"/>
      <c r="D4534" s="69"/>
      <c r="E4534" s="69"/>
      <c r="F4534" s="17"/>
      <c r="G4534" s="59"/>
    </row>
    <row r="4535" spans="3:7" ht="20.25" customHeight="1" x14ac:dyDescent="0.3">
      <c r="C4535" s="59"/>
      <c r="D4535" s="69"/>
      <c r="E4535" s="69"/>
      <c r="F4535" s="17"/>
      <c r="G4535" s="59"/>
    </row>
    <row r="4536" spans="3:7" ht="20.25" customHeight="1" x14ac:dyDescent="0.3">
      <c r="C4536" s="59"/>
      <c r="D4536" s="69"/>
      <c r="E4536" s="69"/>
      <c r="F4536" s="17"/>
      <c r="G4536" s="59"/>
    </row>
    <row r="4537" spans="3:7" ht="20.25" customHeight="1" x14ac:dyDescent="0.3">
      <c r="C4537" s="59"/>
      <c r="D4537" s="69"/>
      <c r="E4537" s="69"/>
      <c r="F4537" s="17"/>
      <c r="G4537" s="59"/>
    </row>
    <row r="4538" spans="3:7" ht="20.25" customHeight="1" x14ac:dyDescent="0.3">
      <c r="C4538" s="59"/>
      <c r="D4538" s="69"/>
      <c r="E4538" s="69"/>
      <c r="F4538" s="17"/>
      <c r="G4538" s="59"/>
    </row>
    <row r="4539" spans="3:7" ht="20.25" customHeight="1" x14ac:dyDescent="0.3">
      <c r="C4539" s="59"/>
      <c r="D4539" s="69"/>
      <c r="E4539" s="69"/>
      <c r="F4539" s="17"/>
      <c r="G4539" s="59"/>
    </row>
    <row r="4540" spans="3:7" ht="20.25" customHeight="1" x14ac:dyDescent="0.3">
      <c r="C4540" s="59"/>
      <c r="D4540" s="69"/>
      <c r="E4540" s="69"/>
      <c r="F4540" s="17"/>
      <c r="G4540" s="59"/>
    </row>
    <row r="4541" spans="3:7" ht="20.25" customHeight="1" x14ac:dyDescent="0.3">
      <c r="C4541" s="59"/>
      <c r="D4541" s="69"/>
      <c r="E4541" s="69"/>
      <c r="F4541" s="17"/>
      <c r="G4541" s="59"/>
    </row>
    <row r="4542" spans="3:7" ht="20.25" customHeight="1" x14ac:dyDescent="0.3">
      <c r="C4542" s="59"/>
      <c r="D4542" s="69"/>
      <c r="E4542" s="69"/>
      <c r="F4542" s="17"/>
      <c r="G4542" s="59"/>
    </row>
    <row r="4543" spans="3:7" ht="20.25" customHeight="1" x14ac:dyDescent="0.3">
      <c r="C4543" s="59"/>
      <c r="D4543" s="69"/>
      <c r="E4543" s="69"/>
      <c r="F4543" s="17"/>
      <c r="G4543" s="59"/>
    </row>
    <row r="4544" spans="3:7" ht="20.25" customHeight="1" x14ac:dyDescent="0.3">
      <c r="C4544" s="59"/>
      <c r="D4544" s="69"/>
      <c r="E4544" s="69"/>
      <c r="F4544" s="17"/>
      <c r="G4544" s="59"/>
    </row>
    <row r="4545" spans="3:7" ht="20.25" customHeight="1" x14ac:dyDescent="0.3">
      <c r="C4545" s="59"/>
      <c r="D4545" s="69"/>
      <c r="E4545" s="69"/>
      <c r="F4545" s="17"/>
      <c r="G4545" s="59"/>
    </row>
    <row r="4546" spans="3:7" ht="20.25" customHeight="1" x14ac:dyDescent="0.3">
      <c r="C4546" s="59"/>
      <c r="D4546" s="69"/>
      <c r="E4546" s="69"/>
      <c r="F4546" s="17"/>
      <c r="G4546" s="59"/>
    </row>
    <row r="4547" spans="3:7" ht="20.25" customHeight="1" x14ac:dyDescent="0.3">
      <c r="C4547" s="59"/>
      <c r="D4547" s="69"/>
      <c r="E4547" s="69"/>
      <c r="F4547" s="17"/>
      <c r="G4547" s="59"/>
    </row>
    <row r="4548" spans="3:7" ht="20.25" customHeight="1" x14ac:dyDescent="0.3">
      <c r="C4548" s="59"/>
      <c r="D4548" s="69"/>
      <c r="E4548" s="69"/>
      <c r="F4548" s="17"/>
      <c r="G4548" s="59"/>
    </row>
    <row r="4549" spans="3:7" ht="20.25" customHeight="1" x14ac:dyDescent="0.3">
      <c r="C4549" s="59"/>
      <c r="D4549" s="69"/>
      <c r="E4549" s="69"/>
      <c r="F4549" s="17"/>
      <c r="G4549" s="59"/>
    </row>
    <row r="4550" spans="3:7" ht="20.25" customHeight="1" x14ac:dyDescent="0.3">
      <c r="C4550" s="59"/>
      <c r="D4550" s="69"/>
      <c r="E4550" s="69"/>
      <c r="F4550" s="17"/>
      <c r="G4550" s="59"/>
    </row>
    <row r="4551" spans="3:7" ht="20.25" customHeight="1" x14ac:dyDescent="0.3">
      <c r="C4551" s="59"/>
      <c r="D4551" s="69"/>
      <c r="E4551" s="69"/>
      <c r="F4551" s="17"/>
      <c r="G4551" s="59"/>
    </row>
    <row r="4552" spans="3:7" ht="20.25" customHeight="1" x14ac:dyDescent="0.3">
      <c r="C4552" s="59"/>
      <c r="D4552" s="69"/>
      <c r="E4552" s="69"/>
      <c r="F4552" s="17"/>
      <c r="G4552" s="59"/>
    </row>
    <row r="4553" spans="3:7" ht="20.25" customHeight="1" x14ac:dyDescent="0.3">
      <c r="C4553" s="59"/>
      <c r="D4553" s="69"/>
      <c r="E4553" s="69"/>
      <c r="F4553" s="17"/>
      <c r="G4553" s="59"/>
    </row>
    <row r="4554" spans="3:7" ht="20.25" customHeight="1" x14ac:dyDescent="0.3">
      <c r="C4554" s="59"/>
      <c r="D4554" s="69"/>
      <c r="E4554" s="69"/>
      <c r="F4554" s="17"/>
      <c r="G4554" s="59"/>
    </row>
    <row r="4555" spans="3:7" ht="20.25" customHeight="1" x14ac:dyDescent="0.3">
      <c r="C4555" s="59"/>
      <c r="D4555" s="69"/>
      <c r="E4555" s="69"/>
      <c r="F4555" s="17"/>
      <c r="G4555" s="59"/>
    </row>
    <row r="4556" spans="3:7" ht="20.25" customHeight="1" x14ac:dyDescent="0.3">
      <c r="C4556" s="59"/>
      <c r="D4556" s="69"/>
      <c r="E4556" s="69"/>
      <c r="F4556" s="17"/>
      <c r="G4556" s="59"/>
    </row>
    <row r="4557" spans="3:7" ht="20.25" customHeight="1" x14ac:dyDescent="0.3">
      <c r="C4557" s="59"/>
      <c r="D4557" s="69"/>
      <c r="E4557" s="69"/>
      <c r="F4557" s="17"/>
      <c r="G4557" s="59"/>
    </row>
    <row r="4558" spans="3:7" ht="20.25" customHeight="1" x14ac:dyDescent="0.3">
      <c r="C4558" s="59"/>
      <c r="D4558" s="69"/>
      <c r="E4558" s="69"/>
      <c r="F4558" s="17"/>
      <c r="G4558" s="59"/>
    </row>
    <row r="4559" spans="3:7" ht="20.25" customHeight="1" x14ac:dyDescent="0.3">
      <c r="C4559" s="59"/>
      <c r="D4559" s="69"/>
      <c r="E4559" s="69"/>
      <c r="F4559" s="17"/>
      <c r="G4559" s="59"/>
    </row>
    <row r="4560" spans="3:7" ht="20.25" customHeight="1" x14ac:dyDescent="0.3">
      <c r="C4560" s="59"/>
      <c r="D4560" s="69"/>
      <c r="E4560" s="69"/>
      <c r="F4560" s="17"/>
      <c r="G4560" s="59"/>
    </row>
    <row r="4561" spans="3:7" ht="20.25" customHeight="1" x14ac:dyDescent="0.3">
      <c r="C4561" s="59"/>
      <c r="D4561" s="69"/>
      <c r="E4561" s="69"/>
      <c r="F4561" s="17"/>
      <c r="G4561" s="59"/>
    </row>
    <row r="4562" spans="3:7" ht="20.25" customHeight="1" x14ac:dyDescent="0.3">
      <c r="C4562" s="59"/>
      <c r="D4562" s="69"/>
      <c r="E4562" s="69"/>
      <c r="F4562" s="17"/>
      <c r="G4562" s="59"/>
    </row>
    <row r="4563" spans="3:7" ht="20.25" customHeight="1" x14ac:dyDescent="0.3">
      <c r="C4563" s="59"/>
      <c r="D4563" s="69"/>
      <c r="E4563" s="69"/>
      <c r="F4563" s="17"/>
      <c r="G4563" s="59"/>
    </row>
    <row r="4564" spans="3:7" ht="20.25" customHeight="1" x14ac:dyDescent="0.3">
      <c r="C4564" s="59"/>
      <c r="D4564" s="69"/>
      <c r="E4564" s="69"/>
      <c r="F4564" s="17"/>
      <c r="G4564" s="59"/>
    </row>
    <row r="4565" spans="3:7" ht="20.25" customHeight="1" x14ac:dyDescent="0.3">
      <c r="C4565" s="59"/>
      <c r="D4565" s="69"/>
      <c r="E4565" s="69"/>
      <c r="F4565" s="17"/>
      <c r="G4565" s="59"/>
    </row>
    <row r="4566" spans="3:7" ht="20.25" customHeight="1" x14ac:dyDescent="0.3">
      <c r="C4566" s="59"/>
      <c r="D4566" s="69"/>
      <c r="E4566" s="69"/>
      <c r="F4566" s="17"/>
      <c r="G4566" s="59"/>
    </row>
    <row r="4567" spans="3:7" ht="20.25" customHeight="1" x14ac:dyDescent="0.3">
      <c r="C4567" s="59"/>
      <c r="D4567" s="69"/>
      <c r="E4567" s="69"/>
      <c r="F4567" s="17"/>
      <c r="G4567" s="59"/>
    </row>
    <row r="4568" spans="3:7" ht="20.25" customHeight="1" x14ac:dyDescent="0.3">
      <c r="C4568" s="59"/>
      <c r="D4568" s="69"/>
      <c r="E4568" s="69"/>
      <c r="F4568" s="17"/>
      <c r="G4568" s="59"/>
    </row>
    <row r="4569" spans="3:7" ht="20.25" customHeight="1" x14ac:dyDescent="0.3">
      <c r="C4569" s="59"/>
      <c r="D4569" s="69"/>
      <c r="E4569" s="69"/>
      <c r="F4569" s="17"/>
      <c r="G4569" s="59"/>
    </row>
    <row r="4570" spans="3:7" ht="20.25" customHeight="1" x14ac:dyDescent="0.3">
      <c r="C4570" s="59"/>
      <c r="D4570" s="69"/>
      <c r="E4570" s="69"/>
      <c r="F4570" s="17"/>
      <c r="G4570" s="59"/>
    </row>
    <row r="4571" spans="3:7" ht="20.25" customHeight="1" x14ac:dyDescent="0.3">
      <c r="C4571" s="59"/>
      <c r="D4571" s="69"/>
      <c r="E4571" s="69"/>
      <c r="F4571" s="17"/>
      <c r="G4571" s="59"/>
    </row>
    <row r="4572" spans="3:7" ht="20.25" customHeight="1" x14ac:dyDescent="0.3">
      <c r="C4572" s="59"/>
      <c r="D4572" s="69"/>
      <c r="E4572" s="69"/>
      <c r="F4572" s="17"/>
      <c r="G4572" s="59"/>
    </row>
    <row r="4573" spans="3:7" ht="20.25" customHeight="1" x14ac:dyDescent="0.3">
      <c r="C4573" s="59"/>
      <c r="D4573" s="69"/>
      <c r="E4573" s="69"/>
      <c r="F4573" s="17"/>
      <c r="G4573" s="59"/>
    </row>
    <row r="4574" spans="3:7" ht="20.25" customHeight="1" x14ac:dyDescent="0.3">
      <c r="C4574" s="59"/>
      <c r="D4574" s="69"/>
      <c r="E4574" s="69"/>
      <c r="F4574" s="17"/>
      <c r="G4574" s="59"/>
    </row>
    <row r="4575" spans="3:7" ht="20.25" customHeight="1" x14ac:dyDescent="0.3">
      <c r="C4575" s="59"/>
      <c r="D4575" s="69"/>
      <c r="E4575" s="69"/>
      <c r="F4575" s="17"/>
      <c r="G4575" s="59"/>
    </row>
    <row r="4576" spans="3:7" ht="20.25" customHeight="1" x14ac:dyDescent="0.3">
      <c r="C4576" s="59"/>
      <c r="D4576" s="69"/>
      <c r="E4576" s="69"/>
      <c r="F4576" s="17"/>
      <c r="G4576" s="59"/>
    </row>
    <row r="4577" spans="3:7" ht="20.25" customHeight="1" x14ac:dyDescent="0.3">
      <c r="C4577" s="59"/>
      <c r="D4577" s="69"/>
      <c r="E4577" s="69"/>
      <c r="F4577" s="17"/>
      <c r="G4577" s="59"/>
    </row>
    <row r="4578" spans="3:7" ht="20.25" customHeight="1" x14ac:dyDescent="0.3">
      <c r="C4578" s="59"/>
      <c r="D4578" s="69"/>
      <c r="E4578" s="69"/>
      <c r="F4578" s="17"/>
      <c r="G4578" s="59"/>
    </row>
    <row r="4579" spans="3:7" ht="20.25" customHeight="1" x14ac:dyDescent="0.3">
      <c r="C4579" s="59"/>
      <c r="D4579" s="69"/>
      <c r="E4579" s="69"/>
      <c r="F4579" s="17"/>
      <c r="G4579" s="59"/>
    </row>
    <row r="4580" spans="3:7" ht="20.25" customHeight="1" x14ac:dyDescent="0.3">
      <c r="C4580" s="59"/>
      <c r="D4580" s="69"/>
      <c r="E4580" s="69"/>
      <c r="F4580" s="17"/>
      <c r="G4580" s="59"/>
    </row>
    <row r="4581" spans="3:7" ht="20.25" customHeight="1" x14ac:dyDescent="0.3">
      <c r="C4581" s="59"/>
      <c r="D4581" s="69"/>
      <c r="E4581" s="69"/>
      <c r="F4581" s="17"/>
      <c r="G4581" s="59"/>
    </row>
    <row r="4582" spans="3:7" ht="20.25" customHeight="1" x14ac:dyDescent="0.3">
      <c r="C4582" s="59"/>
      <c r="D4582" s="69"/>
      <c r="E4582" s="69"/>
      <c r="F4582" s="17"/>
      <c r="G4582" s="59"/>
    </row>
    <row r="4583" spans="3:7" ht="20.25" customHeight="1" x14ac:dyDescent="0.3">
      <c r="C4583" s="59"/>
      <c r="D4583" s="69"/>
      <c r="E4583" s="69"/>
      <c r="F4583" s="17"/>
      <c r="G4583" s="59"/>
    </row>
    <row r="4584" spans="3:7" ht="20.25" customHeight="1" x14ac:dyDescent="0.3">
      <c r="C4584" s="59"/>
      <c r="D4584" s="69"/>
      <c r="E4584" s="69"/>
      <c r="F4584" s="17"/>
      <c r="G4584" s="59"/>
    </row>
    <row r="4585" spans="3:7" ht="20.25" customHeight="1" x14ac:dyDescent="0.3">
      <c r="C4585" s="59"/>
      <c r="D4585" s="69"/>
      <c r="E4585" s="69"/>
      <c r="F4585" s="17"/>
      <c r="G4585" s="59"/>
    </row>
    <row r="4586" spans="3:7" ht="20.25" customHeight="1" x14ac:dyDescent="0.3">
      <c r="C4586" s="59"/>
      <c r="D4586" s="69"/>
      <c r="E4586" s="69"/>
      <c r="F4586" s="17"/>
      <c r="G4586" s="59"/>
    </row>
    <row r="4587" spans="3:7" ht="20.25" customHeight="1" x14ac:dyDescent="0.3">
      <c r="C4587" s="59"/>
      <c r="D4587" s="69"/>
      <c r="E4587" s="69"/>
      <c r="F4587" s="17"/>
      <c r="G4587" s="59"/>
    </row>
    <row r="4588" spans="3:7" ht="20.25" customHeight="1" x14ac:dyDescent="0.3">
      <c r="C4588" s="59"/>
      <c r="D4588" s="69"/>
      <c r="E4588" s="69"/>
      <c r="F4588" s="17"/>
      <c r="G4588" s="59"/>
    </row>
    <row r="4589" spans="3:7" ht="20.25" customHeight="1" x14ac:dyDescent="0.3">
      <c r="C4589" s="59"/>
      <c r="D4589" s="69"/>
      <c r="E4589" s="69"/>
      <c r="F4589" s="17"/>
      <c r="G4589" s="59"/>
    </row>
    <row r="4590" spans="3:7" ht="20.25" customHeight="1" x14ac:dyDescent="0.3">
      <c r="C4590" s="59"/>
      <c r="D4590" s="69"/>
      <c r="E4590" s="69"/>
      <c r="F4590" s="17"/>
      <c r="G4590" s="59"/>
    </row>
    <row r="4591" spans="3:7" ht="20.25" customHeight="1" x14ac:dyDescent="0.3">
      <c r="C4591" s="59"/>
      <c r="D4591" s="69"/>
      <c r="E4591" s="69"/>
      <c r="F4591" s="17"/>
      <c r="G4591" s="59"/>
    </row>
    <row r="4592" spans="3:7" ht="20.25" customHeight="1" x14ac:dyDescent="0.3">
      <c r="C4592" s="59"/>
      <c r="D4592" s="69"/>
      <c r="E4592" s="69"/>
      <c r="F4592" s="17"/>
      <c r="G4592" s="59"/>
    </row>
    <row r="4593" spans="3:7" ht="20.25" customHeight="1" x14ac:dyDescent="0.3">
      <c r="C4593" s="59"/>
      <c r="D4593" s="69"/>
      <c r="E4593" s="69"/>
      <c r="F4593" s="17"/>
      <c r="G4593" s="59"/>
    </row>
    <row r="4594" spans="3:7" ht="20.25" customHeight="1" x14ac:dyDescent="0.3">
      <c r="C4594" s="59"/>
      <c r="D4594" s="69"/>
      <c r="E4594" s="69"/>
      <c r="F4594" s="17"/>
      <c r="G4594" s="59"/>
    </row>
    <row r="4595" spans="3:7" ht="20.25" customHeight="1" x14ac:dyDescent="0.3">
      <c r="C4595" s="59"/>
      <c r="D4595" s="69"/>
      <c r="E4595" s="69"/>
      <c r="F4595" s="17"/>
      <c r="G4595" s="59"/>
    </row>
    <row r="4596" spans="3:7" ht="20.25" customHeight="1" x14ac:dyDescent="0.3">
      <c r="C4596" s="59"/>
      <c r="D4596" s="69"/>
      <c r="E4596" s="69"/>
      <c r="F4596" s="17"/>
      <c r="G4596" s="59"/>
    </row>
    <row r="4597" spans="3:7" ht="20.25" customHeight="1" x14ac:dyDescent="0.3">
      <c r="C4597" s="59"/>
      <c r="D4597" s="69"/>
      <c r="E4597" s="69"/>
      <c r="F4597" s="17"/>
      <c r="G4597" s="59"/>
    </row>
    <row r="4598" spans="3:7" ht="20.25" customHeight="1" x14ac:dyDescent="0.3">
      <c r="C4598" s="59"/>
      <c r="D4598" s="69"/>
      <c r="E4598" s="69"/>
      <c r="F4598" s="17"/>
      <c r="G4598" s="59"/>
    </row>
    <row r="4599" spans="3:7" ht="20.25" customHeight="1" x14ac:dyDescent="0.3">
      <c r="C4599" s="59"/>
      <c r="D4599" s="69"/>
      <c r="E4599" s="69"/>
      <c r="F4599" s="17"/>
      <c r="G4599" s="59"/>
    </row>
    <row r="4600" spans="3:7" ht="20.25" customHeight="1" x14ac:dyDescent="0.3">
      <c r="C4600" s="59"/>
      <c r="D4600" s="69"/>
      <c r="E4600" s="69"/>
      <c r="F4600" s="17"/>
      <c r="G4600" s="59"/>
    </row>
    <row r="4601" spans="3:7" ht="20.25" customHeight="1" x14ac:dyDescent="0.3">
      <c r="C4601" s="59"/>
      <c r="D4601" s="69"/>
      <c r="E4601" s="69"/>
      <c r="F4601" s="17"/>
      <c r="G4601" s="59"/>
    </row>
    <row r="4602" spans="3:7" ht="20.25" customHeight="1" x14ac:dyDescent="0.3">
      <c r="C4602" s="59"/>
      <c r="D4602" s="69"/>
      <c r="E4602" s="69"/>
      <c r="F4602" s="17"/>
      <c r="G4602" s="59"/>
    </row>
    <row r="4603" spans="3:7" ht="20.25" customHeight="1" x14ac:dyDescent="0.3">
      <c r="C4603" s="59"/>
      <c r="D4603" s="69"/>
      <c r="E4603" s="69"/>
      <c r="F4603" s="17"/>
      <c r="G4603" s="59"/>
    </row>
    <row r="4604" spans="3:7" ht="20.25" customHeight="1" x14ac:dyDescent="0.3">
      <c r="C4604" s="59"/>
      <c r="D4604" s="69"/>
      <c r="E4604" s="69"/>
      <c r="F4604" s="17"/>
      <c r="G4604" s="59"/>
    </row>
    <row r="4605" spans="3:7" ht="20.25" customHeight="1" x14ac:dyDescent="0.3">
      <c r="C4605" s="59"/>
      <c r="D4605" s="69"/>
      <c r="E4605" s="69"/>
      <c r="F4605" s="17"/>
      <c r="G4605" s="59"/>
    </row>
    <row r="4606" spans="3:7" ht="20.25" customHeight="1" x14ac:dyDescent="0.3">
      <c r="C4606" s="59"/>
      <c r="D4606" s="69"/>
      <c r="E4606" s="69"/>
      <c r="F4606" s="17"/>
      <c r="G4606" s="59"/>
    </row>
    <row r="4607" spans="3:7" ht="20.25" customHeight="1" x14ac:dyDescent="0.3">
      <c r="C4607" s="59"/>
      <c r="D4607" s="69"/>
      <c r="E4607" s="69"/>
      <c r="F4607" s="17"/>
      <c r="G4607" s="59"/>
    </row>
    <row r="4608" spans="3:7" ht="20.25" customHeight="1" x14ac:dyDescent="0.3">
      <c r="C4608" s="59"/>
      <c r="D4608" s="69"/>
      <c r="E4608" s="69"/>
      <c r="F4608" s="17"/>
      <c r="G4608" s="59"/>
    </row>
    <row r="4609" spans="3:7" ht="20.25" customHeight="1" x14ac:dyDescent="0.3">
      <c r="C4609" s="59"/>
      <c r="D4609" s="69"/>
      <c r="E4609" s="69"/>
      <c r="F4609" s="17"/>
      <c r="G4609" s="59"/>
    </row>
    <row r="4610" spans="3:7" ht="20.25" customHeight="1" x14ac:dyDescent="0.3">
      <c r="C4610" s="59"/>
      <c r="D4610" s="69"/>
      <c r="E4610" s="69"/>
      <c r="F4610" s="17"/>
      <c r="G4610" s="59"/>
    </row>
    <row r="4611" spans="3:7" ht="20.25" customHeight="1" x14ac:dyDescent="0.3">
      <c r="C4611" s="59"/>
      <c r="D4611" s="69"/>
      <c r="E4611" s="69"/>
      <c r="F4611" s="17"/>
      <c r="G4611" s="59"/>
    </row>
    <row r="4612" spans="3:7" ht="20.25" customHeight="1" x14ac:dyDescent="0.3">
      <c r="C4612" s="59"/>
      <c r="D4612" s="69"/>
      <c r="E4612" s="69"/>
      <c r="F4612" s="17"/>
      <c r="G4612" s="59"/>
    </row>
    <row r="4613" spans="3:7" ht="20.25" customHeight="1" x14ac:dyDescent="0.3">
      <c r="C4613" s="59"/>
      <c r="D4613" s="69"/>
      <c r="E4613" s="69"/>
      <c r="F4613" s="17"/>
      <c r="G4613" s="59"/>
    </row>
    <row r="4614" spans="3:7" ht="20.25" customHeight="1" x14ac:dyDescent="0.3">
      <c r="C4614" s="59"/>
      <c r="D4614" s="69"/>
      <c r="E4614" s="69"/>
      <c r="F4614" s="17"/>
      <c r="G4614" s="59"/>
    </row>
    <row r="4615" spans="3:7" ht="20.25" customHeight="1" x14ac:dyDescent="0.3">
      <c r="C4615" s="59"/>
      <c r="D4615" s="69"/>
      <c r="E4615" s="69"/>
      <c r="F4615" s="17"/>
      <c r="G4615" s="59"/>
    </row>
    <row r="4616" spans="3:7" ht="20.25" customHeight="1" x14ac:dyDescent="0.3">
      <c r="C4616" s="59"/>
      <c r="D4616" s="69"/>
      <c r="E4616" s="69"/>
      <c r="F4616" s="17"/>
      <c r="G4616" s="59"/>
    </row>
    <row r="4617" spans="3:7" ht="20.25" customHeight="1" x14ac:dyDescent="0.3">
      <c r="C4617" s="59"/>
      <c r="D4617" s="69"/>
      <c r="E4617" s="69"/>
      <c r="F4617" s="17"/>
      <c r="G4617" s="59"/>
    </row>
    <row r="4618" spans="3:7" ht="20.25" customHeight="1" x14ac:dyDescent="0.3">
      <c r="C4618" s="59"/>
      <c r="D4618" s="69"/>
      <c r="E4618" s="69"/>
      <c r="F4618" s="17"/>
      <c r="G4618" s="59"/>
    </row>
    <row r="4619" spans="3:7" ht="20.25" customHeight="1" x14ac:dyDescent="0.3">
      <c r="C4619" s="59"/>
      <c r="D4619" s="69"/>
      <c r="E4619" s="69"/>
      <c r="F4619" s="17"/>
      <c r="G4619" s="59"/>
    </row>
    <row r="4620" spans="3:7" ht="20.25" customHeight="1" x14ac:dyDescent="0.3">
      <c r="C4620" s="59"/>
      <c r="D4620" s="69"/>
      <c r="E4620" s="69"/>
      <c r="F4620" s="17"/>
      <c r="G4620" s="59"/>
    </row>
    <row r="4621" spans="3:7" ht="20.25" customHeight="1" x14ac:dyDescent="0.3">
      <c r="C4621" s="59"/>
      <c r="D4621" s="69"/>
      <c r="E4621" s="69"/>
      <c r="F4621" s="17"/>
      <c r="G4621" s="59"/>
    </row>
    <row r="4622" spans="3:7" ht="20.25" customHeight="1" x14ac:dyDescent="0.3">
      <c r="C4622" s="59"/>
      <c r="D4622" s="69"/>
      <c r="E4622" s="69"/>
      <c r="F4622" s="17"/>
      <c r="G4622" s="59"/>
    </row>
    <row r="4623" spans="3:7" ht="20.25" customHeight="1" x14ac:dyDescent="0.3">
      <c r="C4623" s="59"/>
      <c r="D4623" s="69"/>
      <c r="E4623" s="69"/>
      <c r="F4623" s="17"/>
      <c r="G4623" s="59"/>
    </row>
    <row r="4624" spans="3:7" ht="20.25" customHeight="1" x14ac:dyDescent="0.3">
      <c r="C4624" s="59"/>
      <c r="D4624" s="69"/>
      <c r="E4624" s="69"/>
      <c r="F4624" s="17"/>
      <c r="G4624" s="59"/>
    </row>
    <row r="4625" spans="3:7" ht="20.25" customHeight="1" x14ac:dyDescent="0.3">
      <c r="C4625" s="59"/>
      <c r="D4625" s="69"/>
      <c r="E4625" s="69"/>
      <c r="F4625" s="17"/>
      <c r="G4625" s="59"/>
    </row>
    <row r="4626" spans="3:7" ht="20.25" customHeight="1" x14ac:dyDescent="0.3">
      <c r="C4626" s="59"/>
      <c r="D4626" s="69"/>
      <c r="E4626" s="69"/>
      <c r="F4626" s="17"/>
      <c r="G4626" s="59"/>
    </row>
    <row r="4627" spans="3:7" ht="20.25" customHeight="1" x14ac:dyDescent="0.3">
      <c r="C4627" s="59"/>
      <c r="D4627" s="69"/>
      <c r="E4627" s="69"/>
      <c r="F4627" s="17"/>
      <c r="G4627" s="59"/>
    </row>
    <row r="4628" spans="3:7" ht="20.25" customHeight="1" x14ac:dyDescent="0.3">
      <c r="C4628" s="59"/>
      <c r="D4628" s="69"/>
      <c r="E4628" s="69"/>
      <c r="F4628" s="17"/>
      <c r="G4628" s="59"/>
    </row>
    <row r="4629" spans="3:7" ht="20.25" customHeight="1" x14ac:dyDescent="0.3">
      <c r="C4629" s="59"/>
      <c r="D4629" s="69"/>
      <c r="E4629" s="69"/>
      <c r="F4629" s="17"/>
      <c r="G4629" s="59"/>
    </row>
    <row r="4630" spans="3:7" ht="20.25" customHeight="1" x14ac:dyDescent="0.3">
      <c r="C4630" s="59"/>
      <c r="D4630" s="69"/>
      <c r="E4630" s="69"/>
      <c r="F4630" s="17"/>
      <c r="G4630" s="59"/>
    </row>
    <row r="4631" spans="3:7" ht="20.25" customHeight="1" x14ac:dyDescent="0.3">
      <c r="C4631" s="59"/>
      <c r="D4631" s="69"/>
      <c r="E4631" s="69"/>
      <c r="F4631" s="17"/>
      <c r="G4631" s="59"/>
    </row>
    <row r="4632" spans="3:7" ht="20.25" customHeight="1" x14ac:dyDescent="0.3">
      <c r="C4632" s="59"/>
      <c r="D4632" s="69"/>
      <c r="E4632" s="69"/>
      <c r="F4632" s="17"/>
      <c r="G4632" s="59"/>
    </row>
    <row r="4633" spans="3:7" ht="20.25" customHeight="1" x14ac:dyDescent="0.3">
      <c r="C4633" s="59"/>
      <c r="D4633" s="69"/>
      <c r="E4633" s="69"/>
      <c r="F4633" s="17"/>
      <c r="G4633" s="59"/>
    </row>
    <row r="4634" spans="3:7" ht="20.25" customHeight="1" x14ac:dyDescent="0.3">
      <c r="C4634" s="59"/>
      <c r="D4634" s="69"/>
      <c r="E4634" s="69"/>
      <c r="F4634" s="17"/>
      <c r="G4634" s="59"/>
    </row>
    <row r="4635" spans="3:7" ht="20.25" customHeight="1" x14ac:dyDescent="0.3">
      <c r="C4635" s="59"/>
      <c r="D4635" s="69"/>
      <c r="E4635" s="69"/>
      <c r="F4635" s="17"/>
      <c r="G4635" s="59"/>
    </row>
    <row r="4636" spans="3:7" ht="20.25" customHeight="1" x14ac:dyDescent="0.3">
      <c r="C4636" s="59"/>
      <c r="D4636" s="69"/>
      <c r="E4636" s="69"/>
      <c r="F4636" s="17"/>
      <c r="G4636" s="59"/>
    </row>
    <row r="4637" spans="3:7" ht="20.25" customHeight="1" x14ac:dyDescent="0.3">
      <c r="C4637" s="59"/>
      <c r="D4637" s="69"/>
      <c r="E4637" s="69"/>
      <c r="F4637" s="17"/>
      <c r="G4637" s="59"/>
    </row>
    <row r="4638" spans="3:7" ht="20.25" customHeight="1" x14ac:dyDescent="0.3">
      <c r="C4638" s="59"/>
      <c r="D4638" s="69"/>
      <c r="E4638" s="69"/>
      <c r="F4638" s="17"/>
      <c r="G4638" s="59"/>
    </row>
    <row r="4639" spans="3:7" ht="20.25" customHeight="1" x14ac:dyDescent="0.3">
      <c r="C4639" s="59"/>
      <c r="D4639" s="69"/>
      <c r="E4639" s="69"/>
      <c r="F4639" s="17"/>
      <c r="G4639" s="59"/>
    </row>
    <row r="4640" spans="3:7" ht="20.25" customHeight="1" x14ac:dyDescent="0.3">
      <c r="C4640" s="59"/>
      <c r="D4640" s="69"/>
      <c r="E4640" s="69"/>
      <c r="F4640" s="17"/>
      <c r="G4640" s="59"/>
    </row>
    <row r="4641" spans="3:7" ht="20.25" customHeight="1" x14ac:dyDescent="0.3">
      <c r="C4641" s="59"/>
      <c r="D4641" s="69"/>
      <c r="E4641" s="69"/>
      <c r="F4641" s="17"/>
      <c r="G4641" s="59"/>
    </row>
    <row r="4642" spans="3:7" ht="20.25" customHeight="1" x14ac:dyDescent="0.3">
      <c r="C4642" s="59"/>
      <c r="D4642" s="69"/>
      <c r="E4642" s="69"/>
      <c r="F4642" s="17"/>
      <c r="G4642" s="59"/>
    </row>
    <row r="4643" spans="3:7" ht="20.25" customHeight="1" x14ac:dyDescent="0.3">
      <c r="C4643" s="59"/>
      <c r="D4643" s="69"/>
      <c r="E4643" s="69"/>
      <c r="F4643" s="17"/>
      <c r="G4643" s="59"/>
    </row>
    <row r="4644" spans="3:7" ht="20.25" customHeight="1" x14ac:dyDescent="0.3">
      <c r="C4644" s="59"/>
      <c r="D4644" s="69"/>
      <c r="E4644" s="69"/>
      <c r="F4644" s="17"/>
      <c r="G4644" s="59"/>
    </row>
    <row r="4645" spans="3:7" ht="20.25" customHeight="1" x14ac:dyDescent="0.3">
      <c r="C4645" s="59"/>
      <c r="D4645" s="69"/>
      <c r="E4645" s="69"/>
      <c r="F4645" s="17"/>
      <c r="G4645" s="59"/>
    </row>
    <row r="4646" spans="3:7" ht="20.25" customHeight="1" x14ac:dyDescent="0.3">
      <c r="C4646" s="59"/>
      <c r="D4646" s="69"/>
      <c r="E4646" s="69"/>
      <c r="F4646" s="17"/>
      <c r="G4646" s="59"/>
    </row>
    <row r="4647" spans="3:7" ht="20.25" customHeight="1" x14ac:dyDescent="0.3">
      <c r="C4647" s="59"/>
      <c r="D4647" s="69"/>
      <c r="E4647" s="69"/>
      <c r="F4647" s="17"/>
      <c r="G4647" s="59"/>
    </row>
    <row r="4648" spans="3:7" ht="20.25" customHeight="1" x14ac:dyDescent="0.3">
      <c r="C4648" s="59"/>
      <c r="D4648" s="69"/>
      <c r="E4648" s="69"/>
      <c r="F4648" s="17"/>
      <c r="G4648" s="59"/>
    </row>
    <row r="4649" spans="3:7" ht="20.25" customHeight="1" x14ac:dyDescent="0.3">
      <c r="C4649" s="59"/>
      <c r="D4649" s="69"/>
      <c r="E4649" s="69"/>
      <c r="F4649" s="17"/>
      <c r="G4649" s="59"/>
    </row>
    <row r="4650" spans="3:7" ht="20.25" customHeight="1" x14ac:dyDescent="0.3">
      <c r="C4650" s="59"/>
      <c r="D4650" s="69"/>
      <c r="E4650" s="69"/>
      <c r="F4650" s="17"/>
      <c r="G4650" s="59"/>
    </row>
    <row r="4651" spans="3:7" ht="20.25" customHeight="1" x14ac:dyDescent="0.3">
      <c r="C4651" s="59"/>
      <c r="D4651" s="69"/>
      <c r="E4651" s="69"/>
      <c r="F4651" s="17"/>
      <c r="G4651" s="59"/>
    </row>
    <row r="4652" spans="3:7" ht="20.25" customHeight="1" x14ac:dyDescent="0.3">
      <c r="C4652" s="59"/>
      <c r="D4652" s="69"/>
      <c r="E4652" s="69"/>
      <c r="F4652" s="17"/>
      <c r="G4652" s="59"/>
    </row>
    <row r="4653" spans="3:7" ht="20.25" customHeight="1" x14ac:dyDescent="0.3">
      <c r="C4653" s="59"/>
      <c r="D4653" s="69"/>
      <c r="E4653" s="69"/>
      <c r="F4653" s="17"/>
      <c r="G4653" s="59"/>
    </row>
    <row r="4654" spans="3:7" ht="20.25" customHeight="1" x14ac:dyDescent="0.3">
      <c r="C4654" s="59"/>
      <c r="D4654" s="69"/>
      <c r="E4654" s="69"/>
      <c r="F4654" s="17"/>
      <c r="G4654" s="59"/>
    </row>
    <row r="4655" spans="3:7" ht="20.25" customHeight="1" x14ac:dyDescent="0.3">
      <c r="C4655" s="59"/>
      <c r="D4655" s="69"/>
      <c r="E4655" s="69"/>
      <c r="F4655" s="17"/>
      <c r="G4655" s="59"/>
    </row>
    <row r="4656" spans="3:7" ht="20.25" customHeight="1" x14ac:dyDescent="0.3">
      <c r="C4656" s="59"/>
      <c r="D4656" s="69"/>
      <c r="E4656" s="69"/>
      <c r="F4656" s="17"/>
      <c r="G4656" s="59"/>
    </row>
    <row r="4657" spans="3:7" ht="20.25" customHeight="1" x14ac:dyDescent="0.3">
      <c r="C4657" s="59"/>
      <c r="D4657" s="69"/>
      <c r="E4657" s="69"/>
      <c r="F4657" s="17"/>
      <c r="G4657" s="59"/>
    </row>
    <row r="4658" spans="3:7" ht="20.25" customHeight="1" x14ac:dyDescent="0.3">
      <c r="C4658" s="59"/>
      <c r="D4658" s="69"/>
      <c r="E4658" s="69"/>
      <c r="F4658" s="17"/>
      <c r="G4658" s="59"/>
    </row>
    <row r="4659" spans="3:7" ht="20.25" customHeight="1" x14ac:dyDescent="0.3">
      <c r="C4659" s="59"/>
      <c r="D4659" s="69"/>
      <c r="E4659" s="69"/>
      <c r="F4659" s="17"/>
      <c r="G4659" s="59"/>
    </row>
    <row r="4660" spans="3:7" ht="20.25" customHeight="1" x14ac:dyDescent="0.3">
      <c r="C4660" s="59"/>
      <c r="D4660" s="69"/>
      <c r="E4660" s="69"/>
      <c r="F4660" s="17"/>
      <c r="G4660" s="59"/>
    </row>
    <row r="4661" spans="3:7" ht="20.25" customHeight="1" x14ac:dyDescent="0.3">
      <c r="C4661" s="59"/>
      <c r="D4661" s="69"/>
      <c r="E4661" s="69"/>
      <c r="F4661" s="17"/>
      <c r="G4661" s="59"/>
    </row>
    <row r="4662" spans="3:7" ht="20.25" customHeight="1" x14ac:dyDescent="0.3">
      <c r="C4662" s="59"/>
      <c r="D4662" s="69"/>
      <c r="E4662" s="69"/>
      <c r="F4662" s="17"/>
      <c r="G4662" s="59"/>
    </row>
    <row r="4663" spans="3:7" ht="20.25" customHeight="1" x14ac:dyDescent="0.3">
      <c r="C4663" s="59"/>
      <c r="D4663" s="69"/>
      <c r="E4663" s="69"/>
      <c r="F4663" s="17"/>
      <c r="G4663" s="59"/>
    </row>
    <row r="4664" spans="3:7" ht="20.25" customHeight="1" x14ac:dyDescent="0.3">
      <c r="C4664" s="59"/>
      <c r="D4664" s="69"/>
      <c r="E4664" s="69"/>
      <c r="F4664" s="17"/>
      <c r="G4664" s="59"/>
    </row>
    <row r="4665" spans="3:7" ht="20.25" customHeight="1" x14ac:dyDescent="0.3">
      <c r="C4665" s="59"/>
      <c r="D4665" s="69"/>
      <c r="E4665" s="69"/>
      <c r="F4665" s="17"/>
      <c r="G4665" s="59"/>
    </row>
    <row r="4666" spans="3:7" ht="20.25" customHeight="1" x14ac:dyDescent="0.3">
      <c r="C4666" s="59"/>
      <c r="D4666" s="69"/>
      <c r="E4666" s="69"/>
      <c r="F4666" s="17"/>
      <c r="G4666" s="59"/>
    </row>
    <row r="4667" spans="3:7" ht="20.25" customHeight="1" x14ac:dyDescent="0.3">
      <c r="C4667" s="59"/>
      <c r="D4667" s="69"/>
      <c r="E4667" s="69"/>
      <c r="F4667" s="17"/>
      <c r="G4667" s="59"/>
    </row>
    <row r="4668" spans="3:7" ht="20.25" customHeight="1" x14ac:dyDescent="0.3">
      <c r="C4668" s="59"/>
      <c r="D4668" s="69"/>
      <c r="E4668" s="69"/>
      <c r="F4668" s="17"/>
      <c r="G4668" s="59"/>
    </row>
    <row r="4669" spans="3:7" ht="20.25" customHeight="1" x14ac:dyDescent="0.3">
      <c r="C4669" s="59"/>
      <c r="D4669" s="69"/>
      <c r="E4669" s="69"/>
      <c r="F4669" s="17"/>
      <c r="G4669" s="59"/>
    </row>
    <row r="4670" spans="3:7" ht="20.25" customHeight="1" x14ac:dyDescent="0.3">
      <c r="C4670" s="59"/>
      <c r="D4670" s="69"/>
      <c r="E4670" s="69"/>
      <c r="F4670" s="17"/>
      <c r="G4670" s="59"/>
    </row>
    <row r="4671" spans="3:7" ht="20.25" customHeight="1" x14ac:dyDescent="0.3">
      <c r="C4671" s="59"/>
      <c r="D4671" s="69"/>
      <c r="E4671" s="69"/>
      <c r="F4671" s="17"/>
      <c r="G4671" s="59"/>
    </row>
    <row r="4672" spans="3:7" ht="20.25" customHeight="1" x14ac:dyDescent="0.3">
      <c r="C4672" s="59"/>
      <c r="D4672" s="69"/>
      <c r="E4672" s="69"/>
      <c r="F4672" s="17"/>
      <c r="G4672" s="59"/>
    </row>
    <row r="4673" spans="3:7" ht="20.25" customHeight="1" x14ac:dyDescent="0.3">
      <c r="C4673" s="59"/>
      <c r="D4673" s="69"/>
      <c r="E4673" s="69"/>
      <c r="F4673" s="17"/>
      <c r="G4673" s="59"/>
    </row>
    <row r="4674" spans="3:7" ht="20.25" customHeight="1" x14ac:dyDescent="0.3">
      <c r="C4674" s="59"/>
      <c r="D4674" s="69"/>
      <c r="E4674" s="69"/>
      <c r="F4674" s="17"/>
      <c r="G4674" s="59"/>
    </row>
    <row r="4675" spans="3:7" ht="20.25" customHeight="1" x14ac:dyDescent="0.3">
      <c r="C4675" s="59"/>
      <c r="D4675" s="69"/>
      <c r="E4675" s="69"/>
      <c r="F4675" s="17"/>
      <c r="G4675" s="59"/>
    </row>
    <row r="4676" spans="3:7" ht="20.25" customHeight="1" x14ac:dyDescent="0.3">
      <c r="C4676" s="59"/>
      <c r="D4676" s="69"/>
      <c r="E4676" s="69"/>
      <c r="F4676" s="17"/>
      <c r="G4676" s="59"/>
    </row>
    <row r="4677" spans="3:7" ht="20.25" customHeight="1" x14ac:dyDescent="0.3">
      <c r="C4677" s="59"/>
      <c r="D4677" s="69"/>
      <c r="E4677" s="69"/>
      <c r="F4677" s="17"/>
      <c r="G4677" s="59"/>
    </row>
    <row r="4678" spans="3:7" ht="20.25" customHeight="1" x14ac:dyDescent="0.3">
      <c r="C4678" s="59"/>
      <c r="D4678" s="69"/>
      <c r="E4678" s="69"/>
      <c r="F4678" s="17"/>
      <c r="G4678" s="59"/>
    </row>
    <row r="4679" spans="3:7" ht="20.25" customHeight="1" x14ac:dyDescent="0.3">
      <c r="C4679" s="59"/>
      <c r="D4679" s="69"/>
      <c r="E4679" s="69"/>
      <c r="F4679" s="17"/>
      <c r="G4679" s="59"/>
    </row>
    <row r="4680" spans="3:7" ht="20.25" customHeight="1" x14ac:dyDescent="0.3">
      <c r="C4680" s="59"/>
      <c r="D4680" s="69"/>
      <c r="E4680" s="69"/>
      <c r="F4680" s="17"/>
      <c r="G4680" s="59"/>
    </row>
    <row r="4681" spans="3:7" ht="20.25" customHeight="1" x14ac:dyDescent="0.3">
      <c r="C4681" s="59"/>
      <c r="D4681" s="69"/>
      <c r="E4681" s="69"/>
      <c r="F4681" s="17"/>
      <c r="G4681" s="59"/>
    </row>
    <row r="4682" spans="3:7" ht="20.25" customHeight="1" x14ac:dyDescent="0.3">
      <c r="C4682" s="59"/>
      <c r="D4682" s="69"/>
      <c r="E4682" s="69"/>
      <c r="F4682" s="17"/>
      <c r="G4682" s="59"/>
    </row>
    <row r="4683" spans="3:7" ht="20.25" customHeight="1" x14ac:dyDescent="0.3">
      <c r="C4683" s="59"/>
      <c r="D4683" s="69"/>
      <c r="E4683" s="69"/>
      <c r="F4683" s="17"/>
      <c r="G4683" s="59"/>
    </row>
    <row r="4684" spans="3:7" ht="20.25" customHeight="1" x14ac:dyDescent="0.3">
      <c r="C4684" s="59"/>
      <c r="D4684" s="69"/>
      <c r="E4684" s="69"/>
      <c r="F4684" s="17"/>
      <c r="G4684" s="59"/>
    </row>
    <row r="4685" spans="3:7" ht="20.25" customHeight="1" x14ac:dyDescent="0.3">
      <c r="C4685" s="59"/>
      <c r="D4685" s="69"/>
      <c r="E4685" s="69"/>
      <c r="F4685" s="17"/>
      <c r="G4685" s="59"/>
    </row>
    <row r="4686" spans="3:7" ht="20.25" customHeight="1" x14ac:dyDescent="0.3">
      <c r="C4686" s="59"/>
      <c r="D4686" s="69"/>
      <c r="E4686" s="69"/>
      <c r="F4686" s="17"/>
      <c r="G4686" s="59"/>
    </row>
    <row r="4687" spans="3:7" ht="20.25" customHeight="1" x14ac:dyDescent="0.3">
      <c r="C4687" s="59"/>
      <c r="D4687" s="69"/>
      <c r="E4687" s="69"/>
      <c r="F4687" s="17"/>
      <c r="G4687" s="59"/>
    </row>
    <row r="4688" spans="3:7" ht="20.25" customHeight="1" x14ac:dyDescent="0.3">
      <c r="C4688" s="59"/>
      <c r="D4688" s="69"/>
      <c r="E4688" s="69"/>
      <c r="F4688" s="17"/>
      <c r="G4688" s="59"/>
    </row>
    <row r="4689" spans="3:7" ht="20.25" customHeight="1" x14ac:dyDescent="0.3">
      <c r="C4689" s="59"/>
      <c r="D4689" s="69"/>
      <c r="E4689" s="69"/>
      <c r="F4689" s="17"/>
      <c r="G4689" s="59"/>
    </row>
    <row r="4690" spans="3:7" ht="20.25" customHeight="1" x14ac:dyDescent="0.3">
      <c r="C4690" s="59"/>
      <c r="D4690" s="69"/>
      <c r="E4690" s="69"/>
      <c r="F4690" s="17"/>
      <c r="G4690" s="59"/>
    </row>
    <row r="4691" spans="3:7" ht="20.25" customHeight="1" x14ac:dyDescent="0.3">
      <c r="C4691" s="59"/>
      <c r="D4691" s="69"/>
      <c r="E4691" s="69"/>
      <c r="F4691" s="17"/>
      <c r="G4691" s="59"/>
    </row>
    <row r="4692" spans="3:7" ht="20.25" customHeight="1" x14ac:dyDescent="0.3">
      <c r="C4692" s="59"/>
      <c r="D4692" s="69"/>
      <c r="E4692" s="69"/>
      <c r="F4692" s="17"/>
      <c r="G4692" s="59"/>
    </row>
    <row r="4693" spans="3:7" ht="20.25" customHeight="1" x14ac:dyDescent="0.3">
      <c r="C4693" s="59"/>
      <c r="D4693" s="69"/>
      <c r="E4693" s="69"/>
      <c r="F4693" s="17"/>
      <c r="G4693" s="59"/>
    </row>
    <row r="4694" spans="3:7" ht="20.25" customHeight="1" x14ac:dyDescent="0.3">
      <c r="C4694" s="59"/>
      <c r="D4694" s="69"/>
      <c r="E4694" s="69"/>
      <c r="F4694" s="17"/>
      <c r="G4694" s="59"/>
    </row>
    <row r="4695" spans="3:7" ht="20.25" customHeight="1" x14ac:dyDescent="0.3">
      <c r="C4695" s="59"/>
      <c r="D4695" s="69"/>
      <c r="E4695" s="69"/>
      <c r="F4695" s="17"/>
      <c r="G4695" s="59"/>
    </row>
    <row r="4696" spans="3:7" ht="20.25" customHeight="1" x14ac:dyDescent="0.3">
      <c r="C4696" s="59"/>
      <c r="D4696" s="69"/>
      <c r="E4696" s="69"/>
      <c r="F4696" s="17"/>
      <c r="G4696" s="59"/>
    </row>
    <row r="4697" spans="3:7" ht="20.25" customHeight="1" x14ac:dyDescent="0.3">
      <c r="C4697" s="59"/>
      <c r="D4697" s="69"/>
      <c r="E4697" s="69"/>
      <c r="F4697" s="17"/>
      <c r="G4697" s="59"/>
    </row>
    <row r="4698" spans="3:7" ht="20.25" customHeight="1" x14ac:dyDescent="0.3">
      <c r="C4698" s="59"/>
      <c r="D4698" s="69"/>
      <c r="E4698" s="69"/>
      <c r="F4698" s="17"/>
      <c r="G4698" s="59"/>
    </row>
    <row r="4699" spans="3:7" ht="20.25" customHeight="1" x14ac:dyDescent="0.3">
      <c r="C4699" s="59"/>
      <c r="D4699" s="69"/>
      <c r="E4699" s="69"/>
      <c r="F4699" s="17"/>
      <c r="G4699" s="59"/>
    </row>
    <row r="4700" spans="3:7" ht="20.25" customHeight="1" x14ac:dyDescent="0.3">
      <c r="C4700" s="59"/>
      <c r="D4700" s="69"/>
      <c r="E4700" s="69"/>
      <c r="F4700" s="17"/>
      <c r="G4700" s="59"/>
    </row>
    <row r="4701" spans="3:7" ht="20.25" customHeight="1" x14ac:dyDescent="0.3">
      <c r="C4701" s="59"/>
      <c r="D4701" s="69"/>
      <c r="E4701" s="69"/>
      <c r="F4701" s="17"/>
      <c r="G4701" s="59"/>
    </row>
    <row r="4702" spans="3:7" ht="20.25" customHeight="1" x14ac:dyDescent="0.3">
      <c r="C4702" s="59"/>
      <c r="D4702" s="69"/>
      <c r="E4702" s="69"/>
      <c r="F4702" s="17"/>
      <c r="G4702" s="59"/>
    </row>
    <row r="4703" spans="3:7" ht="20.25" customHeight="1" x14ac:dyDescent="0.3">
      <c r="C4703" s="59"/>
      <c r="D4703" s="69"/>
      <c r="E4703" s="69"/>
      <c r="F4703" s="17"/>
      <c r="G4703" s="59"/>
    </row>
    <row r="4704" spans="3:7" ht="20.25" customHeight="1" x14ac:dyDescent="0.3">
      <c r="C4704" s="59"/>
      <c r="D4704" s="69"/>
      <c r="E4704" s="69"/>
      <c r="F4704" s="17"/>
      <c r="G4704" s="59"/>
    </row>
    <row r="4705" spans="3:7" ht="20.25" customHeight="1" x14ac:dyDescent="0.3">
      <c r="C4705" s="59"/>
      <c r="D4705" s="69"/>
      <c r="E4705" s="69"/>
      <c r="F4705" s="17"/>
      <c r="G4705" s="59"/>
    </row>
    <row r="4706" spans="3:7" ht="20.25" customHeight="1" x14ac:dyDescent="0.3">
      <c r="C4706" s="59"/>
      <c r="D4706" s="69"/>
      <c r="E4706" s="69"/>
      <c r="F4706" s="17"/>
      <c r="G4706" s="59"/>
    </row>
    <row r="4707" spans="3:7" ht="20.25" customHeight="1" x14ac:dyDescent="0.3">
      <c r="C4707" s="59"/>
      <c r="D4707" s="69"/>
      <c r="E4707" s="69"/>
      <c r="F4707" s="17"/>
      <c r="G4707" s="59"/>
    </row>
    <row r="4708" spans="3:7" ht="20.25" customHeight="1" x14ac:dyDescent="0.3">
      <c r="C4708" s="59"/>
      <c r="D4708" s="69"/>
      <c r="E4708" s="69"/>
      <c r="F4708" s="17"/>
      <c r="G4708" s="59"/>
    </row>
    <row r="4709" spans="3:7" ht="20.25" customHeight="1" x14ac:dyDescent="0.3">
      <c r="C4709" s="59"/>
      <c r="D4709" s="69"/>
      <c r="E4709" s="69"/>
      <c r="F4709" s="17"/>
      <c r="G4709" s="59"/>
    </row>
    <row r="4710" spans="3:7" ht="20.25" customHeight="1" x14ac:dyDescent="0.3">
      <c r="C4710" s="59"/>
      <c r="D4710" s="69"/>
      <c r="E4710" s="69"/>
      <c r="F4710" s="17"/>
      <c r="G4710" s="59"/>
    </row>
    <row r="4711" spans="3:7" ht="20.25" customHeight="1" x14ac:dyDescent="0.3">
      <c r="C4711" s="59"/>
      <c r="D4711" s="69"/>
      <c r="E4711" s="69"/>
      <c r="F4711" s="17"/>
      <c r="G4711" s="59"/>
    </row>
    <row r="4712" spans="3:7" ht="20.25" customHeight="1" x14ac:dyDescent="0.3">
      <c r="C4712" s="59"/>
      <c r="D4712" s="69"/>
      <c r="E4712" s="69"/>
      <c r="F4712" s="17"/>
      <c r="G4712" s="59"/>
    </row>
    <row r="4713" spans="3:7" ht="20.25" customHeight="1" x14ac:dyDescent="0.3">
      <c r="C4713" s="59"/>
      <c r="D4713" s="69"/>
      <c r="E4713" s="69"/>
      <c r="F4713" s="17"/>
      <c r="G4713" s="59"/>
    </row>
    <row r="4714" spans="3:7" ht="20.25" customHeight="1" x14ac:dyDescent="0.3">
      <c r="C4714" s="59"/>
      <c r="D4714" s="69"/>
      <c r="E4714" s="69"/>
      <c r="F4714" s="17"/>
      <c r="G4714" s="59"/>
    </row>
    <row r="4715" spans="3:7" ht="20.25" customHeight="1" x14ac:dyDescent="0.3">
      <c r="C4715" s="59"/>
      <c r="D4715" s="69"/>
      <c r="E4715" s="69"/>
      <c r="F4715" s="17"/>
      <c r="G4715" s="59"/>
    </row>
    <row r="4716" spans="3:7" ht="20.25" customHeight="1" x14ac:dyDescent="0.3">
      <c r="C4716" s="59"/>
      <c r="D4716" s="69"/>
      <c r="E4716" s="69"/>
      <c r="F4716" s="17"/>
      <c r="G4716" s="59"/>
    </row>
    <row r="4717" spans="3:7" ht="20.25" customHeight="1" x14ac:dyDescent="0.3">
      <c r="C4717" s="59"/>
      <c r="D4717" s="69"/>
      <c r="E4717" s="69"/>
      <c r="F4717" s="17"/>
      <c r="G4717" s="59"/>
    </row>
    <row r="4718" spans="3:7" ht="20.25" customHeight="1" x14ac:dyDescent="0.3">
      <c r="C4718" s="59"/>
      <c r="D4718" s="69"/>
      <c r="E4718" s="69"/>
      <c r="F4718" s="17"/>
      <c r="G4718" s="59"/>
    </row>
    <row r="4719" spans="3:7" ht="20.25" customHeight="1" x14ac:dyDescent="0.3">
      <c r="C4719" s="59"/>
      <c r="D4719" s="69"/>
      <c r="E4719" s="69"/>
      <c r="F4719" s="17"/>
      <c r="G4719" s="59"/>
    </row>
    <row r="4720" spans="3:7" ht="20.25" customHeight="1" x14ac:dyDescent="0.3">
      <c r="C4720" s="59"/>
      <c r="D4720" s="69"/>
      <c r="E4720" s="69"/>
      <c r="F4720" s="17"/>
      <c r="G4720" s="59"/>
    </row>
    <row r="4721" spans="3:7" ht="20.25" customHeight="1" x14ac:dyDescent="0.3">
      <c r="C4721" s="59"/>
      <c r="D4721" s="69"/>
      <c r="E4721" s="69"/>
      <c r="F4721" s="17"/>
      <c r="G4721" s="59"/>
    </row>
    <row r="4722" spans="3:7" ht="20.25" customHeight="1" x14ac:dyDescent="0.3">
      <c r="C4722" s="59"/>
      <c r="D4722" s="69"/>
      <c r="E4722" s="69"/>
      <c r="F4722" s="17"/>
      <c r="G4722" s="59"/>
    </row>
    <row r="4723" spans="3:7" ht="20.25" customHeight="1" x14ac:dyDescent="0.3">
      <c r="C4723" s="59"/>
      <c r="D4723" s="69"/>
      <c r="E4723" s="69"/>
      <c r="F4723" s="17"/>
      <c r="G4723" s="59"/>
    </row>
    <row r="4724" spans="3:7" ht="20.25" customHeight="1" x14ac:dyDescent="0.3">
      <c r="C4724" s="59"/>
      <c r="D4724" s="69"/>
      <c r="E4724" s="69"/>
      <c r="F4724" s="17"/>
      <c r="G4724" s="59"/>
    </row>
    <row r="4725" spans="3:7" ht="20.25" customHeight="1" x14ac:dyDescent="0.3">
      <c r="C4725" s="59"/>
      <c r="D4725" s="69"/>
      <c r="E4725" s="69"/>
      <c r="F4725" s="17"/>
      <c r="G4725" s="59"/>
    </row>
    <row r="4726" spans="3:7" ht="20.25" customHeight="1" x14ac:dyDescent="0.3">
      <c r="C4726" s="59"/>
      <c r="D4726" s="69"/>
      <c r="E4726" s="69"/>
      <c r="F4726" s="17"/>
      <c r="G4726" s="59"/>
    </row>
    <row r="4727" spans="3:7" ht="20.25" customHeight="1" x14ac:dyDescent="0.3">
      <c r="C4727" s="59"/>
      <c r="D4727" s="69"/>
      <c r="E4727" s="69"/>
      <c r="F4727" s="17"/>
      <c r="G4727" s="59"/>
    </row>
    <row r="4728" spans="3:7" ht="20.25" customHeight="1" x14ac:dyDescent="0.3">
      <c r="C4728" s="59"/>
      <c r="D4728" s="69"/>
      <c r="E4728" s="69"/>
      <c r="F4728" s="17"/>
      <c r="G4728" s="59"/>
    </row>
    <row r="4729" spans="3:7" ht="20.25" customHeight="1" x14ac:dyDescent="0.3">
      <c r="C4729" s="59"/>
      <c r="D4729" s="69"/>
      <c r="E4729" s="69"/>
      <c r="F4729" s="17"/>
      <c r="G4729" s="59"/>
    </row>
    <row r="4730" spans="3:7" ht="20.25" customHeight="1" x14ac:dyDescent="0.3">
      <c r="C4730" s="59"/>
      <c r="D4730" s="69"/>
      <c r="E4730" s="69"/>
      <c r="F4730" s="17"/>
      <c r="G4730" s="59"/>
    </row>
    <row r="4731" spans="3:7" ht="20.25" customHeight="1" x14ac:dyDescent="0.3">
      <c r="C4731" s="59"/>
      <c r="D4731" s="69"/>
      <c r="E4731" s="69"/>
      <c r="F4731" s="17"/>
      <c r="G4731" s="59"/>
    </row>
    <row r="4732" spans="3:7" ht="20.25" customHeight="1" x14ac:dyDescent="0.3">
      <c r="C4732" s="59"/>
      <c r="D4732" s="69"/>
      <c r="E4732" s="69"/>
      <c r="F4732" s="17"/>
      <c r="G4732" s="59"/>
    </row>
    <row r="4733" spans="3:7" ht="20.25" customHeight="1" x14ac:dyDescent="0.3">
      <c r="C4733" s="59"/>
      <c r="D4733" s="69"/>
      <c r="E4733" s="69"/>
      <c r="F4733" s="17"/>
      <c r="G4733" s="59"/>
    </row>
    <row r="4734" spans="3:7" ht="20.25" customHeight="1" x14ac:dyDescent="0.3">
      <c r="C4734" s="59"/>
      <c r="D4734" s="69"/>
      <c r="E4734" s="69"/>
      <c r="F4734" s="17"/>
      <c r="G4734" s="59"/>
    </row>
    <row r="4735" spans="3:7" ht="20.25" customHeight="1" x14ac:dyDescent="0.3">
      <c r="C4735" s="59"/>
      <c r="D4735" s="69"/>
      <c r="E4735" s="69"/>
      <c r="F4735" s="17"/>
      <c r="G4735" s="59"/>
    </row>
    <row r="4736" spans="3:7" ht="20.25" customHeight="1" x14ac:dyDescent="0.3">
      <c r="C4736" s="59"/>
      <c r="D4736" s="69"/>
      <c r="E4736" s="69"/>
      <c r="F4736" s="17"/>
      <c r="G4736" s="59"/>
    </row>
    <row r="4737" spans="3:7" ht="20.25" customHeight="1" x14ac:dyDescent="0.3">
      <c r="C4737" s="59"/>
      <c r="D4737" s="69"/>
      <c r="E4737" s="69"/>
      <c r="F4737" s="17"/>
      <c r="G4737" s="59"/>
    </row>
    <row r="4738" spans="3:7" ht="20.25" customHeight="1" x14ac:dyDescent="0.3">
      <c r="C4738" s="59"/>
      <c r="D4738" s="69"/>
      <c r="E4738" s="69"/>
      <c r="F4738" s="17"/>
      <c r="G4738" s="59"/>
    </row>
    <row r="4739" spans="3:7" ht="20.25" customHeight="1" x14ac:dyDescent="0.3">
      <c r="C4739" s="59"/>
      <c r="D4739" s="69"/>
      <c r="E4739" s="69"/>
      <c r="F4739" s="17"/>
      <c r="G4739" s="59"/>
    </row>
    <row r="4740" spans="3:7" ht="20.25" customHeight="1" x14ac:dyDescent="0.3">
      <c r="C4740" s="59"/>
      <c r="D4740" s="69"/>
      <c r="E4740" s="69"/>
      <c r="F4740" s="17"/>
      <c r="G4740" s="59"/>
    </row>
    <row r="4741" spans="3:7" ht="20.25" customHeight="1" x14ac:dyDescent="0.3">
      <c r="C4741" s="59"/>
      <c r="D4741" s="69"/>
      <c r="E4741" s="69"/>
      <c r="F4741" s="17"/>
      <c r="G4741" s="59"/>
    </row>
    <row r="4742" spans="3:7" ht="20.25" customHeight="1" x14ac:dyDescent="0.3">
      <c r="C4742" s="59"/>
      <c r="D4742" s="69"/>
      <c r="E4742" s="69"/>
      <c r="F4742" s="17"/>
      <c r="G4742" s="59"/>
    </row>
    <row r="4743" spans="3:7" ht="20.25" customHeight="1" x14ac:dyDescent="0.3">
      <c r="C4743" s="59"/>
      <c r="D4743" s="69"/>
      <c r="E4743" s="69"/>
      <c r="F4743" s="17"/>
      <c r="G4743" s="59"/>
    </row>
    <row r="4744" spans="3:7" ht="20.25" customHeight="1" x14ac:dyDescent="0.3">
      <c r="C4744" s="59"/>
      <c r="D4744" s="69"/>
      <c r="E4744" s="69"/>
      <c r="F4744" s="17"/>
      <c r="G4744" s="59"/>
    </row>
    <row r="4745" spans="3:7" ht="20.25" customHeight="1" x14ac:dyDescent="0.3">
      <c r="C4745" s="59"/>
      <c r="D4745" s="69"/>
      <c r="E4745" s="69"/>
      <c r="F4745" s="17"/>
      <c r="G4745" s="59"/>
    </row>
    <row r="4746" spans="3:7" ht="20.25" customHeight="1" x14ac:dyDescent="0.3">
      <c r="C4746" s="59"/>
      <c r="D4746" s="69"/>
      <c r="E4746" s="69"/>
      <c r="F4746" s="17"/>
      <c r="G4746" s="59"/>
    </row>
    <row r="4747" spans="3:7" ht="20.25" customHeight="1" x14ac:dyDescent="0.3">
      <c r="C4747" s="59"/>
      <c r="D4747" s="69"/>
      <c r="E4747" s="69"/>
      <c r="F4747" s="17"/>
      <c r="G4747" s="59"/>
    </row>
    <row r="4748" spans="3:7" ht="20.25" customHeight="1" x14ac:dyDescent="0.3">
      <c r="C4748" s="59"/>
      <c r="D4748" s="69"/>
      <c r="E4748" s="69"/>
      <c r="F4748" s="17"/>
      <c r="G4748" s="59"/>
    </row>
    <row r="4749" spans="3:7" ht="20.25" customHeight="1" x14ac:dyDescent="0.3">
      <c r="C4749" s="59"/>
      <c r="D4749" s="69"/>
      <c r="E4749" s="69"/>
      <c r="F4749" s="17"/>
      <c r="G4749" s="59"/>
    </row>
    <row r="4750" spans="3:7" ht="20.25" customHeight="1" x14ac:dyDescent="0.3">
      <c r="C4750" s="59"/>
      <c r="D4750" s="69"/>
      <c r="E4750" s="69"/>
      <c r="F4750" s="17"/>
      <c r="G4750" s="59"/>
    </row>
    <row r="4751" spans="3:7" ht="20.25" customHeight="1" x14ac:dyDescent="0.3">
      <c r="C4751" s="59"/>
      <c r="D4751" s="69"/>
      <c r="E4751" s="69"/>
      <c r="F4751" s="17"/>
      <c r="G4751" s="59"/>
    </row>
    <row r="4752" spans="3:7" ht="20.25" customHeight="1" x14ac:dyDescent="0.3">
      <c r="C4752" s="59"/>
      <c r="D4752" s="69"/>
      <c r="E4752" s="69"/>
      <c r="F4752" s="17"/>
      <c r="G4752" s="59"/>
    </row>
    <row r="4753" spans="3:7" ht="20.25" customHeight="1" x14ac:dyDescent="0.3">
      <c r="C4753" s="59"/>
      <c r="D4753" s="69"/>
      <c r="E4753" s="69"/>
      <c r="F4753" s="17"/>
      <c r="G4753" s="59"/>
    </row>
    <row r="4754" spans="3:7" ht="20.25" customHeight="1" x14ac:dyDescent="0.3">
      <c r="C4754" s="59"/>
      <c r="D4754" s="69"/>
      <c r="E4754" s="69"/>
      <c r="F4754" s="17"/>
      <c r="G4754" s="59"/>
    </row>
    <row r="4755" spans="3:7" ht="20.25" customHeight="1" x14ac:dyDescent="0.3">
      <c r="C4755" s="59"/>
      <c r="D4755" s="69"/>
      <c r="E4755" s="69"/>
      <c r="F4755" s="17"/>
      <c r="G4755" s="59"/>
    </row>
    <row r="4756" spans="3:7" ht="20.25" customHeight="1" x14ac:dyDescent="0.3">
      <c r="C4756" s="59"/>
      <c r="D4756" s="69"/>
      <c r="E4756" s="69"/>
      <c r="F4756" s="17"/>
      <c r="G4756" s="59"/>
    </row>
    <row r="4757" spans="3:7" ht="20.25" customHeight="1" x14ac:dyDescent="0.3">
      <c r="C4757" s="59"/>
      <c r="D4757" s="69"/>
      <c r="E4757" s="69"/>
      <c r="F4757" s="17"/>
      <c r="G4757" s="59"/>
    </row>
    <row r="4758" spans="3:7" ht="20.25" customHeight="1" x14ac:dyDescent="0.3">
      <c r="C4758" s="59"/>
      <c r="D4758" s="69"/>
      <c r="E4758" s="69"/>
      <c r="F4758" s="17"/>
      <c r="G4758" s="59"/>
    </row>
    <row r="4759" spans="3:7" ht="20.25" customHeight="1" x14ac:dyDescent="0.3">
      <c r="C4759" s="59"/>
      <c r="D4759" s="69"/>
      <c r="E4759" s="69"/>
      <c r="F4759" s="17"/>
      <c r="G4759" s="59"/>
    </row>
    <row r="4760" spans="3:7" ht="20.25" customHeight="1" x14ac:dyDescent="0.3">
      <c r="C4760" s="59"/>
      <c r="D4760" s="69"/>
      <c r="E4760" s="69"/>
      <c r="F4760" s="17"/>
      <c r="G4760" s="59"/>
    </row>
    <row r="4761" spans="3:7" ht="20.25" customHeight="1" x14ac:dyDescent="0.3">
      <c r="C4761" s="59"/>
      <c r="D4761" s="69"/>
      <c r="E4761" s="69"/>
      <c r="F4761" s="17"/>
      <c r="G4761" s="59"/>
    </row>
    <row r="4762" spans="3:7" ht="20.25" customHeight="1" x14ac:dyDescent="0.3">
      <c r="C4762" s="59"/>
      <c r="D4762" s="69"/>
      <c r="E4762" s="69"/>
      <c r="F4762" s="17"/>
      <c r="G4762" s="59"/>
    </row>
    <row r="4763" spans="3:7" ht="20.25" customHeight="1" x14ac:dyDescent="0.3">
      <c r="C4763" s="59"/>
      <c r="D4763" s="69"/>
      <c r="E4763" s="69"/>
      <c r="F4763" s="17"/>
      <c r="G4763" s="59"/>
    </row>
    <row r="4764" spans="3:7" ht="20.25" customHeight="1" x14ac:dyDescent="0.3">
      <c r="C4764" s="59"/>
      <c r="D4764" s="69"/>
      <c r="E4764" s="69"/>
      <c r="F4764" s="17"/>
      <c r="G4764" s="59"/>
    </row>
    <row r="4765" spans="3:7" ht="20.25" customHeight="1" x14ac:dyDescent="0.3">
      <c r="C4765" s="59"/>
      <c r="D4765" s="69"/>
      <c r="E4765" s="69"/>
      <c r="F4765" s="17"/>
      <c r="G4765" s="59"/>
    </row>
    <row r="4766" spans="3:7" ht="20.25" customHeight="1" x14ac:dyDescent="0.3">
      <c r="C4766" s="59"/>
      <c r="D4766" s="69"/>
      <c r="E4766" s="69"/>
      <c r="F4766" s="17"/>
      <c r="G4766" s="59"/>
    </row>
    <row r="4767" spans="3:7" ht="20.25" customHeight="1" x14ac:dyDescent="0.3">
      <c r="C4767" s="59"/>
      <c r="D4767" s="69"/>
      <c r="E4767" s="69"/>
      <c r="F4767" s="17"/>
      <c r="G4767" s="59"/>
    </row>
    <row r="4768" spans="3:7" ht="20.25" customHeight="1" x14ac:dyDescent="0.3">
      <c r="C4768" s="59"/>
      <c r="D4768" s="69"/>
      <c r="E4768" s="69"/>
      <c r="F4768" s="17"/>
      <c r="G4768" s="59"/>
    </row>
    <row r="4769" spans="3:7" ht="20.25" customHeight="1" x14ac:dyDescent="0.3">
      <c r="C4769" s="59"/>
      <c r="D4769" s="69"/>
      <c r="E4769" s="69"/>
      <c r="F4769" s="17"/>
      <c r="G4769" s="59"/>
    </row>
    <row r="4770" spans="3:7" ht="20.25" customHeight="1" x14ac:dyDescent="0.3">
      <c r="C4770" s="59"/>
      <c r="D4770" s="69"/>
      <c r="E4770" s="69"/>
      <c r="F4770" s="17"/>
      <c r="G4770" s="59"/>
    </row>
    <row r="4771" spans="3:7" ht="20.25" customHeight="1" x14ac:dyDescent="0.3">
      <c r="C4771" s="59"/>
      <c r="D4771" s="69"/>
      <c r="E4771" s="69"/>
      <c r="F4771" s="17"/>
      <c r="G4771" s="59"/>
    </row>
    <row r="4772" spans="3:7" ht="20.25" customHeight="1" x14ac:dyDescent="0.3">
      <c r="C4772" s="59"/>
      <c r="D4772" s="69"/>
      <c r="E4772" s="69"/>
      <c r="F4772" s="17"/>
      <c r="G4772" s="59"/>
    </row>
    <row r="4773" spans="3:7" ht="20.25" customHeight="1" x14ac:dyDescent="0.3">
      <c r="C4773" s="59"/>
      <c r="D4773" s="69"/>
      <c r="E4773" s="69"/>
      <c r="F4773" s="17"/>
      <c r="G4773" s="59"/>
    </row>
    <row r="4774" spans="3:7" ht="20.25" customHeight="1" x14ac:dyDescent="0.3">
      <c r="C4774" s="59"/>
      <c r="D4774" s="69"/>
      <c r="E4774" s="69"/>
      <c r="F4774" s="17"/>
      <c r="G4774" s="59"/>
    </row>
    <row r="4775" spans="3:7" ht="20.25" customHeight="1" x14ac:dyDescent="0.3">
      <c r="C4775" s="59"/>
      <c r="D4775" s="69"/>
      <c r="E4775" s="69"/>
      <c r="F4775" s="17"/>
      <c r="G4775" s="59"/>
    </row>
    <row r="4776" spans="3:7" ht="20.25" customHeight="1" x14ac:dyDescent="0.3">
      <c r="C4776" s="59"/>
      <c r="D4776" s="69"/>
      <c r="E4776" s="69"/>
      <c r="F4776" s="17"/>
      <c r="G4776" s="59"/>
    </row>
    <row r="4777" spans="3:7" ht="20.25" customHeight="1" x14ac:dyDescent="0.3">
      <c r="C4777" s="59"/>
      <c r="D4777" s="69"/>
      <c r="E4777" s="69"/>
      <c r="F4777" s="17"/>
      <c r="G4777" s="59"/>
    </row>
    <row r="4778" spans="3:7" ht="20.25" customHeight="1" x14ac:dyDescent="0.3">
      <c r="C4778" s="59"/>
      <c r="D4778" s="69"/>
      <c r="E4778" s="69"/>
      <c r="F4778" s="17"/>
      <c r="G4778" s="59"/>
    </row>
    <row r="4779" spans="3:7" ht="20.25" customHeight="1" x14ac:dyDescent="0.3">
      <c r="C4779" s="59"/>
      <c r="D4779" s="69"/>
      <c r="E4779" s="69"/>
      <c r="F4779" s="17"/>
      <c r="G4779" s="59"/>
    </row>
    <row r="4780" spans="3:7" ht="20.25" customHeight="1" x14ac:dyDescent="0.3">
      <c r="C4780" s="59"/>
      <c r="D4780" s="69"/>
      <c r="E4780" s="69"/>
      <c r="F4780" s="17"/>
      <c r="G4780" s="59"/>
    </row>
    <row r="4781" spans="3:7" ht="20.25" customHeight="1" x14ac:dyDescent="0.3">
      <c r="C4781" s="59"/>
      <c r="D4781" s="69"/>
      <c r="E4781" s="69"/>
      <c r="F4781" s="17"/>
      <c r="G4781" s="59"/>
    </row>
    <row r="4782" spans="3:7" ht="20.25" customHeight="1" x14ac:dyDescent="0.3">
      <c r="C4782" s="59"/>
      <c r="D4782" s="69"/>
      <c r="E4782" s="69"/>
      <c r="F4782" s="17"/>
      <c r="G4782" s="59"/>
    </row>
    <row r="4783" spans="3:7" ht="20.25" customHeight="1" x14ac:dyDescent="0.3">
      <c r="C4783" s="59"/>
      <c r="D4783" s="69"/>
      <c r="E4783" s="69"/>
      <c r="F4783" s="17"/>
      <c r="G4783" s="59"/>
    </row>
    <row r="4784" spans="3:7" ht="20.25" customHeight="1" x14ac:dyDescent="0.3">
      <c r="C4784" s="59"/>
      <c r="D4784" s="69"/>
      <c r="E4784" s="69"/>
      <c r="F4784" s="17"/>
      <c r="G4784" s="59"/>
    </row>
    <row r="4785" spans="3:7" ht="20.25" customHeight="1" x14ac:dyDescent="0.3">
      <c r="C4785" s="59"/>
      <c r="D4785" s="69"/>
      <c r="E4785" s="69"/>
      <c r="F4785" s="17"/>
      <c r="G4785" s="59"/>
    </row>
    <row r="4786" spans="3:7" ht="20.25" customHeight="1" x14ac:dyDescent="0.3">
      <c r="C4786" s="59"/>
      <c r="D4786" s="69"/>
      <c r="E4786" s="69"/>
      <c r="F4786" s="17"/>
      <c r="G4786" s="59"/>
    </row>
    <row r="4787" spans="3:7" ht="20.25" customHeight="1" x14ac:dyDescent="0.3">
      <c r="C4787" s="59"/>
      <c r="D4787" s="69"/>
      <c r="E4787" s="69"/>
      <c r="F4787" s="17"/>
      <c r="G4787" s="59"/>
    </row>
    <row r="4788" spans="3:7" ht="20.25" customHeight="1" x14ac:dyDescent="0.3">
      <c r="C4788" s="59"/>
      <c r="D4788" s="69"/>
      <c r="E4788" s="69"/>
      <c r="F4788" s="17"/>
      <c r="G4788" s="59"/>
    </row>
    <row r="4789" spans="3:7" ht="20.25" customHeight="1" x14ac:dyDescent="0.3">
      <c r="C4789" s="59"/>
      <c r="D4789" s="69"/>
      <c r="E4789" s="69"/>
      <c r="F4789" s="17"/>
      <c r="G4789" s="59"/>
    </row>
    <row r="4790" spans="3:7" ht="20.25" customHeight="1" x14ac:dyDescent="0.3">
      <c r="C4790" s="59"/>
      <c r="D4790" s="69"/>
      <c r="E4790" s="69"/>
      <c r="F4790" s="17"/>
      <c r="G4790" s="59"/>
    </row>
    <row r="4791" spans="3:7" ht="20.25" customHeight="1" x14ac:dyDescent="0.3">
      <c r="C4791" s="59"/>
      <c r="D4791" s="69"/>
      <c r="E4791" s="69"/>
      <c r="F4791" s="17"/>
      <c r="G4791" s="59"/>
    </row>
    <row r="4792" spans="3:7" ht="20.25" customHeight="1" x14ac:dyDescent="0.3">
      <c r="C4792" s="59"/>
      <c r="D4792" s="69"/>
      <c r="E4792" s="69"/>
      <c r="F4792" s="17"/>
      <c r="G4792" s="59"/>
    </row>
    <row r="4793" spans="3:7" ht="20.25" customHeight="1" x14ac:dyDescent="0.3">
      <c r="C4793" s="59"/>
      <c r="D4793" s="69"/>
      <c r="E4793" s="69"/>
      <c r="F4793" s="17"/>
      <c r="G4793" s="59"/>
    </row>
    <row r="4794" spans="3:7" ht="20.25" customHeight="1" x14ac:dyDescent="0.3">
      <c r="C4794" s="59"/>
      <c r="D4794" s="69"/>
      <c r="E4794" s="69"/>
      <c r="F4794" s="17"/>
      <c r="G4794" s="59"/>
    </row>
    <row r="4795" spans="3:7" ht="20.25" customHeight="1" x14ac:dyDescent="0.3">
      <c r="C4795" s="59"/>
      <c r="D4795" s="69"/>
      <c r="E4795" s="69"/>
      <c r="F4795" s="17"/>
      <c r="G4795" s="59"/>
    </row>
    <row r="4796" spans="3:7" ht="20.25" customHeight="1" x14ac:dyDescent="0.3">
      <c r="C4796" s="59"/>
      <c r="D4796" s="69"/>
      <c r="E4796" s="69"/>
      <c r="F4796" s="17"/>
      <c r="G4796" s="59"/>
    </row>
    <row r="4797" spans="3:7" ht="20.25" customHeight="1" x14ac:dyDescent="0.3">
      <c r="C4797" s="59"/>
      <c r="D4797" s="69"/>
      <c r="E4797" s="69"/>
      <c r="F4797" s="17"/>
      <c r="G4797" s="59"/>
    </row>
    <row r="4798" spans="3:7" ht="20.25" customHeight="1" x14ac:dyDescent="0.3">
      <c r="C4798" s="59"/>
      <c r="D4798" s="69"/>
      <c r="E4798" s="69"/>
      <c r="F4798" s="17"/>
      <c r="G4798" s="59"/>
    </row>
    <row r="4799" spans="3:7" ht="20.25" customHeight="1" x14ac:dyDescent="0.3">
      <c r="C4799" s="59"/>
      <c r="D4799" s="69"/>
      <c r="E4799" s="69"/>
      <c r="F4799" s="17"/>
      <c r="G4799" s="59"/>
    </row>
    <row r="4800" spans="3:7" ht="20.25" customHeight="1" x14ac:dyDescent="0.3">
      <c r="C4800" s="59"/>
      <c r="D4800" s="69"/>
      <c r="E4800" s="69"/>
      <c r="F4800" s="17"/>
      <c r="G4800" s="59"/>
    </row>
    <row r="4801" spans="3:7" ht="20.25" customHeight="1" x14ac:dyDescent="0.3">
      <c r="C4801" s="59"/>
      <c r="D4801" s="69"/>
      <c r="E4801" s="69"/>
      <c r="F4801" s="17"/>
      <c r="G4801" s="59"/>
    </row>
    <row r="4802" spans="3:7" ht="20.25" customHeight="1" x14ac:dyDescent="0.3">
      <c r="C4802" s="59"/>
      <c r="D4802" s="69"/>
      <c r="E4802" s="69"/>
      <c r="F4802" s="17"/>
      <c r="G4802" s="59"/>
    </row>
    <row r="4803" spans="3:7" ht="20.25" customHeight="1" x14ac:dyDescent="0.3">
      <c r="C4803" s="59"/>
      <c r="D4803" s="69"/>
      <c r="E4803" s="69"/>
      <c r="F4803" s="17"/>
      <c r="G4803" s="59"/>
    </row>
    <row r="4804" spans="3:7" ht="20.25" customHeight="1" x14ac:dyDescent="0.3">
      <c r="C4804" s="59"/>
      <c r="D4804" s="69"/>
      <c r="E4804" s="69"/>
      <c r="F4804" s="17"/>
      <c r="G4804" s="59"/>
    </row>
    <row r="4805" spans="3:7" ht="20.25" customHeight="1" x14ac:dyDescent="0.3">
      <c r="C4805" s="59"/>
      <c r="D4805" s="69"/>
      <c r="E4805" s="69"/>
      <c r="F4805" s="17"/>
      <c r="G4805" s="59"/>
    </row>
    <row r="4806" spans="3:7" ht="20.25" customHeight="1" x14ac:dyDescent="0.3">
      <c r="C4806" s="59"/>
      <c r="D4806" s="69"/>
      <c r="E4806" s="69"/>
      <c r="F4806" s="17"/>
      <c r="G4806" s="59"/>
    </row>
    <row r="4807" spans="3:7" ht="20.25" customHeight="1" x14ac:dyDescent="0.3">
      <c r="C4807" s="59"/>
      <c r="D4807" s="69"/>
      <c r="E4807" s="69"/>
      <c r="F4807" s="17"/>
      <c r="G4807" s="59"/>
    </row>
    <row r="4808" spans="3:7" ht="20.25" customHeight="1" x14ac:dyDescent="0.3">
      <c r="C4808" s="59"/>
      <c r="D4808" s="69"/>
      <c r="E4808" s="69"/>
      <c r="F4808" s="17"/>
      <c r="G4808" s="59"/>
    </row>
    <row r="4809" spans="3:7" ht="20.25" customHeight="1" x14ac:dyDescent="0.3">
      <c r="C4809" s="59"/>
      <c r="D4809" s="69"/>
      <c r="E4809" s="69"/>
      <c r="F4809" s="17"/>
      <c r="G4809" s="59"/>
    </row>
    <row r="4810" spans="3:7" ht="20.25" customHeight="1" x14ac:dyDescent="0.3">
      <c r="C4810" s="59"/>
      <c r="D4810" s="69"/>
      <c r="E4810" s="69"/>
      <c r="F4810" s="17"/>
      <c r="G4810" s="59"/>
    </row>
    <row r="4811" spans="3:7" ht="20.25" customHeight="1" x14ac:dyDescent="0.3">
      <c r="C4811" s="59"/>
      <c r="D4811" s="69"/>
      <c r="E4811" s="69"/>
      <c r="F4811" s="17"/>
      <c r="G4811" s="59"/>
    </row>
    <row r="4812" spans="3:7" ht="20.25" customHeight="1" x14ac:dyDescent="0.3">
      <c r="C4812" s="59"/>
      <c r="D4812" s="69"/>
      <c r="E4812" s="69"/>
      <c r="F4812" s="17"/>
      <c r="G4812" s="59"/>
    </row>
    <row r="4813" spans="3:7" ht="20.25" customHeight="1" x14ac:dyDescent="0.3">
      <c r="C4813" s="59"/>
      <c r="D4813" s="69"/>
      <c r="E4813" s="69"/>
      <c r="F4813" s="17"/>
      <c r="G4813" s="59"/>
    </row>
    <row r="4814" spans="3:7" ht="20.25" customHeight="1" x14ac:dyDescent="0.3">
      <c r="C4814" s="59"/>
      <c r="D4814" s="69"/>
      <c r="E4814" s="69"/>
      <c r="F4814" s="17"/>
      <c r="G4814" s="59"/>
    </row>
    <row r="4815" spans="3:7" ht="20.25" customHeight="1" x14ac:dyDescent="0.3">
      <c r="C4815" s="59"/>
      <c r="D4815" s="69"/>
      <c r="E4815" s="69"/>
      <c r="F4815" s="17"/>
      <c r="G4815" s="59"/>
    </row>
    <row r="4816" spans="3:7" ht="20.25" customHeight="1" x14ac:dyDescent="0.3">
      <c r="C4816" s="59"/>
      <c r="D4816" s="69"/>
      <c r="E4816" s="69"/>
      <c r="F4816" s="17"/>
      <c r="G4816" s="59"/>
    </row>
    <row r="4817" spans="3:7" ht="20.25" customHeight="1" x14ac:dyDescent="0.3">
      <c r="C4817" s="59"/>
      <c r="D4817" s="69"/>
      <c r="E4817" s="69"/>
      <c r="F4817" s="17"/>
      <c r="G4817" s="59"/>
    </row>
    <row r="4818" spans="3:7" ht="20.25" customHeight="1" x14ac:dyDescent="0.3">
      <c r="C4818" s="59"/>
      <c r="D4818" s="69"/>
      <c r="E4818" s="69"/>
      <c r="F4818" s="17"/>
      <c r="G4818" s="59"/>
    </row>
    <row r="4819" spans="3:7" ht="20.25" customHeight="1" x14ac:dyDescent="0.3">
      <c r="C4819" s="59"/>
      <c r="D4819" s="69"/>
      <c r="E4819" s="69"/>
      <c r="F4819" s="17"/>
      <c r="G4819" s="59"/>
    </row>
    <row r="4820" spans="3:7" ht="20.25" customHeight="1" x14ac:dyDescent="0.3">
      <c r="C4820" s="59"/>
      <c r="D4820" s="69"/>
      <c r="E4820" s="69"/>
      <c r="F4820" s="17"/>
      <c r="G4820" s="59"/>
    </row>
    <row r="4821" spans="3:7" ht="20.25" customHeight="1" x14ac:dyDescent="0.3">
      <c r="C4821" s="59"/>
      <c r="D4821" s="69"/>
      <c r="E4821" s="69"/>
      <c r="F4821" s="17"/>
      <c r="G4821" s="59"/>
    </row>
    <row r="4822" spans="3:7" ht="20.25" customHeight="1" x14ac:dyDescent="0.3">
      <c r="C4822" s="59"/>
      <c r="D4822" s="69"/>
      <c r="E4822" s="69"/>
      <c r="F4822" s="17"/>
      <c r="G4822" s="59"/>
    </row>
    <row r="4823" spans="3:7" ht="20.25" customHeight="1" x14ac:dyDescent="0.3">
      <c r="C4823" s="59"/>
      <c r="D4823" s="69"/>
      <c r="E4823" s="69"/>
      <c r="F4823" s="17"/>
      <c r="G4823" s="59"/>
    </row>
    <row r="4824" spans="3:7" ht="20.25" customHeight="1" x14ac:dyDescent="0.3">
      <c r="C4824" s="59"/>
      <c r="D4824" s="69"/>
      <c r="E4824" s="69"/>
      <c r="F4824" s="17"/>
      <c r="G4824" s="59"/>
    </row>
    <row r="4825" spans="3:7" ht="20.25" customHeight="1" x14ac:dyDescent="0.3">
      <c r="C4825" s="59"/>
      <c r="D4825" s="69"/>
      <c r="E4825" s="69"/>
      <c r="F4825" s="17"/>
      <c r="G4825" s="59"/>
    </row>
    <row r="4826" spans="3:7" ht="20.25" customHeight="1" x14ac:dyDescent="0.3">
      <c r="C4826" s="59"/>
      <c r="D4826" s="69"/>
      <c r="E4826" s="69"/>
      <c r="F4826" s="17"/>
      <c r="G4826" s="59"/>
    </row>
    <row r="4827" spans="3:7" ht="20.25" customHeight="1" x14ac:dyDescent="0.3">
      <c r="C4827" s="59"/>
      <c r="D4827" s="69"/>
      <c r="E4827" s="69"/>
      <c r="F4827" s="17"/>
      <c r="G4827" s="59"/>
    </row>
    <row r="4828" spans="3:7" ht="20.25" customHeight="1" x14ac:dyDescent="0.3">
      <c r="C4828" s="59"/>
      <c r="D4828" s="69"/>
      <c r="E4828" s="69"/>
      <c r="F4828" s="17"/>
      <c r="G4828" s="59"/>
    </row>
    <row r="4829" spans="3:7" ht="20.25" customHeight="1" x14ac:dyDescent="0.3">
      <c r="C4829" s="59"/>
      <c r="D4829" s="69"/>
      <c r="E4829" s="69"/>
      <c r="F4829" s="17"/>
      <c r="G4829" s="59"/>
    </row>
    <row r="4830" spans="3:7" ht="20.25" customHeight="1" x14ac:dyDescent="0.3">
      <c r="C4830" s="59"/>
      <c r="D4830" s="69"/>
      <c r="E4830" s="69"/>
      <c r="F4830" s="17"/>
      <c r="G4830" s="59"/>
    </row>
    <row r="4831" spans="3:7" ht="20.25" customHeight="1" x14ac:dyDescent="0.3">
      <c r="C4831" s="59"/>
      <c r="D4831" s="69"/>
      <c r="E4831" s="69"/>
      <c r="F4831" s="17"/>
      <c r="G4831" s="59"/>
    </row>
    <row r="4832" spans="3:7" ht="20.25" customHeight="1" x14ac:dyDescent="0.3">
      <c r="C4832" s="59"/>
      <c r="D4832" s="69"/>
      <c r="E4832" s="69"/>
      <c r="F4832" s="17"/>
      <c r="G4832" s="59"/>
    </row>
    <row r="4833" spans="3:7" ht="20.25" customHeight="1" x14ac:dyDescent="0.3">
      <c r="C4833" s="59"/>
      <c r="D4833" s="69"/>
      <c r="E4833" s="69"/>
      <c r="F4833" s="17"/>
      <c r="G4833" s="59"/>
    </row>
    <row r="4834" spans="3:7" ht="20.25" customHeight="1" x14ac:dyDescent="0.3">
      <c r="C4834" s="59"/>
      <c r="D4834" s="69"/>
      <c r="E4834" s="69"/>
      <c r="F4834" s="17"/>
      <c r="G4834" s="59"/>
    </row>
    <row r="4835" spans="3:7" ht="20.25" customHeight="1" x14ac:dyDescent="0.3">
      <c r="C4835" s="59"/>
      <c r="D4835" s="69"/>
      <c r="E4835" s="69"/>
      <c r="F4835" s="17"/>
      <c r="G4835" s="59"/>
    </row>
    <row r="4836" spans="3:7" ht="20.25" customHeight="1" x14ac:dyDescent="0.3">
      <c r="C4836" s="59"/>
      <c r="D4836" s="69"/>
      <c r="E4836" s="69"/>
      <c r="F4836" s="17"/>
      <c r="G4836" s="59"/>
    </row>
    <row r="4837" spans="3:7" ht="20.25" customHeight="1" x14ac:dyDescent="0.3">
      <c r="C4837" s="59"/>
      <c r="D4837" s="69"/>
      <c r="E4837" s="69"/>
      <c r="F4837" s="17"/>
      <c r="G4837" s="59"/>
    </row>
    <row r="4838" spans="3:7" ht="20.25" customHeight="1" x14ac:dyDescent="0.3">
      <c r="C4838" s="59"/>
      <c r="D4838" s="69"/>
      <c r="E4838" s="69"/>
      <c r="F4838" s="17"/>
      <c r="G4838" s="59"/>
    </row>
    <row r="4839" spans="3:7" ht="20.25" customHeight="1" x14ac:dyDescent="0.3">
      <c r="C4839" s="59"/>
      <c r="D4839" s="69"/>
      <c r="E4839" s="69"/>
      <c r="F4839" s="17"/>
      <c r="G4839" s="59"/>
    </row>
    <row r="4840" spans="3:7" ht="20.25" customHeight="1" x14ac:dyDescent="0.3">
      <c r="C4840" s="59"/>
      <c r="D4840" s="69"/>
      <c r="E4840" s="69"/>
      <c r="F4840" s="17"/>
      <c r="G4840" s="59"/>
    </row>
    <row r="4841" spans="3:7" ht="20.25" customHeight="1" x14ac:dyDescent="0.3">
      <c r="C4841" s="59"/>
      <c r="D4841" s="69"/>
      <c r="E4841" s="69"/>
      <c r="F4841" s="17"/>
      <c r="G4841" s="59"/>
    </row>
    <row r="4842" spans="3:7" ht="20.25" customHeight="1" x14ac:dyDescent="0.3">
      <c r="C4842" s="59"/>
      <c r="D4842" s="69"/>
      <c r="E4842" s="69"/>
      <c r="F4842" s="17"/>
      <c r="G4842" s="59"/>
    </row>
    <row r="4843" spans="3:7" ht="20.25" customHeight="1" x14ac:dyDescent="0.3">
      <c r="C4843" s="59"/>
      <c r="D4843" s="69"/>
      <c r="E4843" s="69"/>
      <c r="F4843" s="17"/>
      <c r="G4843" s="59"/>
    </row>
    <row r="4844" spans="3:7" ht="20.25" customHeight="1" x14ac:dyDescent="0.3">
      <c r="C4844" s="59"/>
      <c r="D4844" s="69"/>
      <c r="E4844" s="69"/>
      <c r="F4844" s="17"/>
      <c r="G4844" s="59"/>
    </row>
    <row r="4845" spans="3:7" ht="20.25" customHeight="1" x14ac:dyDescent="0.3">
      <c r="C4845" s="59"/>
      <c r="D4845" s="69"/>
      <c r="E4845" s="69"/>
      <c r="F4845" s="17"/>
      <c r="G4845" s="59"/>
    </row>
    <row r="4846" spans="3:7" ht="20.25" customHeight="1" x14ac:dyDescent="0.3">
      <c r="C4846" s="59"/>
      <c r="D4846" s="69"/>
      <c r="E4846" s="69"/>
      <c r="F4846" s="17"/>
      <c r="G4846" s="59"/>
    </row>
    <row r="4847" spans="3:7" ht="20.25" customHeight="1" x14ac:dyDescent="0.3">
      <c r="C4847" s="59"/>
      <c r="D4847" s="69"/>
      <c r="E4847" s="69"/>
      <c r="F4847" s="17"/>
      <c r="G4847" s="59"/>
    </row>
    <row r="4848" spans="3:7" ht="20.25" customHeight="1" x14ac:dyDescent="0.3">
      <c r="C4848" s="59"/>
      <c r="D4848" s="69"/>
      <c r="E4848" s="69"/>
      <c r="F4848" s="17"/>
      <c r="G4848" s="59"/>
    </row>
    <row r="4849" spans="3:7" ht="20.25" customHeight="1" x14ac:dyDescent="0.3">
      <c r="C4849" s="59"/>
      <c r="D4849" s="69"/>
      <c r="E4849" s="69"/>
      <c r="F4849" s="17"/>
      <c r="G4849" s="59"/>
    </row>
    <row r="4850" spans="3:7" ht="20.25" customHeight="1" x14ac:dyDescent="0.3">
      <c r="C4850" s="59"/>
      <c r="D4850" s="69"/>
      <c r="E4850" s="69"/>
      <c r="F4850" s="17"/>
      <c r="G4850" s="59"/>
    </row>
    <row r="4851" spans="3:7" ht="20.25" customHeight="1" x14ac:dyDescent="0.3">
      <c r="C4851" s="59"/>
      <c r="D4851" s="69"/>
      <c r="E4851" s="69"/>
      <c r="F4851" s="17"/>
      <c r="G4851" s="59"/>
    </row>
    <row r="4852" spans="3:7" ht="20.25" customHeight="1" x14ac:dyDescent="0.3">
      <c r="C4852" s="59"/>
      <c r="D4852" s="69"/>
      <c r="E4852" s="69"/>
      <c r="F4852" s="17"/>
      <c r="G4852" s="59"/>
    </row>
    <row r="4853" spans="3:7" ht="20.25" customHeight="1" x14ac:dyDescent="0.3">
      <c r="C4853" s="59"/>
      <c r="D4853" s="69"/>
      <c r="E4853" s="69"/>
      <c r="F4853" s="17"/>
      <c r="G4853" s="59"/>
    </row>
    <row r="4854" spans="3:7" ht="20.25" customHeight="1" x14ac:dyDescent="0.3">
      <c r="C4854" s="59"/>
      <c r="D4854" s="69"/>
      <c r="E4854" s="69"/>
      <c r="F4854" s="17"/>
      <c r="G4854" s="59"/>
    </row>
    <row r="4855" spans="3:7" ht="20.25" customHeight="1" x14ac:dyDescent="0.3">
      <c r="C4855" s="59"/>
      <c r="D4855" s="69"/>
      <c r="E4855" s="69"/>
      <c r="F4855" s="17"/>
      <c r="G4855" s="59"/>
    </row>
    <row r="4856" spans="3:7" ht="20.25" customHeight="1" x14ac:dyDescent="0.3">
      <c r="C4856" s="59"/>
      <c r="D4856" s="69"/>
      <c r="E4856" s="69"/>
      <c r="F4856" s="17"/>
      <c r="G4856" s="59"/>
    </row>
    <row r="4857" spans="3:7" ht="20.25" customHeight="1" x14ac:dyDescent="0.3">
      <c r="C4857" s="59"/>
      <c r="D4857" s="69"/>
      <c r="E4857" s="69"/>
      <c r="F4857" s="17"/>
      <c r="G4857" s="59"/>
    </row>
    <row r="4858" spans="3:7" ht="20.25" customHeight="1" x14ac:dyDescent="0.3">
      <c r="C4858" s="59"/>
      <c r="D4858" s="69"/>
      <c r="E4858" s="69"/>
      <c r="F4858" s="17"/>
      <c r="G4858" s="59"/>
    </row>
    <row r="4859" spans="3:7" ht="20.25" customHeight="1" x14ac:dyDescent="0.3">
      <c r="C4859" s="59"/>
      <c r="D4859" s="69"/>
      <c r="E4859" s="69"/>
      <c r="F4859" s="17"/>
      <c r="G4859" s="59"/>
    </row>
    <row r="4860" spans="3:7" ht="20.25" customHeight="1" x14ac:dyDescent="0.3">
      <c r="C4860" s="59"/>
      <c r="D4860" s="69"/>
      <c r="E4860" s="69"/>
      <c r="F4860" s="17"/>
      <c r="G4860" s="59"/>
    </row>
    <row r="4861" spans="3:7" ht="20.25" customHeight="1" x14ac:dyDescent="0.3">
      <c r="C4861" s="59"/>
      <c r="D4861" s="69"/>
      <c r="E4861" s="69"/>
      <c r="F4861" s="17"/>
      <c r="G4861" s="59"/>
    </row>
    <row r="4862" spans="3:7" ht="20.25" customHeight="1" x14ac:dyDescent="0.3">
      <c r="C4862" s="59"/>
      <c r="D4862" s="69"/>
      <c r="E4862" s="69"/>
      <c r="F4862" s="17"/>
      <c r="G4862" s="59"/>
    </row>
    <row r="4863" spans="3:7" ht="20.25" customHeight="1" x14ac:dyDescent="0.3">
      <c r="C4863" s="59"/>
      <c r="D4863" s="69"/>
      <c r="E4863" s="69"/>
      <c r="F4863" s="17"/>
      <c r="G4863" s="59"/>
    </row>
    <row r="4864" spans="3:7" ht="20.25" customHeight="1" x14ac:dyDescent="0.3">
      <c r="C4864" s="59"/>
      <c r="D4864" s="69"/>
      <c r="E4864" s="69"/>
      <c r="F4864" s="17"/>
      <c r="G4864" s="59"/>
    </row>
    <row r="4865" spans="3:7" ht="20.25" customHeight="1" x14ac:dyDescent="0.3">
      <c r="C4865" s="59"/>
      <c r="D4865" s="69"/>
      <c r="E4865" s="69"/>
      <c r="F4865" s="17"/>
      <c r="G4865" s="59"/>
    </row>
    <row r="4866" spans="3:7" ht="20.25" customHeight="1" x14ac:dyDescent="0.3">
      <c r="C4866" s="59"/>
      <c r="D4866" s="69"/>
      <c r="E4866" s="69"/>
      <c r="F4866" s="17"/>
      <c r="G4866" s="59"/>
    </row>
    <row r="4867" spans="3:7" ht="20.25" customHeight="1" x14ac:dyDescent="0.3">
      <c r="C4867" s="59"/>
      <c r="D4867" s="69"/>
      <c r="E4867" s="69"/>
      <c r="F4867" s="17"/>
      <c r="G4867" s="59"/>
    </row>
    <row r="4868" spans="3:7" ht="20.25" customHeight="1" x14ac:dyDescent="0.3">
      <c r="C4868" s="59"/>
      <c r="D4868" s="69"/>
      <c r="E4868" s="69"/>
      <c r="F4868" s="17"/>
      <c r="G4868" s="59"/>
    </row>
    <row r="4869" spans="3:7" ht="20.25" customHeight="1" x14ac:dyDescent="0.3">
      <c r="C4869" s="59"/>
      <c r="D4869" s="69"/>
      <c r="E4869" s="69"/>
      <c r="F4869" s="17"/>
      <c r="G4869" s="59"/>
    </row>
    <row r="4870" spans="3:7" ht="20.25" customHeight="1" x14ac:dyDescent="0.3">
      <c r="C4870" s="59"/>
      <c r="D4870" s="69"/>
      <c r="E4870" s="69"/>
      <c r="F4870" s="17"/>
      <c r="G4870" s="59"/>
    </row>
    <row r="4871" spans="3:7" ht="20.25" customHeight="1" x14ac:dyDescent="0.3">
      <c r="C4871" s="59"/>
      <c r="D4871" s="69"/>
      <c r="E4871" s="69"/>
      <c r="F4871" s="17"/>
      <c r="G4871" s="59"/>
    </row>
    <row r="4872" spans="3:7" ht="20.25" customHeight="1" x14ac:dyDescent="0.3">
      <c r="C4872" s="59"/>
      <c r="D4872" s="69"/>
      <c r="E4872" s="69"/>
      <c r="F4872" s="17"/>
      <c r="G4872" s="59"/>
    </row>
    <row r="4873" spans="3:7" ht="20.25" customHeight="1" x14ac:dyDescent="0.3">
      <c r="C4873" s="59"/>
      <c r="D4873" s="69"/>
      <c r="E4873" s="69"/>
      <c r="F4873" s="17"/>
      <c r="G4873" s="59"/>
    </row>
    <row r="4874" spans="3:7" ht="20.25" customHeight="1" x14ac:dyDescent="0.3">
      <c r="C4874" s="59"/>
      <c r="D4874" s="69"/>
      <c r="E4874" s="69"/>
      <c r="F4874" s="17"/>
      <c r="G4874" s="59"/>
    </row>
    <row r="4875" spans="3:7" ht="20.25" customHeight="1" x14ac:dyDescent="0.3">
      <c r="C4875" s="59"/>
      <c r="D4875" s="69"/>
      <c r="E4875" s="69"/>
      <c r="F4875" s="17"/>
      <c r="G4875" s="59"/>
    </row>
    <row r="4876" spans="3:7" ht="20.25" customHeight="1" x14ac:dyDescent="0.3">
      <c r="C4876" s="59"/>
      <c r="D4876" s="69"/>
      <c r="E4876" s="69"/>
      <c r="F4876" s="17"/>
      <c r="G4876" s="59"/>
    </row>
    <row r="4877" spans="3:7" ht="20.25" customHeight="1" x14ac:dyDescent="0.3">
      <c r="C4877" s="59"/>
      <c r="D4877" s="69"/>
      <c r="E4877" s="69"/>
      <c r="F4877" s="17"/>
      <c r="G4877" s="59"/>
    </row>
    <row r="4878" spans="3:7" ht="20.25" customHeight="1" x14ac:dyDescent="0.3">
      <c r="C4878" s="59"/>
      <c r="D4878" s="69"/>
      <c r="E4878" s="69"/>
      <c r="F4878" s="17"/>
      <c r="G4878" s="59"/>
    </row>
    <row r="4879" spans="3:7" ht="20.25" customHeight="1" x14ac:dyDescent="0.3">
      <c r="C4879" s="59"/>
      <c r="D4879" s="69"/>
      <c r="E4879" s="69"/>
      <c r="F4879" s="17"/>
      <c r="G4879" s="59"/>
    </row>
    <row r="4880" spans="3:7" ht="20.25" customHeight="1" x14ac:dyDescent="0.3">
      <c r="C4880" s="59"/>
      <c r="D4880" s="69"/>
      <c r="E4880" s="69"/>
      <c r="F4880" s="17"/>
      <c r="G4880" s="59"/>
    </row>
    <row r="4881" spans="3:7" ht="20.25" customHeight="1" x14ac:dyDescent="0.3">
      <c r="C4881" s="59"/>
      <c r="D4881" s="69"/>
      <c r="E4881" s="69"/>
      <c r="F4881" s="17"/>
      <c r="G4881" s="59"/>
    </row>
    <row r="4882" spans="3:7" ht="20.25" customHeight="1" x14ac:dyDescent="0.3">
      <c r="C4882" s="59"/>
      <c r="D4882" s="69"/>
      <c r="E4882" s="69"/>
      <c r="F4882" s="17"/>
      <c r="G4882" s="59"/>
    </row>
    <row r="4883" spans="3:7" ht="20.25" customHeight="1" x14ac:dyDescent="0.3">
      <c r="C4883" s="59"/>
      <c r="D4883" s="69"/>
      <c r="E4883" s="69"/>
      <c r="F4883" s="17"/>
      <c r="G4883" s="59"/>
    </row>
    <row r="4884" spans="3:7" ht="20.25" customHeight="1" x14ac:dyDescent="0.3">
      <c r="C4884" s="59"/>
      <c r="D4884" s="69"/>
      <c r="E4884" s="69"/>
      <c r="F4884" s="17"/>
      <c r="G4884" s="59"/>
    </row>
    <row r="4885" spans="3:7" ht="20.25" customHeight="1" x14ac:dyDescent="0.3">
      <c r="C4885" s="59"/>
      <c r="D4885" s="69"/>
      <c r="E4885" s="69"/>
      <c r="F4885" s="17"/>
      <c r="G4885" s="59"/>
    </row>
    <row r="4886" spans="3:7" ht="20.25" customHeight="1" x14ac:dyDescent="0.3">
      <c r="C4886" s="59"/>
      <c r="D4886" s="69"/>
      <c r="E4886" s="69"/>
      <c r="F4886" s="17"/>
      <c r="G4886" s="59"/>
    </row>
    <row r="4887" spans="3:7" ht="20.25" customHeight="1" x14ac:dyDescent="0.3">
      <c r="C4887" s="59"/>
      <c r="D4887" s="69"/>
      <c r="E4887" s="69"/>
      <c r="F4887" s="17"/>
      <c r="G4887" s="59"/>
    </row>
    <row r="4888" spans="3:7" ht="20.25" customHeight="1" x14ac:dyDescent="0.3">
      <c r="C4888" s="59"/>
      <c r="D4888" s="69"/>
      <c r="E4888" s="69"/>
      <c r="F4888" s="17"/>
      <c r="G4888" s="59"/>
    </row>
    <row r="4889" spans="3:7" ht="20.25" customHeight="1" x14ac:dyDescent="0.3">
      <c r="C4889" s="59"/>
      <c r="D4889" s="69"/>
      <c r="E4889" s="69"/>
      <c r="F4889" s="17"/>
      <c r="G4889" s="59"/>
    </row>
    <row r="4890" spans="3:7" ht="20.25" customHeight="1" x14ac:dyDescent="0.3">
      <c r="C4890" s="59"/>
      <c r="D4890" s="69"/>
      <c r="E4890" s="69"/>
      <c r="F4890" s="17"/>
      <c r="G4890" s="59"/>
    </row>
    <row r="4891" spans="3:7" ht="20.25" customHeight="1" x14ac:dyDescent="0.3">
      <c r="C4891" s="59"/>
      <c r="D4891" s="69"/>
      <c r="E4891" s="69"/>
      <c r="F4891" s="17"/>
      <c r="G4891" s="59"/>
    </row>
    <row r="4892" spans="3:7" ht="20.25" customHeight="1" x14ac:dyDescent="0.3">
      <c r="C4892" s="59"/>
      <c r="D4892" s="69"/>
      <c r="E4892" s="69"/>
      <c r="F4892" s="17"/>
      <c r="G4892" s="59"/>
    </row>
    <row r="4893" spans="3:7" ht="20.25" customHeight="1" x14ac:dyDescent="0.3">
      <c r="C4893" s="59"/>
      <c r="D4893" s="69"/>
      <c r="E4893" s="69"/>
      <c r="F4893" s="17"/>
      <c r="G4893" s="59"/>
    </row>
    <row r="4894" spans="3:7" ht="20.25" customHeight="1" x14ac:dyDescent="0.3">
      <c r="C4894" s="59"/>
      <c r="D4894" s="69"/>
      <c r="E4894" s="69"/>
      <c r="F4894" s="17"/>
      <c r="G4894" s="59"/>
    </row>
    <row r="4895" spans="3:7" ht="20.25" customHeight="1" x14ac:dyDescent="0.3">
      <c r="C4895" s="59"/>
      <c r="D4895" s="69"/>
      <c r="E4895" s="69"/>
      <c r="F4895" s="17"/>
      <c r="G4895" s="59"/>
    </row>
    <row r="4896" spans="3:7" ht="20.25" customHeight="1" x14ac:dyDescent="0.3">
      <c r="C4896" s="59"/>
      <c r="D4896" s="69"/>
      <c r="E4896" s="69"/>
      <c r="F4896" s="17"/>
      <c r="G4896" s="59"/>
    </row>
    <row r="4897" spans="3:7" ht="20.25" customHeight="1" x14ac:dyDescent="0.3">
      <c r="C4897" s="59"/>
      <c r="D4897" s="69"/>
      <c r="E4897" s="69"/>
      <c r="F4897" s="17"/>
      <c r="G4897" s="59"/>
    </row>
    <row r="4898" spans="3:7" ht="20.25" customHeight="1" x14ac:dyDescent="0.3">
      <c r="C4898" s="59"/>
      <c r="D4898" s="69"/>
      <c r="E4898" s="69"/>
      <c r="F4898" s="17"/>
      <c r="G4898" s="59"/>
    </row>
    <row r="4899" spans="3:7" ht="20.25" customHeight="1" x14ac:dyDescent="0.3">
      <c r="C4899" s="59"/>
      <c r="D4899" s="69"/>
      <c r="E4899" s="69"/>
      <c r="F4899" s="17"/>
      <c r="G4899" s="59"/>
    </row>
    <row r="4900" spans="3:7" ht="20.25" customHeight="1" x14ac:dyDescent="0.3">
      <c r="C4900" s="59"/>
      <c r="D4900" s="69"/>
      <c r="E4900" s="69"/>
      <c r="F4900" s="17"/>
      <c r="G4900" s="59"/>
    </row>
    <row r="4901" spans="3:7" ht="20.25" customHeight="1" x14ac:dyDescent="0.3">
      <c r="C4901" s="59"/>
      <c r="D4901" s="69"/>
      <c r="E4901" s="69"/>
      <c r="F4901" s="17"/>
      <c r="G4901" s="59"/>
    </row>
    <row r="4902" spans="3:7" ht="20.25" customHeight="1" x14ac:dyDescent="0.3">
      <c r="C4902" s="59"/>
      <c r="D4902" s="69"/>
      <c r="E4902" s="69"/>
      <c r="F4902" s="17"/>
      <c r="G4902" s="59"/>
    </row>
    <row r="4903" spans="3:7" ht="20.25" customHeight="1" x14ac:dyDescent="0.3">
      <c r="C4903" s="59"/>
      <c r="D4903" s="69"/>
      <c r="E4903" s="69"/>
      <c r="F4903" s="17"/>
      <c r="G4903" s="59"/>
    </row>
    <row r="4904" spans="3:7" ht="20.25" customHeight="1" x14ac:dyDescent="0.3">
      <c r="C4904" s="59"/>
      <c r="D4904" s="69"/>
      <c r="E4904" s="69"/>
      <c r="F4904" s="17"/>
      <c r="G4904" s="59"/>
    </row>
    <row r="4905" spans="3:7" ht="20.25" customHeight="1" x14ac:dyDescent="0.3">
      <c r="C4905" s="59"/>
      <c r="D4905" s="69"/>
      <c r="E4905" s="69"/>
      <c r="F4905" s="17"/>
      <c r="G4905" s="59"/>
    </row>
    <row r="4906" spans="3:7" ht="20.25" customHeight="1" x14ac:dyDescent="0.3">
      <c r="C4906" s="59"/>
      <c r="D4906" s="69"/>
      <c r="E4906" s="69"/>
      <c r="F4906" s="17"/>
      <c r="G4906" s="59"/>
    </row>
    <row r="4907" spans="3:7" ht="20.25" customHeight="1" x14ac:dyDescent="0.3">
      <c r="C4907" s="59"/>
      <c r="D4907" s="69"/>
      <c r="E4907" s="69"/>
      <c r="F4907" s="17"/>
      <c r="G4907" s="59"/>
    </row>
    <row r="4908" spans="3:7" ht="20.25" customHeight="1" x14ac:dyDescent="0.3">
      <c r="C4908" s="59"/>
      <c r="D4908" s="69"/>
      <c r="E4908" s="69"/>
      <c r="F4908" s="17"/>
      <c r="G4908" s="59"/>
    </row>
    <row r="4909" spans="3:7" ht="20.25" customHeight="1" x14ac:dyDescent="0.3">
      <c r="C4909" s="59"/>
      <c r="D4909" s="69"/>
      <c r="E4909" s="69"/>
      <c r="F4909" s="17"/>
      <c r="G4909" s="59"/>
    </row>
    <row r="4910" spans="3:7" ht="20.25" customHeight="1" x14ac:dyDescent="0.3">
      <c r="C4910" s="59"/>
      <c r="D4910" s="69"/>
      <c r="E4910" s="69"/>
      <c r="F4910" s="17"/>
      <c r="G4910" s="59"/>
    </row>
    <row r="4911" spans="3:7" ht="20.25" customHeight="1" x14ac:dyDescent="0.3">
      <c r="C4911" s="59"/>
      <c r="D4911" s="69"/>
      <c r="E4911" s="69"/>
      <c r="F4911" s="17"/>
      <c r="G4911" s="59"/>
    </row>
    <row r="4912" spans="3:7" ht="20.25" customHeight="1" x14ac:dyDescent="0.3">
      <c r="C4912" s="59"/>
      <c r="D4912" s="69"/>
      <c r="E4912" s="69"/>
      <c r="F4912" s="17"/>
      <c r="G4912" s="59"/>
    </row>
    <row r="4913" spans="3:7" ht="20.25" customHeight="1" x14ac:dyDescent="0.3">
      <c r="C4913" s="59"/>
      <c r="D4913" s="69"/>
      <c r="E4913" s="69"/>
      <c r="F4913" s="17"/>
      <c r="G4913" s="59"/>
    </row>
    <row r="4914" spans="3:7" ht="20.25" customHeight="1" x14ac:dyDescent="0.3">
      <c r="C4914" s="59"/>
      <c r="D4914" s="69"/>
      <c r="E4914" s="69"/>
      <c r="F4914" s="17"/>
      <c r="G4914" s="59"/>
    </row>
    <row r="4915" spans="3:7" ht="20.25" customHeight="1" x14ac:dyDescent="0.3">
      <c r="C4915" s="59"/>
      <c r="D4915" s="69"/>
      <c r="E4915" s="69"/>
      <c r="F4915" s="17"/>
      <c r="G4915" s="59"/>
    </row>
    <row r="4916" spans="3:7" ht="20.25" customHeight="1" x14ac:dyDescent="0.3">
      <c r="C4916" s="59"/>
      <c r="D4916" s="69"/>
      <c r="E4916" s="69"/>
      <c r="F4916" s="17"/>
      <c r="G4916" s="59"/>
    </row>
    <row r="4917" spans="3:7" ht="20.25" customHeight="1" x14ac:dyDescent="0.3">
      <c r="C4917" s="59"/>
      <c r="D4917" s="69"/>
      <c r="E4917" s="69"/>
      <c r="F4917" s="17"/>
      <c r="G4917" s="59"/>
    </row>
    <row r="4918" spans="3:7" ht="20.25" customHeight="1" x14ac:dyDescent="0.3">
      <c r="C4918" s="59"/>
      <c r="D4918" s="69"/>
      <c r="E4918" s="69"/>
      <c r="F4918" s="17"/>
      <c r="G4918" s="59"/>
    </row>
    <row r="4919" spans="3:7" ht="20.25" customHeight="1" x14ac:dyDescent="0.3">
      <c r="C4919" s="59"/>
      <c r="D4919" s="69"/>
      <c r="E4919" s="69"/>
      <c r="F4919" s="17"/>
      <c r="G4919" s="59"/>
    </row>
    <row r="4920" spans="3:7" ht="20.25" customHeight="1" x14ac:dyDescent="0.3">
      <c r="C4920" s="59"/>
      <c r="D4920" s="69"/>
      <c r="E4920" s="69"/>
      <c r="F4920" s="17"/>
      <c r="G4920" s="59"/>
    </row>
    <row r="4921" spans="3:7" ht="20.25" customHeight="1" x14ac:dyDescent="0.3">
      <c r="C4921" s="59"/>
      <c r="D4921" s="69"/>
      <c r="E4921" s="69"/>
      <c r="F4921" s="17"/>
      <c r="G4921" s="59"/>
    </row>
    <row r="4922" spans="3:7" ht="20.25" customHeight="1" x14ac:dyDescent="0.3">
      <c r="C4922" s="59"/>
      <c r="D4922" s="69"/>
      <c r="E4922" s="69"/>
      <c r="F4922" s="17"/>
      <c r="G4922" s="59"/>
    </row>
    <row r="4923" spans="3:7" ht="20.25" customHeight="1" x14ac:dyDescent="0.3">
      <c r="C4923" s="59"/>
      <c r="D4923" s="69"/>
      <c r="E4923" s="69"/>
      <c r="F4923" s="17"/>
      <c r="G4923" s="59"/>
    </row>
    <row r="4924" spans="3:7" ht="20.25" customHeight="1" x14ac:dyDescent="0.3">
      <c r="C4924" s="59"/>
      <c r="D4924" s="69"/>
      <c r="E4924" s="69"/>
      <c r="F4924" s="17"/>
      <c r="G4924" s="59"/>
    </row>
    <row r="4925" spans="3:7" ht="20.25" customHeight="1" x14ac:dyDescent="0.3">
      <c r="C4925" s="59"/>
      <c r="D4925" s="69"/>
      <c r="E4925" s="69"/>
      <c r="F4925" s="17"/>
      <c r="G4925" s="59"/>
    </row>
    <row r="4926" spans="3:7" ht="20.25" customHeight="1" x14ac:dyDescent="0.3">
      <c r="C4926" s="59"/>
      <c r="D4926" s="69"/>
      <c r="E4926" s="69"/>
      <c r="F4926" s="17"/>
      <c r="G4926" s="59"/>
    </row>
    <row r="4927" spans="3:7" ht="20.25" customHeight="1" x14ac:dyDescent="0.3">
      <c r="C4927" s="59"/>
      <c r="D4927" s="69"/>
      <c r="E4927" s="69"/>
      <c r="F4927" s="17"/>
      <c r="G4927" s="59"/>
    </row>
    <row r="4928" spans="3:7" ht="20.25" customHeight="1" x14ac:dyDescent="0.3">
      <c r="C4928" s="59"/>
      <c r="D4928" s="69"/>
      <c r="E4928" s="69"/>
      <c r="F4928" s="17"/>
      <c r="G4928" s="59"/>
    </row>
    <row r="4929" spans="3:7" ht="20.25" customHeight="1" x14ac:dyDescent="0.3">
      <c r="C4929" s="59"/>
      <c r="D4929" s="69"/>
      <c r="E4929" s="69"/>
      <c r="F4929" s="17"/>
      <c r="G4929" s="59"/>
    </row>
    <row r="4930" spans="3:7" ht="20.25" customHeight="1" x14ac:dyDescent="0.3">
      <c r="C4930" s="59"/>
      <c r="D4930" s="69"/>
      <c r="E4930" s="69"/>
      <c r="F4930" s="17"/>
      <c r="G4930" s="59"/>
    </row>
    <row r="4931" spans="3:7" ht="20.25" customHeight="1" x14ac:dyDescent="0.3">
      <c r="C4931" s="59"/>
      <c r="D4931" s="69"/>
      <c r="E4931" s="69"/>
      <c r="F4931" s="17"/>
      <c r="G4931" s="59"/>
    </row>
    <row r="4932" spans="3:7" ht="20.25" customHeight="1" x14ac:dyDescent="0.3">
      <c r="C4932" s="59"/>
      <c r="D4932" s="69"/>
      <c r="E4932" s="69"/>
      <c r="F4932" s="17"/>
      <c r="G4932" s="59"/>
    </row>
    <row r="4933" spans="3:7" ht="20.25" customHeight="1" x14ac:dyDescent="0.3">
      <c r="C4933" s="59"/>
      <c r="D4933" s="69"/>
      <c r="E4933" s="69"/>
      <c r="F4933" s="17"/>
      <c r="G4933" s="59"/>
    </row>
    <row r="4934" spans="3:7" ht="20.25" customHeight="1" x14ac:dyDescent="0.3">
      <c r="C4934" s="59"/>
      <c r="D4934" s="69"/>
      <c r="E4934" s="69"/>
      <c r="F4934" s="17"/>
      <c r="G4934" s="59"/>
    </row>
    <row r="4935" spans="3:7" ht="20.25" customHeight="1" x14ac:dyDescent="0.3">
      <c r="C4935" s="59"/>
      <c r="D4935" s="69"/>
      <c r="E4935" s="69"/>
      <c r="F4935" s="17"/>
      <c r="G4935" s="59"/>
    </row>
    <row r="4936" spans="3:7" ht="20.25" customHeight="1" x14ac:dyDescent="0.3">
      <c r="C4936" s="59"/>
      <c r="D4936" s="69"/>
      <c r="E4936" s="69"/>
      <c r="F4936" s="17"/>
      <c r="G4936" s="59"/>
    </row>
    <row r="4937" spans="3:7" ht="20.25" customHeight="1" x14ac:dyDescent="0.3">
      <c r="C4937" s="59"/>
      <c r="D4937" s="69"/>
      <c r="E4937" s="69"/>
      <c r="F4937" s="17"/>
      <c r="G4937" s="59"/>
    </row>
    <row r="4938" spans="3:7" ht="20.25" customHeight="1" x14ac:dyDescent="0.3">
      <c r="C4938" s="59"/>
      <c r="D4938" s="69"/>
      <c r="E4938" s="69"/>
      <c r="F4938" s="17"/>
      <c r="G4938" s="59"/>
    </row>
    <row r="4939" spans="3:7" ht="20.25" customHeight="1" x14ac:dyDescent="0.3">
      <c r="C4939" s="59"/>
      <c r="D4939" s="69"/>
      <c r="E4939" s="69"/>
      <c r="F4939" s="17"/>
      <c r="G4939" s="59"/>
    </row>
    <row r="4940" spans="3:7" ht="20.25" customHeight="1" x14ac:dyDescent="0.3">
      <c r="C4940" s="59"/>
      <c r="D4940" s="69"/>
      <c r="E4940" s="69"/>
      <c r="F4940" s="17"/>
      <c r="G4940" s="59"/>
    </row>
    <row r="4941" spans="3:7" ht="20.25" customHeight="1" x14ac:dyDescent="0.3">
      <c r="C4941" s="59"/>
      <c r="D4941" s="69"/>
      <c r="E4941" s="69"/>
      <c r="F4941" s="17"/>
      <c r="G4941" s="59"/>
    </row>
    <row r="4942" spans="3:7" ht="20.25" customHeight="1" x14ac:dyDescent="0.3">
      <c r="C4942" s="59"/>
      <c r="D4942" s="69"/>
      <c r="E4942" s="69"/>
      <c r="F4942" s="17"/>
      <c r="G4942" s="59"/>
    </row>
    <row r="4943" spans="3:7" ht="20.25" customHeight="1" x14ac:dyDescent="0.3">
      <c r="C4943" s="59"/>
      <c r="D4943" s="69"/>
      <c r="E4943" s="69"/>
      <c r="F4943" s="17"/>
      <c r="G4943" s="59"/>
    </row>
    <row r="4944" spans="3:7" ht="20.25" customHeight="1" x14ac:dyDescent="0.3">
      <c r="C4944" s="59"/>
      <c r="D4944" s="69"/>
      <c r="E4944" s="69"/>
      <c r="F4944" s="17"/>
      <c r="G4944" s="59"/>
    </row>
    <row r="4945" spans="3:7" ht="20.25" customHeight="1" x14ac:dyDescent="0.3">
      <c r="C4945" s="59"/>
      <c r="D4945" s="69"/>
      <c r="E4945" s="69"/>
      <c r="F4945" s="17"/>
      <c r="G4945" s="59"/>
    </row>
    <row r="4946" spans="3:7" ht="20.25" customHeight="1" x14ac:dyDescent="0.3">
      <c r="C4946" s="59"/>
      <c r="D4946" s="69"/>
      <c r="E4946" s="69"/>
      <c r="F4946" s="17"/>
      <c r="G4946" s="59"/>
    </row>
    <row r="4947" spans="3:7" ht="20.25" customHeight="1" x14ac:dyDescent="0.3">
      <c r="C4947" s="59"/>
      <c r="D4947" s="69"/>
      <c r="E4947" s="69"/>
      <c r="F4947" s="17"/>
      <c r="G4947" s="59"/>
    </row>
    <row r="4948" spans="3:7" ht="20.25" customHeight="1" x14ac:dyDescent="0.3">
      <c r="C4948" s="59"/>
      <c r="D4948" s="69"/>
      <c r="E4948" s="69"/>
      <c r="F4948" s="17"/>
      <c r="G4948" s="59"/>
    </row>
    <row r="4949" spans="3:7" ht="20.25" customHeight="1" x14ac:dyDescent="0.3">
      <c r="C4949" s="59"/>
      <c r="D4949" s="69"/>
      <c r="E4949" s="69"/>
      <c r="F4949" s="17"/>
      <c r="G4949" s="59"/>
    </row>
    <row r="4950" spans="3:7" ht="20.25" customHeight="1" x14ac:dyDescent="0.3">
      <c r="C4950" s="59"/>
      <c r="D4950" s="69"/>
      <c r="E4950" s="69"/>
      <c r="F4950" s="17"/>
      <c r="G4950" s="59"/>
    </row>
    <row r="4951" spans="3:7" ht="20.25" customHeight="1" x14ac:dyDescent="0.3">
      <c r="C4951" s="59"/>
      <c r="D4951" s="69"/>
      <c r="E4951" s="69"/>
      <c r="F4951" s="17"/>
      <c r="G4951" s="59"/>
    </row>
    <row r="4952" spans="3:7" ht="20.25" customHeight="1" x14ac:dyDescent="0.3">
      <c r="C4952" s="59"/>
      <c r="D4952" s="69"/>
      <c r="E4952" s="69"/>
      <c r="F4952" s="17"/>
      <c r="G4952" s="59"/>
    </row>
    <row r="4953" spans="3:7" ht="20.25" customHeight="1" x14ac:dyDescent="0.3">
      <c r="C4953" s="59"/>
      <c r="D4953" s="69"/>
      <c r="E4953" s="69"/>
      <c r="F4953" s="17"/>
      <c r="G4953" s="59"/>
    </row>
    <row r="4954" spans="3:7" ht="20.25" customHeight="1" x14ac:dyDescent="0.3">
      <c r="C4954" s="59"/>
      <c r="D4954" s="69"/>
      <c r="E4954" s="69"/>
      <c r="F4954" s="17"/>
      <c r="G4954" s="59"/>
    </row>
    <row r="4955" spans="3:7" ht="20.25" customHeight="1" x14ac:dyDescent="0.3">
      <c r="C4955" s="59"/>
      <c r="D4955" s="69"/>
      <c r="E4955" s="69"/>
      <c r="F4955" s="17"/>
      <c r="G4955" s="59"/>
    </row>
    <row r="4956" spans="3:7" ht="20.25" customHeight="1" x14ac:dyDescent="0.3">
      <c r="C4956" s="59"/>
      <c r="D4956" s="69"/>
      <c r="E4956" s="69"/>
      <c r="F4956" s="17"/>
      <c r="G4956" s="59"/>
    </row>
    <row r="4957" spans="3:7" ht="20.25" customHeight="1" x14ac:dyDescent="0.3">
      <c r="C4957" s="59"/>
      <c r="D4957" s="69"/>
      <c r="E4957" s="69"/>
      <c r="F4957" s="17"/>
      <c r="G4957" s="59"/>
    </row>
    <row r="4958" spans="3:7" ht="20.25" customHeight="1" x14ac:dyDescent="0.3">
      <c r="C4958" s="59"/>
      <c r="D4958" s="69"/>
      <c r="E4958" s="69"/>
      <c r="F4958" s="17"/>
      <c r="G4958" s="59"/>
    </row>
    <row r="4959" spans="3:7" ht="20.25" customHeight="1" x14ac:dyDescent="0.3">
      <c r="C4959" s="59"/>
      <c r="D4959" s="69"/>
      <c r="E4959" s="69"/>
      <c r="F4959" s="17"/>
      <c r="G4959" s="59"/>
    </row>
    <row r="4960" spans="3:7" ht="20.25" customHeight="1" x14ac:dyDescent="0.3">
      <c r="C4960" s="59"/>
      <c r="D4960" s="69"/>
      <c r="E4960" s="69"/>
      <c r="F4960" s="17"/>
      <c r="G4960" s="59"/>
    </row>
    <row r="4961" spans="3:7" ht="20.25" customHeight="1" x14ac:dyDescent="0.3">
      <c r="C4961" s="59"/>
      <c r="D4961" s="69"/>
      <c r="E4961" s="69"/>
      <c r="F4961" s="17"/>
      <c r="G4961" s="59"/>
    </row>
    <row r="4962" spans="3:7" ht="20.25" customHeight="1" x14ac:dyDescent="0.3">
      <c r="C4962" s="59"/>
      <c r="D4962" s="69"/>
      <c r="E4962" s="69"/>
      <c r="F4962" s="17"/>
      <c r="G4962" s="59"/>
    </row>
    <row r="4963" spans="3:7" ht="20.25" customHeight="1" x14ac:dyDescent="0.3">
      <c r="C4963" s="59"/>
      <c r="D4963" s="69"/>
      <c r="E4963" s="69"/>
      <c r="F4963" s="17"/>
      <c r="G4963" s="59"/>
    </row>
    <row r="4964" spans="3:7" ht="20.25" customHeight="1" x14ac:dyDescent="0.3">
      <c r="C4964" s="59"/>
      <c r="D4964" s="69"/>
      <c r="E4964" s="69"/>
      <c r="F4964" s="17"/>
      <c r="G4964" s="59"/>
    </row>
    <row r="4965" spans="3:7" ht="20.25" customHeight="1" x14ac:dyDescent="0.3">
      <c r="C4965" s="59"/>
      <c r="D4965" s="69"/>
      <c r="E4965" s="69"/>
      <c r="F4965" s="17"/>
      <c r="G4965" s="59"/>
    </row>
    <row r="4966" spans="3:7" ht="20.25" customHeight="1" x14ac:dyDescent="0.3">
      <c r="C4966" s="59"/>
      <c r="D4966" s="69"/>
      <c r="E4966" s="69"/>
      <c r="F4966" s="17"/>
      <c r="G4966" s="59"/>
    </row>
    <row r="4967" spans="3:7" ht="20.25" customHeight="1" x14ac:dyDescent="0.3">
      <c r="C4967" s="59"/>
      <c r="D4967" s="69"/>
      <c r="E4967" s="69"/>
      <c r="F4967" s="17"/>
      <c r="G4967" s="59"/>
    </row>
    <row r="4968" spans="3:7" ht="20.25" customHeight="1" x14ac:dyDescent="0.3">
      <c r="C4968" s="59"/>
      <c r="D4968" s="69"/>
      <c r="E4968" s="69"/>
      <c r="F4968" s="17"/>
      <c r="G4968" s="59"/>
    </row>
    <row r="4969" spans="3:7" ht="20.25" customHeight="1" x14ac:dyDescent="0.3">
      <c r="C4969" s="59"/>
      <c r="D4969" s="69"/>
      <c r="E4969" s="69"/>
      <c r="F4969" s="17"/>
      <c r="G4969" s="59"/>
    </row>
    <row r="4970" spans="3:7" ht="20.25" customHeight="1" x14ac:dyDescent="0.3">
      <c r="C4970" s="59"/>
      <c r="D4970" s="69"/>
      <c r="E4970" s="69"/>
      <c r="F4970" s="17"/>
      <c r="G4970" s="59"/>
    </row>
    <row r="4971" spans="3:7" ht="20.25" customHeight="1" x14ac:dyDescent="0.3">
      <c r="C4971" s="59"/>
      <c r="D4971" s="69"/>
      <c r="E4971" s="69"/>
      <c r="F4971" s="17"/>
      <c r="G4971" s="59"/>
    </row>
    <row r="4972" spans="3:7" ht="20.25" customHeight="1" x14ac:dyDescent="0.3">
      <c r="C4972" s="59"/>
      <c r="D4972" s="69"/>
      <c r="E4972" s="69"/>
      <c r="F4972" s="17"/>
      <c r="G4972" s="59"/>
    </row>
    <row r="4973" spans="3:7" ht="20.25" customHeight="1" x14ac:dyDescent="0.3">
      <c r="C4973" s="59"/>
      <c r="D4973" s="69"/>
      <c r="E4973" s="69"/>
      <c r="F4973" s="17"/>
      <c r="G4973" s="59"/>
    </row>
    <row r="4974" spans="3:7" ht="20.25" customHeight="1" x14ac:dyDescent="0.3">
      <c r="C4974" s="59"/>
      <c r="D4974" s="69"/>
      <c r="E4974" s="69"/>
      <c r="F4974" s="17"/>
      <c r="G4974" s="59"/>
    </row>
    <row r="4975" spans="3:7" ht="20.25" customHeight="1" x14ac:dyDescent="0.3">
      <c r="C4975" s="59"/>
      <c r="D4975" s="69"/>
      <c r="E4975" s="69"/>
      <c r="F4975" s="17"/>
      <c r="G4975" s="59"/>
    </row>
    <row r="4976" spans="3:7" ht="20.25" customHeight="1" x14ac:dyDescent="0.3">
      <c r="C4976" s="59"/>
      <c r="D4976" s="69"/>
      <c r="E4976" s="69"/>
      <c r="F4976" s="17"/>
      <c r="G4976" s="59"/>
    </row>
    <row r="4977" spans="3:7" ht="20.25" customHeight="1" x14ac:dyDescent="0.3">
      <c r="C4977" s="59"/>
      <c r="D4977" s="69"/>
      <c r="E4977" s="69"/>
      <c r="F4977" s="17"/>
      <c r="G4977" s="59"/>
    </row>
    <row r="4978" spans="3:7" ht="20.25" customHeight="1" x14ac:dyDescent="0.3">
      <c r="C4978" s="59"/>
      <c r="D4978" s="69"/>
      <c r="E4978" s="69"/>
      <c r="F4978" s="17"/>
      <c r="G4978" s="59"/>
    </row>
    <row r="4979" spans="3:7" ht="20.25" customHeight="1" x14ac:dyDescent="0.3">
      <c r="C4979" s="59"/>
      <c r="D4979" s="69"/>
      <c r="E4979" s="69"/>
      <c r="F4979" s="17"/>
      <c r="G4979" s="59"/>
    </row>
    <row r="4980" spans="3:7" ht="20.25" customHeight="1" x14ac:dyDescent="0.3">
      <c r="C4980" s="59"/>
      <c r="D4980" s="69"/>
      <c r="E4980" s="69"/>
      <c r="F4980" s="17"/>
      <c r="G4980" s="59"/>
    </row>
    <row r="4981" spans="3:7" ht="20.25" customHeight="1" x14ac:dyDescent="0.3">
      <c r="C4981" s="59"/>
      <c r="D4981" s="69"/>
      <c r="E4981" s="69"/>
      <c r="F4981" s="17"/>
      <c r="G4981" s="59"/>
    </row>
    <row r="4982" spans="3:7" ht="20.25" customHeight="1" x14ac:dyDescent="0.3">
      <c r="C4982" s="59"/>
      <c r="D4982" s="69"/>
      <c r="E4982" s="69"/>
      <c r="F4982" s="17"/>
      <c r="G4982" s="59"/>
    </row>
    <row r="4983" spans="3:7" ht="20.25" customHeight="1" x14ac:dyDescent="0.3">
      <c r="C4983" s="59"/>
      <c r="D4983" s="69"/>
      <c r="E4983" s="69"/>
      <c r="F4983" s="17"/>
      <c r="G4983" s="59"/>
    </row>
    <row r="4984" spans="3:7" ht="20.25" customHeight="1" x14ac:dyDescent="0.3">
      <c r="C4984" s="59"/>
      <c r="D4984" s="69"/>
      <c r="E4984" s="69"/>
      <c r="F4984" s="17"/>
      <c r="G4984" s="59"/>
    </row>
    <row r="4985" spans="3:7" ht="20.25" customHeight="1" x14ac:dyDescent="0.3">
      <c r="C4985" s="59"/>
      <c r="D4985" s="69"/>
      <c r="E4985" s="69"/>
      <c r="F4985" s="17"/>
      <c r="G4985" s="59"/>
    </row>
    <row r="4986" spans="3:7" ht="20.25" customHeight="1" x14ac:dyDescent="0.3">
      <c r="C4986" s="59"/>
      <c r="D4986" s="69"/>
      <c r="E4986" s="69"/>
      <c r="F4986" s="17"/>
      <c r="G4986" s="59"/>
    </row>
    <row r="4987" spans="3:7" ht="20.25" customHeight="1" x14ac:dyDescent="0.3">
      <c r="C4987" s="59"/>
      <c r="D4987" s="69"/>
      <c r="E4987" s="69"/>
      <c r="F4987" s="17"/>
      <c r="G4987" s="59"/>
    </row>
    <row r="4988" spans="3:7" ht="20.25" customHeight="1" x14ac:dyDescent="0.3">
      <c r="C4988" s="59"/>
      <c r="D4988" s="69"/>
      <c r="E4988" s="69"/>
      <c r="F4988" s="17"/>
      <c r="G4988" s="59"/>
    </row>
    <row r="4989" spans="3:7" ht="20.25" customHeight="1" x14ac:dyDescent="0.3">
      <c r="C4989" s="59"/>
      <c r="D4989" s="69"/>
      <c r="E4989" s="69"/>
      <c r="F4989" s="17"/>
      <c r="G4989" s="59"/>
    </row>
    <row r="4990" spans="3:7" ht="20.25" customHeight="1" x14ac:dyDescent="0.3">
      <c r="C4990" s="59"/>
      <c r="D4990" s="69"/>
      <c r="E4990" s="69"/>
      <c r="F4990" s="17"/>
      <c r="G4990" s="59"/>
    </row>
    <row r="4991" spans="3:7" ht="20.25" customHeight="1" x14ac:dyDescent="0.3">
      <c r="C4991" s="59"/>
      <c r="D4991" s="69"/>
      <c r="E4991" s="69"/>
      <c r="F4991" s="17"/>
      <c r="G4991" s="59"/>
    </row>
    <row r="4992" spans="3:7" ht="20.25" customHeight="1" x14ac:dyDescent="0.3">
      <c r="C4992" s="59"/>
      <c r="D4992" s="69"/>
      <c r="E4992" s="69"/>
      <c r="F4992" s="17"/>
      <c r="G4992" s="59"/>
    </row>
    <row r="4993" spans="3:7" ht="20.25" customHeight="1" x14ac:dyDescent="0.3">
      <c r="C4993" s="59"/>
      <c r="D4993" s="69"/>
      <c r="E4993" s="69"/>
      <c r="F4993" s="17"/>
      <c r="G4993" s="59"/>
    </row>
    <row r="4994" spans="3:7" ht="20.25" customHeight="1" x14ac:dyDescent="0.3">
      <c r="C4994" s="59"/>
      <c r="D4994" s="69"/>
      <c r="E4994" s="69"/>
      <c r="F4994" s="17"/>
      <c r="G4994" s="59"/>
    </row>
    <row r="4995" spans="3:7" ht="20.25" customHeight="1" x14ac:dyDescent="0.3">
      <c r="C4995" s="59"/>
      <c r="D4995" s="69"/>
      <c r="E4995" s="69"/>
      <c r="F4995" s="17"/>
      <c r="G4995" s="59"/>
    </row>
    <row r="4996" spans="3:7" ht="20.25" customHeight="1" x14ac:dyDescent="0.3">
      <c r="C4996" s="59"/>
      <c r="D4996" s="69"/>
      <c r="E4996" s="69"/>
      <c r="F4996" s="17"/>
      <c r="G4996" s="59"/>
    </row>
    <row r="4997" spans="3:7" ht="20.25" customHeight="1" x14ac:dyDescent="0.3">
      <c r="C4997" s="59"/>
      <c r="D4997" s="69"/>
      <c r="E4997" s="69"/>
      <c r="F4997" s="17"/>
      <c r="G4997" s="59"/>
    </row>
    <row r="4998" spans="3:7" ht="20.25" customHeight="1" x14ac:dyDescent="0.3">
      <c r="C4998" s="59"/>
      <c r="D4998" s="69"/>
      <c r="E4998" s="69"/>
      <c r="F4998" s="17"/>
      <c r="G4998" s="59"/>
    </row>
    <row r="4999" spans="3:7" ht="20.25" customHeight="1" x14ac:dyDescent="0.3">
      <c r="C4999" s="59"/>
      <c r="D4999" s="69"/>
      <c r="E4999" s="69"/>
      <c r="F4999" s="17"/>
      <c r="G4999" s="59"/>
    </row>
    <row r="5000" spans="3:7" ht="20.25" customHeight="1" x14ac:dyDescent="0.3">
      <c r="C5000" s="59"/>
      <c r="D5000" s="69"/>
      <c r="E5000" s="69"/>
      <c r="F5000" s="17"/>
      <c r="G5000" s="59"/>
    </row>
    <row r="5001" spans="3:7" ht="20.25" customHeight="1" x14ac:dyDescent="0.3">
      <c r="C5001" s="59"/>
      <c r="D5001" s="69"/>
      <c r="E5001" s="69"/>
      <c r="F5001" s="17"/>
      <c r="G5001" s="59"/>
    </row>
    <row r="5002" spans="3:7" ht="20.25" customHeight="1" x14ac:dyDescent="0.3">
      <c r="C5002" s="59"/>
      <c r="D5002" s="69"/>
      <c r="E5002" s="69"/>
      <c r="F5002" s="17"/>
      <c r="G5002" s="59"/>
    </row>
    <row r="5003" spans="3:7" ht="20.25" customHeight="1" x14ac:dyDescent="0.3">
      <c r="C5003" s="59"/>
      <c r="D5003" s="69"/>
      <c r="E5003" s="69"/>
      <c r="F5003" s="17"/>
      <c r="G5003" s="59"/>
    </row>
    <row r="5004" spans="3:7" ht="20.25" customHeight="1" x14ac:dyDescent="0.3">
      <c r="C5004" s="59"/>
      <c r="D5004" s="69"/>
      <c r="E5004" s="69"/>
      <c r="F5004" s="17"/>
      <c r="G5004" s="59"/>
    </row>
    <row r="5005" spans="3:7" ht="20.25" customHeight="1" x14ac:dyDescent="0.3">
      <c r="C5005" s="59"/>
      <c r="D5005" s="69"/>
      <c r="E5005" s="69"/>
      <c r="F5005" s="17"/>
      <c r="G5005" s="59"/>
    </row>
    <row r="5006" spans="3:7" ht="20.25" customHeight="1" x14ac:dyDescent="0.3">
      <c r="C5006" s="59"/>
      <c r="D5006" s="69"/>
      <c r="E5006" s="69"/>
      <c r="F5006" s="17"/>
      <c r="G5006" s="59"/>
    </row>
    <row r="5007" spans="3:7" ht="20.25" customHeight="1" x14ac:dyDescent="0.3">
      <c r="C5007" s="59"/>
      <c r="D5007" s="69"/>
      <c r="E5007" s="69"/>
      <c r="F5007" s="17"/>
      <c r="G5007" s="59"/>
    </row>
    <row r="5008" spans="3:7" ht="20.25" customHeight="1" x14ac:dyDescent="0.3">
      <c r="C5008" s="59"/>
      <c r="D5008" s="69"/>
      <c r="E5008" s="69"/>
      <c r="F5008" s="17"/>
      <c r="G5008" s="59"/>
    </row>
    <row r="5009" spans="3:7" ht="20.25" customHeight="1" x14ac:dyDescent="0.3">
      <c r="C5009" s="59"/>
      <c r="D5009" s="69"/>
      <c r="E5009" s="69"/>
      <c r="F5009" s="17"/>
      <c r="G5009" s="59"/>
    </row>
    <row r="5010" spans="3:7" ht="20.25" customHeight="1" x14ac:dyDescent="0.3">
      <c r="C5010" s="59"/>
      <c r="D5010" s="69"/>
      <c r="E5010" s="69"/>
      <c r="F5010" s="17"/>
      <c r="G5010" s="59"/>
    </row>
    <row r="5011" spans="3:7" ht="20.25" customHeight="1" x14ac:dyDescent="0.3">
      <c r="C5011" s="59"/>
      <c r="D5011" s="69"/>
      <c r="E5011" s="69"/>
      <c r="F5011" s="17"/>
      <c r="G5011" s="59"/>
    </row>
    <row r="5012" spans="3:7" ht="20.25" customHeight="1" x14ac:dyDescent="0.3">
      <c r="C5012" s="59"/>
      <c r="D5012" s="69"/>
      <c r="E5012" s="69"/>
      <c r="F5012" s="17"/>
      <c r="G5012" s="59"/>
    </row>
    <row r="5013" spans="3:7" ht="20.25" customHeight="1" x14ac:dyDescent="0.3">
      <c r="C5013" s="59"/>
      <c r="D5013" s="69"/>
      <c r="E5013" s="69"/>
      <c r="F5013" s="17"/>
      <c r="G5013" s="59"/>
    </row>
    <row r="5014" spans="3:7" ht="20.25" customHeight="1" x14ac:dyDescent="0.3">
      <c r="C5014" s="59"/>
      <c r="D5014" s="69"/>
      <c r="E5014" s="69"/>
      <c r="F5014" s="17"/>
      <c r="G5014" s="59"/>
    </row>
    <row r="5015" spans="3:7" ht="20.25" customHeight="1" x14ac:dyDescent="0.3">
      <c r="C5015" s="59"/>
      <c r="D5015" s="69"/>
      <c r="E5015" s="69"/>
      <c r="F5015" s="17"/>
      <c r="G5015" s="59"/>
    </row>
    <row r="5016" spans="3:7" ht="20.25" customHeight="1" x14ac:dyDescent="0.3">
      <c r="C5016" s="59"/>
      <c r="D5016" s="69"/>
      <c r="E5016" s="69"/>
      <c r="F5016" s="17"/>
      <c r="G5016" s="59"/>
    </row>
    <row r="5017" spans="3:7" ht="20.25" customHeight="1" x14ac:dyDescent="0.3">
      <c r="C5017" s="59"/>
      <c r="D5017" s="69"/>
      <c r="E5017" s="69"/>
      <c r="F5017" s="17"/>
      <c r="G5017" s="59"/>
    </row>
    <row r="5018" spans="3:7" ht="20.25" customHeight="1" x14ac:dyDescent="0.3">
      <c r="C5018" s="59"/>
      <c r="D5018" s="69"/>
      <c r="E5018" s="69"/>
      <c r="F5018" s="17"/>
      <c r="G5018" s="59"/>
    </row>
    <row r="5019" spans="3:7" ht="20.25" customHeight="1" x14ac:dyDescent="0.3">
      <c r="C5019" s="59"/>
      <c r="D5019" s="69"/>
      <c r="E5019" s="69"/>
      <c r="F5019" s="17"/>
      <c r="G5019" s="59"/>
    </row>
    <row r="5020" spans="3:7" ht="20.25" customHeight="1" x14ac:dyDescent="0.3">
      <c r="C5020" s="59"/>
      <c r="D5020" s="69"/>
      <c r="E5020" s="69"/>
      <c r="F5020" s="17"/>
      <c r="G5020" s="59"/>
    </row>
    <row r="5021" spans="3:7" ht="20.25" customHeight="1" x14ac:dyDescent="0.3">
      <c r="C5021" s="59"/>
      <c r="D5021" s="69"/>
      <c r="E5021" s="69"/>
      <c r="F5021" s="17"/>
      <c r="G5021" s="59"/>
    </row>
    <row r="5022" spans="3:7" ht="20.25" customHeight="1" x14ac:dyDescent="0.3">
      <c r="C5022" s="59"/>
      <c r="D5022" s="69"/>
      <c r="E5022" s="69"/>
      <c r="F5022" s="17"/>
      <c r="G5022" s="59"/>
    </row>
    <row r="5023" spans="3:7" ht="20.25" customHeight="1" x14ac:dyDescent="0.3">
      <c r="C5023" s="59"/>
      <c r="D5023" s="69"/>
      <c r="E5023" s="69"/>
      <c r="F5023" s="17"/>
      <c r="G5023" s="59"/>
    </row>
    <row r="5024" spans="3:7" ht="20.25" customHeight="1" x14ac:dyDescent="0.3">
      <c r="C5024" s="59"/>
      <c r="D5024" s="69"/>
      <c r="E5024" s="69"/>
      <c r="F5024" s="17"/>
      <c r="G5024" s="59"/>
    </row>
    <row r="5025" spans="3:7" ht="20.25" customHeight="1" x14ac:dyDescent="0.3">
      <c r="C5025" s="59"/>
      <c r="D5025" s="69"/>
      <c r="E5025" s="69"/>
      <c r="F5025" s="17"/>
      <c r="G5025" s="59"/>
    </row>
    <row r="5026" spans="3:7" ht="20.25" customHeight="1" x14ac:dyDescent="0.3">
      <c r="C5026" s="59"/>
      <c r="D5026" s="69"/>
      <c r="E5026" s="69"/>
      <c r="F5026" s="17"/>
      <c r="G5026" s="59"/>
    </row>
    <row r="5027" spans="3:7" ht="20.25" customHeight="1" x14ac:dyDescent="0.3">
      <c r="C5027" s="59"/>
      <c r="D5027" s="69"/>
      <c r="E5027" s="69"/>
      <c r="F5027" s="17"/>
      <c r="G5027" s="59"/>
    </row>
    <row r="5028" spans="3:7" ht="20.25" customHeight="1" x14ac:dyDescent="0.3">
      <c r="C5028" s="59"/>
      <c r="D5028" s="69"/>
      <c r="E5028" s="69"/>
      <c r="F5028" s="17"/>
      <c r="G5028" s="59"/>
    </row>
    <row r="5029" spans="3:7" ht="20.25" customHeight="1" x14ac:dyDescent="0.3">
      <c r="C5029" s="59"/>
      <c r="D5029" s="69"/>
      <c r="E5029" s="69"/>
      <c r="F5029" s="17"/>
      <c r="G5029" s="59"/>
    </row>
    <row r="5030" spans="3:7" ht="20.25" customHeight="1" x14ac:dyDescent="0.3">
      <c r="C5030" s="59"/>
      <c r="D5030" s="69"/>
      <c r="E5030" s="69"/>
      <c r="F5030" s="17"/>
      <c r="G5030" s="59"/>
    </row>
    <row r="5031" spans="3:7" ht="20.25" customHeight="1" x14ac:dyDescent="0.3">
      <c r="C5031" s="59"/>
      <c r="D5031" s="69"/>
      <c r="E5031" s="69"/>
      <c r="F5031" s="17"/>
      <c r="G5031" s="59"/>
    </row>
    <row r="5032" spans="3:7" ht="20.25" customHeight="1" x14ac:dyDescent="0.3">
      <c r="C5032" s="59"/>
      <c r="D5032" s="69"/>
      <c r="E5032" s="69"/>
      <c r="F5032" s="17"/>
      <c r="G5032" s="59"/>
    </row>
    <row r="5033" spans="3:7" ht="20.25" customHeight="1" x14ac:dyDescent="0.3">
      <c r="C5033" s="59"/>
      <c r="D5033" s="69"/>
      <c r="E5033" s="69"/>
      <c r="F5033" s="17"/>
      <c r="G5033" s="59"/>
    </row>
    <row r="5034" spans="3:7" ht="20.25" customHeight="1" x14ac:dyDescent="0.3">
      <c r="C5034" s="59"/>
      <c r="D5034" s="69"/>
      <c r="E5034" s="69"/>
      <c r="F5034" s="17"/>
      <c r="G5034" s="59"/>
    </row>
    <row r="5035" spans="3:7" ht="20.25" customHeight="1" x14ac:dyDescent="0.3">
      <c r="C5035" s="59"/>
      <c r="D5035" s="69"/>
      <c r="E5035" s="69"/>
      <c r="F5035" s="17"/>
      <c r="G5035" s="59"/>
    </row>
    <row r="5036" spans="3:7" ht="20.25" customHeight="1" x14ac:dyDescent="0.3">
      <c r="C5036" s="59"/>
      <c r="D5036" s="69"/>
      <c r="E5036" s="69"/>
      <c r="F5036" s="17"/>
      <c r="G5036" s="59"/>
    </row>
    <row r="5037" spans="3:7" ht="20.25" customHeight="1" x14ac:dyDescent="0.3">
      <c r="C5037" s="59"/>
      <c r="D5037" s="69"/>
      <c r="E5037" s="69"/>
      <c r="F5037" s="17"/>
      <c r="G5037" s="59"/>
    </row>
    <row r="5038" spans="3:7" ht="20.25" customHeight="1" x14ac:dyDescent="0.3">
      <c r="C5038" s="59"/>
      <c r="D5038" s="69"/>
      <c r="E5038" s="69"/>
      <c r="F5038" s="17"/>
      <c r="G5038" s="59"/>
    </row>
    <row r="5039" spans="3:7" ht="20.25" customHeight="1" x14ac:dyDescent="0.3">
      <c r="C5039" s="59"/>
      <c r="D5039" s="69"/>
      <c r="E5039" s="69"/>
      <c r="F5039" s="17"/>
      <c r="G5039" s="59"/>
    </row>
    <row r="5040" spans="3:7" ht="20.25" customHeight="1" x14ac:dyDescent="0.3">
      <c r="C5040" s="59"/>
      <c r="D5040" s="69"/>
      <c r="E5040" s="69"/>
      <c r="F5040" s="17"/>
      <c r="G5040" s="59"/>
    </row>
    <row r="5041" spans="3:7" ht="20.25" customHeight="1" x14ac:dyDescent="0.3">
      <c r="C5041" s="59"/>
      <c r="D5041" s="69"/>
      <c r="E5041" s="69"/>
      <c r="F5041" s="17"/>
      <c r="G5041" s="59"/>
    </row>
    <row r="5042" spans="3:7" ht="20.25" customHeight="1" x14ac:dyDescent="0.3">
      <c r="C5042" s="59"/>
      <c r="D5042" s="69"/>
      <c r="E5042" s="69"/>
      <c r="F5042" s="17"/>
      <c r="G5042" s="59"/>
    </row>
    <row r="5043" spans="3:7" ht="20.25" customHeight="1" x14ac:dyDescent="0.3">
      <c r="C5043" s="59"/>
      <c r="D5043" s="69"/>
      <c r="E5043" s="69"/>
      <c r="F5043" s="17"/>
      <c r="G5043" s="59"/>
    </row>
    <row r="5044" spans="3:7" ht="20.25" customHeight="1" x14ac:dyDescent="0.3">
      <c r="C5044" s="59"/>
      <c r="D5044" s="69"/>
      <c r="E5044" s="69"/>
      <c r="F5044" s="17"/>
      <c r="G5044" s="59"/>
    </row>
    <row r="5045" spans="3:7" ht="20.25" customHeight="1" x14ac:dyDescent="0.3">
      <c r="C5045" s="59"/>
      <c r="D5045" s="69"/>
      <c r="E5045" s="69"/>
      <c r="F5045" s="17"/>
      <c r="G5045" s="59"/>
    </row>
    <row r="5046" spans="3:7" ht="20.25" customHeight="1" x14ac:dyDescent="0.3">
      <c r="C5046" s="59"/>
      <c r="D5046" s="69"/>
      <c r="E5046" s="69"/>
      <c r="F5046" s="17"/>
      <c r="G5046" s="59"/>
    </row>
    <row r="5047" spans="3:7" ht="20.25" customHeight="1" x14ac:dyDescent="0.3">
      <c r="C5047" s="59"/>
      <c r="D5047" s="69"/>
      <c r="E5047" s="69"/>
      <c r="F5047" s="17"/>
      <c r="G5047" s="59"/>
    </row>
    <row r="5048" spans="3:7" ht="20.25" customHeight="1" x14ac:dyDescent="0.3">
      <c r="C5048" s="59"/>
      <c r="D5048" s="69"/>
      <c r="E5048" s="69"/>
      <c r="F5048" s="17"/>
      <c r="G5048" s="59"/>
    </row>
    <row r="5049" spans="3:7" ht="20.25" customHeight="1" x14ac:dyDescent="0.3">
      <c r="C5049" s="59"/>
      <c r="D5049" s="69"/>
      <c r="E5049" s="69"/>
      <c r="F5049" s="17"/>
      <c r="G5049" s="59"/>
    </row>
    <row r="5050" spans="3:7" ht="20.25" customHeight="1" x14ac:dyDescent="0.3">
      <c r="C5050" s="59"/>
      <c r="D5050" s="69"/>
      <c r="E5050" s="69"/>
      <c r="F5050" s="17"/>
      <c r="G5050" s="59"/>
    </row>
    <row r="5051" spans="3:7" ht="20.25" customHeight="1" x14ac:dyDescent="0.3">
      <c r="C5051" s="59"/>
      <c r="D5051" s="69"/>
      <c r="E5051" s="69"/>
      <c r="F5051" s="17"/>
      <c r="G5051" s="59"/>
    </row>
    <row r="5052" spans="3:7" ht="20.25" customHeight="1" x14ac:dyDescent="0.3">
      <c r="C5052" s="59"/>
      <c r="D5052" s="69"/>
      <c r="E5052" s="69"/>
      <c r="F5052" s="17"/>
      <c r="G5052" s="59"/>
    </row>
    <row r="5053" spans="3:7" ht="20.25" customHeight="1" x14ac:dyDescent="0.3">
      <c r="C5053" s="59"/>
      <c r="D5053" s="69"/>
      <c r="E5053" s="69"/>
      <c r="F5053" s="17"/>
      <c r="G5053" s="59"/>
    </row>
    <row r="5054" spans="3:7" ht="20.25" customHeight="1" x14ac:dyDescent="0.3">
      <c r="C5054" s="59"/>
      <c r="D5054" s="69"/>
      <c r="E5054" s="69"/>
      <c r="F5054" s="17"/>
      <c r="G5054" s="59"/>
    </row>
    <row r="5055" spans="3:7" ht="20.25" customHeight="1" x14ac:dyDescent="0.3">
      <c r="C5055" s="59"/>
      <c r="D5055" s="69"/>
      <c r="E5055" s="69"/>
      <c r="F5055" s="17"/>
      <c r="G5055" s="59"/>
    </row>
    <row r="5056" spans="3:7" ht="20.25" customHeight="1" x14ac:dyDescent="0.3">
      <c r="C5056" s="59"/>
      <c r="D5056" s="69"/>
      <c r="E5056" s="69"/>
      <c r="F5056" s="17"/>
      <c r="G5056" s="59"/>
    </row>
    <row r="5057" spans="3:7" ht="20.25" customHeight="1" x14ac:dyDescent="0.3">
      <c r="C5057" s="59"/>
      <c r="D5057" s="69"/>
      <c r="E5057" s="69"/>
      <c r="F5057" s="17"/>
      <c r="G5057" s="59"/>
    </row>
    <row r="5058" spans="3:7" ht="20.25" customHeight="1" x14ac:dyDescent="0.3">
      <c r="C5058" s="59"/>
      <c r="D5058" s="69"/>
      <c r="E5058" s="69"/>
      <c r="F5058" s="17"/>
      <c r="G5058" s="59"/>
    </row>
    <row r="5059" spans="3:7" ht="20.25" customHeight="1" x14ac:dyDescent="0.3">
      <c r="C5059" s="59"/>
      <c r="D5059" s="69"/>
      <c r="E5059" s="69"/>
      <c r="F5059" s="17"/>
      <c r="G5059" s="59"/>
    </row>
    <row r="5060" spans="3:7" ht="20.25" customHeight="1" x14ac:dyDescent="0.3">
      <c r="C5060" s="59"/>
      <c r="D5060" s="69"/>
      <c r="E5060" s="69"/>
      <c r="F5060" s="17"/>
      <c r="G5060" s="59"/>
    </row>
    <row r="5061" spans="3:7" ht="20.25" customHeight="1" x14ac:dyDescent="0.3">
      <c r="C5061" s="59"/>
      <c r="D5061" s="69"/>
      <c r="E5061" s="69"/>
      <c r="F5061" s="17"/>
      <c r="G5061" s="59"/>
    </row>
    <row r="5062" spans="3:7" ht="20.25" customHeight="1" x14ac:dyDescent="0.3">
      <c r="C5062" s="59"/>
      <c r="D5062" s="69"/>
      <c r="E5062" s="69"/>
      <c r="F5062" s="17"/>
      <c r="G5062" s="59"/>
    </row>
    <row r="5063" spans="3:7" ht="20.25" customHeight="1" x14ac:dyDescent="0.3">
      <c r="C5063" s="59"/>
      <c r="D5063" s="69"/>
      <c r="E5063" s="69"/>
      <c r="F5063" s="17"/>
      <c r="G5063" s="59"/>
    </row>
    <row r="5064" spans="3:7" ht="20.25" customHeight="1" x14ac:dyDescent="0.3">
      <c r="C5064" s="59"/>
      <c r="D5064" s="69"/>
      <c r="E5064" s="69"/>
      <c r="F5064" s="17"/>
      <c r="G5064" s="59"/>
    </row>
    <row r="5065" spans="3:7" ht="20.25" customHeight="1" x14ac:dyDescent="0.3">
      <c r="C5065" s="59"/>
      <c r="D5065" s="69"/>
      <c r="E5065" s="69"/>
      <c r="F5065" s="17"/>
      <c r="G5065" s="59"/>
    </row>
    <row r="5066" spans="3:7" ht="20.25" customHeight="1" x14ac:dyDescent="0.3">
      <c r="C5066" s="59"/>
      <c r="D5066" s="69"/>
      <c r="E5066" s="69"/>
      <c r="F5066" s="17"/>
      <c r="G5066" s="59"/>
    </row>
    <row r="5067" spans="3:7" ht="20.25" customHeight="1" x14ac:dyDescent="0.3">
      <c r="C5067" s="59"/>
      <c r="D5067" s="69"/>
      <c r="E5067" s="69"/>
      <c r="F5067" s="17"/>
      <c r="G5067" s="59"/>
    </row>
    <row r="5068" spans="3:7" ht="20.25" customHeight="1" x14ac:dyDescent="0.3">
      <c r="C5068" s="59"/>
      <c r="D5068" s="69"/>
      <c r="E5068" s="69"/>
      <c r="F5068" s="17"/>
      <c r="G5068" s="59"/>
    </row>
    <row r="5069" spans="3:7" ht="20.25" customHeight="1" x14ac:dyDescent="0.3">
      <c r="C5069" s="59"/>
      <c r="D5069" s="69"/>
      <c r="E5069" s="69"/>
      <c r="F5069" s="17"/>
      <c r="G5069" s="59"/>
    </row>
    <row r="5070" spans="3:7" ht="20.25" customHeight="1" x14ac:dyDescent="0.3">
      <c r="C5070" s="59"/>
      <c r="D5070" s="69"/>
      <c r="E5070" s="69"/>
      <c r="F5070" s="17"/>
      <c r="G5070" s="59"/>
    </row>
    <row r="5071" spans="3:7" ht="20.25" customHeight="1" x14ac:dyDescent="0.3">
      <c r="C5071" s="59"/>
      <c r="D5071" s="69"/>
      <c r="E5071" s="69"/>
      <c r="F5071" s="17"/>
      <c r="G5071" s="59"/>
    </row>
    <row r="5072" spans="3:7" ht="20.25" customHeight="1" x14ac:dyDescent="0.3">
      <c r="C5072" s="59"/>
      <c r="D5072" s="69"/>
      <c r="E5072" s="69"/>
      <c r="F5072" s="17"/>
      <c r="G5072" s="59"/>
    </row>
    <row r="5073" spans="3:7" ht="20.25" customHeight="1" x14ac:dyDescent="0.3">
      <c r="C5073" s="59"/>
      <c r="D5073" s="69"/>
      <c r="E5073" s="69"/>
      <c r="F5073" s="17"/>
      <c r="G5073" s="59"/>
    </row>
    <row r="5074" spans="3:7" ht="20.25" customHeight="1" x14ac:dyDescent="0.3">
      <c r="C5074" s="59"/>
      <c r="D5074" s="69"/>
      <c r="E5074" s="69"/>
      <c r="F5074" s="17"/>
      <c r="G5074" s="59"/>
    </row>
    <row r="5075" spans="3:7" ht="20.25" customHeight="1" x14ac:dyDescent="0.3">
      <c r="C5075" s="59"/>
      <c r="D5075" s="69"/>
      <c r="E5075" s="69"/>
      <c r="F5075" s="17"/>
      <c r="G5075" s="59"/>
    </row>
    <row r="5076" spans="3:7" ht="20.25" customHeight="1" x14ac:dyDescent="0.3">
      <c r="C5076" s="59"/>
      <c r="D5076" s="69"/>
      <c r="E5076" s="69"/>
      <c r="F5076" s="17"/>
      <c r="G5076" s="59"/>
    </row>
    <row r="5077" spans="3:7" ht="20.25" customHeight="1" x14ac:dyDescent="0.3">
      <c r="C5077" s="59"/>
      <c r="D5077" s="69"/>
      <c r="E5077" s="69"/>
      <c r="F5077" s="17"/>
      <c r="G5077" s="59"/>
    </row>
    <row r="5078" spans="3:7" ht="20.25" customHeight="1" x14ac:dyDescent="0.3">
      <c r="C5078" s="59"/>
      <c r="D5078" s="69"/>
      <c r="E5078" s="69"/>
      <c r="F5078" s="17"/>
      <c r="G5078" s="59"/>
    </row>
    <row r="5079" spans="3:7" ht="20.25" customHeight="1" x14ac:dyDescent="0.3">
      <c r="C5079" s="59"/>
      <c r="D5079" s="69"/>
      <c r="E5079" s="69"/>
      <c r="F5079" s="17"/>
      <c r="G5079" s="59"/>
    </row>
    <row r="5080" spans="3:7" ht="20.25" customHeight="1" x14ac:dyDescent="0.3">
      <c r="C5080" s="59"/>
      <c r="D5080" s="69"/>
      <c r="E5080" s="69"/>
      <c r="F5080" s="17"/>
      <c r="G5080" s="59"/>
    </row>
    <row r="5081" spans="3:7" ht="20.25" customHeight="1" x14ac:dyDescent="0.3">
      <c r="C5081" s="59"/>
      <c r="D5081" s="69"/>
      <c r="E5081" s="69"/>
      <c r="F5081" s="17"/>
      <c r="G5081" s="59"/>
    </row>
    <row r="5082" spans="3:7" ht="20.25" customHeight="1" x14ac:dyDescent="0.3">
      <c r="C5082" s="59"/>
      <c r="D5082" s="69"/>
      <c r="E5082" s="69"/>
      <c r="F5082" s="17"/>
      <c r="G5082" s="59"/>
    </row>
    <row r="5083" spans="3:7" ht="20.25" customHeight="1" x14ac:dyDescent="0.3">
      <c r="C5083" s="59"/>
      <c r="D5083" s="69"/>
      <c r="E5083" s="69"/>
      <c r="F5083" s="17"/>
      <c r="G5083" s="59"/>
    </row>
    <row r="5084" spans="3:7" ht="20.25" customHeight="1" x14ac:dyDescent="0.3">
      <c r="C5084" s="59"/>
      <c r="D5084" s="69"/>
      <c r="E5084" s="69"/>
      <c r="F5084" s="17"/>
      <c r="G5084" s="59"/>
    </row>
    <row r="5085" spans="3:7" ht="20.25" customHeight="1" x14ac:dyDescent="0.3">
      <c r="C5085" s="59"/>
      <c r="D5085" s="69"/>
      <c r="E5085" s="69"/>
      <c r="F5085" s="17"/>
      <c r="G5085" s="59"/>
    </row>
    <row r="5086" spans="3:7" ht="20.25" customHeight="1" x14ac:dyDescent="0.3">
      <c r="C5086" s="59"/>
      <c r="D5086" s="69"/>
      <c r="E5086" s="69"/>
      <c r="F5086" s="17"/>
      <c r="G5086" s="59"/>
    </row>
    <row r="5087" spans="3:7" ht="20.25" customHeight="1" x14ac:dyDescent="0.3">
      <c r="C5087" s="59"/>
      <c r="D5087" s="69"/>
      <c r="E5087" s="69"/>
      <c r="F5087" s="17"/>
      <c r="G5087" s="59"/>
    </row>
    <row r="5088" spans="3:7" ht="20.25" customHeight="1" x14ac:dyDescent="0.3">
      <c r="C5088" s="59"/>
      <c r="D5088" s="69"/>
      <c r="E5088" s="69"/>
      <c r="F5088" s="17"/>
      <c r="G5088" s="59"/>
    </row>
    <row r="5089" spans="3:7" ht="20.25" customHeight="1" x14ac:dyDescent="0.3">
      <c r="C5089" s="59"/>
      <c r="D5089" s="69"/>
      <c r="E5089" s="69"/>
      <c r="F5089" s="17"/>
      <c r="G5089" s="59"/>
    </row>
    <row r="5090" spans="3:7" ht="20.25" customHeight="1" x14ac:dyDescent="0.3">
      <c r="C5090" s="59"/>
      <c r="D5090" s="69"/>
      <c r="E5090" s="69"/>
      <c r="F5090" s="17"/>
      <c r="G5090" s="59"/>
    </row>
    <row r="5091" spans="3:7" ht="20.25" customHeight="1" x14ac:dyDescent="0.3">
      <c r="C5091" s="59"/>
      <c r="D5091" s="69"/>
      <c r="E5091" s="69"/>
      <c r="F5091" s="17"/>
      <c r="G5091" s="59"/>
    </row>
    <row r="5092" spans="3:7" ht="20.25" customHeight="1" x14ac:dyDescent="0.3">
      <c r="C5092" s="59"/>
      <c r="D5092" s="69"/>
      <c r="E5092" s="69"/>
      <c r="F5092" s="17"/>
      <c r="G5092" s="59"/>
    </row>
    <row r="5093" spans="3:7" ht="20.25" customHeight="1" x14ac:dyDescent="0.3">
      <c r="C5093" s="59"/>
      <c r="D5093" s="69"/>
      <c r="E5093" s="69"/>
      <c r="F5093" s="17"/>
      <c r="G5093" s="59"/>
    </row>
    <row r="5094" spans="3:7" ht="20.25" customHeight="1" x14ac:dyDescent="0.3">
      <c r="C5094" s="59"/>
      <c r="D5094" s="69"/>
      <c r="E5094" s="69"/>
      <c r="F5094" s="17"/>
      <c r="G5094" s="59"/>
    </row>
    <row r="5095" spans="3:7" ht="20.25" customHeight="1" x14ac:dyDescent="0.3">
      <c r="C5095" s="59"/>
      <c r="D5095" s="69"/>
      <c r="E5095" s="69"/>
      <c r="F5095" s="17"/>
      <c r="G5095" s="59"/>
    </row>
    <row r="5096" spans="3:7" ht="20.25" customHeight="1" x14ac:dyDescent="0.3">
      <c r="C5096" s="59"/>
      <c r="D5096" s="69"/>
      <c r="E5096" s="69"/>
      <c r="F5096" s="17"/>
      <c r="G5096" s="59"/>
    </row>
    <row r="5097" spans="3:7" ht="20.25" customHeight="1" x14ac:dyDescent="0.3">
      <c r="C5097" s="59"/>
      <c r="D5097" s="69"/>
      <c r="E5097" s="69"/>
      <c r="F5097" s="17"/>
      <c r="G5097" s="59"/>
    </row>
    <row r="5098" spans="3:7" ht="20.25" customHeight="1" x14ac:dyDescent="0.3">
      <c r="C5098" s="59"/>
      <c r="D5098" s="69"/>
      <c r="E5098" s="69"/>
      <c r="F5098" s="17"/>
      <c r="G5098" s="59"/>
    </row>
    <row r="5099" spans="3:7" ht="20.25" customHeight="1" x14ac:dyDescent="0.3">
      <c r="C5099" s="59"/>
      <c r="D5099" s="69"/>
      <c r="E5099" s="69"/>
      <c r="F5099" s="17"/>
      <c r="G5099" s="59"/>
    </row>
    <row r="5100" spans="3:7" ht="20.25" customHeight="1" x14ac:dyDescent="0.3">
      <c r="C5100" s="59"/>
      <c r="D5100" s="69"/>
      <c r="E5100" s="69"/>
      <c r="F5100" s="17"/>
      <c r="G5100" s="59"/>
    </row>
    <row r="5101" spans="3:7" ht="20.25" customHeight="1" x14ac:dyDescent="0.3">
      <c r="C5101" s="59"/>
      <c r="D5101" s="69"/>
      <c r="E5101" s="69"/>
      <c r="F5101" s="17"/>
      <c r="G5101" s="59"/>
    </row>
    <row r="5102" spans="3:7" ht="20.25" customHeight="1" x14ac:dyDescent="0.3">
      <c r="C5102" s="59"/>
      <c r="D5102" s="69"/>
      <c r="E5102" s="69"/>
      <c r="F5102" s="17"/>
      <c r="G5102" s="59"/>
    </row>
    <row r="5103" spans="3:7" ht="20.25" customHeight="1" x14ac:dyDescent="0.3">
      <c r="C5103" s="59"/>
      <c r="D5103" s="69"/>
      <c r="E5103" s="69"/>
      <c r="F5103" s="17"/>
      <c r="G5103" s="59"/>
    </row>
    <row r="5104" spans="3:7" ht="20.25" customHeight="1" x14ac:dyDescent="0.3">
      <c r="C5104" s="59"/>
      <c r="D5104" s="69"/>
      <c r="E5104" s="69"/>
      <c r="F5104" s="17"/>
      <c r="G5104" s="59"/>
    </row>
    <row r="5105" spans="3:7" ht="20.25" customHeight="1" x14ac:dyDescent="0.3">
      <c r="C5105" s="59"/>
      <c r="D5105" s="69"/>
      <c r="E5105" s="69"/>
      <c r="F5105" s="17"/>
      <c r="G5105" s="59"/>
    </row>
    <row r="5106" spans="3:7" ht="20.25" customHeight="1" x14ac:dyDescent="0.3">
      <c r="C5106" s="59"/>
      <c r="D5106" s="69"/>
      <c r="E5106" s="69"/>
      <c r="F5106" s="17"/>
      <c r="G5106" s="59"/>
    </row>
    <row r="5107" spans="3:7" ht="20.25" customHeight="1" x14ac:dyDescent="0.3">
      <c r="C5107" s="59"/>
      <c r="D5107" s="69"/>
      <c r="E5107" s="69"/>
      <c r="F5107" s="17"/>
      <c r="G5107" s="59"/>
    </row>
    <row r="5108" spans="3:7" ht="20.25" customHeight="1" x14ac:dyDescent="0.3">
      <c r="C5108" s="59"/>
      <c r="D5108" s="69"/>
      <c r="E5108" s="69"/>
      <c r="F5108" s="17"/>
      <c r="G5108" s="59"/>
    </row>
    <row r="5109" spans="3:7" ht="20.25" customHeight="1" x14ac:dyDescent="0.3">
      <c r="C5109" s="59"/>
      <c r="D5109" s="69"/>
      <c r="E5109" s="69"/>
      <c r="F5109" s="17"/>
      <c r="G5109" s="59"/>
    </row>
    <row r="5110" spans="3:7" ht="20.25" customHeight="1" x14ac:dyDescent="0.3">
      <c r="C5110" s="59"/>
      <c r="D5110" s="69"/>
      <c r="E5110" s="69"/>
      <c r="F5110" s="17"/>
      <c r="G5110" s="59"/>
    </row>
    <row r="5111" spans="3:7" ht="20.25" customHeight="1" x14ac:dyDescent="0.3">
      <c r="C5111" s="59"/>
      <c r="D5111" s="69"/>
      <c r="E5111" s="69"/>
      <c r="F5111" s="17"/>
      <c r="G5111" s="59"/>
    </row>
    <row r="5112" spans="3:7" ht="20.25" customHeight="1" x14ac:dyDescent="0.3">
      <c r="C5112" s="59"/>
      <c r="D5112" s="69"/>
      <c r="E5112" s="69"/>
      <c r="F5112" s="17"/>
      <c r="G5112" s="59"/>
    </row>
    <row r="5113" spans="3:7" ht="20.25" customHeight="1" x14ac:dyDescent="0.3">
      <c r="C5113" s="59"/>
      <c r="D5113" s="69"/>
      <c r="E5113" s="69"/>
      <c r="F5113" s="17"/>
      <c r="G5113" s="59"/>
    </row>
    <row r="5114" spans="3:7" ht="20.25" customHeight="1" x14ac:dyDescent="0.3">
      <c r="C5114" s="59"/>
      <c r="D5114" s="69"/>
      <c r="E5114" s="69"/>
      <c r="F5114" s="17"/>
      <c r="G5114" s="59"/>
    </row>
    <row r="5115" spans="3:7" ht="20.25" customHeight="1" x14ac:dyDescent="0.3">
      <c r="C5115" s="59"/>
      <c r="D5115" s="69"/>
      <c r="E5115" s="69"/>
      <c r="F5115" s="17"/>
      <c r="G5115" s="59"/>
    </row>
    <row r="5116" spans="3:7" ht="20.25" customHeight="1" x14ac:dyDescent="0.3">
      <c r="C5116" s="59"/>
      <c r="D5116" s="69"/>
      <c r="E5116" s="69"/>
      <c r="F5116" s="17"/>
      <c r="G5116" s="59"/>
    </row>
    <row r="5117" spans="3:7" ht="20.25" customHeight="1" x14ac:dyDescent="0.3">
      <c r="C5117" s="59"/>
      <c r="D5117" s="69"/>
      <c r="E5117" s="69"/>
      <c r="F5117" s="17"/>
      <c r="G5117" s="59"/>
    </row>
    <row r="5118" spans="3:7" ht="20.25" customHeight="1" x14ac:dyDescent="0.3">
      <c r="C5118" s="59"/>
      <c r="D5118" s="69"/>
      <c r="E5118" s="69"/>
      <c r="F5118" s="17"/>
      <c r="G5118" s="59"/>
    </row>
    <row r="5119" spans="3:7" ht="20.25" customHeight="1" x14ac:dyDescent="0.3">
      <c r="C5119" s="59"/>
      <c r="D5119" s="69"/>
      <c r="E5119" s="69"/>
      <c r="F5119" s="17"/>
      <c r="G5119" s="59"/>
    </row>
    <row r="5120" spans="3:7" ht="20.25" customHeight="1" x14ac:dyDescent="0.3">
      <c r="C5120" s="59"/>
      <c r="D5120" s="69"/>
      <c r="E5120" s="69"/>
      <c r="F5120" s="17"/>
      <c r="G5120" s="59"/>
    </row>
    <row r="5121" spans="3:7" ht="20.25" customHeight="1" x14ac:dyDescent="0.3">
      <c r="C5121" s="59"/>
      <c r="D5121" s="69"/>
      <c r="E5121" s="69"/>
      <c r="F5121" s="17"/>
      <c r="G5121" s="59"/>
    </row>
    <row r="5122" spans="3:7" ht="20.25" customHeight="1" x14ac:dyDescent="0.3">
      <c r="C5122" s="59"/>
      <c r="D5122" s="69"/>
      <c r="E5122" s="69"/>
      <c r="F5122" s="17"/>
      <c r="G5122" s="59"/>
    </row>
    <row r="5123" spans="3:7" ht="20.25" customHeight="1" x14ac:dyDescent="0.3">
      <c r="C5123" s="59"/>
      <c r="D5123" s="69"/>
      <c r="E5123" s="69"/>
      <c r="F5123" s="17"/>
      <c r="G5123" s="59"/>
    </row>
    <row r="5124" spans="3:7" ht="20.25" customHeight="1" x14ac:dyDescent="0.3">
      <c r="C5124" s="59"/>
      <c r="D5124" s="69"/>
      <c r="E5124" s="69"/>
      <c r="F5124" s="17"/>
      <c r="G5124" s="59"/>
    </row>
    <row r="5125" spans="3:7" ht="20.25" customHeight="1" x14ac:dyDescent="0.3">
      <c r="C5125" s="59"/>
      <c r="D5125" s="69"/>
      <c r="E5125" s="69"/>
      <c r="F5125" s="17"/>
      <c r="G5125" s="59"/>
    </row>
    <row r="5126" spans="3:7" ht="20.25" customHeight="1" x14ac:dyDescent="0.3">
      <c r="C5126" s="59"/>
      <c r="D5126" s="69"/>
      <c r="E5126" s="69"/>
      <c r="F5126" s="17"/>
      <c r="G5126" s="59"/>
    </row>
    <row r="5127" spans="3:7" ht="20.25" customHeight="1" x14ac:dyDescent="0.3">
      <c r="C5127" s="59"/>
      <c r="D5127" s="69"/>
      <c r="E5127" s="69"/>
      <c r="F5127" s="17"/>
      <c r="G5127" s="59"/>
    </row>
    <row r="5128" spans="3:7" ht="20.25" customHeight="1" x14ac:dyDescent="0.3">
      <c r="C5128" s="59"/>
      <c r="D5128" s="69"/>
      <c r="E5128" s="69"/>
      <c r="F5128" s="17"/>
      <c r="G5128" s="59"/>
    </row>
    <row r="5129" spans="3:7" ht="20.25" customHeight="1" x14ac:dyDescent="0.3">
      <c r="C5129" s="59"/>
      <c r="D5129" s="69"/>
      <c r="E5129" s="69"/>
      <c r="F5129" s="17"/>
      <c r="G5129" s="59"/>
    </row>
    <row r="5130" spans="3:7" ht="20.25" customHeight="1" x14ac:dyDescent="0.3">
      <c r="C5130" s="59"/>
      <c r="D5130" s="69"/>
      <c r="E5130" s="69"/>
      <c r="F5130" s="17"/>
      <c r="G5130" s="59"/>
    </row>
    <row r="5131" spans="3:7" ht="20.25" customHeight="1" x14ac:dyDescent="0.3">
      <c r="C5131" s="59"/>
      <c r="D5131" s="69"/>
      <c r="E5131" s="69"/>
      <c r="F5131" s="17"/>
      <c r="G5131" s="59"/>
    </row>
    <row r="5132" spans="3:7" ht="20.25" customHeight="1" x14ac:dyDescent="0.3">
      <c r="C5132" s="59"/>
      <c r="D5132" s="69"/>
      <c r="E5132" s="69"/>
      <c r="F5132" s="17"/>
      <c r="G5132" s="59"/>
    </row>
    <row r="5133" spans="3:7" ht="20.25" customHeight="1" x14ac:dyDescent="0.3">
      <c r="C5133" s="59"/>
      <c r="D5133" s="69"/>
      <c r="E5133" s="69"/>
      <c r="F5133" s="17"/>
      <c r="G5133" s="59"/>
    </row>
    <row r="5134" spans="3:7" ht="20.25" customHeight="1" x14ac:dyDescent="0.3">
      <c r="C5134" s="59"/>
      <c r="D5134" s="69"/>
      <c r="E5134" s="69"/>
      <c r="F5134" s="17"/>
      <c r="G5134" s="59"/>
    </row>
    <row r="5135" spans="3:7" ht="20.25" customHeight="1" x14ac:dyDescent="0.3">
      <c r="C5135" s="59"/>
      <c r="D5135" s="69"/>
      <c r="E5135" s="69"/>
      <c r="F5135" s="17"/>
      <c r="G5135" s="59"/>
    </row>
    <row r="5136" spans="3:7" ht="20.25" customHeight="1" x14ac:dyDescent="0.3">
      <c r="C5136" s="59"/>
      <c r="D5136" s="69"/>
      <c r="E5136" s="69"/>
      <c r="F5136" s="17"/>
      <c r="G5136" s="59"/>
    </row>
    <row r="5137" spans="3:7" ht="20.25" customHeight="1" x14ac:dyDescent="0.3">
      <c r="C5137" s="59"/>
      <c r="D5137" s="69"/>
      <c r="E5137" s="69"/>
      <c r="F5137" s="17"/>
      <c r="G5137" s="59"/>
    </row>
    <row r="5138" spans="3:7" ht="20.25" customHeight="1" x14ac:dyDescent="0.3">
      <c r="C5138" s="59"/>
      <c r="D5138" s="69"/>
      <c r="E5138" s="69"/>
      <c r="F5138" s="17"/>
      <c r="G5138" s="59"/>
    </row>
    <row r="5139" spans="3:7" ht="20.25" customHeight="1" x14ac:dyDescent="0.3">
      <c r="C5139" s="59"/>
      <c r="D5139" s="69"/>
      <c r="E5139" s="69"/>
      <c r="F5139" s="17"/>
      <c r="G5139" s="59"/>
    </row>
    <row r="5140" spans="3:7" ht="20.25" customHeight="1" x14ac:dyDescent="0.3">
      <c r="C5140" s="59"/>
      <c r="D5140" s="69"/>
      <c r="E5140" s="69"/>
      <c r="F5140" s="17"/>
      <c r="G5140" s="59"/>
    </row>
    <row r="5141" spans="3:7" ht="20.25" customHeight="1" x14ac:dyDescent="0.3">
      <c r="C5141" s="59"/>
      <c r="D5141" s="69"/>
      <c r="E5141" s="69"/>
      <c r="F5141" s="17"/>
      <c r="G5141" s="59"/>
    </row>
    <row r="5142" spans="3:7" ht="20.25" customHeight="1" x14ac:dyDescent="0.3">
      <c r="C5142" s="59"/>
      <c r="D5142" s="69"/>
      <c r="E5142" s="69"/>
      <c r="F5142" s="17"/>
      <c r="G5142" s="59"/>
    </row>
    <row r="5143" spans="3:7" ht="20.25" customHeight="1" x14ac:dyDescent="0.3">
      <c r="C5143" s="59"/>
      <c r="D5143" s="69"/>
      <c r="E5143" s="69"/>
      <c r="F5143" s="17"/>
      <c r="G5143" s="59"/>
    </row>
    <row r="5144" spans="3:7" ht="20.25" customHeight="1" x14ac:dyDescent="0.3">
      <c r="C5144" s="59"/>
      <c r="D5144" s="69"/>
      <c r="E5144" s="69"/>
      <c r="F5144" s="17"/>
      <c r="G5144" s="59"/>
    </row>
    <row r="5145" spans="3:7" ht="20.25" customHeight="1" x14ac:dyDescent="0.3">
      <c r="C5145" s="59"/>
      <c r="D5145" s="69"/>
      <c r="E5145" s="69"/>
      <c r="F5145" s="17"/>
      <c r="G5145" s="59"/>
    </row>
    <row r="5146" spans="3:7" ht="20.25" customHeight="1" x14ac:dyDescent="0.3">
      <c r="C5146" s="59"/>
      <c r="D5146" s="69"/>
      <c r="E5146" s="69"/>
      <c r="F5146" s="17"/>
      <c r="G5146" s="59"/>
    </row>
    <row r="5147" spans="3:7" ht="20.25" customHeight="1" x14ac:dyDescent="0.3">
      <c r="C5147" s="59"/>
      <c r="D5147" s="69"/>
      <c r="E5147" s="69"/>
      <c r="F5147" s="17"/>
      <c r="G5147" s="59"/>
    </row>
    <row r="5148" spans="3:7" ht="20.25" customHeight="1" x14ac:dyDescent="0.3">
      <c r="C5148" s="59"/>
      <c r="D5148" s="69"/>
      <c r="E5148" s="69"/>
      <c r="F5148" s="17"/>
      <c r="G5148" s="59"/>
    </row>
    <row r="5149" spans="3:7" ht="20.25" customHeight="1" x14ac:dyDescent="0.3">
      <c r="C5149" s="59"/>
      <c r="D5149" s="69"/>
      <c r="E5149" s="69"/>
      <c r="F5149" s="17"/>
      <c r="G5149" s="59"/>
    </row>
    <row r="5150" spans="3:7" ht="20.25" customHeight="1" x14ac:dyDescent="0.3">
      <c r="C5150" s="59"/>
      <c r="D5150" s="69"/>
      <c r="E5150" s="69"/>
      <c r="F5150" s="17"/>
      <c r="G5150" s="59"/>
    </row>
    <row r="5151" spans="3:7" ht="20.25" customHeight="1" x14ac:dyDescent="0.3">
      <c r="C5151" s="59"/>
      <c r="D5151" s="69"/>
      <c r="E5151" s="69"/>
      <c r="F5151" s="17"/>
      <c r="G5151" s="59"/>
    </row>
    <row r="5152" spans="3:7" ht="20.25" customHeight="1" x14ac:dyDescent="0.3">
      <c r="C5152" s="59"/>
      <c r="D5152" s="69"/>
      <c r="E5152" s="69"/>
      <c r="F5152" s="17"/>
      <c r="G5152" s="59"/>
    </row>
    <row r="5153" spans="3:7" ht="20.25" customHeight="1" x14ac:dyDescent="0.3">
      <c r="C5153" s="59"/>
      <c r="D5153" s="69"/>
      <c r="E5153" s="69"/>
      <c r="F5153" s="17"/>
      <c r="G5153" s="59"/>
    </row>
    <row r="5154" spans="3:7" ht="20.25" customHeight="1" x14ac:dyDescent="0.3">
      <c r="C5154" s="59"/>
      <c r="D5154" s="69"/>
      <c r="E5154" s="69"/>
      <c r="F5154" s="17"/>
      <c r="G5154" s="59"/>
    </row>
    <row r="5155" spans="3:7" ht="20.25" customHeight="1" x14ac:dyDescent="0.3">
      <c r="C5155" s="59"/>
      <c r="D5155" s="69"/>
      <c r="E5155" s="69"/>
      <c r="F5155" s="17"/>
      <c r="G5155" s="59"/>
    </row>
    <row r="5156" spans="3:7" ht="20.25" customHeight="1" x14ac:dyDescent="0.3">
      <c r="C5156" s="59"/>
      <c r="D5156" s="69"/>
      <c r="E5156" s="69"/>
      <c r="F5156" s="17"/>
      <c r="G5156" s="59"/>
    </row>
    <row r="5157" spans="3:7" ht="20.25" customHeight="1" x14ac:dyDescent="0.3">
      <c r="C5157" s="59"/>
      <c r="D5157" s="69"/>
      <c r="E5157" s="69"/>
      <c r="F5157" s="17"/>
      <c r="G5157" s="59"/>
    </row>
    <row r="5158" spans="3:7" ht="20.25" customHeight="1" x14ac:dyDescent="0.3">
      <c r="C5158" s="59"/>
      <c r="D5158" s="69"/>
      <c r="E5158" s="69"/>
      <c r="F5158" s="17"/>
      <c r="G5158" s="59"/>
    </row>
    <row r="5159" spans="3:7" ht="20.25" customHeight="1" x14ac:dyDescent="0.3">
      <c r="C5159" s="59"/>
      <c r="D5159" s="69"/>
      <c r="E5159" s="69"/>
      <c r="F5159" s="17"/>
      <c r="G5159" s="59"/>
    </row>
    <row r="5160" spans="3:7" ht="20.25" customHeight="1" x14ac:dyDescent="0.3">
      <c r="C5160" s="59"/>
      <c r="D5160" s="69"/>
      <c r="E5160" s="69"/>
      <c r="F5160" s="17"/>
      <c r="G5160" s="59"/>
    </row>
    <row r="5161" spans="3:7" ht="20.25" customHeight="1" x14ac:dyDescent="0.3">
      <c r="C5161" s="59"/>
      <c r="D5161" s="69"/>
      <c r="E5161" s="69"/>
      <c r="F5161" s="17"/>
      <c r="G5161" s="59"/>
    </row>
    <row r="5162" spans="3:7" ht="20.25" customHeight="1" x14ac:dyDescent="0.3">
      <c r="C5162" s="59"/>
      <c r="D5162" s="69"/>
      <c r="E5162" s="69"/>
      <c r="F5162" s="17"/>
      <c r="G5162" s="59"/>
    </row>
    <row r="5163" spans="3:7" ht="20.25" customHeight="1" x14ac:dyDescent="0.3">
      <c r="C5163" s="59"/>
      <c r="D5163" s="69"/>
      <c r="E5163" s="69"/>
      <c r="F5163" s="17"/>
      <c r="G5163" s="59"/>
    </row>
    <row r="5164" spans="3:7" ht="20.25" customHeight="1" x14ac:dyDescent="0.3">
      <c r="C5164" s="59"/>
      <c r="D5164" s="69"/>
      <c r="E5164" s="69"/>
      <c r="F5164" s="17"/>
      <c r="G5164" s="59"/>
    </row>
    <row r="5165" spans="3:7" ht="20.25" customHeight="1" x14ac:dyDescent="0.3">
      <c r="C5165" s="59"/>
      <c r="D5165" s="69"/>
      <c r="E5165" s="69"/>
      <c r="F5165" s="17"/>
      <c r="G5165" s="59"/>
    </row>
    <row r="5166" spans="3:7" ht="20.25" customHeight="1" x14ac:dyDescent="0.3">
      <c r="C5166" s="59"/>
      <c r="D5166" s="69"/>
      <c r="E5166" s="69"/>
      <c r="F5166" s="17"/>
      <c r="G5166" s="59"/>
    </row>
    <row r="5167" spans="3:7" ht="20.25" customHeight="1" x14ac:dyDescent="0.3">
      <c r="C5167" s="59"/>
      <c r="D5167" s="69"/>
      <c r="E5167" s="69"/>
      <c r="F5167" s="17"/>
      <c r="G5167" s="59"/>
    </row>
    <row r="5168" spans="3:7" ht="20.25" customHeight="1" x14ac:dyDescent="0.3">
      <c r="C5168" s="59"/>
      <c r="D5168" s="69"/>
      <c r="E5168" s="69"/>
      <c r="F5168" s="17"/>
      <c r="G5168" s="59"/>
    </row>
    <row r="5169" spans="3:7" ht="20.25" customHeight="1" x14ac:dyDescent="0.3">
      <c r="C5169" s="59"/>
      <c r="D5169" s="69"/>
      <c r="E5169" s="69"/>
      <c r="F5169" s="17"/>
      <c r="G5169" s="59"/>
    </row>
    <row r="5170" spans="3:7" ht="20.25" customHeight="1" x14ac:dyDescent="0.3">
      <c r="C5170" s="59"/>
      <c r="D5170" s="69"/>
      <c r="E5170" s="69"/>
      <c r="F5170" s="17"/>
      <c r="G5170" s="59"/>
    </row>
    <row r="5171" spans="3:7" ht="20.25" customHeight="1" x14ac:dyDescent="0.3">
      <c r="C5171" s="59"/>
      <c r="D5171" s="69"/>
      <c r="E5171" s="69"/>
      <c r="F5171" s="17"/>
      <c r="G5171" s="59"/>
    </row>
    <row r="5172" spans="3:7" ht="20.25" customHeight="1" x14ac:dyDescent="0.3">
      <c r="C5172" s="59"/>
      <c r="D5172" s="69"/>
      <c r="E5172" s="69"/>
      <c r="F5172" s="17"/>
      <c r="G5172" s="59"/>
    </row>
    <row r="5173" spans="3:7" ht="20.25" customHeight="1" x14ac:dyDescent="0.3">
      <c r="C5173" s="59"/>
      <c r="D5173" s="69"/>
      <c r="E5173" s="69"/>
      <c r="F5173" s="17"/>
      <c r="G5173" s="59"/>
    </row>
    <row r="5174" spans="3:7" ht="20.25" customHeight="1" x14ac:dyDescent="0.3">
      <c r="C5174" s="59"/>
      <c r="D5174" s="69"/>
      <c r="E5174" s="69"/>
      <c r="F5174" s="17"/>
      <c r="G5174" s="59"/>
    </row>
    <row r="5175" spans="3:7" ht="20.25" customHeight="1" x14ac:dyDescent="0.3">
      <c r="C5175" s="59"/>
      <c r="D5175" s="69"/>
      <c r="E5175" s="69"/>
      <c r="F5175" s="17"/>
      <c r="G5175" s="59"/>
    </row>
    <row r="5176" spans="3:7" ht="20.25" customHeight="1" x14ac:dyDescent="0.3">
      <c r="C5176" s="59"/>
      <c r="D5176" s="69"/>
      <c r="E5176" s="69"/>
      <c r="F5176" s="17"/>
      <c r="G5176" s="59"/>
    </row>
    <row r="5177" spans="3:7" ht="20.25" customHeight="1" x14ac:dyDescent="0.3">
      <c r="C5177" s="59"/>
      <c r="D5177" s="69"/>
      <c r="E5177" s="69"/>
      <c r="F5177" s="17"/>
      <c r="G5177" s="59"/>
    </row>
    <row r="5178" spans="3:7" ht="20.25" customHeight="1" x14ac:dyDescent="0.3">
      <c r="C5178" s="59"/>
      <c r="D5178" s="69"/>
      <c r="E5178" s="69"/>
      <c r="F5178" s="17"/>
      <c r="G5178" s="59"/>
    </row>
    <row r="5179" spans="3:7" ht="20.25" customHeight="1" x14ac:dyDescent="0.3">
      <c r="C5179" s="59"/>
      <c r="D5179" s="69"/>
      <c r="E5179" s="69"/>
      <c r="F5179" s="17"/>
      <c r="G5179" s="59"/>
    </row>
    <row r="5180" spans="3:7" ht="20.25" customHeight="1" x14ac:dyDescent="0.3">
      <c r="C5180" s="59"/>
      <c r="D5180" s="69"/>
      <c r="E5180" s="69"/>
      <c r="F5180" s="17"/>
      <c r="G5180" s="59"/>
    </row>
    <row r="5181" spans="3:7" ht="20.25" customHeight="1" x14ac:dyDescent="0.3">
      <c r="C5181" s="59"/>
      <c r="D5181" s="69"/>
      <c r="E5181" s="69"/>
      <c r="F5181" s="17"/>
      <c r="G5181" s="59"/>
    </row>
    <row r="5182" spans="3:7" ht="20.25" customHeight="1" x14ac:dyDescent="0.3">
      <c r="C5182" s="59"/>
      <c r="D5182" s="69"/>
      <c r="E5182" s="69"/>
      <c r="F5182" s="17"/>
      <c r="G5182" s="59"/>
    </row>
    <row r="5183" spans="3:7" ht="20.25" customHeight="1" x14ac:dyDescent="0.3">
      <c r="C5183" s="59"/>
      <c r="D5183" s="69"/>
      <c r="E5183" s="69"/>
      <c r="F5183" s="17"/>
      <c r="G5183" s="59"/>
    </row>
    <row r="5184" spans="3:7" ht="20.25" customHeight="1" x14ac:dyDescent="0.3">
      <c r="C5184" s="59"/>
      <c r="D5184" s="69"/>
      <c r="E5184" s="69"/>
      <c r="F5184" s="17"/>
      <c r="G5184" s="59"/>
    </row>
    <row r="5185" spans="3:7" ht="20.25" customHeight="1" x14ac:dyDescent="0.3">
      <c r="C5185" s="59"/>
      <c r="D5185" s="69"/>
      <c r="E5185" s="69"/>
      <c r="F5185" s="17"/>
      <c r="G5185" s="59"/>
    </row>
    <row r="5186" spans="3:7" ht="20.25" customHeight="1" x14ac:dyDescent="0.3">
      <c r="C5186" s="59"/>
      <c r="D5186" s="69"/>
      <c r="E5186" s="69"/>
      <c r="F5186" s="17"/>
      <c r="G5186" s="59"/>
    </row>
    <row r="5187" spans="3:7" ht="20.25" customHeight="1" x14ac:dyDescent="0.3">
      <c r="C5187" s="59"/>
      <c r="D5187" s="69"/>
      <c r="E5187" s="69"/>
      <c r="F5187" s="17"/>
      <c r="G5187" s="59"/>
    </row>
    <row r="5188" spans="3:7" ht="20.25" customHeight="1" x14ac:dyDescent="0.3">
      <c r="C5188" s="59"/>
      <c r="D5188" s="69"/>
      <c r="E5188" s="69"/>
      <c r="F5188" s="17"/>
      <c r="G5188" s="59"/>
    </row>
    <row r="5189" spans="3:7" ht="20.25" customHeight="1" x14ac:dyDescent="0.3">
      <c r="C5189" s="59"/>
      <c r="D5189" s="69"/>
      <c r="E5189" s="69"/>
      <c r="F5189" s="17"/>
      <c r="G5189" s="59"/>
    </row>
    <row r="5190" spans="3:7" ht="20.25" customHeight="1" x14ac:dyDescent="0.3">
      <c r="C5190" s="59"/>
      <c r="D5190" s="69"/>
      <c r="E5190" s="69"/>
      <c r="F5190" s="17"/>
      <c r="G5190" s="59"/>
    </row>
    <row r="5191" spans="3:7" ht="20.25" customHeight="1" x14ac:dyDescent="0.3">
      <c r="C5191" s="59"/>
      <c r="D5191" s="69"/>
      <c r="E5191" s="69"/>
      <c r="F5191" s="17"/>
      <c r="G5191" s="59"/>
    </row>
    <row r="5192" spans="3:7" ht="20.25" customHeight="1" x14ac:dyDescent="0.3">
      <c r="C5192" s="59"/>
      <c r="D5192" s="69"/>
      <c r="E5192" s="69"/>
      <c r="F5192" s="17"/>
      <c r="G5192" s="59"/>
    </row>
    <row r="5193" spans="3:7" ht="20.25" customHeight="1" x14ac:dyDescent="0.3">
      <c r="C5193" s="59"/>
      <c r="D5193" s="69"/>
      <c r="E5193" s="69"/>
      <c r="F5193" s="17"/>
      <c r="G5193" s="59"/>
    </row>
    <row r="5194" spans="3:7" ht="20.25" customHeight="1" x14ac:dyDescent="0.3">
      <c r="C5194" s="59"/>
      <c r="D5194" s="69"/>
      <c r="E5194" s="69"/>
      <c r="F5194" s="17"/>
      <c r="G5194" s="59"/>
    </row>
    <row r="5195" spans="3:7" ht="20.25" customHeight="1" x14ac:dyDescent="0.3">
      <c r="C5195" s="59"/>
      <c r="D5195" s="69"/>
      <c r="E5195" s="69"/>
      <c r="F5195" s="17"/>
      <c r="G5195" s="59"/>
    </row>
    <row r="5196" spans="3:7" ht="20.25" customHeight="1" x14ac:dyDescent="0.3">
      <c r="C5196" s="59"/>
      <c r="D5196" s="69"/>
      <c r="E5196" s="69"/>
      <c r="F5196" s="17"/>
      <c r="G5196" s="59"/>
    </row>
    <row r="5197" spans="3:7" ht="20.25" customHeight="1" x14ac:dyDescent="0.3">
      <c r="C5197" s="59"/>
      <c r="D5197" s="69"/>
      <c r="E5197" s="69"/>
      <c r="F5197" s="17"/>
      <c r="G5197" s="59"/>
    </row>
    <row r="5198" spans="3:7" ht="20.25" customHeight="1" x14ac:dyDescent="0.3">
      <c r="C5198" s="59"/>
      <c r="D5198" s="69"/>
      <c r="E5198" s="69"/>
      <c r="F5198" s="17"/>
      <c r="G5198" s="59"/>
    </row>
    <row r="5199" spans="3:7" ht="20.25" customHeight="1" x14ac:dyDescent="0.3">
      <c r="C5199" s="59"/>
      <c r="D5199" s="69"/>
      <c r="E5199" s="69"/>
      <c r="F5199" s="17"/>
      <c r="G5199" s="59"/>
    </row>
    <row r="5200" spans="3:7" ht="20.25" customHeight="1" x14ac:dyDescent="0.3">
      <c r="C5200" s="59"/>
      <c r="D5200" s="69"/>
      <c r="E5200" s="69"/>
      <c r="F5200" s="17"/>
      <c r="G5200" s="59"/>
    </row>
    <row r="5201" spans="3:7" ht="20.25" customHeight="1" x14ac:dyDescent="0.3">
      <c r="C5201" s="59"/>
      <c r="D5201" s="69"/>
      <c r="E5201" s="69"/>
      <c r="F5201" s="17"/>
      <c r="G5201" s="59"/>
    </row>
    <row r="5202" spans="3:7" ht="20.25" customHeight="1" x14ac:dyDescent="0.3">
      <c r="C5202" s="59"/>
      <c r="D5202" s="69"/>
      <c r="E5202" s="69"/>
      <c r="F5202" s="17"/>
      <c r="G5202" s="59"/>
    </row>
    <row r="5203" spans="3:7" ht="20.25" customHeight="1" x14ac:dyDescent="0.3">
      <c r="C5203" s="59"/>
      <c r="D5203" s="69"/>
      <c r="E5203" s="69"/>
      <c r="F5203" s="17"/>
      <c r="G5203" s="59"/>
    </row>
    <row r="5204" spans="3:7" ht="20.25" customHeight="1" x14ac:dyDescent="0.3">
      <c r="C5204" s="59"/>
      <c r="D5204" s="69"/>
      <c r="E5204" s="69"/>
      <c r="F5204" s="17"/>
      <c r="G5204" s="59"/>
    </row>
    <row r="5205" spans="3:7" ht="20.25" customHeight="1" x14ac:dyDescent="0.3">
      <c r="C5205" s="59"/>
      <c r="D5205" s="69"/>
      <c r="E5205" s="69"/>
      <c r="F5205" s="17"/>
      <c r="G5205" s="59"/>
    </row>
    <row r="5206" spans="3:7" ht="20.25" customHeight="1" x14ac:dyDescent="0.3">
      <c r="C5206" s="59"/>
      <c r="D5206" s="69"/>
      <c r="E5206" s="69"/>
      <c r="F5206" s="17"/>
      <c r="G5206" s="59"/>
    </row>
    <row r="5207" spans="3:7" ht="20.25" customHeight="1" x14ac:dyDescent="0.3">
      <c r="C5207" s="59"/>
      <c r="D5207" s="69"/>
      <c r="E5207" s="69"/>
      <c r="F5207" s="17"/>
      <c r="G5207" s="59"/>
    </row>
    <row r="5208" spans="3:7" ht="20.25" customHeight="1" x14ac:dyDescent="0.3">
      <c r="C5208" s="59"/>
      <c r="D5208" s="69"/>
      <c r="E5208" s="69"/>
      <c r="F5208" s="17"/>
      <c r="G5208" s="59"/>
    </row>
    <row r="5209" spans="3:7" ht="20.25" customHeight="1" x14ac:dyDescent="0.3">
      <c r="C5209" s="59"/>
      <c r="D5209" s="69"/>
      <c r="E5209" s="69"/>
      <c r="F5209" s="17"/>
      <c r="G5209" s="59"/>
    </row>
    <row r="5210" spans="3:7" ht="20.25" customHeight="1" x14ac:dyDescent="0.3">
      <c r="C5210" s="59"/>
      <c r="D5210" s="69"/>
      <c r="E5210" s="69"/>
      <c r="F5210" s="17"/>
      <c r="G5210" s="59"/>
    </row>
    <row r="5211" spans="3:7" ht="20.25" customHeight="1" x14ac:dyDescent="0.3">
      <c r="C5211" s="59"/>
      <c r="D5211" s="69"/>
      <c r="E5211" s="69"/>
      <c r="F5211" s="17"/>
      <c r="G5211" s="59"/>
    </row>
    <row r="5212" spans="3:7" ht="20.25" customHeight="1" x14ac:dyDescent="0.3">
      <c r="C5212" s="59"/>
      <c r="D5212" s="69"/>
      <c r="E5212" s="69"/>
      <c r="F5212" s="17"/>
      <c r="G5212" s="59"/>
    </row>
    <row r="5213" spans="3:7" ht="20.25" customHeight="1" x14ac:dyDescent="0.3">
      <c r="C5213" s="59"/>
      <c r="D5213" s="69"/>
      <c r="E5213" s="69"/>
      <c r="F5213" s="17"/>
      <c r="G5213" s="59"/>
    </row>
    <row r="5214" spans="3:7" ht="20.25" customHeight="1" x14ac:dyDescent="0.3">
      <c r="C5214" s="59"/>
      <c r="D5214" s="69"/>
      <c r="E5214" s="69"/>
      <c r="F5214" s="17"/>
      <c r="G5214" s="59"/>
    </row>
    <row r="5215" spans="3:7" ht="20.25" customHeight="1" x14ac:dyDescent="0.3">
      <c r="C5215" s="59"/>
      <c r="D5215" s="69"/>
      <c r="E5215" s="69"/>
      <c r="F5215" s="17"/>
      <c r="G5215" s="59"/>
    </row>
    <row r="5216" spans="3:7" ht="20.25" customHeight="1" x14ac:dyDescent="0.3">
      <c r="C5216" s="59"/>
      <c r="D5216" s="69"/>
      <c r="E5216" s="69"/>
      <c r="F5216" s="17"/>
      <c r="G5216" s="59"/>
    </row>
    <row r="5217" spans="3:7" ht="20.25" customHeight="1" x14ac:dyDescent="0.3">
      <c r="C5217" s="59"/>
      <c r="D5217" s="69"/>
      <c r="E5217" s="69"/>
      <c r="F5217" s="17"/>
      <c r="G5217" s="59"/>
    </row>
    <row r="5218" spans="3:7" ht="20.25" customHeight="1" x14ac:dyDescent="0.3">
      <c r="C5218" s="59"/>
      <c r="D5218" s="69"/>
      <c r="E5218" s="69"/>
      <c r="F5218" s="17"/>
      <c r="G5218" s="59"/>
    </row>
    <row r="5219" spans="3:7" ht="20.25" customHeight="1" x14ac:dyDescent="0.3">
      <c r="C5219" s="59"/>
      <c r="D5219" s="69"/>
      <c r="E5219" s="69"/>
      <c r="F5219" s="17"/>
      <c r="G5219" s="59"/>
    </row>
    <row r="5220" spans="3:7" ht="20.25" customHeight="1" x14ac:dyDescent="0.3">
      <c r="C5220" s="59"/>
      <c r="D5220" s="69"/>
      <c r="E5220" s="69"/>
      <c r="F5220" s="17"/>
      <c r="G5220" s="59"/>
    </row>
    <row r="5221" spans="3:7" ht="20.25" customHeight="1" x14ac:dyDescent="0.3">
      <c r="C5221" s="59"/>
      <c r="D5221" s="69"/>
      <c r="E5221" s="69"/>
      <c r="F5221" s="17"/>
      <c r="G5221" s="59"/>
    </row>
    <row r="5222" spans="3:7" ht="20.25" customHeight="1" x14ac:dyDescent="0.3">
      <c r="C5222" s="59"/>
      <c r="D5222" s="69"/>
      <c r="E5222" s="69"/>
      <c r="F5222" s="17"/>
      <c r="G5222" s="59"/>
    </row>
    <row r="5223" spans="3:7" ht="20.25" customHeight="1" x14ac:dyDescent="0.3">
      <c r="C5223" s="59"/>
      <c r="D5223" s="69"/>
      <c r="E5223" s="69"/>
      <c r="F5223" s="17"/>
      <c r="G5223" s="59"/>
    </row>
    <row r="5224" spans="3:7" ht="20.25" customHeight="1" x14ac:dyDescent="0.3">
      <c r="C5224" s="59"/>
      <c r="D5224" s="69"/>
      <c r="E5224" s="69"/>
      <c r="F5224" s="17"/>
      <c r="G5224" s="59"/>
    </row>
    <row r="5225" spans="3:7" ht="20.25" customHeight="1" x14ac:dyDescent="0.3">
      <c r="C5225" s="59"/>
      <c r="D5225" s="69"/>
      <c r="E5225" s="69"/>
      <c r="F5225" s="17"/>
      <c r="G5225" s="59"/>
    </row>
    <row r="5226" spans="3:7" ht="20.25" customHeight="1" x14ac:dyDescent="0.3">
      <c r="C5226" s="59"/>
      <c r="D5226" s="69"/>
      <c r="E5226" s="69"/>
      <c r="F5226" s="17"/>
      <c r="G5226" s="59"/>
    </row>
    <row r="5227" spans="3:7" ht="20.25" customHeight="1" x14ac:dyDescent="0.3">
      <c r="C5227" s="59"/>
      <c r="D5227" s="69"/>
      <c r="E5227" s="69"/>
      <c r="F5227" s="17"/>
      <c r="G5227" s="59"/>
    </row>
    <row r="5228" spans="3:7" ht="20.25" customHeight="1" x14ac:dyDescent="0.3">
      <c r="C5228" s="59"/>
      <c r="D5228" s="69"/>
      <c r="E5228" s="69"/>
      <c r="F5228" s="17"/>
      <c r="G5228" s="59"/>
    </row>
    <row r="5229" spans="3:7" ht="20.25" customHeight="1" x14ac:dyDescent="0.3">
      <c r="C5229" s="59"/>
      <c r="D5229" s="69"/>
      <c r="E5229" s="69"/>
      <c r="F5229" s="17"/>
      <c r="G5229" s="59"/>
    </row>
    <row r="5230" spans="3:7" ht="20.25" customHeight="1" x14ac:dyDescent="0.3">
      <c r="C5230" s="59"/>
      <c r="D5230" s="69"/>
      <c r="E5230" s="69"/>
      <c r="F5230" s="17"/>
      <c r="G5230" s="59"/>
    </row>
    <row r="5231" spans="3:7" ht="20.25" customHeight="1" x14ac:dyDescent="0.3">
      <c r="C5231" s="59"/>
      <c r="D5231" s="69"/>
      <c r="E5231" s="69"/>
      <c r="F5231" s="17"/>
      <c r="G5231" s="59"/>
    </row>
    <row r="5232" spans="3:7" ht="20.25" customHeight="1" x14ac:dyDescent="0.3">
      <c r="C5232" s="59"/>
      <c r="D5232" s="69"/>
      <c r="E5232" s="69"/>
      <c r="F5232" s="17"/>
      <c r="G5232" s="59"/>
    </row>
    <row r="5233" spans="3:7" ht="20.25" customHeight="1" x14ac:dyDescent="0.3">
      <c r="C5233" s="59"/>
      <c r="D5233" s="69"/>
      <c r="E5233" s="69"/>
      <c r="F5233" s="17"/>
      <c r="G5233" s="59"/>
    </row>
    <row r="5234" spans="3:7" ht="20.25" customHeight="1" x14ac:dyDescent="0.3">
      <c r="C5234" s="59"/>
      <c r="D5234" s="69"/>
      <c r="E5234" s="69"/>
      <c r="F5234" s="17"/>
      <c r="G5234" s="59"/>
    </row>
    <row r="5235" spans="3:7" ht="20.25" customHeight="1" x14ac:dyDescent="0.3">
      <c r="C5235" s="59"/>
      <c r="D5235" s="69"/>
      <c r="E5235" s="69"/>
      <c r="F5235" s="17"/>
      <c r="G5235" s="59"/>
    </row>
    <row r="5236" spans="3:7" ht="20.25" customHeight="1" x14ac:dyDescent="0.3">
      <c r="C5236" s="59"/>
      <c r="D5236" s="69"/>
      <c r="E5236" s="69"/>
      <c r="F5236" s="17"/>
      <c r="G5236" s="59"/>
    </row>
    <row r="5237" spans="3:7" ht="20.25" customHeight="1" x14ac:dyDescent="0.3">
      <c r="C5237" s="59"/>
      <c r="D5237" s="69"/>
      <c r="E5237" s="69"/>
      <c r="F5237" s="17"/>
      <c r="G5237" s="59"/>
    </row>
    <row r="5238" spans="3:7" ht="20.25" customHeight="1" x14ac:dyDescent="0.3">
      <c r="C5238" s="59"/>
      <c r="D5238" s="69"/>
      <c r="E5238" s="69"/>
      <c r="F5238" s="17"/>
      <c r="G5238" s="59"/>
    </row>
    <row r="5239" spans="3:7" ht="20.25" customHeight="1" x14ac:dyDescent="0.3">
      <c r="C5239" s="59"/>
      <c r="D5239" s="69"/>
      <c r="E5239" s="69"/>
      <c r="F5239" s="17"/>
      <c r="G5239" s="59"/>
    </row>
    <row r="5240" spans="3:7" ht="20.25" customHeight="1" x14ac:dyDescent="0.3">
      <c r="C5240" s="59"/>
      <c r="D5240" s="69"/>
      <c r="E5240" s="69"/>
      <c r="F5240" s="17"/>
      <c r="G5240" s="59"/>
    </row>
    <row r="5241" spans="3:7" ht="20.25" customHeight="1" x14ac:dyDescent="0.3">
      <c r="C5241" s="59"/>
      <c r="D5241" s="69"/>
      <c r="E5241" s="69"/>
      <c r="F5241" s="17"/>
      <c r="G5241" s="59"/>
    </row>
    <row r="5242" spans="3:7" ht="20.25" customHeight="1" x14ac:dyDescent="0.3">
      <c r="C5242" s="59"/>
      <c r="D5242" s="69"/>
      <c r="E5242" s="69"/>
      <c r="F5242" s="17"/>
      <c r="G5242" s="59"/>
    </row>
    <row r="5243" spans="3:7" ht="20.25" customHeight="1" x14ac:dyDescent="0.3">
      <c r="C5243" s="59"/>
      <c r="D5243" s="69"/>
      <c r="E5243" s="69"/>
      <c r="F5243" s="17"/>
      <c r="G5243" s="59"/>
    </row>
    <row r="5244" spans="3:7" ht="20.25" customHeight="1" x14ac:dyDescent="0.3">
      <c r="C5244" s="59"/>
      <c r="D5244" s="69"/>
      <c r="E5244" s="69"/>
      <c r="F5244" s="17"/>
      <c r="G5244" s="59"/>
    </row>
    <row r="5245" spans="3:7" ht="20.25" customHeight="1" x14ac:dyDescent="0.3">
      <c r="C5245" s="59"/>
      <c r="D5245" s="69"/>
      <c r="E5245" s="69"/>
      <c r="F5245" s="17"/>
      <c r="G5245" s="59"/>
    </row>
    <row r="5246" spans="3:7" ht="20.25" customHeight="1" x14ac:dyDescent="0.3">
      <c r="C5246" s="59"/>
      <c r="D5246" s="69"/>
      <c r="E5246" s="69"/>
      <c r="F5246" s="17"/>
      <c r="G5246" s="59"/>
    </row>
    <row r="5247" spans="3:7" ht="20.25" customHeight="1" x14ac:dyDescent="0.3">
      <c r="C5247" s="59"/>
      <c r="D5247" s="69"/>
      <c r="E5247" s="69"/>
      <c r="F5247" s="17"/>
      <c r="G5247" s="59"/>
    </row>
    <row r="5248" spans="3:7" ht="20.25" customHeight="1" x14ac:dyDescent="0.3">
      <c r="C5248" s="59"/>
      <c r="D5248" s="69"/>
      <c r="E5248" s="69"/>
      <c r="F5248" s="17"/>
      <c r="G5248" s="59"/>
    </row>
    <row r="5249" spans="3:7" ht="20.25" customHeight="1" x14ac:dyDescent="0.3">
      <c r="C5249" s="59"/>
      <c r="D5249" s="69"/>
      <c r="E5249" s="69"/>
      <c r="F5249" s="17"/>
      <c r="G5249" s="59"/>
    </row>
    <row r="5250" spans="3:7" ht="20.25" customHeight="1" x14ac:dyDescent="0.3">
      <c r="C5250" s="59"/>
      <c r="D5250" s="69"/>
      <c r="E5250" s="69"/>
      <c r="F5250" s="17"/>
      <c r="G5250" s="59"/>
    </row>
    <row r="5251" spans="3:7" ht="20.25" customHeight="1" x14ac:dyDescent="0.3">
      <c r="C5251" s="59"/>
      <c r="D5251" s="69"/>
      <c r="E5251" s="69"/>
      <c r="F5251" s="17"/>
      <c r="G5251" s="59"/>
    </row>
    <row r="5252" spans="3:7" ht="20.25" customHeight="1" x14ac:dyDescent="0.3">
      <c r="C5252" s="59"/>
      <c r="D5252" s="69"/>
      <c r="E5252" s="69"/>
      <c r="F5252" s="17"/>
      <c r="G5252" s="59"/>
    </row>
    <row r="5253" spans="3:7" ht="20.25" customHeight="1" x14ac:dyDescent="0.3">
      <c r="C5253" s="59"/>
      <c r="D5253" s="69"/>
      <c r="E5253" s="69"/>
      <c r="F5253" s="17"/>
      <c r="G5253" s="59"/>
    </row>
    <row r="5254" spans="3:7" ht="20.25" customHeight="1" x14ac:dyDescent="0.3">
      <c r="C5254" s="59"/>
      <c r="D5254" s="69"/>
      <c r="E5254" s="69"/>
      <c r="F5254" s="17"/>
      <c r="G5254" s="59"/>
    </row>
    <row r="5255" spans="3:7" ht="20.25" customHeight="1" x14ac:dyDescent="0.3">
      <c r="C5255" s="59"/>
      <c r="D5255" s="69"/>
      <c r="E5255" s="69"/>
      <c r="F5255" s="17"/>
      <c r="G5255" s="59"/>
    </row>
    <row r="5256" spans="3:7" ht="20.25" customHeight="1" x14ac:dyDescent="0.3">
      <c r="C5256" s="59"/>
      <c r="D5256" s="69"/>
      <c r="E5256" s="69"/>
      <c r="F5256" s="17"/>
      <c r="G5256" s="59"/>
    </row>
    <row r="5257" spans="3:7" ht="20.25" customHeight="1" x14ac:dyDescent="0.3">
      <c r="C5257" s="59"/>
      <c r="D5257" s="69"/>
      <c r="E5257" s="69"/>
      <c r="F5257" s="17"/>
      <c r="G5257" s="59"/>
    </row>
    <row r="5258" spans="3:7" ht="20.25" customHeight="1" x14ac:dyDescent="0.3">
      <c r="C5258" s="59"/>
      <c r="D5258" s="69"/>
      <c r="E5258" s="69"/>
      <c r="F5258" s="17"/>
      <c r="G5258" s="59"/>
    </row>
    <row r="5259" spans="3:7" ht="20.25" customHeight="1" x14ac:dyDescent="0.3">
      <c r="C5259" s="59"/>
      <c r="D5259" s="69"/>
      <c r="E5259" s="69"/>
      <c r="F5259" s="17"/>
      <c r="G5259" s="59"/>
    </row>
    <row r="5260" spans="3:7" ht="20.25" customHeight="1" x14ac:dyDescent="0.3">
      <c r="C5260" s="59"/>
      <c r="D5260" s="69"/>
      <c r="E5260" s="69"/>
      <c r="F5260" s="17"/>
      <c r="G5260" s="59"/>
    </row>
    <row r="5261" spans="3:7" ht="20.25" customHeight="1" x14ac:dyDescent="0.3">
      <c r="C5261" s="59"/>
      <c r="D5261" s="69"/>
      <c r="E5261" s="69"/>
      <c r="F5261" s="17"/>
      <c r="G5261" s="59"/>
    </row>
    <row r="5262" spans="3:7" ht="20.25" customHeight="1" x14ac:dyDescent="0.3">
      <c r="C5262" s="59"/>
      <c r="D5262" s="69"/>
      <c r="E5262" s="69"/>
      <c r="F5262" s="17"/>
      <c r="G5262" s="59"/>
    </row>
    <row r="5263" spans="3:7" ht="20.25" customHeight="1" x14ac:dyDescent="0.3">
      <c r="C5263" s="59"/>
      <c r="D5263" s="69"/>
      <c r="E5263" s="69"/>
      <c r="F5263" s="17"/>
      <c r="G5263" s="59"/>
    </row>
    <row r="5264" spans="3:7" ht="20.25" customHeight="1" x14ac:dyDescent="0.3">
      <c r="C5264" s="59"/>
      <c r="D5264" s="69"/>
      <c r="E5264" s="69"/>
      <c r="F5264" s="17"/>
      <c r="G5264" s="59"/>
    </row>
    <row r="5265" spans="3:7" ht="20.25" customHeight="1" x14ac:dyDescent="0.3">
      <c r="C5265" s="59"/>
      <c r="D5265" s="69"/>
      <c r="E5265" s="69"/>
      <c r="F5265" s="17"/>
      <c r="G5265" s="59"/>
    </row>
    <row r="5266" spans="3:7" ht="20.25" customHeight="1" x14ac:dyDescent="0.3">
      <c r="C5266" s="59"/>
      <c r="D5266" s="69"/>
      <c r="E5266" s="69"/>
      <c r="F5266" s="17"/>
      <c r="G5266" s="59"/>
    </row>
    <row r="5267" spans="3:7" ht="20.25" customHeight="1" x14ac:dyDescent="0.3">
      <c r="C5267" s="59"/>
      <c r="D5267" s="69"/>
      <c r="E5267" s="69"/>
      <c r="F5267" s="17"/>
      <c r="G5267" s="59"/>
    </row>
    <row r="5268" spans="3:7" ht="20.25" customHeight="1" x14ac:dyDescent="0.3">
      <c r="C5268" s="59"/>
      <c r="D5268" s="69"/>
      <c r="E5268" s="69"/>
      <c r="F5268" s="17"/>
      <c r="G5268" s="59"/>
    </row>
    <row r="5269" spans="3:7" ht="20.25" customHeight="1" x14ac:dyDescent="0.3">
      <c r="C5269" s="59"/>
      <c r="D5269" s="69"/>
      <c r="E5269" s="69"/>
      <c r="F5269" s="17"/>
      <c r="G5269" s="59"/>
    </row>
    <row r="5270" spans="3:7" ht="20.25" customHeight="1" x14ac:dyDescent="0.3">
      <c r="C5270" s="59"/>
      <c r="D5270" s="69"/>
      <c r="E5270" s="69"/>
      <c r="F5270" s="17"/>
      <c r="G5270" s="59"/>
    </row>
    <row r="5271" spans="3:7" ht="20.25" customHeight="1" x14ac:dyDescent="0.3">
      <c r="C5271" s="59"/>
      <c r="D5271" s="69"/>
      <c r="E5271" s="69"/>
      <c r="F5271" s="17"/>
      <c r="G5271" s="59"/>
    </row>
    <row r="5272" spans="3:7" ht="20.25" customHeight="1" x14ac:dyDescent="0.3">
      <c r="C5272" s="59"/>
      <c r="D5272" s="69"/>
      <c r="E5272" s="69"/>
      <c r="F5272" s="17"/>
      <c r="G5272" s="59"/>
    </row>
    <row r="5273" spans="3:7" ht="20.25" customHeight="1" x14ac:dyDescent="0.3">
      <c r="C5273" s="59"/>
      <c r="D5273" s="69"/>
      <c r="E5273" s="69"/>
      <c r="F5273" s="17"/>
      <c r="G5273" s="59"/>
    </row>
    <row r="5274" spans="3:7" ht="20.25" customHeight="1" x14ac:dyDescent="0.3">
      <c r="C5274" s="59"/>
      <c r="D5274" s="69"/>
      <c r="E5274" s="69"/>
      <c r="F5274" s="17"/>
      <c r="G5274" s="59"/>
    </row>
    <row r="5275" spans="3:7" ht="20.25" customHeight="1" x14ac:dyDescent="0.3">
      <c r="C5275" s="59"/>
      <c r="D5275" s="69"/>
      <c r="E5275" s="69"/>
      <c r="F5275" s="17"/>
      <c r="G5275" s="59"/>
    </row>
    <row r="5276" spans="3:7" ht="20.25" customHeight="1" x14ac:dyDescent="0.3">
      <c r="C5276" s="59"/>
      <c r="D5276" s="69"/>
      <c r="E5276" s="69"/>
      <c r="F5276" s="17"/>
      <c r="G5276" s="59"/>
    </row>
    <row r="5277" spans="3:7" ht="20.25" customHeight="1" x14ac:dyDescent="0.3">
      <c r="C5277" s="59"/>
      <c r="D5277" s="69"/>
      <c r="E5277" s="69"/>
      <c r="F5277" s="17"/>
      <c r="G5277" s="59"/>
    </row>
    <row r="5278" spans="3:7" ht="20.25" customHeight="1" x14ac:dyDescent="0.3">
      <c r="C5278" s="59"/>
      <c r="D5278" s="69"/>
      <c r="E5278" s="69"/>
      <c r="F5278" s="17"/>
      <c r="G5278" s="59"/>
    </row>
    <row r="5279" spans="3:7" ht="20.25" customHeight="1" x14ac:dyDescent="0.3">
      <c r="C5279" s="59"/>
      <c r="D5279" s="69"/>
      <c r="E5279" s="69"/>
      <c r="F5279" s="17"/>
      <c r="G5279" s="59"/>
    </row>
    <row r="5280" spans="3:7" ht="20.25" customHeight="1" x14ac:dyDescent="0.3">
      <c r="C5280" s="59"/>
      <c r="D5280" s="69"/>
      <c r="E5280" s="69"/>
      <c r="F5280" s="17"/>
      <c r="G5280" s="59"/>
    </row>
    <row r="5281" spans="3:7" ht="20.25" customHeight="1" x14ac:dyDescent="0.3">
      <c r="C5281" s="59"/>
      <c r="D5281" s="69"/>
      <c r="E5281" s="69"/>
      <c r="F5281" s="17"/>
      <c r="G5281" s="59"/>
    </row>
    <row r="5282" spans="3:7" ht="20.25" customHeight="1" x14ac:dyDescent="0.3">
      <c r="C5282" s="59"/>
      <c r="D5282" s="69"/>
      <c r="E5282" s="69"/>
      <c r="F5282" s="17"/>
      <c r="G5282" s="59"/>
    </row>
    <row r="5283" spans="3:7" ht="20.25" customHeight="1" x14ac:dyDescent="0.3">
      <c r="C5283" s="59"/>
      <c r="D5283" s="69"/>
      <c r="E5283" s="69"/>
      <c r="F5283" s="17"/>
      <c r="G5283" s="59"/>
    </row>
    <row r="5284" spans="3:7" ht="20.25" customHeight="1" x14ac:dyDescent="0.3">
      <c r="C5284" s="59"/>
      <c r="D5284" s="69"/>
      <c r="E5284" s="69"/>
      <c r="F5284" s="17"/>
      <c r="G5284" s="59"/>
    </row>
    <row r="5285" spans="3:7" ht="20.25" customHeight="1" x14ac:dyDescent="0.3">
      <c r="C5285" s="59"/>
      <c r="D5285" s="69"/>
      <c r="E5285" s="69"/>
      <c r="F5285" s="17"/>
      <c r="G5285" s="59"/>
    </row>
    <row r="5286" spans="3:7" ht="20.25" customHeight="1" x14ac:dyDescent="0.3">
      <c r="C5286" s="59"/>
      <c r="D5286" s="69"/>
      <c r="E5286" s="69"/>
      <c r="F5286" s="17"/>
      <c r="G5286" s="59"/>
    </row>
    <row r="5287" spans="3:7" ht="20.25" customHeight="1" x14ac:dyDescent="0.3">
      <c r="C5287" s="59"/>
      <c r="D5287" s="69"/>
      <c r="E5287" s="69"/>
      <c r="F5287" s="17"/>
      <c r="G5287" s="59"/>
    </row>
    <row r="5288" spans="3:7" ht="20.25" customHeight="1" x14ac:dyDescent="0.3">
      <c r="C5288" s="59"/>
      <c r="D5288" s="69"/>
      <c r="E5288" s="69"/>
      <c r="F5288" s="17"/>
      <c r="G5288" s="59"/>
    </row>
    <row r="5289" spans="3:7" ht="20.25" customHeight="1" x14ac:dyDescent="0.3">
      <c r="C5289" s="59"/>
      <c r="D5289" s="69"/>
      <c r="E5289" s="69"/>
      <c r="F5289" s="17"/>
      <c r="G5289" s="59"/>
    </row>
    <row r="5290" spans="3:7" ht="20.25" customHeight="1" x14ac:dyDescent="0.3">
      <c r="C5290" s="59"/>
      <c r="D5290" s="69"/>
      <c r="E5290" s="69"/>
      <c r="F5290" s="17"/>
      <c r="G5290" s="59"/>
    </row>
    <row r="5291" spans="3:7" ht="20.25" customHeight="1" x14ac:dyDescent="0.3">
      <c r="C5291" s="59"/>
      <c r="D5291" s="69"/>
      <c r="E5291" s="69"/>
      <c r="F5291" s="17"/>
      <c r="G5291" s="59"/>
    </row>
    <row r="5292" spans="3:7" ht="20.25" customHeight="1" x14ac:dyDescent="0.3">
      <c r="C5292" s="59"/>
      <c r="D5292" s="69"/>
      <c r="E5292" s="69"/>
      <c r="F5292" s="17"/>
      <c r="G5292" s="59"/>
    </row>
    <row r="5293" spans="3:7" ht="20.25" customHeight="1" x14ac:dyDescent="0.3">
      <c r="C5293" s="59"/>
      <c r="D5293" s="69"/>
      <c r="E5293" s="69"/>
      <c r="F5293" s="17"/>
      <c r="G5293" s="59"/>
    </row>
    <row r="5294" spans="3:7" ht="20.25" customHeight="1" x14ac:dyDescent="0.3">
      <c r="C5294" s="59"/>
      <c r="D5294" s="69"/>
      <c r="E5294" s="69"/>
      <c r="F5294" s="17"/>
      <c r="G5294" s="59"/>
    </row>
    <row r="5295" spans="3:7" ht="20.25" customHeight="1" x14ac:dyDescent="0.3">
      <c r="C5295" s="59"/>
      <c r="D5295" s="69"/>
      <c r="E5295" s="69"/>
      <c r="F5295" s="17"/>
      <c r="G5295" s="59"/>
    </row>
    <row r="5296" spans="3:7" ht="20.25" customHeight="1" x14ac:dyDescent="0.3">
      <c r="C5296" s="59"/>
      <c r="D5296" s="69"/>
      <c r="E5296" s="69"/>
      <c r="F5296" s="17"/>
      <c r="G5296" s="59"/>
    </row>
    <row r="5297" spans="3:7" ht="20.25" customHeight="1" x14ac:dyDescent="0.3">
      <c r="C5297" s="59"/>
      <c r="D5297" s="69"/>
      <c r="E5297" s="69"/>
      <c r="F5297" s="17"/>
      <c r="G5297" s="59"/>
    </row>
    <row r="5298" spans="3:7" ht="20.25" customHeight="1" x14ac:dyDescent="0.3">
      <c r="C5298" s="59"/>
      <c r="D5298" s="69"/>
      <c r="E5298" s="69"/>
      <c r="F5298" s="17"/>
      <c r="G5298" s="59"/>
    </row>
    <row r="5299" spans="3:7" ht="20.25" customHeight="1" x14ac:dyDescent="0.3">
      <c r="C5299" s="59"/>
      <c r="D5299" s="69"/>
      <c r="E5299" s="69"/>
      <c r="F5299" s="17"/>
      <c r="G5299" s="59"/>
    </row>
    <row r="5300" spans="3:7" ht="20.25" customHeight="1" x14ac:dyDescent="0.3">
      <c r="C5300" s="59"/>
      <c r="D5300" s="69"/>
      <c r="E5300" s="69"/>
      <c r="F5300" s="17"/>
      <c r="G5300" s="59"/>
    </row>
    <row r="5301" spans="3:7" ht="20.25" customHeight="1" x14ac:dyDescent="0.3">
      <c r="C5301" s="59"/>
      <c r="D5301" s="69"/>
      <c r="E5301" s="69"/>
      <c r="F5301" s="17"/>
      <c r="G5301" s="59"/>
    </row>
    <row r="5302" spans="3:7" ht="20.25" customHeight="1" x14ac:dyDescent="0.3">
      <c r="C5302" s="59"/>
      <c r="D5302" s="69"/>
      <c r="E5302" s="69"/>
      <c r="F5302" s="17"/>
      <c r="G5302" s="59"/>
    </row>
    <row r="5303" spans="3:7" ht="20.25" customHeight="1" x14ac:dyDescent="0.3">
      <c r="C5303" s="59"/>
      <c r="D5303" s="69"/>
      <c r="E5303" s="69"/>
      <c r="F5303" s="17"/>
      <c r="G5303" s="59"/>
    </row>
    <row r="5304" spans="3:7" ht="20.25" customHeight="1" x14ac:dyDescent="0.3">
      <c r="C5304" s="59"/>
      <c r="D5304" s="69"/>
      <c r="E5304" s="69"/>
      <c r="F5304" s="17"/>
      <c r="G5304" s="59"/>
    </row>
    <row r="5305" spans="3:7" ht="20.25" customHeight="1" x14ac:dyDescent="0.3">
      <c r="C5305" s="59"/>
      <c r="D5305" s="69"/>
      <c r="E5305" s="69"/>
      <c r="F5305" s="17"/>
      <c r="G5305" s="59"/>
    </row>
    <row r="5306" spans="3:7" ht="20.25" customHeight="1" x14ac:dyDescent="0.3">
      <c r="C5306" s="59"/>
      <c r="D5306" s="69"/>
      <c r="E5306" s="69"/>
      <c r="F5306" s="17"/>
      <c r="G5306" s="59"/>
    </row>
    <row r="5307" spans="3:7" ht="20.25" customHeight="1" x14ac:dyDescent="0.3">
      <c r="C5307" s="59"/>
      <c r="D5307" s="69"/>
      <c r="E5307" s="69"/>
      <c r="F5307" s="17"/>
      <c r="G5307" s="59"/>
    </row>
    <row r="5308" spans="3:7" ht="20.25" customHeight="1" x14ac:dyDescent="0.3">
      <c r="C5308" s="59"/>
      <c r="D5308" s="69"/>
      <c r="E5308" s="69"/>
      <c r="F5308" s="17"/>
      <c r="G5308" s="59"/>
    </row>
    <row r="5309" spans="3:7" ht="20.25" customHeight="1" x14ac:dyDescent="0.3">
      <c r="C5309" s="59"/>
      <c r="D5309" s="69"/>
      <c r="E5309" s="69"/>
      <c r="F5309" s="17"/>
      <c r="G5309" s="59"/>
    </row>
    <row r="5310" spans="3:7" ht="20.25" customHeight="1" x14ac:dyDescent="0.3">
      <c r="C5310" s="59"/>
      <c r="D5310" s="69"/>
      <c r="E5310" s="69"/>
      <c r="F5310" s="17"/>
      <c r="G5310" s="59"/>
    </row>
    <row r="5311" spans="3:7" ht="20.25" customHeight="1" x14ac:dyDescent="0.3">
      <c r="C5311" s="59"/>
      <c r="D5311" s="69"/>
      <c r="E5311" s="69"/>
      <c r="F5311" s="17"/>
      <c r="G5311" s="59"/>
    </row>
    <row r="5312" spans="3:7" ht="20.25" customHeight="1" x14ac:dyDescent="0.3">
      <c r="C5312" s="59"/>
      <c r="D5312" s="69"/>
      <c r="E5312" s="69"/>
      <c r="F5312" s="17"/>
      <c r="G5312" s="59"/>
    </row>
    <row r="5313" spans="3:7" ht="20.25" customHeight="1" x14ac:dyDescent="0.3">
      <c r="C5313" s="59"/>
      <c r="D5313" s="69"/>
      <c r="E5313" s="69"/>
      <c r="F5313" s="17"/>
      <c r="G5313" s="59"/>
    </row>
    <row r="5314" spans="3:7" ht="20.25" customHeight="1" x14ac:dyDescent="0.3">
      <c r="C5314" s="59"/>
      <c r="D5314" s="69"/>
      <c r="E5314" s="69"/>
      <c r="F5314" s="17"/>
      <c r="G5314" s="59"/>
    </row>
    <row r="5315" spans="3:7" ht="20.25" customHeight="1" x14ac:dyDescent="0.3">
      <c r="C5315" s="59"/>
      <c r="D5315" s="69"/>
      <c r="E5315" s="69"/>
      <c r="F5315" s="17"/>
      <c r="G5315" s="59"/>
    </row>
    <row r="5316" spans="3:7" ht="20.25" customHeight="1" x14ac:dyDescent="0.3">
      <c r="C5316" s="59"/>
      <c r="D5316" s="69"/>
      <c r="E5316" s="69"/>
      <c r="F5316" s="17"/>
      <c r="G5316" s="59"/>
    </row>
    <row r="5317" spans="3:7" ht="20.25" customHeight="1" x14ac:dyDescent="0.3">
      <c r="C5317" s="59"/>
      <c r="D5317" s="69"/>
      <c r="E5317" s="69"/>
      <c r="F5317" s="17"/>
      <c r="G5317" s="59"/>
    </row>
    <row r="5318" spans="3:7" ht="20.25" customHeight="1" x14ac:dyDescent="0.3">
      <c r="C5318" s="59"/>
      <c r="D5318" s="69"/>
      <c r="E5318" s="69"/>
      <c r="F5318" s="17"/>
      <c r="G5318" s="59"/>
    </row>
    <row r="5319" spans="3:7" ht="20.25" customHeight="1" x14ac:dyDescent="0.3">
      <c r="C5319" s="59"/>
      <c r="D5319" s="69"/>
      <c r="E5319" s="69"/>
      <c r="F5319" s="17"/>
      <c r="G5319" s="59"/>
    </row>
    <row r="5320" spans="3:7" ht="20.25" customHeight="1" x14ac:dyDescent="0.3">
      <c r="C5320" s="59"/>
      <c r="D5320" s="69"/>
      <c r="E5320" s="69"/>
      <c r="F5320" s="17"/>
      <c r="G5320" s="59"/>
    </row>
    <row r="5321" spans="3:7" ht="20.25" customHeight="1" x14ac:dyDescent="0.3">
      <c r="C5321" s="59"/>
      <c r="D5321" s="69"/>
      <c r="E5321" s="69"/>
      <c r="F5321" s="17"/>
      <c r="G5321" s="59"/>
    </row>
    <row r="5322" spans="3:7" ht="20.25" customHeight="1" x14ac:dyDescent="0.3">
      <c r="C5322" s="59"/>
      <c r="D5322" s="69"/>
      <c r="E5322" s="69"/>
      <c r="F5322" s="17"/>
      <c r="G5322" s="59"/>
    </row>
    <row r="5323" spans="3:7" ht="20.25" customHeight="1" x14ac:dyDescent="0.3">
      <c r="C5323" s="59"/>
      <c r="D5323" s="69"/>
      <c r="E5323" s="69"/>
      <c r="F5323" s="17"/>
      <c r="G5323" s="59"/>
    </row>
    <row r="5324" spans="3:7" ht="20.25" customHeight="1" x14ac:dyDescent="0.3">
      <c r="C5324" s="59"/>
      <c r="D5324" s="69"/>
      <c r="E5324" s="69"/>
      <c r="F5324" s="17"/>
      <c r="G5324" s="59"/>
    </row>
    <row r="5325" spans="3:7" ht="20.25" customHeight="1" x14ac:dyDescent="0.3">
      <c r="C5325" s="59"/>
      <c r="D5325" s="69"/>
      <c r="E5325" s="69"/>
      <c r="F5325" s="17"/>
      <c r="G5325" s="59"/>
    </row>
    <row r="5326" spans="3:7" ht="20.25" customHeight="1" x14ac:dyDescent="0.3">
      <c r="C5326" s="59"/>
      <c r="D5326" s="69"/>
      <c r="E5326" s="69"/>
      <c r="F5326" s="17"/>
      <c r="G5326" s="59"/>
    </row>
    <row r="5327" spans="3:7" ht="20.25" customHeight="1" x14ac:dyDescent="0.3">
      <c r="C5327" s="59"/>
      <c r="D5327" s="69"/>
      <c r="E5327" s="69"/>
      <c r="F5327" s="17"/>
      <c r="G5327" s="59"/>
    </row>
    <row r="5328" spans="3:7" ht="20.25" customHeight="1" x14ac:dyDescent="0.3">
      <c r="C5328" s="59"/>
      <c r="D5328" s="69"/>
      <c r="E5328" s="69"/>
      <c r="F5328" s="17"/>
      <c r="G5328" s="59"/>
    </row>
    <row r="5329" spans="3:7" ht="20.25" customHeight="1" x14ac:dyDescent="0.3">
      <c r="C5329" s="59"/>
      <c r="D5329" s="69"/>
      <c r="E5329" s="69"/>
      <c r="F5329" s="17"/>
      <c r="G5329" s="59"/>
    </row>
    <row r="5330" spans="3:7" ht="20.25" customHeight="1" x14ac:dyDescent="0.3">
      <c r="C5330" s="59"/>
      <c r="D5330" s="69"/>
      <c r="E5330" s="69"/>
      <c r="F5330" s="17"/>
      <c r="G5330" s="59"/>
    </row>
    <row r="5331" spans="3:7" ht="20.25" customHeight="1" x14ac:dyDescent="0.3">
      <c r="C5331" s="59"/>
      <c r="D5331" s="69"/>
      <c r="E5331" s="69"/>
      <c r="F5331" s="17"/>
      <c r="G5331" s="59"/>
    </row>
    <row r="5332" spans="3:7" ht="20.25" customHeight="1" x14ac:dyDescent="0.3">
      <c r="C5332" s="59"/>
      <c r="D5332" s="69"/>
      <c r="E5332" s="69"/>
      <c r="F5332" s="17"/>
      <c r="G5332" s="59"/>
    </row>
    <row r="5333" spans="3:7" ht="20.25" customHeight="1" x14ac:dyDescent="0.3">
      <c r="C5333" s="59"/>
      <c r="D5333" s="69"/>
      <c r="E5333" s="69"/>
      <c r="F5333" s="17"/>
      <c r="G5333" s="59"/>
    </row>
    <row r="5334" spans="3:7" ht="20.25" customHeight="1" x14ac:dyDescent="0.3">
      <c r="C5334" s="59"/>
      <c r="D5334" s="69"/>
      <c r="E5334" s="69"/>
      <c r="F5334" s="17"/>
      <c r="G5334" s="59"/>
    </row>
    <row r="5335" spans="3:7" ht="20.25" customHeight="1" x14ac:dyDescent="0.3">
      <c r="C5335" s="59"/>
      <c r="D5335" s="69"/>
      <c r="E5335" s="69"/>
      <c r="F5335" s="17"/>
      <c r="G5335" s="59"/>
    </row>
    <row r="5336" spans="3:7" ht="20.25" customHeight="1" x14ac:dyDescent="0.3">
      <c r="C5336" s="59"/>
      <c r="D5336" s="69"/>
      <c r="E5336" s="69"/>
      <c r="F5336" s="17"/>
      <c r="G5336" s="59"/>
    </row>
    <row r="5337" spans="3:7" ht="20.25" customHeight="1" x14ac:dyDescent="0.3">
      <c r="C5337" s="59"/>
      <c r="D5337" s="69"/>
      <c r="E5337" s="69"/>
      <c r="F5337" s="17"/>
      <c r="G5337" s="59"/>
    </row>
    <row r="5338" spans="3:7" ht="20.25" customHeight="1" x14ac:dyDescent="0.3">
      <c r="C5338" s="59"/>
      <c r="D5338" s="69"/>
      <c r="E5338" s="69"/>
      <c r="F5338" s="17"/>
      <c r="G5338" s="59"/>
    </row>
    <row r="5339" spans="3:7" ht="20.25" customHeight="1" x14ac:dyDescent="0.3">
      <c r="C5339" s="59"/>
      <c r="D5339" s="69"/>
      <c r="E5339" s="69"/>
      <c r="F5339" s="17"/>
      <c r="G5339" s="59"/>
    </row>
    <row r="5340" spans="3:7" ht="20.25" customHeight="1" x14ac:dyDescent="0.3">
      <c r="C5340" s="59"/>
      <c r="D5340" s="69"/>
      <c r="E5340" s="69"/>
      <c r="F5340" s="17"/>
      <c r="G5340" s="59"/>
    </row>
    <row r="5341" spans="3:7" ht="20.25" customHeight="1" x14ac:dyDescent="0.3">
      <c r="C5341" s="59"/>
      <c r="D5341" s="69"/>
      <c r="E5341" s="69"/>
      <c r="F5341" s="17"/>
      <c r="G5341" s="59"/>
    </row>
    <row r="5342" spans="3:7" ht="20.25" customHeight="1" x14ac:dyDescent="0.3">
      <c r="C5342" s="59"/>
      <c r="D5342" s="69"/>
      <c r="E5342" s="69"/>
      <c r="F5342" s="17"/>
      <c r="G5342" s="59"/>
    </row>
    <row r="5343" spans="3:7" ht="20.25" customHeight="1" x14ac:dyDescent="0.3">
      <c r="C5343" s="59"/>
      <c r="D5343" s="69"/>
      <c r="E5343" s="69"/>
      <c r="F5343" s="17"/>
      <c r="G5343" s="59"/>
    </row>
    <row r="5344" spans="3:7" ht="20.25" customHeight="1" x14ac:dyDescent="0.3">
      <c r="C5344" s="59"/>
      <c r="D5344" s="69"/>
      <c r="E5344" s="69"/>
      <c r="F5344" s="17"/>
      <c r="G5344" s="59"/>
    </row>
    <row r="5345" spans="3:7" ht="20.25" customHeight="1" x14ac:dyDescent="0.3">
      <c r="C5345" s="59"/>
      <c r="D5345" s="69"/>
      <c r="E5345" s="69"/>
      <c r="F5345" s="17"/>
      <c r="G5345" s="59"/>
    </row>
    <row r="5346" spans="3:7" ht="20.25" customHeight="1" x14ac:dyDescent="0.3">
      <c r="C5346" s="59"/>
      <c r="D5346" s="69"/>
      <c r="E5346" s="69"/>
      <c r="F5346" s="17"/>
      <c r="G5346" s="59"/>
    </row>
    <row r="5347" spans="3:7" ht="20.25" customHeight="1" x14ac:dyDescent="0.3">
      <c r="C5347" s="59"/>
      <c r="D5347" s="69"/>
      <c r="E5347" s="69"/>
      <c r="F5347" s="17"/>
      <c r="G5347" s="59"/>
    </row>
    <row r="5348" spans="3:7" ht="20.25" customHeight="1" x14ac:dyDescent="0.3">
      <c r="C5348" s="59"/>
      <c r="D5348" s="69"/>
      <c r="E5348" s="69"/>
      <c r="F5348" s="17"/>
      <c r="G5348" s="59"/>
    </row>
    <row r="5349" spans="3:7" ht="20.25" customHeight="1" x14ac:dyDescent="0.3">
      <c r="C5349" s="59"/>
      <c r="D5349" s="69"/>
      <c r="E5349" s="69"/>
      <c r="F5349" s="17"/>
      <c r="G5349" s="59"/>
    </row>
    <row r="5350" spans="3:7" ht="20.25" customHeight="1" x14ac:dyDescent="0.3">
      <c r="C5350" s="59"/>
      <c r="D5350" s="69"/>
      <c r="E5350" s="69"/>
      <c r="F5350" s="17"/>
      <c r="G5350" s="59"/>
    </row>
    <row r="5351" spans="3:7" ht="20.25" customHeight="1" x14ac:dyDescent="0.3">
      <c r="C5351" s="59"/>
      <c r="D5351" s="69"/>
      <c r="E5351" s="69"/>
      <c r="F5351" s="17"/>
      <c r="G5351" s="59"/>
    </row>
    <row r="5352" spans="3:7" ht="20.25" customHeight="1" x14ac:dyDescent="0.3">
      <c r="C5352" s="59"/>
      <c r="D5352" s="69"/>
      <c r="E5352" s="69"/>
      <c r="F5352" s="17"/>
      <c r="G5352" s="59"/>
    </row>
    <row r="5353" spans="3:7" ht="20.25" customHeight="1" x14ac:dyDescent="0.3">
      <c r="C5353" s="59"/>
      <c r="D5353" s="69"/>
      <c r="E5353" s="69"/>
      <c r="F5353" s="17"/>
      <c r="G5353" s="59"/>
    </row>
    <row r="5354" spans="3:7" ht="20.25" customHeight="1" x14ac:dyDescent="0.3">
      <c r="C5354" s="59"/>
      <c r="D5354" s="69"/>
      <c r="E5354" s="69"/>
      <c r="F5354" s="17"/>
      <c r="G5354" s="59"/>
    </row>
    <row r="5355" spans="3:7" ht="20.25" customHeight="1" x14ac:dyDescent="0.3">
      <c r="C5355" s="59"/>
      <c r="D5355" s="69"/>
      <c r="E5355" s="69"/>
      <c r="F5355" s="17"/>
      <c r="G5355" s="59"/>
    </row>
    <row r="5356" spans="3:7" ht="20.25" customHeight="1" x14ac:dyDescent="0.3">
      <c r="C5356" s="59"/>
      <c r="D5356" s="69"/>
      <c r="E5356" s="69"/>
      <c r="F5356" s="17"/>
      <c r="G5356" s="59"/>
    </row>
    <row r="5357" spans="3:7" ht="20.25" customHeight="1" x14ac:dyDescent="0.3">
      <c r="C5357" s="59"/>
      <c r="D5357" s="69"/>
      <c r="E5357" s="69"/>
      <c r="F5357" s="17"/>
      <c r="G5357" s="59"/>
    </row>
    <row r="5358" spans="3:7" ht="20.25" customHeight="1" x14ac:dyDescent="0.3">
      <c r="C5358" s="59"/>
      <c r="D5358" s="69"/>
      <c r="E5358" s="69"/>
      <c r="F5358" s="17"/>
      <c r="G5358" s="59"/>
    </row>
    <row r="5359" spans="3:7" ht="20.25" customHeight="1" x14ac:dyDescent="0.3">
      <c r="C5359" s="59"/>
      <c r="D5359" s="69"/>
      <c r="E5359" s="69"/>
      <c r="F5359" s="17"/>
      <c r="G5359" s="59"/>
    </row>
    <row r="5360" spans="3:7" ht="20.25" customHeight="1" x14ac:dyDescent="0.3">
      <c r="C5360" s="59"/>
      <c r="D5360" s="69"/>
      <c r="E5360" s="69"/>
      <c r="F5360" s="17"/>
      <c r="G5360" s="59"/>
    </row>
    <row r="5361" spans="3:7" ht="20.25" customHeight="1" x14ac:dyDescent="0.3">
      <c r="C5361" s="59"/>
      <c r="D5361" s="69"/>
      <c r="E5361" s="69"/>
      <c r="F5361" s="17"/>
      <c r="G5361" s="59"/>
    </row>
    <row r="5362" spans="3:7" ht="20.25" customHeight="1" x14ac:dyDescent="0.3">
      <c r="C5362" s="59"/>
      <c r="D5362" s="69"/>
      <c r="E5362" s="69"/>
      <c r="F5362" s="17"/>
      <c r="G5362" s="59"/>
    </row>
    <row r="5363" spans="3:7" ht="20.25" customHeight="1" x14ac:dyDescent="0.3">
      <c r="C5363" s="59"/>
      <c r="D5363" s="69"/>
      <c r="E5363" s="69"/>
      <c r="F5363" s="17"/>
      <c r="G5363" s="59"/>
    </row>
    <row r="5364" spans="3:7" ht="20.25" customHeight="1" x14ac:dyDescent="0.3">
      <c r="C5364" s="59"/>
      <c r="D5364" s="69"/>
      <c r="E5364" s="69"/>
      <c r="F5364" s="17"/>
      <c r="G5364" s="59"/>
    </row>
    <row r="5365" spans="3:7" ht="20.25" customHeight="1" x14ac:dyDescent="0.3">
      <c r="C5365" s="59"/>
      <c r="D5365" s="69"/>
      <c r="E5365" s="69"/>
      <c r="F5365" s="17"/>
      <c r="G5365" s="59"/>
    </row>
    <row r="5366" spans="3:7" ht="20.25" customHeight="1" x14ac:dyDescent="0.3">
      <c r="C5366" s="59"/>
      <c r="D5366" s="69"/>
      <c r="E5366" s="69"/>
      <c r="F5366" s="17"/>
      <c r="G5366" s="59"/>
    </row>
    <row r="5367" spans="3:7" ht="20.25" customHeight="1" x14ac:dyDescent="0.3">
      <c r="C5367" s="59"/>
      <c r="D5367" s="69"/>
      <c r="E5367" s="69"/>
      <c r="F5367" s="17"/>
      <c r="G5367" s="59"/>
    </row>
    <row r="5368" spans="3:7" ht="20.25" customHeight="1" x14ac:dyDescent="0.3">
      <c r="C5368" s="59"/>
      <c r="D5368" s="69"/>
      <c r="E5368" s="69"/>
      <c r="F5368" s="17"/>
      <c r="G5368" s="59"/>
    </row>
    <row r="5369" spans="3:7" ht="20.25" customHeight="1" x14ac:dyDescent="0.3">
      <c r="C5369" s="59"/>
      <c r="D5369" s="69"/>
      <c r="E5369" s="69"/>
      <c r="F5369" s="17"/>
      <c r="G5369" s="59"/>
    </row>
    <row r="5370" spans="3:7" ht="20.25" customHeight="1" x14ac:dyDescent="0.3">
      <c r="C5370" s="59"/>
      <c r="D5370" s="69"/>
      <c r="E5370" s="69"/>
      <c r="F5370" s="17"/>
      <c r="G5370" s="59"/>
    </row>
    <row r="5371" spans="3:7" ht="20.25" customHeight="1" x14ac:dyDescent="0.3">
      <c r="C5371" s="59"/>
      <c r="D5371" s="69"/>
      <c r="E5371" s="69"/>
      <c r="F5371" s="17"/>
      <c r="G5371" s="59"/>
    </row>
    <row r="5372" spans="3:7" ht="20.25" customHeight="1" x14ac:dyDescent="0.3">
      <c r="C5372" s="59"/>
      <c r="D5372" s="69"/>
      <c r="E5372" s="69"/>
      <c r="F5372" s="17"/>
      <c r="G5372" s="59"/>
    </row>
    <row r="5373" spans="3:7" ht="20.25" customHeight="1" x14ac:dyDescent="0.3">
      <c r="C5373" s="59"/>
      <c r="D5373" s="69"/>
      <c r="E5373" s="69"/>
      <c r="F5373" s="17"/>
      <c r="G5373" s="59"/>
    </row>
    <row r="5374" spans="3:7" ht="20.25" customHeight="1" x14ac:dyDescent="0.3">
      <c r="C5374" s="59"/>
      <c r="D5374" s="69"/>
      <c r="E5374" s="69"/>
      <c r="F5374" s="17"/>
      <c r="G5374" s="59"/>
    </row>
    <row r="5375" spans="3:7" ht="20.25" customHeight="1" x14ac:dyDescent="0.3">
      <c r="C5375" s="59"/>
      <c r="D5375" s="69"/>
      <c r="E5375" s="69"/>
      <c r="F5375" s="17"/>
      <c r="G5375" s="59"/>
    </row>
    <row r="5376" spans="3:7" ht="20.25" customHeight="1" x14ac:dyDescent="0.3">
      <c r="C5376" s="59"/>
      <c r="D5376" s="69"/>
      <c r="E5376" s="69"/>
      <c r="F5376" s="17"/>
      <c r="G5376" s="59"/>
    </row>
    <row r="5377" spans="3:7" ht="20.25" customHeight="1" x14ac:dyDescent="0.3">
      <c r="C5377" s="59"/>
      <c r="D5377" s="69"/>
      <c r="E5377" s="69"/>
      <c r="F5377" s="17"/>
      <c r="G5377" s="59"/>
    </row>
    <row r="5378" spans="3:7" ht="20.25" customHeight="1" x14ac:dyDescent="0.3">
      <c r="C5378" s="59"/>
      <c r="D5378" s="69"/>
      <c r="E5378" s="69"/>
      <c r="F5378" s="17"/>
      <c r="G5378" s="59"/>
    </row>
    <row r="5379" spans="3:7" ht="20.25" customHeight="1" x14ac:dyDescent="0.3">
      <c r="C5379" s="59"/>
      <c r="D5379" s="69"/>
      <c r="E5379" s="69"/>
      <c r="F5379" s="17"/>
      <c r="G5379" s="59"/>
    </row>
    <row r="5380" spans="3:7" ht="20.25" customHeight="1" x14ac:dyDescent="0.3">
      <c r="C5380" s="59"/>
      <c r="D5380" s="69"/>
      <c r="E5380" s="69"/>
      <c r="F5380" s="17"/>
      <c r="G5380" s="59"/>
    </row>
    <row r="5381" spans="3:7" ht="20.25" customHeight="1" x14ac:dyDescent="0.3">
      <c r="C5381" s="59"/>
      <c r="D5381" s="69"/>
      <c r="E5381" s="69"/>
      <c r="F5381" s="17"/>
      <c r="G5381" s="59"/>
    </row>
    <row r="5382" spans="3:7" ht="20.25" customHeight="1" x14ac:dyDescent="0.3">
      <c r="C5382" s="59"/>
      <c r="D5382" s="69"/>
      <c r="E5382" s="69"/>
      <c r="F5382" s="17"/>
      <c r="G5382" s="59"/>
    </row>
    <row r="5383" spans="3:7" ht="20.25" customHeight="1" x14ac:dyDescent="0.3">
      <c r="C5383" s="59"/>
      <c r="D5383" s="69"/>
      <c r="E5383" s="69"/>
      <c r="F5383" s="17"/>
      <c r="G5383" s="59"/>
    </row>
    <row r="5384" spans="3:7" ht="20.25" customHeight="1" x14ac:dyDescent="0.3">
      <c r="C5384" s="59"/>
      <c r="D5384" s="69"/>
      <c r="E5384" s="69"/>
      <c r="F5384" s="17"/>
      <c r="G5384" s="59"/>
    </row>
    <row r="5385" spans="3:7" ht="20.25" customHeight="1" x14ac:dyDescent="0.3">
      <c r="C5385" s="59"/>
      <c r="D5385" s="69"/>
      <c r="E5385" s="69"/>
      <c r="F5385" s="17"/>
      <c r="G5385" s="59"/>
    </row>
    <row r="5386" spans="3:7" ht="20.25" customHeight="1" x14ac:dyDescent="0.3">
      <c r="C5386" s="59"/>
      <c r="D5386" s="69"/>
      <c r="E5386" s="69"/>
      <c r="F5386" s="17"/>
      <c r="G5386" s="59"/>
    </row>
    <row r="5387" spans="3:7" ht="20.25" customHeight="1" x14ac:dyDescent="0.3">
      <c r="C5387" s="59"/>
      <c r="D5387" s="69"/>
      <c r="E5387" s="69"/>
      <c r="F5387" s="17"/>
      <c r="G5387" s="59"/>
    </row>
    <row r="5388" spans="3:7" ht="20.25" customHeight="1" x14ac:dyDescent="0.3">
      <c r="C5388" s="59"/>
      <c r="D5388" s="69"/>
      <c r="E5388" s="69"/>
      <c r="F5388" s="17"/>
      <c r="G5388" s="59"/>
    </row>
    <row r="5389" spans="3:7" ht="20.25" customHeight="1" x14ac:dyDescent="0.3">
      <c r="C5389" s="59"/>
      <c r="D5389" s="69"/>
      <c r="E5389" s="69"/>
      <c r="F5389" s="17"/>
      <c r="G5389" s="59"/>
    </row>
    <row r="5390" spans="3:7" ht="20.25" customHeight="1" x14ac:dyDescent="0.3">
      <c r="C5390" s="59"/>
      <c r="D5390" s="69"/>
      <c r="E5390" s="69"/>
      <c r="F5390" s="17"/>
      <c r="G5390" s="59"/>
    </row>
    <row r="5391" spans="3:7" ht="20.25" customHeight="1" x14ac:dyDescent="0.3">
      <c r="C5391" s="59"/>
      <c r="D5391" s="69"/>
      <c r="E5391" s="69"/>
      <c r="F5391" s="17"/>
      <c r="G5391" s="59"/>
    </row>
    <row r="5392" spans="3:7" ht="20.25" customHeight="1" x14ac:dyDescent="0.3">
      <c r="C5392" s="59"/>
      <c r="D5392" s="69"/>
      <c r="E5392" s="69"/>
      <c r="F5392" s="17"/>
      <c r="G5392" s="59"/>
    </row>
    <row r="5393" spans="3:7" ht="20.25" customHeight="1" x14ac:dyDescent="0.3">
      <c r="C5393" s="59"/>
      <c r="D5393" s="69"/>
      <c r="E5393" s="69"/>
      <c r="F5393" s="17"/>
      <c r="G5393" s="59"/>
    </row>
    <row r="5394" spans="3:7" ht="20.25" customHeight="1" x14ac:dyDescent="0.3">
      <c r="C5394" s="59"/>
      <c r="D5394" s="69"/>
      <c r="E5394" s="69"/>
      <c r="F5394" s="17"/>
      <c r="G5394" s="59"/>
    </row>
    <row r="5395" spans="3:7" ht="20.25" customHeight="1" x14ac:dyDescent="0.3">
      <c r="C5395" s="59"/>
      <c r="D5395" s="69"/>
      <c r="E5395" s="69"/>
      <c r="F5395" s="17"/>
      <c r="G5395" s="59"/>
    </row>
    <row r="5396" spans="3:7" ht="20.25" customHeight="1" x14ac:dyDescent="0.3">
      <c r="C5396" s="59"/>
      <c r="D5396" s="69"/>
      <c r="E5396" s="69"/>
      <c r="F5396" s="17"/>
      <c r="G5396" s="59"/>
    </row>
    <row r="5397" spans="3:7" ht="20.25" customHeight="1" x14ac:dyDescent="0.3">
      <c r="C5397" s="59"/>
      <c r="D5397" s="69"/>
      <c r="E5397" s="69"/>
      <c r="F5397" s="17"/>
      <c r="G5397" s="59"/>
    </row>
    <row r="5398" spans="3:7" ht="20.25" customHeight="1" x14ac:dyDescent="0.3">
      <c r="C5398" s="59"/>
      <c r="D5398" s="69"/>
      <c r="E5398" s="69"/>
      <c r="F5398" s="17"/>
      <c r="G5398" s="59"/>
    </row>
    <row r="5399" spans="3:7" ht="20.25" customHeight="1" x14ac:dyDescent="0.3">
      <c r="C5399" s="59"/>
      <c r="D5399" s="69"/>
      <c r="E5399" s="69"/>
      <c r="F5399" s="17"/>
      <c r="G5399" s="59"/>
    </row>
    <row r="5400" spans="3:7" ht="20.25" customHeight="1" x14ac:dyDescent="0.3">
      <c r="C5400" s="59"/>
      <c r="D5400" s="69"/>
      <c r="E5400" s="69"/>
      <c r="F5400" s="17"/>
      <c r="G5400" s="59"/>
    </row>
    <row r="5401" spans="3:7" ht="20.25" customHeight="1" x14ac:dyDescent="0.3">
      <c r="C5401" s="59"/>
      <c r="D5401" s="69"/>
      <c r="E5401" s="69"/>
      <c r="F5401" s="17"/>
      <c r="G5401" s="59"/>
    </row>
    <row r="5402" spans="3:7" ht="20.25" customHeight="1" x14ac:dyDescent="0.3">
      <c r="C5402" s="59"/>
      <c r="D5402" s="69"/>
      <c r="E5402" s="69"/>
      <c r="F5402" s="17"/>
      <c r="G5402" s="59"/>
    </row>
    <row r="5403" spans="3:7" ht="20.25" customHeight="1" x14ac:dyDescent="0.3">
      <c r="C5403" s="59"/>
      <c r="D5403" s="69"/>
      <c r="E5403" s="69"/>
      <c r="F5403" s="17"/>
      <c r="G5403" s="59"/>
    </row>
    <row r="5404" spans="3:7" ht="20.25" customHeight="1" x14ac:dyDescent="0.3">
      <c r="C5404" s="59"/>
      <c r="D5404" s="69"/>
      <c r="E5404" s="69"/>
      <c r="F5404" s="17"/>
      <c r="G5404" s="59"/>
    </row>
    <row r="5405" spans="3:7" ht="20.25" customHeight="1" x14ac:dyDescent="0.3">
      <c r="C5405" s="59"/>
      <c r="D5405" s="69"/>
      <c r="E5405" s="69"/>
      <c r="F5405" s="17"/>
      <c r="G5405" s="59"/>
    </row>
    <row r="5406" spans="3:7" ht="20.25" customHeight="1" x14ac:dyDescent="0.3">
      <c r="C5406" s="59"/>
      <c r="D5406" s="69"/>
      <c r="E5406" s="69"/>
      <c r="F5406" s="17"/>
      <c r="G5406" s="59"/>
    </row>
    <row r="5407" spans="3:7" ht="20.25" customHeight="1" x14ac:dyDescent="0.3">
      <c r="C5407" s="59"/>
      <c r="D5407" s="69"/>
      <c r="E5407" s="69"/>
      <c r="F5407" s="17"/>
      <c r="G5407" s="59"/>
    </row>
    <row r="5408" spans="3:7" ht="20.25" customHeight="1" x14ac:dyDescent="0.3">
      <c r="C5408" s="59"/>
      <c r="D5408" s="69"/>
      <c r="E5408" s="69"/>
      <c r="F5408" s="17"/>
      <c r="G5408" s="59"/>
    </row>
    <row r="5409" spans="3:7" ht="20.25" customHeight="1" x14ac:dyDescent="0.3">
      <c r="C5409" s="59"/>
      <c r="D5409" s="69"/>
      <c r="E5409" s="69"/>
      <c r="F5409" s="17"/>
      <c r="G5409" s="59"/>
    </row>
    <row r="5410" spans="3:7" ht="20.25" customHeight="1" x14ac:dyDescent="0.3">
      <c r="C5410" s="59"/>
      <c r="D5410" s="69"/>
      <c r="E5410" s="69"/>
      <c r="F5410" s="17"/>
      <c r="G5410" s="59"/>
    </row>
    <row r="5411" spans="3:7" ht="20.25" customHeight="1" x14ac:dyDescent="0.3">
      <c r="C5411" s="59"/>
      <c r="D5411" s="69"/>
      <c r="E5411" s="69"/>
      <c r="F5411" s="17"/>
      <c r="G5411" s="59"/>
    </row>
    <row r="5412" spans="3:7" ht="20.25" customHeight="1" x14ac:dyDescent="0.3">
      <c r="C5412" s="59"/>
      <c r="D5412" s="69"/>
      <c r="E5412" s="69"/>
      <c r="F5412" s="17"/>
      <c r="G5412" s="59"/>
    </row>
    <row r="5413" spans="3:7" ht="20.25" customHeight="1" x14ac:dyDescent="0.3">
      <c r="C5413" s="59"/>
      <c r="D5413" s="69"/>
      <c r="E5413" s="69"/>
      <c r="F5413" s="17"/>
      <c r="G5413" s="59"/>
    </row>
    <row r="5414" spans="3:7" ht="20.25" customHeight="1" x14ac:dyDescent="0.3">
      <c r="C5414" s="59"/>
      <c r="D5414" s="69"/>
      <c r="E5414" s="69"/>
      <c r="F5414" s="17"/>
      <c r="G5414" s="59"/>
    </row>
    <row r="5415" spans="3:7" ht="20.25" customHeight="1" x14ac:dyDescent="0.3">
      <c r="C5415" s="59"/>
      <c r="D5415" s="69"/>
      <c r="E5415" s="69"/>
      <c r="F5415" s="17"/>
      <c r="G5415" s="59"/>
    </row>
    <row r="5416" spans="3:7" ht="20.25" customHeight="1" x14ac:dyDescent="0.3">
      <c r="C5416" s="59"/>
      <c r="D5416" s="69"/>
      <c r="E5416" s="69"/>
      <c r="F5416" s="17"/>
      <c r="G5416" s="59"/>
    </row>
    <row r="5417" spans="3:7" ht="20.25" customHeight="1" x14ac:dyDescent="0.3">
      <c r="C5417" s="59"/>
      <c r="D5417" s="69"/>
      <c r="E5417" s="69"/>
      <c r="F5417" s="17"/>
      <c r="G5417" s="59"/>
    </row>
    <row r="5418" spans="3:7" ht="20.25" customHeight="1" x14ac:dyDescent="0.3">
      <c r="C5418" s="59"/>
      <c r="D5418" s="69"/>
      <c r="E5418" s="69"/>
      <c r="F5418" s="17"/>
      <c r="G5418" s="59"/>
    </row>
    <row r="5419" spans="3:7" ht="20.25" customHeight="1" x14ac:dyDescent="0.3">
      <c r="C5419" s="59"/>
      <c r="D5419" s="69"/>
      <c r="E5419" s="69"/>
      <c r="F5419" s="17"/>
      <c r="G5419" s="59"/>
    </row>
    <row r="5420" spans="3:7" ht="20.25" customHeight="1" x14ac:dyDescent="0.3">
      <c r="C5420" s="59"/>
      <c r="D5420" s="69"/>
      <c r="E5420" s="69"/>
      <c r="F5420" s="17"/>
      <c r="G5420" s="59"/>
    </row>
    <row r="5421" spans="3:7" ht="20.25" customHeight="1" x14ac:dyDescent="0.3">
      <c r="C5421" s="59"/>
      <c r="D5421" s="69"/>
      <c r="E5421" s="69"/>
      <c r="F5421" s="17"/>
      <c r="G5421" s="59"/>
    </row>
    <row r="5422" spans="3:7" ht="20.25" customHeight="1" x14ac:dyDescent="0.3">
      <c r="C5422" s="59"/>
      <c r="D5422" s="69"/>
      <c r="E5422" s="69"/>
      <c r="F5422" s="17"/>
      <c r="G5422" s="59"/>
    </row>
    <row r="5423" spans="3:7" ht="20.25" customHeight="1" x14ac:dyDescent="0.3">
      <c r="C5423" s="59"/>
      <c r="D5423" s="69"/>
      <c r="E5423" s="69"/>
      <c r="F5423" s="17"/>
      <c r="G5423" s="59"/>
    </row>
    <row r="5424" spans="3:7" ht="20.25" customHeight="1" x14ac:dyDescent="0.3">
      <c r="C5424" s="59"/>
      <c r="D5424" s="69"/>
      <c r="E5424" s="69"/>
      <c r="F5424" s="17"/>
      <c r="G5424" s="59"/>
    </row>
    <row r="5425" spans="3:7" ht="20.25" customHeight="1" x14ac:dyDescent="0.3">
      <c r="C5425" s="59"/>
      <c r="D5425" s="69"/>
      <c r="E5425" s="69"/>
      <c r="F5425" s="17"/>
      <c r="G5425" s="59"/>
    </row>
    <row r="5426" spans="3:7" ht="20.25" customHeight="1" x14ac:dyDescent="0.3">
      <c r="C5426" s="59"/>
      <c r="D5426" s="69"/>
      <c r="E5426" s="69"/>
      <c r="F5426" s="17"/>
      <c r="G5426" s="59"/>
    </row>
    <row r="5427" spans="3:7" ht="20.25" customHeight="1" x14ac:dyDescent="0.3">
      <c r="C5427" s="59"/>
      <c r="D5427" s="69"/>
      <c r="E5427" s="69"/>
      <c r="F5427" s="17"/>
      <c r="G5427" s="59"/>
    </row>
    <row r="5428" spans="3:7" ht="20.25" customHeight="1" x14ac:dyDescent="0.3">
      <c r="C5428" s="59"/>
      <c r="D5428" s="69"/>
      <c r="E5428" s="69"/>
      <c r="F5428" s="17"/>
      <c r="G5428" s="59"/>
    </row>
    <row r="5429" spans="3:7" ht="20.25" customHeight="1" x14ac:dyDescent="0.3">
      <c r="C5429" s="59"/>
      <c r="D5429" s="69"/>
      <c r="E5429" s="69"/>
      <c r="F5429" s="17"/>
      <c r="G5429" s="59"/>
    </row>
    <row r="5430" spans="3:7" ht="20.25" customHeight="1" x14ac:dyDescent="0.3">
      <c r="C5430" s="59"/>
      <c r="D5430" s="69"/>
      <c r="E5430" s="69"/>
      <c r="F5430" s="17"/>
      <c r="G5430" s="59"/>
    </row>
    <row r="5431" spans="3:7" ht="20.25" customHeight="1" x14ac:dyDescent="0.3">
      <c r="C5431" s="59"/>
      <c r="D5431" s="69"/>
      <c r="E5431" s="69"/>
      <c r="F5431" s="17"/>
      <c r="G5431" s="59"/>
    </row>
    <row r="5432" spans="3:7" ht="20.25" customHeight="1" x14ac:dyDescent="0.3">
      <c r="C5432" s="59"/>
      <c r="D5432" s="69"/>
      <c r="E5432" s="69"/>
      <c r="F5432" s="17"/>
      <c r="G5432" s="59"/>
    </row>
    <row r="5433" spans="3:7" ht="20.25" customHeight="1" x14ac:dyDescent="0.3">
      <c r="C5433" s="59"/>
      <c r="D5433" s="69"/>
      <c r="E5433" s="69"/>
      <c r="F5433" s="17"/>
      <c r="G5433" s="59"/>
    </row>
    <row r="5434" spans="3:7" ht="20.25" customHeight="1" x14ac:dyDescent="0.3">
      <c r="C5434" s="59"/>
      <c r="D5434" s="69"/>
      <c r="E5434" s="69"/>
      <c r="F5434" s="17"/>
      <c r="G5434" s="59"/>
    </row>
    <row r="5435" spans="3:7" ht="20.25" customHeight="1" x14ac:dyDescent="0.3">
      <c r="C5435" s="59"/>
      <c r="D5435" s="69"/>
      <c r="E5435" s="69"/>
      <c r="F5435" s="17"/>
      <c r="G5435" s="59"/>
    </row>
    <row r="5436" spans="3:7" ht="20.25" customHeight="1" x14ac:dyDescent="0.3">
      <c r="C5436" s="59"/>
      <c r="D5436" s="69"/>
      <c r="E5436" s="69"/>
      <c r="F5436" s="17"/>
      <c r="G5436" s="59"/>
    </row>
    <row r="5437" spans="3:7" ht="20.25" customHeight="1" x14ac:dyDescent="0.3">
      <c r="C5437" s="59"/>
      <c r="D5437" s="69"/>
      <c r="E5437" s="69"/>
      <c r="F5437" s="17"/>
      <c r="G5437" s="59"/>
    </row>
    <row r="5438" spans="3:7" ht="20.25" customHeight="1" x14ac:dyDescent="0.3">
      <c r="C5438" s="59"/>
      <c r="D5438" s="69"/>
      <c r="E5438" s="69"/>
      <c r="F5438" s="17"/>
      <c r="G5438" s="59"/>
    </row>
    <row r="5439" spans="3:7" ht="20.25" customHeight="1" x14ac:dyDescent="0.3">
      <c r="C5439" s="59"/>
      <c r="D5439" s="69"/>
      <c r="E5439" s="69"/>
      <c r="F5439" s="17"/>
      <c r="G5439" s="59"/>
    </row>
    <row r="5440" spans="3:7" ht="20.25" customHeight="1" x14ac:dyDescent="0.3">
      <c r="C5440" s="59"/>
      <c r="D5440" s="69"/>
      <c r="E5440" s="69"/>
      <c r="F5440" s="17"/>
      <c r="G5440" s="59"/>
    </row>
    <row r="5441" spans="3:7" ht="20.25" customHeight="1" x14ac:dyDescent="0.3">
      <c r="C5441" s="59"/>
      <c r="D5441" s="69"/>
      <c r="E5441" s="69"/>
      <c r="F5441" s="17"/>
      <c r="G5441" s="59"/>
    </row>
    <row r="5442" spans="3:7" ht="20.25" customHeight="1" x14ac:dyDescent="0.3">
      <c r="C5442" s="59"/>
      <c r="D5442" s="69"/>
      <c r="E5442" s="69"/>
      <c r="F5442" s="17"/>
      <c r="G5442" s="59"/>
    </row>
    <row r="5443" spans="3:7" ht="20.25" customHeight="1" x14ac:dyDescent="0.3">
      <c r="C5443" s="59"/>
      <c r="D5443" s="69"/>
      <c r="E5443" s="69"/>
      <c r="F5443" s="17"/>
      <c r="G5443" s="59"/>
    </row>
    <row r="5444" spans="3:7" ht="20.25" customHeight="1" x14ac:dyDescent="0.3">
      <c r="C5444" s="59"/>
      <c r="D5444" s="69"/>
      <c r="E5444" s="69"/>
      <c r="F5444" s="17"/>
      <c r="G5444" s="59"/>
    </row>
    <row r="5445" spans="3:7" ht="20.25" customHeight="1" x14ac:dyDescent="0.3">
      <c r="C5445" s="59"/>
      <c r="D5445" s="69"/>
      <c r="E5445" s="69"/>
      <c r="F5445" s="17"/>
      <c r="G5445" s="59"/>
    </row>
    <row r="5446" spans="3:7" ht="20.25" customHeight="1" x14ac:dyDescent="0.3">
      <c r="C5446" s="59"/>
      <c r="D5446" s="69"/>
      <c r="E5446" s="69"/>
      <c r="F5446" s="17"/>
      <c r="G5446" s="59"/>
    </row>
    <row r="5447" spans="3:7" ht="20.25" customHeight="1" x14ac:dyDescent="0.3">
      <c r="C5447" s="59"/>
      <c r="D5447" s="69"/>
      <c r="E5447" s="69"/>
      <c r="F5447" s="17"/>
      <c r="G5447" s="59"/>
    </row>
    <row r="5448" spans="3:7" ht="20.25" customHeight="1" x14ac:dyDescent="0.3">
      <c r="C5448" s="59"/>
      <c r="D5448" s="69"/>
      <c r="E5448" s="69"/>
      <c r="F5448" s="17"/>
      <c r="G5448" s="59"/>
    </row>
    <row r="5449" spans="3:7" ht="20.25" customHeight="1" x14ac:dyDescent="0.3">
      <c r="C5449" s="59"/>
      <c r="D5449" s="69"/>
      <c r="E5449" s="69"/>
      <c r="F5449" s="17"/>
      <c r="G5449" s="59"/>
    </row>
    <row r="5450" spans="3:7" ht="20.25" customHeight="1" x14ac:dyDescent="0.3">
      <c r="C5450" s="59"/>
      <c r="D5450" s="69"/>
      <c r="E5450" s="69"/>
      <c r="F5450" s="17"/>
      <c r="G5450" s="59"/>
    </row>
    <row r="5451" spans="3:7" ht="20.25" customHeight="1" x14ac:dyDescent="0.3">
      <c r="C5451" s="59"/>
      <c r="D5451" s="69"/>
      <c r="E5451" s="69"/>
      <c r="F5451" s="17"/>
      <c r="G5451" s="59"/>
    </row>
    <row r="5452" spans="3:7" ht="20.25" customHeight="1" x14ac:dyDescent="0.3">
      <c r="C5452" s="59"/>
      <c r="D5452" s="69"/>
      <c r="E5452" s="69"/>
      <c r="F5452" s="17"/>
      <c r="G5452" s="59"/>
    </row>
    <row r="5453" spans="3:7" ht="20.25" customHeight="1" x14ac:dyDescent="0.3">
      <c r="C5453" s="59"/>
      <c r="D5453" s="69"/>
      <c r="E5453" s="69"/>
      <c r="F5453" s="17"/>
      <c r="G5453" s="59"/>
    </row>
    <row r="5454" spans="3:7" ht="20.25" customHeight="1" x14ac:dyDescent="0.3">
      <c r="C5454" s="59"/>
      <c r="D5454" s="69"/>
      <c r="E5454" s="69"/>
      <c r="F5454" s="17"/>
      <c r="G5454" s="59"/>
    </row>
    <row r="5455" spans="3:7" ht="20.25" customHeight="1" x14ac:dyDescent="0.3">
      <c r="C5455" s="59"/>
      <c r="D5455" s="69"/>
      <c r="E5455" s="69"/>
      <c r="F5455" s="17"/>
      <c r="G5455" s="59"/>
    </row>
    <row r="5456" spans="3:7" ht="20.25" customHeight="1" x14ac:dyDescent="0.3">
      <c r="C5456" s="59"/>
      <c r="D5456" s="69"/>
      <c r="E5456" s="69"/>
      <c r="F5456" s="17"/>
      <c r="G5456" s="59"/>
    </row>
    <row r="5457" spans="3:7" ht="20.25" customHeight="1" x14ac:dyDescent="0.3">
      <c r="C5457" s="59"/>
      <c r="D5457" s="69"/>
      <c r="E5457" s="69"/>
      <c r="F5457" s="17"/>
      <c r="G5457" s="59"/>
    </row>
    <row r="5458" spans="3:7" ht="20.25" customHeight="1" x14ac:dyDescent="0.3">
      <c r="C5458" s="59"/>
      <c r="D5458" s="69"/>
      <c r="E5458" s="69"/>
      <c r="F5458" s="17"/>
      <c r="G5458" s="59"/>
    </row>
    <row r="5459" spans="3:7" ht="20.25" customHeight="1" x14ac:dyDescent="0.3">
      <c r="C5459" s="59"/>
      <c r="D5459" s="69"/>
      <c r="E5459" s="69"/>
      <c r="F5459" s="17"/>
      <c r="G5459" s="59"/>
    </row>
    <row r="5460" spans="3:7" ht="20.25" customHeight="1" x14ac:dyDescent="0.3">
      <c r="C5460" s="59"/>
      <c r="D5460" s="69"/>
      <c r="E5460" s="69"/>
      <c r="F5460" s="17"/>
      <c r="G5460" s="59"/>
    </row>
    <row r="5461" spans="3:7" ht="20.25" customHeight="1" x14ac:dyDescent="0.3">
      <c r="C5461" s="59"/>
      <c r="D5461" s="69"/>
      <c r="E5461" s="69"/>
      <c r="F5461" s="17"/>
      <c r="G5461" s="59"/>
    </row>
    <row r="5462" spans="3:7" ht="20.25" customHeight="1" x14ac:dyDescent="0.3">
      <c r="C5462" s="59"/>
      <c r="D5462" s="69"/>
      <c r="E5462" s="69"/>
      <c r="F5462" s="17"/>
      <c r="G5462" s="59"/>
    </row>
    <row r="5463" spans="3:7" ht="20.25" customHeight="1" x14ac:dyDescent="0.3">
      <c r="C5463" s="59"/>
      <c r="D5463" s="69"/>
      <c r="E5463" s="69"/>
      <c r="F5463" s="17"/>
      <c r="G5463" s="59"/>
    </row>
    <row r="5464" spans="3:7" ht="20.25" customHeight="1" x14ac:dyDescent="0.3">
      <c r="C5464" s="59"/>
      <c r="D5464" s="69"/>
      <c r="E5464" s="69"/>
      <c r="F5464" s="17"/>
      <c r="G5464" s="59"/>
    </row>
    <row r="5465" spans="3:7" ht="20.25" customHeight="1" x14ac:dyDescent="0.3">
      <c r="C5465" s="59"/>
      <c r="D5465" s="69"/>
      <c r="E5465" s="69"/>
      <c r="F5465" s="17"/>
      <c r="G5465" s="59"/>
    </row>
    <row r="5466" spans="3:7" ht="20.25" customHeight="1" x14ac:dyDescent="0.3">
      <c r="C5466" s="59"/>
      <c r="D5466" s="69"/>
      <c r="E5466" s="69"/>
      <c r="F5466" s="17"/>
      <c r="G5466" s="59"/>
    </row>
    <row r="5467" spans="3:7" ht="20.25" customHeight="1" x14ac:dyDescent="0.3">
      <c r="C5467" s="59"/>
      <c r="D5467" s="69"/>
      <c r="E5467" s="69"/>
      <c r="F5467" s="17"/>
      <c r="G5467" s="59"/>
    </row>
    <row r="5468" spans="3:7" ht="20.25" customHeight="1" x14ac:dyDescent="0.3">
      <c r="C5468" s="59"/>
      <c r="D5468" s="69"/>
      <c r="E5468" s="69"/>
      <c r="F5468" s="17"/>
      <c r="G5468" s="59"/>
    </row>
    <row r="5469" spans="3:7" ht="20.25" customHeight="1" x14ac:dyDescent="0.3">
      <c r="C5469" s="59"/>
      <c r="D5469" s="69"/>
      <c r="E5469" s="69"/>
      <c r="F5469" s="17"/>
      <c r="G5469" s="59"/>
    </row>
    <row r="5470" spans="3:7" ht="20.25" customHeight="1" x14ac:dyDescent="0.3">
      <c r="C5470" s="59"/>
      <c r="D5470" s="69"/>
      <c r="E5470" s="69"/>
      <c r="F5470" s="17"/>
      <c r="G5470" s="59"/>
    </row>
    <row r="5471" spans="3:7" ht="20.25" customHeight="1" x14ac:dyDescent="0.3">
      <c r="C5471" s="59"/>
      <c r="D5471" s="69"/>
      <c r="E5471" s="69"/>
      <c r="F5471" s="17"/>
      <c r="G5471" s="59"/>
    </row>
    <row r="5472" spans="3:7" ht="20.25" customHeight="1" x14ac:dyDescent="0.3">
      <c r="C5472" s="59"/>
      <c r="D5472" s="69"/>
      <c r="E5472" s="69"/>
      <c r="F5472" s="17"/>
      <c r="G5472" s="59"/>
    </row>
    <row r="5473" spans="3:7" ht="20.25" customHeight="1" x14ac:dyDescent="0.3">
      <c r="C5473" s="59"/>
      <c r="D5473" s="69"/>
      <c r="E5473" s="69"/>
      <c r="F5473" s="17"/>
      <c r="G5473" s="59"/>
    </row>
    <row r="5474" spans="3:7" ht="20.25" customHeight="1" x14ac:dyDescent="0.3">
      <c r="C5474" s="59"/>
      <c r="D5474" s="69"/>
      <c r="E5474" s="69"/>
      <c r="F5474" s="17"/>
      <c r="G5474" s="59"/>
    </row>
    <row r="5475" spans="3:7" ht="20.25" customHeight="1" x14ac:dyDescent="0.3">
      <c r="C5475" s="59"/>
      <c r="D5475" s="69"/>
      <c r="E5475" s="69"/>
      <c r="F5475" s="17"/>
      <c r="G5475" s="59"/>
    </row>
    <row r="5476" spans="3:7" ht="20.25" customHeight="1" x14ac:dyDescent="0.3">
      <c r="C5476" s="59"/>
      <c r="D5476" s="69"/>
      <c r="E5476" s="69"/>
      <c r="F5476" s="17"/>
      <c r="G5476" s="59"/>
    </row>
    <row r="5477" spans="3:7" ht="20.25" customHeight="1" x14ac:dyDescent="0.3">
      <c r="C5477" s="59"/>
      <c r="D5477" s="69"/>
      <c r="E5477" s="69"/>
      <c r="F5477" s="17"/>
      <c r="G5477" s="59"/>
    </row>
    <row r="5478" spans="3:7" ht="20.25" customHeight="1" x14ac:dyDescent="0.3">
      <c r="C5478" s="59"/>
      <c r="D5478" s="69"/>
      <c r="E5478" s="69"/>
      <c r="F5478" s="17"/>
      <c r="G5478" s="59"/>
    </row>
    <row r="5479" spans="3:7" ht="20.25" customHeight="1" x14ac:dyDescent="0.3">
      <c r="C5479" s="59"/>
      <c r="D5479" s="69"/>
      <c r="E5479" s="69"/>
      <c r="F5479" s="17"/>
      <c r="G5479" s="59"/>
    </row>
    <row r="5480" spans="3:7" ht="20.25" customHeight="1" x14ac:dyDescent="0.3">
      <c r="C5480" s="59"/>
      <c r="D5480" s="69"/>
      <c r="E5480" s="69"/>
      <c r="F5480" s="17"/>
      <c r="G5480" s="59"/>
    </row>
    <row r="5481" spans="3:7" ht="20.25" customHeight="1" x14ac:dyDescent="0.3">
      <c r="C5481" s="59"/>
      <c r="D5481" s="69"/>
      <c r="E5481" s="69"/>
      <c r="F5481" s="17"/>
      <c r="G5481" s="59"/>
    </row>
    <row r="5482" spans="3:7" ht="20.25" customHeight="1" x14ac:dyDescent="0.3">
      <c r="C5482" s="59"/>
      <c r="D5482" s="69"/>
      <c r="E5482" s="69"/>
      <c r="F5482" s="17"/>
      <c r="G5482" s="59"/>
    </row>
    <row r="5483" spans="3:7" ht="20.25" customHeight="1" x14ac:dyDescent="0.3">
      <c r="C5483" s="59"/>
      <c r="D5483" s="69"/>
      <c r="E5483" s="69"/>
      <c r="F5483" s="17"/>
      <c r="G5483" s="59"/>
    </row>
    <row r="5484" spans="3:7" ht="20.25" customHeight="1" x14ac:dyDescent="0.3">
      <c r="C5484" s="59"/>
      <c r="D5484" s="69"/>
      <c r="E5484" s="69"/>
      <c r="F5484" s="17"/>
      <c r="G5484" s="59"/>
    </row>
    <row r="5485" spans="3:7" ht="20.25" customHeight="1" x14ac:dyDescent="0.3">
      <c r="C5485" s="59"/>
      <c r="D5485" s="69"/>
      <c r="E5485" s="69"/>
      <c r="F5485" s="17"/>
      <c r="G5485" s="59"/>
    </row>
    <row r="5486" spans="3:7" ht="20.25" customHeight="1" x14ac:dyDescent="0.3">
      <c r="C5486" s="59"/>
      <c r="D5486" s="69"/>
      <c r="E5486" s="69"/>
      <c r="F5486" s="17"/>
      <c r="G5486" s="59"/>
    </row>
    <row r="5487" spans="3:7" ht="20.25" customHeight="1" x14ac:dyDescent="0.3">
      <c r="C5487" s="59"/>
      <c r="D5487" s="69"/>
      <c r="E5487" s="69"/>
      <c r="F5487" s="17"/>
      <c r="G5487" s="59"/>
    </row>
    <row r="5488" spans="3:7" ht="20.25" customHeight="1" x14ac:dyDescent="0.3">
      <c r="C5488" s="59"/>
      <c r="D5488" s="69"/>
      <c r="E5488" s="69"/>
      <c r="F5488" s="17"/>
      <c r="G5488" s="59"/>
    </row>
    <row r="5489" spans="3:7" ht="20.25" customHeight="1" x14ac:dyDescent="0.3">
      <c r="C5489" s="59"/>
      <c r="D5489" s="69"/>
      <c r="E5489" s="69"/>
      <c r="F5489" s="17"/>
      <c r="G5489" s="59"/>
    </row>
    <row r="5490" spans="3:7" ht="20.25" customHeight="1" x14ac:dyDescent="0.3">
      <c r="C5490" s="59"/>
      <c r="D5490" s="69"/>
      <c r="E5490" s="69"/>
      <c r="F5490" s="17"/>
      <c r="G5490" s="59"/>
    </row>
    <row r="5491" spans="3:7" ht="20.25" customHeight="1" x14ac:dyDescent="0.3">
      <c r="C5491" s="59"/>
      <c r="D5491" s="69"/>
      <c r="E5491" s="69"/>
      <c r="F5491" s="17"/>
      <c r="G5491" s="59"/>
    </row>
    <row r="5492" spans="3:7" ht="20.25" customHeight="1" x14ac:dyDescent="0.3">
      <c r="C5492" s="59"/>
      <c r="D5492" s="69"/>
      <c r="E5492" s="69"/>
      <c r="F5492" s="17"/>
      <c r="G5492" s="59"/>
    </row>
    <row r="5493" spans="3:7" ht="20.25" customHeight="1" x14ac:dyDescent="0.3">
      <c r="C5493" s="59"/>
      <c r="D5493" s="69"/>
      <c r="E5493" s="69"/>
      <c r="F5493" s="17"/>
      <c r="G5493" s="59"/>
    </row>
    <row r="5494" spans="3:7" ht="20.25" customHeight="1" x14ac:dyDescent="0.3">
      <c r="C5494" s="59"/>
      <c r="D5494" s="69"/>
      <c r="E5494" s="69"/>
      <c r="F5494" s="17"/>
      <c r="G5494" s="59"/>
    </row>
    <row r="5495" spans="3:7" ht="20.25" customHeight="1" x14ac:dyDescent="0.3">
      <c r="C5495" s="59"/>
      <c r="D5495" s="69"/>
      <c r="E5495" s="69"/>
      <c r="F5495" s="17"/>
      <c r="G5495" s="59"/>
    </row>
    <row r="5496" spans="3:7" ht="20.25" customHeight="1" x14ac:dyDescent="0.3">
      <c r="C5496" s="59"/>
      <c r="D5496" s="69"/>
      <c r="E5496" s="69"/>
      <c r="F5496" s="17"/>
      <c r="G5496" s="59"/>
    </row>
    <row r="5497" spans="3:7" ht="20.25" customHeight="1" x14ac:dyDescent="0.3">
      <c r="C5497" s="59"/>
      <c r="D5497" s="69"/>
      <c r="E5497" s="69"/>
      <c r="F5497" s="17"/>
      <c r="G5497" s="59"/>
    </row>
    <row r="5498" spans="3:7" ht="20.25" customHeight="1" x14ac:dyDescent="0.3">
      <c r="C5498" s="59"/>
      <c r="D5498" s="69"/>
      <c r="E5498" s="69"/>
      <c r="F5498" s="17"/>
      <c r="G5498" s="59"/>
    </row>
    <row r="5499" spans="3:7" ht="20.25" customHeight="1" x14ac:dyDescent="0.3">
      <c r="C5499" s="59"/>
      <c r="D5499" s="69"/>
      <c r="E5499" s="69"/>
      <c r="F5499" s="17"/>
      <c r="G5499" s="59"/>
    </row>
    <row r="5500" spans="3:7" ht="20.25" customHeight="1" x14ac:dyDescent="0.3">
      <c r="C5500" s="59"/>
      <c r="D5500" s="69"/>
      <c r="E5500" s="69"/>
      <c r="F5500" s="17"/>
      <c r="G5500" s="59"/>
    </row>
    <row r="5501" spans="3:7" ht="20.25" customHeight="1" x14ac:dyDescent="0.3">
      <c r="C5501" s="59"/>
      <c r="D5501" s="69"/>
      <c r="E5501" s="69"/>
      <c r="F5501" s="17"/>
      <c r="G5501" s="59"/>
    </row>
    <row r="5502" spans="3:7" ht="20.25" customHeight="1" x14ac:dyDescent="0.3">
      <c r="C5502" s="59"/>
      <c r="D5502" s="69"/>
      <c r="E5502" s="69"/>
      <c r="F5502" s="17"/>
      <c r="G5502" s="59"/>
    </row>
    <row r="5503" spans="3:7" ht="20.25" customHeight="1" x14ac:dyDescent="0.3">
      <c r="C5503" s="59"/>
      <c r="D5503" s="69"/>
      <c r="E5503" s="69"/>
      <c r="F5503" s="17"/>
      <c r="G5503" s="59"/>
    </row>
    <row r="5504" spans="3:7" ht="20.25" customHeight="1" x14ac:dyDescent="0.3">
      <c r="C5504" s="59"/>
      <c r="D5504" s="69"/>
      <c r="E5504" s="69"/>
      <c r="F5504" s="17"/>
      <c r="G5504" s="59"/>
    </row>
    <row r="5505" spans="3:7" ht="20.25" customHeight="1" x14ac:dyDescent="0.3">
      <c r="C5505" s="59"/>
      <c r="D5505" s="69"/>
      <c r="E5505" s="69"/>
      <c r="F5505" s="17"/>
      <c r="G5505" s="59"/>
    </row>
    <row r="5506" spans="3:7" ht="20.25" customHeight="1" x14ac:dyDescent="0.3">
      <c r="C5506" s="59"/>
      <c r="D5506" s="69"/>
      <c r="E5506" s="69"/>
      <c r="F5506" s="17"/>
      <c r="G5506" s="59"/>
    </row>
    <row r="5507" spans="3:7" ht="20.25" customHeight="1" x14ac:dyDescent="0.3">
      <c r="C5507" s="59"/>
      <c r="D5507" s="69"/>
      <c r="E5507" s="69"/>
      <c r="F5507" s="17"/>
      <c r="G5507" s="59"/>
    </row>
    <row r="5508" spans="3:7" ht="20.25" customHeight="1" x14ac:dyDescent="0.3">
      <c r="C5508" s="59"/>
      <c r="D5508" s="69"/>
      <c r="E5508" s="69"/>
      <c r="F5508" s="17"/>
      <c r="G5508" s="59"/>
    </row>
    <row r="5509" spans="3:7" ht="20.25" customHeight="1" x14ac:dyDescent="0.3">
      <c r="C5509" s="59"/>
      <c r="D5509" s="69"/>
      <c r="E5509" s="69"/>
      <c r="F5509" s="17"/>
      <c r="G5509" s="59"/>
    </row>
    <row r="5510" spans="3:7" ht="20.25" customHeight="1" x14ac:dyDescent="0.3">
      <c r="C5510" s="59"/>
      <c r="D5510" s="69"/>
      <c r="E5510" s="69"/>
      <c r="F5510" s="17"/>
      <c r="G5510" s="59"/>
    </row>
    <row r="5511" spans="3:7" ht="20.25" customHeight="1" x14ac:dyDescent="0.3">
      <c r="C5511" s="59"/>
      <c r="D5511" s="69"/>
      <c r="E5511" s="69"/>
      <c r="F5511" s="17"/>
      <c r="G5511" s="59"/>
    </row>
    <row r="5512" spans="3:7" ht="20.25" customHeight="1" x14ac:dyDescent="0.3">
      <c r="C5512" s="59"/>
      <c r="D5512" s="69"/>
      <c r="E5512" s="69"/>
      <c r="F5512" s="17"/>
      <c r="G5512" s="59"/>
    </row>
    <row r="5513" spans="3:7" ht="20.25" customHeight="1" x14ac:dyDescent="0.3">
      <c r="C5513" s="59"/>
      <c r="D5513" s="69"/>
      <c r="E5513" s="69"/>
      <c r="F5513" s="17"/>
      <c r="G5513" s="59"/>
    </row>
    <row r="5514" spans="3:7" ht="20.25" customHeight="1" x14ac:dyDescent="0.3">
      <c r="C5514" s="59"/>
      <c r="D5514" s="69"/>
      <c r="E5514" s="69"/>
      <c r="F5514" s="17"/>
      <c r="G5514" s="59"/>
    </row>
    <row r="5515" spans="3:7" ht="20.25" customHeight="1" x14ac:dyDescent="0.3">
      <c r="C5515" s="59"/>
      <c r="D5515" s="69"/>
      <c r="E5515" s="69"/>
      <c r="F5515" s="17"/>
      <c r="G5515" s="59"/>
    </row>
    <row r="5516" spans="3:7" ht="20.25" customHeight="1" x14ac:dyDescent="0.3">
      <c r="C5516" s="59"/>
      <c r="D5516" s="69"/>
      <c r="E5516" s="69"/>
      <c r="F5516" s="17"/>
      <c r="G5516" s="59"/>
    </row>
    <row r="5517" spans="3:7" ht="20.25" customHeight="1" x14ac:dyDescent="0.3">
      <c r="C5517" s="59"/>
      <c r="D5517" s="69"/>
      <c r="E5517" s="69"/>
      <c r="F5517" s="17"/>
      <c r="G5517" s="59"/>
    </row>
    <row r="5518" spans="3:7" ht="20.25" customHeight="1" x14ac:dyDescent="0.3">
      <c r="C5518" s="59"/>
      <c r="D5518" s="69"/>
      <c r="E5518" s="69"/>
      <c r="F5518" s="17"/>
      <c r="G5518" s="59"/>
    </row>
    <row r="5519" spans="3:7" ht="20.25" customHeight="1" x14ac:dyDescent="0.3">
      <c r="C5519" s="59"/>
      <c r="D5519" s="69"/>
      <c r="E5519" s="69"/>
      <c r="F5519" s="17"/>
      <c r="G5519" s="59"/>
    </row>
    <row r="5520" spans="3:7" ht="20.25" customHeight="1" x14ac:dyDescent="0.3">
      <c r="C5520" s="59"/>
      <c r="D5520" s="69"/>
      <c r="E5520" s="69"/>
      <c r="F5520" s="17"/>
      <c r="G5520" s="59"/>
    </row>
    <row r="5521" spans="3:7" ht="20.25" customHeight="1" x14ac:dyDescent="0.3">
      <c r="C5521" s="59"/>
      <c r="D5521" s="69"/>
      <c r="E5521" s="69"/>
      <c r="F5521" s="17"/>
      <c r="G5521" s="59"/>
    </row>
    <row r="5522" spans="3:7" ht="20.25" customHeight="1" x14ac:dyDescent="0.3">
      <c r="C5522" s="59"/>
      <c r="D5522" s="69"/>
      <c r="E5522" s="69"/>
      <c r="F5522" s="17"/>
      <c r="G5522" s="59"/>
    </row>
    <row r="5523" spans="3:7" ht="20.25" customHeight="1" x14ac:dyDescent="0.3">
      <c r="C5523" s="59"/>
      <c r="D5523" s="69"/>
      <c r="E5523" s="69"/>
      <c r="F5523" s="17"/>
      <c r="G5523" s="59"/>
    </row>
    <row r="5524" spans="3:7" ht="20.25" customHeight="1" x14ac:dyDescent="0.3">
      <c r="C5524" s="59"/>
      <c r="D5524" s="69"/>
      <c r="E5524" s="69"/>
      <c r="F5524" s="17"/>
      <c r="G5524" s="59"/>
    </row>
    <row r="5525" spans="3:7" ht="20.25" customHeight="1" x14ac:dyDescent="0.3">
      <c r="C5525" s="59"/>
      <c r="D5525" s="69"/>
      <c r="E5525" s="69"/>
      <c r="F5525" s="17"/>
      <c r="G5525" s="59"/>
    </row>
    <row r="5526" spans="3:7" ht="20.25" customHeight="1" x14ac:dyDescent="0.3">
      <c r="C5526" s="59"/>
      <c r="D5526" s="69"/>
      <c r="E5526" s="69"/>
      <c r="F5526" s="17"/>
      <c r="G5526" s="59"/>
    </row>
    <row r="5527" spans="3:7" ht="20.25" customHeight="1" x14ac:dyDescent="0.3">
      <c r="C5527" s="59"/>
      <c r="D5527" s="69"/>
      <c r="E5527" s="69"/>
      <c r="F5527" s="17"/>
      <c r="G5527" s="59"/>
    </row>
    <row r="5528" spans="3:7" ht="20.25" customHeight="1" x14ac:dyDescent="0.3">
      <c r="C5528" s="59"/>
      <c r="D5528" s="69"/>
      <c r="E5528" s="69"/>
      <c r="F5528" s="17"/>
      <c r="G5528" s="59"/>
    </row>
    <row r="5529" spans="3:7" ht="20.25" customHeight="1" x14ac:dyDescent="0.3">
      <c r="C5529" s="59"/>
      <c r="D5529" s="69"/>
      <c r="E5529" s="69"/>
      <c r="F5529" s="17"/>
      <c r="G5529" s="59"/>
    </row>
    <row r="5530" spans="3:7" ht="20.25" customHeight="1" x14ac:dyDescent="0.3">
      <c r="C5530" s="59"/>
      <c r="D5530" s="69"/>
      <c r="E5530" s="69"/>
      <c r="F5530" s="17"/>
      <c r="G5530" s="59"/>
    </row>
    <row r="5531" spans="3:7" ht="20.25" customHeight="1" x14ac:dyDescent="0.3">
      <c r="C5531" s="59"/>
      <c r="D5531" s="69"/>
      <c r="E5531" s="69"/>
      <c r="F5531" s="17"/>
      <c r="G5531" s="59"/>
    </row>
    <row r="5532" spans="3:7" ht="20.25" customHeight="1" x14ac:dyDescent="0.3">
      <c r="C5532" s="59"/>
      <c r="D5532" s="69"/>
      <c r="E5532" s="69"/>
      <c r="F5532" s="17"/>
      <c r="G5532" s="59"/>
    </row>
    <row r="5533" spans="3:7" ht="20.25" customHeight="1" x14ac:dyDescent="0.3">
      <c r="C5533" s="59"/>
      <c r="D5533" s="69"/>
      <c r="E5533" s="69"/>
      <c r="F5533" s="17"/>
      <c r="G5533" s="59"/>
    </row>
    <row r="5534" spans="3:7" ht="20.25" customHeight="1" x14ac:dyDescent="0.3">
      <c r="C5534" s="59"/>
      <c r="D5534" s="69"/>
      <c r="E5534" s="69"/>
      <c r="F5534" s="17"/>
      <c r="G5534" s="59"/>
    </row>
    <row r="5535" spans="3:7" ht="20.25" customHeight="1" x14ac:dyDescent="0.3">
      <c r="C5535" s="59"/>
      <c r="D5535" s="69"/>
      <c r="E5535" s="69"/>
      <c r="F5535" s="17"/>
      <c r="G5535" s="59"/>
    </row>
    <row r="5536" spans="3:7" ht="20.25" customHeight="1" x14ac:dyDescent="0.3">
      <c r="C5536" s="59"/>
      <c r="D5536" s="69"/>
      <c r="E5536" s="69"/>
      <c r="F5536" s="17"/>
      <c r="G5536" s="59"/>
    </row>
    <row r="5537" spans="3:7" ht="20.25" customHeight="1" x14ac:dyDescent="0.3">
      <c r="C5537" s="59"/>
      <c r="D5537" s="69"/>
      <c r="E5537" s="69"/>
      <c r="F5537" s="17"/>
      <c r="G5537" s="59"/>
    </row>
    <row r="5538" spans="3:7" ht="20.25" customHeight="1" x14ac:dyDescent="0.3">
      <c r="C5538" s="59"/>
      <c r="D5538" s="69"/>
      <c r="E5538" s="69"/>
      <c r="F5538" s="17"/>
      <c r="G5538" s="59"/>
    </row>
    <row r="5539" spans="3:7" ht="20.25" customHeight="1" x14ac:dyDescent="0.3">
      <c r="C5539" s="59"/>
      <c r="D5539" s="69"/>
      <c r="E5539" s="69"/>
      <c r="F5539" s="17"/>
      <c r="G5539" s="59"/>
    </row>
    <row r="5540" spans="3:7" ht="20.25" customHeight="1" x14ac:dyDescent="0.3">
      <c r="C5540" s="59"/>
      <c r="D5540" s="69"/>
      <c r="E5540" s="69"/>
      <c r="F5540" s="17"/>
      <c r="G5540" s="59"/>
    </row>
    <row r="5541" spans="3:7" ht="20.25" customHeight="1" x14ac:dyDescent="0.3">
      <c r="C5541" s="59"/>
      <c r="D5541" s="69"/>
      <c r="E5541" s="69"/>
      <c r="F5541" s="17"/>
      <c r="G5541" s="59"/>
    </row>
    <row r="5542" spans="3:7" ht="20.25" customHeight="1" x14ac:dyDescent="0.3">
      <c r="C5542" s="59"/>
      <c r="D5542" s="69"/>
      <c r="E5542" s="69"/>
      <c r="F5542" s="17"/>
      <c r="G5542" s="59"/>
    </row>
    <row r="5543" spans="3:7" ht="20.25" customHeight="1" x14ac:dyDescent="0.3">
      <c r="C5543" s="59"/>
      <c r="D5543" s="69"/>
      <c r="E5543" s="69"/>
      <c r="F5543" s="17"/>
      <c r="G5543" s="59"/>
    </row>
    <row r="5544" spans="3:7" ht="20.25" customHeight="1" x14ac:dyDescent="0.3">
      <c r="C5544" s="59"/>
      <c r="D5544" s="69"/>
      <c r="E5544" s="69"/>
      <c r="F5544" s="17"/>
      <c r="G5544" s="59"/>
    </row>
    <row r="5545" spans="3:7" ht="20.25" customHeight="1" x14ac:dyDescent="0.3">
      <c r="C5545" s="59"/>
      <c r="D5545" s="69"/>
      <c r="E5545" s="69"/>
      <c r="F5545" s="17"/>
      <c r="G5545" s="59"/>
    </row>
    <row r="5546" spans="3:7" ht="20.25" customHeight="1" x14ac:dyDescent="0.3">
      <c r="C5546" s="59"/>
      <c r="D5546" s="69"/>
      <c r="E5546" s="69"/>
      <c r="F5546" s="17"/>
      <c r="G5546" s="59"/>
    </row>
    <row r="5547" spans="3:7" ht="20.25" customHeight="1" x14ac:dyDescent="0.3">
      <c r="C5547" s="59"/>
      <c r="D5547" s="69"/>
      <c r="E5547" s="69"/>
      <c r="F5547" s="17"/>
      <c r="G5547" s="59"/>
    </row>
    <row r="5548" spans="3:7" ht="20.25" customHeight="1" x14ac:dyDescent="0.3">
      <c r="C5548" s="59"/>
      <c r="D5548" s="69"/>
      <c r="E5548" s="69"/>
      <c r="F5548" s="17"/>
      <c r="G5548" s="59"/>
    </row>
    <row r="5549" spans="3:7" ht="20.25" customHeight="1" x14ac:dyDescent="0.3">
      <c r="C5549" s="59"/>
      <c r="D5549" s="69"/>
      <c r="E5549" s="69"/>
      <c r="F5549" s="17"/>
      <c r="G5549" s="59"/>
    </row>
    <row r="5550" spans="3:7" ht="20.25" customHeight="1" x14ac:dyDescent="0.3">
      <c r="C5550" s="59"/>
      <c r="D5550" s="69"/>
      <c r="E5550" s="69"/>
      <c r="F5550" s="17"/>
      <c r="G5550" s="59"/>
    </row>
    <row r="5551" spans="3:7" ht="20.25" customHeight="1" x14ac:dyDescent="0.3">
      <c r="C5551" s="59"/>
      <c r="D5551" s="69"/>
      <c r="E5551" s="69"/>
      <c r="F5551" s="17"/>
      <c r="G5551" s="59"/>
    </row>
    <row r="5552" spans="3:7" ht="20.25" customHeight="1" x14ac:dyDescent="0.3">
      <c r="C5552" s="59"/>
      <c r="D5552" s="69"/>
      <c r="E5552" s="69"/>
      <c r="F5552" s="17"/>
      <c r="G5552" s="59"/>
    </row>
    <row r="5553" spans="3:7" ht="20.25" customHeight="1" x14ac:dyDescent="0.3">
      <c r="C5553" s="59"/>
      <c r="D5553" s="69"/>
      <c r="E5553" s="69"/>
      <c r="F5553" s="17"/>
      <c r="G5553" s="59"/>
    </row>
    <row r="5554" spans="3:7" ht="20.25" customHeight="1" x14ac:dyDescent="0.3">
      <c r="C5554" s="59"/>
      <c r="D5554" s="69"/>
      <c r="E5554" s="69"/>
      <c r="F5554" s="17"/>
      <c r="G5554" s="59"/>
    </row>
    <row r="5555" spans="3:7" ht="20.25" customHeight="1" x14ac:dyDescent="0.3">
      <c r="C5555" s="59"/>
      <c r="D5555" s="69"/>
      <c r="E5555" s="69"/>
      <c r="F5555" s="17"/>
      <c r="G5555" s="59"/>
    </row>
    <row r="5556" spans="3:7" ht="20.25" customHeight="1" x14ac:dyDescent="0.3">
      <c r="C5556" s="59"/>
      <c r="D5556" s="69"/>
      <c r="E5556" s="69"/>
      <c r="F5556" s="17"/>
      <c r="G5556" s="59"/>
    </row>
    <row r="5557" spans="3:7" ht="20.25" customHeight="1" x14ac:dyDescent="0.3">
      <c r="C5557" s="59"/>
      <c r="D5557" s="69"/>
      <c r="E5557" s="69"/>
      <c r="F5557" s="17"/>
      <c r="G5557" s="59"/>
    </row>
    <row r="5558" spans="3:7" ht="20.25" customHeight="1" x14ac:dyDescent="0.3">
      <c r="C5558" s="59"/>
      <c r="D5558" s="69"/>
      <c r="E5558" s="69"/>
      <c r="F5558" s="17"/>
      <c r="G5558" s="59"/>
    </row>
    <row r="5559" spans="3:7" ht="20.25" customHeight="1" x14ac:dyDescent="0.3">
      <c r="C5559" s="59"/>
      <c r="D5559" s="69"/>
      <c r="E5559" s="69"/>
      <c r="F5559" s="17"/>
      <c r="G5559" s="59"/>
    </row>
    <row r="5560" spans="3:7" ht="20.25" customHeight="1" x14ac:dyDescent="0.3">
      <c r="C5560" s="59"/>
      <c r="D5560" s="69"/>
      <c r="E5560" s="69"/>
      <c r="F5560" s="17"/>
      <c r="G5560" s="59"/>
    </row>
    <row r="5561" spans="3:7" ht="20.25" customHeight="1" x14ac:dyDescent="0.3">
      <c r="C5561" s="59"/>
      <c r="D5561" s="69"/>
      <c r="E5561" s="69"/>
      <c r="F5561" s="17"/>
      <c r="G5561" s="59"/>
    </row>
    <row r="5562" spans="3:7" ht="20.25" customHeight="1" x14ac:dyDescent="0.3">
      <c r="C5562" s="59"/>
      <c r="D5562" s="69"/>
      <c r="E5562" s="69"/>
      <c r="F5562" s="17"/>
      <c r="G5562" s="59"/>
    </row>
    <row r="5563" spans="3:7" ht="20.25" customHeight="1" x14ac:dyDescent="0.3">
      <c r="C5563" s="59"/>
      <c r="D5563" s="69"/>
      <c r="E5563" s="69"/>
      <c r="F5563" s="17"/>
      <c r="G5563" s="59"/>
    </row>
    <row r="5564" spans="3:7" ht="20.25" customHeight="1" x14ac:dyDescent="0.3">
      <c r="C5564" s="59"/>
      <c r="D5564" s="69"/>
      <c r="E5564" s="69"/>
      <c r="F5564" s="17"/>
      <c r="G5564" s="59"/>
    </row>
    <row r="5565" spans="3:7" ht="20.25" customHeight="1" x14ac:dyDescent="0.3">
      <c r="C5565" s="59"/>
      <c r="D5565" s="69"/>
      <c r="E5565" s="69"/>
      <c r="F5565" s="17"/>
      <c r="G5565" s="59"/>
    </row>
    <row r="5566" spans="3:7" ht="20.25" customHeight="1" x14ac:dyDescent="0.3">
      <c r="C5566" s="59"/>
      <c r="D5566" s="69"/>
      <c r="E5566" s="69"/>
      <c r="F5566" s="17"/>
      <c r="G5566" s="59"/>
    </row>
    <row r="5567" spans="3:7" ht="20.25" customHeight="1" x14ac:dyDescent="0.3">
      <c r="C5567" s="59"/>
      <c r="D5567" s="69"/>
      <c r="E5567" s="69"/>
      <c r="F5567" s="17"/>
      <c r="G5567" s="59"/>
    </row>
    <row r="5568" spans="3:7" ht="20.25" customHeight="1" x14ac:dyDescent="0.3">
      <c r="C5568" s="59"/>
      <c r="D5568" s="69"/>
      <c r="E5568" s="69"/>
      <c r="F5568" s="17"/>
      <c r="G5568" s="59"/>
    </row>
    <row r="5569" spans="3:7" ht="20.25" customHeight="1" x14ac:dyDescent="0.3">
      <c r="C5569" s="59"/>
      <c r="D5569" s="69"/>
      <c r="E5569" s="69"/>
      <c r="F5569" s="17"/>
      <c r="G5569" s="59"/>
    </row>
    <row r="5570" spans="3:7" ht="20.25" customHeight="1" x14ac:dyDescent="0.3">
      <c r="C5570" s="59"/>
      <c r="D5570" s="69"/>
      <c r="E5570" s="69"/>
      <c r="F5570" s="17"/>
      <c r="G5570" s="59"/>
    </row>
    <row r="5571" spans="3:7" ht="20.25" customHeight="1" x14ac:dyDescent="0.3">
      <c r="C5571" s="59"/>
      <c r="D5571" s="69"/>
      <c r="E5571" s="69"/>
      <c r="F5571" s="17"/>
      <c r="G5571" s="59"/>
    </row>
    <row r="5572" spans="3:7" ht="20.25" customHeight="1" x14ac:dyDescent="0.3">
      <c r="C5572" s="59"/>
      <c r="D5572" s="69"/>
      <c r="E5572" s="69"/>
      <c r="F5572" s="17"/>
      <c r="G5572" s="59"/>
    </row>
    <row r="5573" spans="3:7" ht="20.25" customHeight="1" x14ac:dyDescent="0.3">
      <c r="C5573" s="59"/>
      <c r="D5573" s="69"/>
      <c r="E5573" s="69"/>
      <c r="F5573" s="17"/>
      <c r="G5573" s="59"/>
    </row>
    <row r="5574" spans="3:7" ht="20.25" customHeight="1" x14ac:dyDescent="0.3">
      <c r="C5574" s="59"/>
      <c r="D5574" s="69"/>
      <c r="E5574" s="69"/>
      <c r="F5574" s="17"/>
      <c r="G5574" s="59"/>
    </row>
    <row r="5575" spans="3:7" ht="20.25" customHeight="1" x14ac:dyDescent="0.3">
      <c r="C5575" s="59"/>
      <c r="D5575" s="69"/>
      <c r="E5575" s="69"/>
      <c r="F5575" s="17"/>
      <c r="G5575" s="59"/>
    </row>
    <row r="5576" spans="3:7" ht="20.25" customHeight="1" x14ac:dyDescent="0.3">
      <c r="C5576" s="59"/>
      <c r="D5576" s="69"/>
      <c r="E5576" s="69"/>
      <c r="F5576" s="17"/>
      <c r="G5576" s="59"/>
    </row>
    <row r="5577" spans="3:7" ht="20.25" customHeight="1" x14ac:dyDescent="0.3">
      <c r="C5577" s="59"/>
      <c r="D5577" s="69"/>
      <c r="E5577" s="69"/>
      <c r="F5577" s="17"/>
      <c r="G5577" s="59"/>
    </row>
    <row r="5578" spans="3:7" ht="20.25" customHeight="1" x14ac:dyDescent="0.3">
      <c r="C5578" s="59"/>
      <c r="D5578" s="69"/>
      <c r="E5578" s="69"/>
      <c r="F5578" s="17"/>
      <c r="G5578" s="59"/>
    </row>
    <row r="5579" spans="3:7" ht="20.25" customHeight="1" x14ac:dyDescent="0.3">
      <c r="C5579" s="59"/>
      <c r="D5579" s="69"/>
      <c r="E5579" s="69"/>
      <c r="F5579" s="17"/>
      <c r="G5579" s="59"/>
    </row>
    <row r="5580" spans="3:7" ht="20.25" customHeight="1" x14ac:dyDescent="0.3">
      <c r="C5580" s="59"/>
      <c r="D5580" s="69"/>
      <c r="E5580" s="69"/>
      <c r="F5580" s="17"/>
      <c r="G5580" s="59"/>
    </row>
    <row r="5581" spans="3:7" ht="20.25" customHeight="1" x14ac:dyDescent="0.3">
      <c r="C5581" s="59"/>
      <c r="D5581" s="69"/>
      <c r="E5581" s="69"/>
      <c r="F5581" s="17"/>
      <c r="G5581" s="59"/>
    </row>
    <row r="5582" spans="3:7" ht="20.25" customHeight="1" x14ac:dyDescent="0.3">
      <c r="C5582" s="59"/>
      <c r="D5582" s="69"/>
      <c r="E5582" s="69"/>
      <c r="F5582" s="17"/>
      <c r="G5582" s="59"/>
    </row>
    <row r="5583" spans="3:7" ht="20.25" customHeight="1" x14ac:dyDescent="0.3">
      <c r="C5583" s="59"/>
      <c r="D5583" s="69"/>
      <c r="E5583" s="69"/>
      <c r="F5583" s="17"/>
      <c r="G5583" s="59"/>
    </row>
    <row r="5584" spans="3:7" ht="20.25" customHeight="1" x14ac:dyDescent="0.3">
      <c r="C5584" s="59"/>
      <c r="D5584" s="69"/>
      <c r="E5584" s="69"/>
      <c r="F5584" s="17"/>
      <c r="G5584" s="59"/>
    </row>
    <row r="5585" spans="3:7" ht="20.25" customHeight="1" x14ac:dyDescent="0.3">
      <c r="C5585" s="59"/>
      <c r="D5585" s="69"/>
      <c r="E5585" s="69"/>
      <c r="F5585" s="17"/>
      <c r="G5585" s="59"/>
    </row>
    <row r="5586" spans="3:7" ht="20.25" customHeight="1" x14ac:dyDescent="0.3">
      <c r="C5586" s="59"/>
      <c r="D5586" s="69"/>
      <c r="E5586" s="69"/>
      <c r="F5586" s="17"/>
      <c r="G5586" s="59"/>
    </row>
    <row r="5587" spans="3:7" ht="20.25" customHeight="1" x14ac:dyDescent="0.3">
      <c r="C5587" s="59"/>
      <c r="D5587" s="69"/>
      <c r="E5587" s="69"/>
      <c r="F5587" s="17"/>
      <c r="G5587" s="59"/>
    </row>
    <row r="5588" spans="3:7" ht="20.25" customHeight="1" x14ac:dyDescent="0.3">
      <c r="C5588" s="59"/>
      <c r="D5588" s="69"/>
      <c r="E5588" s="69"/>
      <c r="F5588" s="17"/>
      <c r="G5588" s="59"/>
    </row>
    <row r="5589" spans="3:7" ht="20.25" customHeight="1" x14ac:dyDescent="0.3">
      <c r="C5589" s="59"/>
      <c r="D5589" s="69"/>
      <c r="E5589" s="69"/>
      <c r="F5589" s="17"/>
      <c r="G5589" s="59"/>
    </row>
    <row r="5590" spans="3:7" ht="20.25" customHeight="1" x14ac:dyDescent="0.3">
      <c r="C5590" s="59"/>
      <c r="D5590" s="69"/>
      <c r="E5590" s="69"/>
      <c r="F5590" s="17"/>
      <c r="G5590" s="59"/>
    </row>
    <row r="5591" spans="3:7" ht="20.25" customHeight="1" x14ac:dyDescent="0.3">
      <c r="C5591" s="59"/>
      <c r="D5591" s="69"/>
      <c r="E5591" s="69"/>
      <c r="F5591" s="17"/>
      <c r="G5591" s="59"/>
    </row>
    <row r="5592" spans="3:7" ht="20.25" customHeight="1" x14ac:dyDescent="0.3">
      <c r="C5592" s="59"/>
      <c r="D5592" s="69"/>
      <c r="E5592" s="69"/>
      <c r="F5592" s="17"/>
      <c r="G5592" s="59"/>
    </row>
    <row r="5593" spans="3:7" ht="20.25" customHeight="1" x14ac:dyDescent="0.3">
      <c r="C5593" s="59"/>
      <c r="D5593" s="69"/>
      <c r="E5593" s="69"/>
      <c r="F5593" s="17"/>
      <c r="G5593" s="59"/>
    </row>
    <row r="5594" spans="3:7" ht="20.25" customHeight="1" x14ac:dyDescent="0.3">
      <c r="C5594" s="59"/>
      <c r="D5594" s="69"/>
      <c r="E5594" s="69"/>
      <c r="F5594" s="17"/>
      <c r="G5594" s="59"/>
    </row>
    <row r="5595" spans="3:7" ht="20.25" customHeight="1" x14ac:dyDescent="0.3">
      <c r="C5595" s="59"/>
      <c r="D5595" s="69"/>
      <c r="E5595" s="69"/>
      <c r="F5595" s="17"/>
      <c r="G5595" s="59"/>
    </row>
    <row r="5596" spans="3:7" ht="20.25" customHeight="1" x14ac:dyDescent="0.3">
      <c r="C5596" s="59"/>
      <c r="D5596" s="69"/>
      <c r="E5596" s="69"/>
      <c r="F5596" s="17"/>
      <c r="G5596" s="59"/>
    </row>
    <row r="5597" spans="3:7" ht="20.25" customHeight="1" x14ac:dyDescent="0.3">
      <c r="C5597" s="59"/>
      <c r="D5597" s="69"/>
      <c r="E5597" s="69"/>
      <c r="F5597" s="17"/>
      <c r="G5597" s="59"/>
    </row>
    <row r="5598" spans="3:7" ht="20.25" customHeight="1" x14ac:dyDescent="0.3">
      <c r="C5598" s="59"/>
      <c r="D5598" s="69"/>
      <c r="E5598" s="69"/>
      <c r="F5598" s="17"/>
      <c r="G5598" s="59"/>
    </row>
    <row r="5599" spans="3:7" ht="20.25" customHeight="1" x14ac:dyDescent="0.3">
      <c r="C5599" s="59"/>
      <c r="D5599" s="69"/>
      <c r="E5599" s="69"/>
      <c r="F5599" s="17"/>
      <c r="G5599" s="59"/>
    </row>
    <row r="5600" spans="3:7" ht="20.25" customHeight="1" x14ac:dyDescent="0.3">
      <c r="C5600" s="59"/>
      <c r="D5600" s="69"/>
      <c r="E5600" s="69"/>
      <c r="F5600" s="17"/>
      <c r="G5600" s="59"/>
    </row>
    <row r="5601" spans="3:7" ht="20.25" customHeight="1" x14ac:dyDescent="0.3">
      <c r="C5601" s="59"/>
      <c r="D5601" s="69"/>
      <c r="E5601" s="69"/>
      <c r="F5601" s="17"/>
      <c r="G5601" s="59"/>
    </row>
    <row r="5602" spans="3:7" ht="20.25" customHeight="1" x14ac:dyDescent="0.3">
      <c r="C5602" s="59"/>
      <c r="D5602" s="69"/>
      <c r="E5602" s="69"/>
      <c r="F5602" s="17"/>
      <c r="G5602" s="59"/>
    </row>
    <row r="5603" spans="3:7" ht="20.25" customHeight="1" x14ac:dyDescent="0.3">
      <c r="C5603" s="59"/>
      <c r="D5603" s="69"/>
      <c r="E5603" s="69"/>
      <c r="F5603" s="17"/>
      <c r="G5603" s="59"/>
    </row>
    <row r="5604" spans="3:7" ht="20.25" customHeight="1" x14ac:dyDescent="0.3">
      <c r="C5604" s="59"/>
      <c r="D5604" s="69"/>
      <c r="E5604" s="69"/>
      <c r="F5604" s="17"/>
      <c r="G5604" s="59"/>
    </row>
    <row r="5605" spans="3:7" ht="20.25" customHeight="1" x14ac:dyDescent="0.3">
      <c r="C5605" s="59"/>
      <c r="D5605" s="69"/>
      <c r="E5605" s="69"/>
      <c r="F5605" s="17"/>
      <c r="G5605" s="59"/>
    </row>
    <row r="5606" spans="3:7" ht="20.25" customHeight="1" x14ac:dyDescent="0.3">
      <c r="C5606" s="59"/>
      <c r="D5606" s="69"/>
      <c r="E5606" s="69"/>
      <c r="F5606" s="17"/>
      <c r="G5606" s="59"/>
    </row>
    <row r="5607" spans="3:7" ht="20.25" customHeight="1" x14ac:dyDescent="0.3">
      <c r="C5607" s="59"/>
      <c r="D5607" s="69"/>
      <c r="E5607" s="69"/>
      <c r="F5607" s="17"/>
      <c r="G5607" s="59"/>
    </row>
    <row r="5608" spans="3:7" ht="20.25" customHeight="1" x14ac:dyDescent="0.3">
      <c r="C5608" s="59"/>
      <c r="D5608" s="69"/>
      <c r="E5608" s="69"/>
      <c r="F5608" s="17"/>
      <c r="G5608" s="59"/>
    </row>
    <row r="5609" spans="3:7" ht="20.25" customHeight="1" x14ac:dyDescent="0.3">
      <c r="C5609" s="59"/>
      <c r="D5609" s="69"/>
      <c r="E5609" s="69"/>
      <c r="F5609" s="17"/>
      <c r="G5609" s="59"/>
    </row>
    <row r="5610" spans="3:7" ht="20.25" customHeight="1" x14ac:dyDescent="0.3">
      <c r="C5610" s="59"/>
      <c r="D5610" s="69"/>
      <c r="E5610" s="69"/>
      <c r="F5610" s="17"/>
      <c r="G5610" s="59"/>
    </row>
    <row r="5611" spans="3:7" ht="20.25" customHeight="1" x14ac:dyDescent="0.3">
      <c r="C5611" s="59"/>
      <c r="D5611" s="69"/>
      <c r="E5611" s="69"/>
      <c r="F5611" s="17"/>
      <c r="G5611" s="59"/>
    </row>
    <row r="5612" spans="3:7" ht="20.25" customHeight="1" x14ac:dyDescent="0.3">
      <c r="C5612" s="59"/>
      <c r="D5612" s="69"/>
      <c r="E5612" s="69"/>
      <c r="F5612" s="17"/>
      <c r="G5612" s="59"/>
    </row>
    <row r="5613" spans="3:7" ht="20.25" customHeight="1" x14ac:dyDescent="0.3">
      <c r="C5613" s="59"/>
      <c r="D5613" s="69"/>
      <c r="E5613" s="69"/>
      <c r="F5613" s="17"/>
      <c r="G5613" s="59"/>
    </row>
    <row r="5614" spans="3:7" ht="20.25" customHeight="1" x14ac:dyDescent="0.3">
      <c r="C5614" s="59"/>
      <c r="D5614" s="69"/>
      <c r="E5614" s="69"/>
      <c r="F5614" s="17"/>
      <c r="G5614" s="59"/>
    </row>
    <row r="5615" spans="3:7" ht="20.25" customHeight="1" x14ac:dyDescent="0.3">
      <c r="C5615" s="59"/>
      <c r="D5615" s="69"/>
      <c r="E5615" s="69"/>
      <c r="F5615" s="17"/>
      <c r="G5615" s="59"/>
    </row>
    <row r="5616" spans="3:7" ht="20.25" customHeight="1" x14ac:dyDescent="0.3">
      <c r="C5616" s="59"/>
      <c r="D5616" s="69"/>
      <c r="E5616" s="69"/>
      <c r="F5616" s="17"/>
      <c r="G5616" s="59"/>
    </row>
    <row r="5617" spans="3:7" ht="20.25" customHeight="1" x14ac:dyDescent="0.3">
      <c r="C5617" s="59"/>
      <c r="D5617" s="69"/>
      <c r="E5617" s="69"/>
      <c r="F5617" s="17"/>
      <c r="G5617" s="59"/>
    </row>
    <row r="5618" spans="3:7" ht="20.25" customHeight="1" x14ac:dyDescent="0.3">
      <c r="C5618" s="59"/>
      <c r="D5618" s="69"/>
      <c r="E5618" s="69"/>
      <c r="F5618" s="17"/>
      <c r="G5618" s="59"/>
    </row>
    <row r="5619" spans="3:7" ht="20.25" customHeight="1" x14ac:dyDescent="0.3">
      <c r="C5619" s="59"/>
      <c r="D5619" s="69"/>
      <c r="E5619" s="69"/>
      <c r="F5619" s="17"/>
      <c r="G5619" s="59"/>
    </row>
    <row r="5620" spans="3:7" ht="20.25" customHeight="1" x14ac:dyDescent="0.3">
      <c r="C5620" s="59"/>
      <c r="D5620" s="69"/>
      <c r="E5620" s="69"/>
      <c r="F5620" s="17"/>
      <c r="G5620" s="59"/>
    </row>
    <row r="5621" spans="3:7" ht="20.25" customHeight="1" x14ac:dyDescent="0.3">
      <c r="C5621" s="59"/>
      <c r="D5621" s="69"/>
      <c r="E5621" s="69"/>
      <c r="F5621" s="17"/>
      <c r="G5621" s="59"/>
    </row>
    <row r="5622" spans="3:7" ht="20.25" customHeight="1" x14ac:dyDescent="0.3">
      <c r="C5622" s="59"/>
      <c r="D5622" s="69"/>
      <c r="E5622" s="69"/>
      <c r="F5622" s="17"/>
      <c r="G5622" s="59"/>
    </row>
    <row r="5623" spans="3:7" ht="20.25" customHeight="1" x14ac:dyDescent="0.3">
      <c r="C5623" s="59"/>
      <c r="D5623" s="69"/>
      <c r="E5623" s="69"/>
      <c r="F5623" s="17"/>
      <c r="G5623" s="59"/>
    </row>
    <row r="5624" spans="3:7" ht="20.25" customHeight="1" x14ac:dyDescent="0.3">
      <c r="C5624" s="59"/>
      <c r="D5624" s="69"/>
      <c r="E5624" s="69"/>
      <c r="F5624" s="17"/>
      <c r="G5624" s="59"/>
    </row>
    <row r="5625" spans="3:7" ht="20.25" customHeight="1" x14ac:dyDescent="0.3">
      <c r="C5625" s="59"/>
      <c r="D5625" s="69"/>
      <c r="E5625" s="69"/>
      <c r="F5625" s="17"/>
      <c r="G5625" s="59"/>
    </row>
    <row r="5626" spans="3:7" ht="20.25" customHeight="1" x14ac:dyDescent="0.3">
      <c r="C5626" s="59"/>
      <c r="D5626" s="69"/>
      <c r="E5626" s="69"/>
      <c r="F5626" s="17"/>
      <c r="G5626" s="59"/>
    </row>
    <row r="5627" spans="3:7" ht="20.25" customHeight="1" x14ac:dyDescent="0.3">
      <c r="C5627" s="59"/>
      <c r="D5627" s="69"/>
      <c r="E5627" s="69"/>
      <c r="F5627" s="17"/>
      <c r="G5627" s="59"/>
    </row>
    <row r="5628" spans="3:7" ht="20.25" customHeight="1" x14ac:dyDescent="0.3">
      <c r="C5628" s="59"/>
      <c r="D5628" s="69"/>
      <c r="E5628" s="69"/>
      <c r="F5628" s="17"/>
      <c r="G5628" s="59"/>
    </row>
    <row r="5629" spans="3:7" ht="20.25" customHeight="1" x14ac:dyDescent="0.3">
      <c r="C5629" s="59"/>
      <c r="D5629" s="69"/>
      <c r="E5629" s="69"/>
      <c r="F5629" s="17"/>
      <c r="G5629" s="59"/>
    </row>
    <row r="5630" spans="3:7" ht="20.25" customHeight="1" x14ac:dyDescent="0.3">
      <c r="C5630" s="59"/>
      <c r="D5630" s="69"/>
      <c r="E5630" s="69"/>
      <c r="F5630" s="17"/>
      <c r="G5630" s="59"/>
    </row>
    <row r="5631" spans="3:7" ht="20.25" customHeight="1" x14ac:dyDescent="0.3">
      <c r="C5631" s="59"/>
      <c r="D5631" s="69"/>
      <c r="E5631" s="69"/>
      <c r="F5631" s="17"/>
      <c r="G5631" s="59"/>
    </row>
    <row r="5632" spans="3:7" ht="20.25" customHeight="1" x14ac:dyDescent="0.3">
      <c r="C5632" s="59"/>
      <c r="D5632" s="69"/>
      <c r="E5632" s="69"/>
      <c r="F5632" s="17"/>
      <c r="G5632" s="59"/>
    </row>
    <row r="5633" spans="3:7" ht="20.25" customHeight="1" x14ac:dyDescent="0.3">
      <c r="C5633" s="59"/>
      <c r="D5633" s="69"/>
      <c r="E5633" s="69"/>
      <c r="F5633" s="17"/>
      <c r="G5633" s="59"/>
    </row>
    <row r="5634" spans="3:7" ht="20.25" customHeight="1" x14ac:dyDescent="0.3">
      <c r="C5634" s="59"/>
      <c r="D5634" s="69"/>
      <c r="E5634" s="69"/>
      <c r="F5634" s="17"/>
      <c r="G5634" s="59"/>
    </row>
    <row r="5635" spans="3:7" ht="20.25" customHeight="1" x14ac:dyDescent="0.3">
      <c r="C5635" s="59"/>
      <c r="D5635" s="69"/>
      <c r="E5635" s="69"/>
      <c r="F5635" s="17"/>
      <c r="G5635" s="59"/>
    </row>
    <row r="5636" spans="3:7" ht="20.25" customHeight="1" x14ac:dyDescent="0.3">
      <c r="C5636" s="59"/>
      <c r="D5636" s="69"/>
      <c r="E5636" s="69"/>
      <c r="F5636" s="17"/>
      <c r="G5636" s="59"/>
    </row>
    <row r="5637" spans="3:7" ht="20.25" customHeight="1" x14ac:dyDescent="0.3">
      <c r="C5637" s="59"/>
      <c r="D5637" s="69"/>
      <c r="E5637" s="69"/>
      <c r="F5637" s="17"/>
      <c r="G5637" s="59"/>
    </row>
    <row r="5638" spans="3:7" ht="20.25" customHeight="1" x14ac:dyDescent="0.3">
      <c r="C5638" s="59"/>
      <c r="D5638" s="69"/>
      <c r="E5638" s="69"/>
      <c r="F5638" s="17"/>
      <c r="G5638" s="59"/>
    </row>
    <row r="5639" spans="3:7" ht="20.25" customHeight="1" x14ac:dyDescent="0.3">
      <c r="C5639" s="59"/>
      <c r="D5639" s="69"/>
      <c r="E5639" s="69"/>
      <c r="F5639" s="17"/>
      <c r="G5639" s="59"/>
    </row>
    <row r="5640" spans="3:7" ht="20.25" customHeight="1" x14ac:dyDescent="0.3">
      <c r="C5640" s="59"/>
      <c r="D5640" s="69"/>
      <c r="E5640" s="69"/>
      <c r="F5640" s="17"/>
      <c r="G5640" s="59"/>
    </row>
    <row r="5641" spans="3:7" ht="20.25" customHeight="1" x14ac:dyDescent="0.3">
      <c r="C5641" s="59"/>
      <c r="D5641" s="69"/>
      <c r="E5641" s="69"/>
      <c r="F5641" s="17"/>
      <c r="G5641" s="59"/>
    </row>
    <row r="5642" spans="3:7" ht="20.25" customHeight="1" x14ac:dyDescent="0.3">
      <c r="C5642" s="59"/>
      <c r="D5642" s="69"/>
      <c r="E5642" s="69"/>
      <c r="F5642" s="17"/>
      <c r="G5642" s="59"/>
    </row>
    <row r="5643" spans="3:7" ht="20.25" customHeight="1" x14ac:dyDescent="0.3">
      <c r="C5643" s="59"/>
      <c r="D5643" s="69"/>
      <c r="E5643" s="69"/>
      <c r="F5643" s="17"/>
      <c r="G5643" s="59"/>
    </row>
    <row r="5644" spans="3:7" ht="20.25" customHeight="1" x14ac:dyDescent="0.3">
      <c r="C5644" s="59"/>
      <c r="D5644" s="69"/>
      <c r="E5644" s="69"/>
      <c r="F5644" s="17"/>
      <c r="G5644" s="59"/>
    </row>
    <row r="5645" spans="3:7" ht="20.25" customHeight="1" x14ac:dyDescent="0.3">
      <c r="C5645" s="59"/>
      <c r="D5645" s="69"/>
      <c r="E5645" s="69"/>
      <c r="F5645" s="17"/>
      <c r="G5645" s="59"/>
    </row>
    <row r="5646" spans="3:7" ht="20.25" customHeight="1" x14ac:dyDescent="0.3">
      <c r="C5646" s="59"/>
      <c r="D5646" s="69"/>
      <c r="E5646" s="69"/>
      <c r="F5646" s="17"/>
      <c r="G5646" s="59"/>
    </row>
    <row r="5647" spans="3:7" ht="20.25" customHeight="1" x14ac:dyDescent="0.3">
      <c r="C5647" s="59"/>
      <c r="D5647" s="69"/>
      <c r="E5647" s="69"/>
      <c r="F5647" s="17"/>
      <c r="G5647" s="59"/>
    </row>
    <row r="5648" spans="3:7" ht="20.25" customHeight="1" x14ac:dyDescent="0.3">
      <c r="C5648" s="59"/>
      <c r="D5648" s="69"/>
      <c r="E5648" s="69"/>
      <c r="F5648" s="17"/>
      <c r="G5648" s="59"/>
    </row>
    <row r="5649" spans="3:7" ht="20.25" customHeight="1" x14ac:dyDescent="0.3">
      <c r="C5649" s="59"/>
      <c r="D5649" s="69"/>
      <c r="E5649" s="69"/>
      <c r="F5649" s="17"/>
      <c r="G5649" s="59"/>
    </row>
    <row r="5650" spans="3:7" ht="20.25" customHeight="1" x14ac:dyDescent="0.3">
      <c r="C5650" s="59"/>
      <c r="D5650" s="69"/>
      <c r="E5650" s="69"/>
      <c r="F5650" s="17"/>
      <c r="G5650" s="59"/>
    </row>
    <row r="5651" spans="3:7" ht="20.25" customHeight="1" x14ac:dyDescent="0.3">
      <c r="C5651" s="59"/>
      <c r="D5651" s="69"/>
      <c r="E5651" s="69"/>
      <c r="F5651" s="17"/>
      <c r="G5651" s="59"/>
    </row>
    <row r="5652" spans="3:7" ht="20.25" customHeight="1" x14ac:dyDescent="0.3">
      <c r="C5652" s="59"/>
      <c r="D5652" s="69"/>
      <c r="E5652" s="69"/>
      <c r="F5652" s="17"/>
      <c r="G5652" s="59"/>
    </row>
    <row r="5653" spans="3:7" ht="20.25" customHeight="1" x14ac:dyDescent="0.3">
      <c r="C5653" s="59"/>
      <c r="D5653" s="69"/>
      <c r="E5653" s="69"/>
      <c r="F5653" s="17"/>
      <c r="G5653" s="59"/>
    </row>
    <row r="5654" spans="3:7" ht="20.25" customHeight="1" x14ac:dyDescent="0.3">
      <c r="C5654" s="59"/>
      <c r="D5654" s="69"/>
      <c r="E5654" s="69"/>
      <c r="F5654" s="17"/>
      <c r="G5654" s="59"/>
    </row>
    <row r="5655" spans="3:7" ht="20.25" customHeight="1" x14ac:dyDescent="0.3">
      <c r="C5655" s="59"/>
      <c r="D5655" s="69"/>
      <c r="E5655" s="69"/>
      <c r="F5655" s="17"/>
      <c r="G5655" s="59"/>
    </row>
    <row r="5656" spans="3:7" ht="20.25" customHeight="1" x14ac:dyDescent="0.3">
      <c r="C5656" s="59"/>
      <c r="D5656" s="69"/>
      <c r="E5656" s="69"/>
      <c r="F5656" s="17"/>
      <c r="G5656" s="59"/>
    </row>
    <row r="5657" spans="3:7" ht="20.25" customHeight="1" x14ac:dyDescent="0.3">
      <c r="C5657" s="59"/>
      <c r="D5657" s="69"/>
      <c r="E5657" s="69"/>
      <c r="F5657" s="17"/>
      <c r="G5657" s="59"/>
    </row>
    <row r="5658" spans="3:7" ht="20.25" customHeight="1" x14ac:dyDescent="0.3">
      <c r="C5658" s="59"/>
      <c r="D5658" s="69"/>
      <c r="E5658" s="69"/>
      <c r="F5658" s="17"/>
      <c r="G5658" s="59"/>
    </row>
    <row r="5659" spans="3:7" ht="20.25" customHeight="1" x14ac:dyDescent="0.3">
      <c r="C5659" s="59"/>
      <c r="D5659" s="69"/>
      <c r="E5659" s="69"/>
      <c r="F5659" s="17"/>
      <c r="G5659" s="59"/>
    </row>
    <row r="5660" spans="3:7" ht="20.25" customHeight="1" x14ac:dyDescent="0.3">
      <c r="C5660" s="59"/>
      <c r="D5660" s="69"/>
      <c r="E5660" s="69"/>
      <c r="F5660" s="17"/>
      <c r="G5660" s="59"/>
    </row>
    <row r="5661" spans="3:7" ht="20.25" customHeight="1" x14ac:dyDescent="0.3">
      <c r="C5661" s="59"/>
      <c r="D5661" s="69"/>
      <c r="E5661" s="69"/>
      <c r="F5661" s="17"/>
      <c r="G5661" s="59"/>
    </row>
    <row r="5662" spans="3:7" ht="20.25" customHeight="1" x14ac:dyDescent="0.3">
      <c r="C5662" s="59"/>
      <c r="D5662" s="69"/>
      <c r="E5662" s="69"/>
      <c r="F5662" s="17"/>
      <c r="G5662" s="59"/>
    </row>
    <row r="5663" spans="3:7" ht="20.25" customHeight="1" x14ac:dyDescent="0.3">
      <c r="C5663" s="59"/>
      <c r="D5663" s="69"/>
      <c r="E5663" s="69"/>
      <c r="F5663" s="17"/>
      <c r="G5663" s="59"/>
    </row>
    <row r="5664" spans="3:7" ht="20.25" customHeight="1" x14ac:dyDescent="0.3">
      <c r="C5664" s="59"/>
      <c r="D5664" s="69"/>
      <c r="E5664" s="69"/>
      <c r="F5664" s="17"/>
      <c r="G5664" s="59"/>
    </row>
    <row r="5665" spans="3:7" ht="20.25" customHeight="1" x14ac:dyDescent="0.3">
      <c r="C5665" s="59"/>
      <c r="D5665" s="69"/>
      <c r="E5665" s="69"/>
      <c r="F5665" s="17"/>
      <c r="G5665" s="59"/>
    </row>
    <row r="5666" spans="3:7" ht="20.25" customHeight="1" x14ac:dyDescent="0.3">
      <c r="C5666" s="59"/>
      <c r="D5666" s="69"/>
      <c r="E5666" s="69"/>
      <c r="F5666" s="17"/>
      <c r="G5666" s="59"/>
    </row>
    <row r="5667" spans="3:7" ht="20.25" customHeight="1" x14ac:dyDescent="0.3">
      <c r="C5667" s="59"/>
      <c r="D5667" s="69"/>
      <c r="E5667" s="69"/>
      <c r="F5667" s="17"/>
      <c r="G5667" s="59"/>
    </row>
    <row r="5668" spans="3:7" ht="20.25" customHeight="1" x14ac:dyDescent="0.3">
      <c r="C5668" s="59"/>
      <c r="D5668" s="69"/>
      <c r="E5668" s="69"/>
      <c r="F5668" s="17"/>
      <c r="G5668" s="59"/>
    </row>
    <row r="5669" spans="3:7" ht="20.25" customHeight="1" x14ac:dyDescent="0.3">
      <c r="C5669" s="59"/>
      <c r="D5669" s="69"/>
      <c r="E5669" s="69"/>
      <c r="F5669" s="17"/>
      <c r="G5669" s="59"/>
    </row>
    <row r="5670" spans="3:7" ht="20.25" customHeight="1" x14ac:dyDescent="0.3">
      <c r="C5670" s="59"/>
      <c r="D5670" s="69"/>
      <c r="E5670" s="69"/>
      <c r="F5670" s="17"/>
      <c r="G5670" s="59"/>
    </row>
    <row r="5671" spans="3:7" ht="20.25" customHeight="1" x14ac:dyDescent="0.3">
      <c r="C5671" s="59"/>
      <c r="D5671" s="69"/>
      <c r="E5671" s="69"/>
      <c r="F5671" s="17"/>
      <c r="G5671" s="59"/>
    </row>
    <row r="5672" spans="3:7" ht="20.25" customHeight="1" x14ac:dyDescent="0.3">
      <c r="C5672" s="59"/>
      <c r="D5672" s="69"/>
      <c r="E5672" s="69"/>
      <c r="F5672" s="17"/>
      <c r="G5672" s="59"/>
    </row>
    <row r="5673" spans="3:7" ht="20.25" customHeight="1" x14ac:dyDescent="0.3">
      <c r="C5673" s="59"/>
      <c r="D5673" s="69"/>
      <c r="E5673" s="69"/>
      <c r="F5673" s="17"/>
      <c r="G5673" s="59"/>
    </row>
    <row r="5674" spans="3:7" ht="20.25" customHeight="1" x14ac:dyDescent="0.3">
      <c r="C5674" s="59"/>
      <c r="D5674" s="69"/>
      <c r="E5674" s="69"/>
      <c r="F5674" s="17"/>
      <c r="G5674" s="59"/>
    </row>
    <row r="5675" spans="3:7" ht="20.25" customHeight="1" x14ac:dyDescent="0.3">
      <c r="C5675" s="59"/>
      <c r="D5675" s="69"/>
      <c r="E5675" s="69"/>
      <c r="F5675" s="17"/>
      <c r="G5675" s="59"/>
    </row>
    <row r="5676" spans="3:7" ht="20.25" customHeight="1" x14ac:dyDescent="0.3">
      <c r="C5676" s="59"/>
      <c r="D5676" s="69"/>
      <c r="E5676" s="69"/>
      <c r="F5676" s="17"/>
      <c r="G5676" s="59"/>
    </row>
    <row r="5677" spans="3:7" ht="20.25" customHeight="1" x14ac:dyDescent="0.3">
      <c r="C5677" s="59"/>
      <c r="D5677" s="69"/>
      <c r="E5677" s="69"/>
      <c r="F5677" s="17"/>
      <c r="G5677" s="59"/>
    </row>
    <row r="5678" spans="3:7" ht="20.25" customHeight="1" x14ac:dyDescent="0.3">
      <c r="C5678" s="59"/>
      <c r="D5678" s="69"/>
      <c r="E5678" s="69"/>
      <c r="F5678" s="17"/>
      <c r="G5678" s="59"/>
    </row>
    <row r="5679" spans="3:7" ht="20.25" customHeight="1" x14ac:dyDescent="0.3">
      <c r="C5679" s="59"/>
      <c r="D5679" s="69"/>
      <c r="E5679" s="69"/>
      <c r="F5679" s="17"/>
      <c r="G5679" s="59"/>
    </row>
    <row r="5680" spans="3:7" ht="20.25" customHeight="1" x14ac:dyDescent="0.3">
      <c r="C5680" s="59"/>
      <c r="D5680" s="69"/>
      <c r="E5680" s="69"/>
      <c r="F5680" s="17"/>
      <c r="G5680" s="59"/>
    </row>
    <row r="5681" spans="3:7" ht="20.25" customHeight="1" x14ac:dyDescent="0.3">
      <c r="C5681" s="59"/>
      <c r="D5681" s="69"/>
      <c r="E5681" s="69"/>
      <c r="F5681" s="17"/>
      <c r="G5681" s="59"/>
    </row>
    <row r="5682" spans="3:7" ht="20.25" customHeight="1" x14ac:dyDescent="0.3">
      <c r="C5682" s="59"/>
      <c r="D5682" s="69"/>
      <c r="E5682" s="69"/>
      <c r="F5682" s="17"/>
      <c r="G5682" s="59"/>
    </row>
    <row r="5683" spans="3:7" ht="20.25" customHeight="1" x14ac:dyDescent="0.3">
      <c r="C5683" s="59"/>
      <c r="D5683" s="69"/>
      <c r="E5683" s="69"/>
      <c r="F5683" s="17"/>
      <c r="G5683" s="59"/>
    </row>
    <row r="5684" spans="3:7" ht="20.25" customHeight="1" x14ac:dyDescent="0.3">
      <c r="C5684" s="59"/>
      <c r="D5684" s="69"/>
      <c r="E5684" s="69"/>
      <c r="F5684" s="17"/>
      <c r="G5684" s="59"/>
    </row>
    <row r="5685" spans="3:7" ht="20.25" customHeight="1" x14ac:dyDescent="0.3">
      <c r="C5685" s="59"/>
      <c r="D5685" s="69"/>
      <c r="E5685" s="69"/>
      <c r="F5685" s="17"/>
      <c r="G5685" s="59"/>
    </row>
    <row r="5686" spans="3:7" ht="20.25" customHeight="1" x14ac:dyDescent="0.3">
      <c r="C5686" s="59"/>
      <c r="D5686" s="69"/>
      <c r="E5686" s="69"/>
      <c r="F5686" s="17"/>
      <c r="G5686" s="59"/>
    </row>
    <row r="5687" spans="3:7" ht="20.25" customHeight="1" x14ac:dyDescent="0.3">
      <c r="C5687" s="59"/>
      <c r="D5687" s="69"/>
      <c r="E5687" s="69"/>
      <c r="F5687" s="17"/>
      <c r="G5687" s="59"/>
    </row>
    <row r="5688" spans="3:7" ht="20.25" customHeight="1" x14ac:dyDescent="0.3">
      <c r="C5688" s="59"/>
      <c r="D5688" s="69"/>
      <c r="E5688" s="69"/>
      <c r="F5688" s="17"/>
      <c r="G5688" s="59"/>
    </row>
    <row r="5689" spans="3:7" ht="20.25" customHeight="1" x14ac:dyDescent="0.3">
      <c r="C5689" s="59"/>
      <c r="D5689" s="69"/>
      <c r="E5689" s="69"/>
      <c r="F5689" s="17"/>
      <c r="G5689" s="59"/>
    </row>
    <row r="5690" spans="3:7" ht="20.25" customHeight="1" x14ac:dyDescent="0.3">
      <c r="C5690" s="59"/>
      <c r="D5690" s="69"/>
      <c r="E5690" s="69"/>
      <c r="F5690" s="17"/>
      <c r="G5690" s="59"/>
    </row>
    <row r="5691" spans="3:7" ht="20.25" customHeight="1" x14ac:dyDescent="0.3">
      <c r="C5691" s="59"/>
      <c r="D5691" s="69"/>
      <c r="E5691" s="69"/>
      <c r="F5691" s="17"/>
      <c r="G5691" s="59"/>
    </row>
    <row r="5692" spans="3:7" ht="20.25" customHeight="1" x14ac:dyDescent="0.3">
      <c r="C5692" s="59"/>
      <c r="D5692" s="69"/>
      <c r="E5692" s="69"/>
      <c r="F5692" s="17"/>
      <c r="G5692" s="59"/>
    </row>
    <row r="5693" spans="3:7" ht="20.25" customHeight="1" x14ac:dyDescent="0.3">
      <c r="C5693" s="59"/>
      <c r="D5693" s="69"/>
      <c r="E5693" s="69"/>
      <c r="F5693" s="17"/>
      <c r="G5693" s="59"/>
    </row>
    <row r="5694" spans="3:7" ht="20.25" customHeight="1" x14ac:dyDescent="0.3">
      <c r="C5694" s="59"/>
      <c r="D5694" s="69"/>
      <c r="E5694" s="69"/>
      <c r="F5694" s="17"/>
      <c r="G5694" s="59"/>
    </row>
    <row r="5695" spans="3:7" ht="20.25" customHeight="1" x14ac:dyDescent="0.3">
      <c r="C5695" s="59"/>
      <c r="D5695" s="69"/>
      <c r="E5695" s="69"/>
      <c r="F5695" s="17"/>
      <c r="G5695" s="59"/>
    </row>
    <row r="5696" spans="3:7" ht="20.25" customHeight="1" x14ac:dyDescent="0.3">
      <c r="C5696" s="59"/>
      <c r="D5696" s="69"/>
      <c r="E5696" s="69"/>
      <c r="F5696" s="17"/>
      <c r="G5696" s="59"/>
    </row>
    <row r="5697" spans="3:7" ht="20.25" customHeight="1" x14ac:dyDescent="0.3">
      <c r="C5697" s="59"/>
      <c r="D5697" s="69"/>
      <c r="E5697" s="69"/>
      <c r="F5697" s="17"/>
      <c r="G5697" s="59"/>
    </row>
    <row r="5698" spans="3:7" ht="20.25" customHeight="1" x14ac:dyDescent="0.3">
      <c r="C5698" s="59"/>
      <c r="D5698" s="69"/>
      <c r="E5698" s="69"/>
      <c r="F5698" s="17"/>
      <c r="G5698" s="59"/>
    </row>
    <row r="5699" spans="3:7" ht="20.25" customHeight="1" x14ac:dyDescent="0.3">
      <c r="C5699" s="59"/>
      <c r="D5699" s="69"/>
      <c r="E5699" s="69"/>
      <c r="F5699" s="17"/>
      <c r="G5699" s="59"/>
    </row>
    <row r="5700" spans="3:7" ht="20.25" customHeight="1" x14ac:dyDescent="0.3">
      <c r="C5700" s="59"/>
      <c r="D5700" s="69"/>
      <c r="E5700" s="69"/>
      <c r="F5700" s="17"/>
      <c r="G5700" s="59"/>
    </row>
    <row r="5701" spans="3:7" ht="20.25" customHeight="1" x14ac:dyDescent="0.3">
      <c r="C5701" s="59"/>
      <c r="D5701" s="69"/>
      <c r="E5701" s="69"/>
      <c r="F5701" s="17"/>
      <c r="G5701" s="59"/>
    </row>
    <row r="5702" spans="3:7" ht="20.25" customHeight="1" x14ac:dyDescent="0.3">
      <c r="C5702" s="59"/>
      <c r="D5702" s="69"/>
      <c r="E5702" s="69"/>
      <c r="F5702" s="17"/>
      <c r="G5702" s="59"/>
    </row>
    <row r="5703" spans="3:7" ht="20.25" customHeight="1" x14ac:dyDescent="0.3">
      <c r="C5703" s="59"/>
      <c r="D5703" s="69"/>
      <c r="E5703" s="69"/>
      <c r="F5703" s="17"/>
      <c r="G5703" s="59"/>
    </row>
    <row r="5704" spans="3:7" ht="20.25" customHeight="1" x14ac:dyDescent="0.3">
      <c r="C5704" s="59"/>
      <c r="D5704" s="69"/>
      <c r="E5704" s="69"/>
      <c r="F5704" s="17"/>
      <c r="G5704" s="59"/>
    </row>
    <row r="5705" spans="3:7" ht="20.25" customHeight="1" x14ac:dyDescent="0.3">
      <c r="C5705" s="59"/>
      <c r="D5705" s="69"/>
      <c r="E5705" s="69"/>
      <c r="F5705" s="17"/>
      <c r="G5705" s="59"/>
    </row>
    <row r="5706" spans="3:7" ht="20.25" customHeight="1" x14ac:dyDescent="0.3">
      <c r="C5706" s="59"/>
      <c r="D5706" s="69"/>
      <c r="E5706" s="69"/>
      <c r="F5706" s="17"/>
      <c r="G5706" s="59"/>
    </row>
    <row r="5707" spans="3:7" ht="20.25" customHeight="1" x14ac:dyDescent="0.3">
      <c r="C5707" s="59"/>
      <c r="D5707" s="69"/>
      <c r="E5707" s="69"/>
      <c r="F5707" s="17"/>
      <c r="G5707" s="59"/>
    </row>
    <row r="5708" spans="3:7" ht="20.25" customHeight="1" x14ac:dyDescent="0.3">
      <c r="C5708" s="59"/>
      <c r="D5708" s="69"/>
      <c r="E5708" s="69"/>
      <c r="F5708" s="17"/>
      <c r="G5708" s="59"/>
    </row>
    <row r="5709" spans="3:7" ht="20.25" customHeight="1" x14ac:dyDescent="0.3">
      <c r="C5709" s="59"/>
      <c r="D5709" s="69"/>
      <c r="E5709" s="69"/>
      <c r="F5709" s="17"/>
      <c r="G5709" s="59"/>
    </row>
    <row r="5710" spans="3:7" ht="20.25" customHeight="1" x14ac:dyDescent="0.3">
      <c r="C5710" s="59"/>
      <c r="D5710" s="69"/>
      <c r="E5710" s="69"/>
      <c r="F5710" s="17"/>
      <c r="G5710" s="59"/>
    </row>
    <row r="5711" spans="3:7" ht="20.25" customHeight="1" x14ac:dyDescent="0.3">
      <c r="C5711" s="59"/>
      <c r="D5711" s="69"/>
      <c r="E5711" s="69"/>
      <c r="F5711" s="17"/>
      <c r="G5711" s="59"/>
    </row>
    <row r="5712" spans="3:7" ht="20.25" customHeight="1" x14ac:dyDescent="0.3">
      <c r="C5712" s="59"/>
      <c r="D5712" s="69"/>
      <c r="E5712" s="69"/>
      <c r="F5712" s="17"/>
      <c r="G5712" s="59"/>
    </row>
    <row r="5713" spans="3:7" ht="20.25" customHeight="1" x14ac:dyDescent="0.3">
      <c r="C5713" s="59"/>
      <c r="D5713" s="69"/>
      <c r="E5713" s="69"/>
      <c r="F5713" s="17"/>
      <c r="G5713" s="59"/>
    </row>
    <row r="5714" spans="3:7" ht="20.25" customHeight="1" x14ac:dyDescent="0.3">
      <c r="C5714" s="59"/>
      <c r="D5714" s="69"/>
      <c r="E5714" s="69"/>
      <c r="F5714" s="17"/>
      <c r="G5714" s="59"/>
    </row>
    <row r="5715" spans="3:7" ht="20.25" customHeight="1" x14ac:dyDescent="0.3">
      <c r="C5715" s="59"/>
      <c r="D5715" s="69"/>
      <c r="E5715" s="69"/>
      <c r="F5715" s="17"/>
      <c r="G5715" s="59"/>
    </row>
    <row r="5716" spans="3:7" ht="20.25" customHeight="1" x14ac:dyDescent="0.3">
      <c r="C5716" s="59"/>
      <c r="D5716" s="69"/>
      <c r="E5716" s="69"/>
      <c r="F5716" s="17"/>
      <c r="G5716" s="59"/>
    </row>
    <row r="5717" spans="3:7" ht="20.25" customHeight="1" x14ac:dyDescent="0.3">
      <c r="C5717" s="59"/>
      <c r="D5717" s="69"/>
      <c r="E5717" s="69"/>
      <c r="F5717" s="17"/>
      <c r="G5717" s="59"/>
    </row>
    <row r="5718" spans="3:7" ht="20.25" customHeight="1" x14ac:dyDescent="0.3">
      <c r="C5718" s="59"/>
      <c r="D5718" s="69"/>
      <c r="E5718" s="69"/>
      <c r="F5718" s="17"/>
      <c r="G5718" s="59"/>
    </row>
    <row r="5719" spans="3:7" ht="20.25" customHeight="1" x14ac:dyDescent="0.3">
      <c r="C5719" s="59"/>
      <c r="D5719" s="69"/>
      <c r="E5719" s="69"/>
      <c r="F5719" s="17"/>
      <c r="G5719" s="59"/>
    </row>
    <row r="5720" spans="3:7" ht="20.25" customHeight="1" x14ac:dyDescent="0.3">
      <c r="C5720" s="59"/>
      <c r="D5720" s="69"/>
      <c r="E5720" s="69"/>
      <c r="F5720" s="17"/>
      <c r="G5720" s="59"/>
    </row>
    <row r="5721" spans="3:7" ht="20.25" customHeight="1" x14ac:dyDescent="0.3">
      <c r="C5721" s="59"/>
      <c r="D5721" s="69"/>
      <c r="E5721" s="69"/>
      <c r="F5721" s="17"/>
      <c r="G5721" s="59"/>
    </row>
    <row r="5722" spans="3:7" ht="20.25" customHeight="1" x14ac:dyDescent="0.3">
      <c r="C5722" s="59"/>
      <c r="D5722" s="69"/>
      <c r="E5722" s="69"/>
      <c r="F5722" s="17"/>
      <c r="G5722" s="59"/>
    </row>
    <row r="5723" spans="3:7" ht="20.25" customHeight="1" x14ac:dyDescent="0.3">
      <c r="C5723" s="59"/>
      <c r="D5723" s="69"/>
      <c r="E5723" s="69"/>
      <c r="F5723" s="17"/>
      <c r="G5723" s="59"/>
    </row>
    <row r="5724" spans="3:7" ht="20.25" customHeight="1" x14ac:dyDescent="0.3">
      <c r="C5724" s="59"/>
      <c r="D5724" s="69"/>
      <c r="E5724" s="69"/>
      <c r="F5724" s="17"/>
      <c r="G5724" s="59"/>
    </row>
    <row r="5725" spans="3:7" ht="20.25" customHeight="1" x14ac:dyDescent="0.3">
      <c r="C5725" s="59"/>
      <c r="D5725" s="69"/>
      <c r="E5725" s="69"/>
      <c r="F5725" s="17"/>
      <c r="G5725" s="59"/>
    </row>
    <row r="5726" spans="3:7" ht="20.25" customHeight="1" x14ac:dyDescent="0.3">
      <c r="C5726" s="59"/>
      <c r="D5726" s="69"/>
      <c r="E5726" s="69"/>
      <c r="F5726" s="17"/>
      <c r="G5726" s="59"/>
    </row>
    <row r="5727" spans="3:7" ht="20.25" customHeight="1" x14ac:dyDescent="0.3">
      <c r="C5727" s="59"/>
      <c r="D5727" s="69"/>
      <c r="E5727" s="69"/>
      <c r="F5727" s="17"/>
      <c r="G5727" s="59"/>
    </row>
    <row r="5728" spans="3:7" ht="20.25" customHeight="1" x14ac:dyDescent="0.3">
      <c r="C5728" s="59"/>
      <c r="D5728" s="69"/>
      <c r="E5728" s="69"/>
      <c r="F5728" s="17"/>
      <c r="G5728" s="59"/>
    </row>
    <row r="5729" spans="3:7" ht="20.25" customHeight="1" x14ac:dyDescent="0.3">
      <c r="C5729" s="59"/>
      <c r="D5729" s="69"/>
      <c r="E5729" s="69"/>
      <c r="F5729" s="17"/>
      <c r="G5729" s="59"/>
    </row>
    <row r="5730" spans="3:7" ht="20.25" customHeight="1" x14ac:dyDescent="0.3">
      <c r="C5730" s="59"/>
      <c r="D5730" s="69"/>
      <c r="E5730" s="69"/>
      <c r="F5730" s="17"/>
      <c r="G5730" s="59"/>
    </row>
    <row r="5731" spans="3:7" ht="20.25" customHeight="1" x14ac:dyDescent="0.3">
      <c r="C5731" s="59"/>
      <c r="D5731" s="69"/>
      <c r="E5731" s="69"/>
      <c r="F5731" s="17"/>
      <c r="G5731" s="59"/>
    </row>
    <row r="5732" spans="3:7" ht="20.25" customHeight="1" x14ac:dyDescent="0.3">
      <c r="C5732" s="59"/>
      <c r="D5732" s="69"/>
      <c r="E5732" s="69"/>
      <c r="F5732" s="17"/>
      <c r="G5732" s="59"/>
    </row>
    <row r="5733" spans="3:7" ht="20.25" customHeight="1" x14ac:dyDescent="0.3">
      <c r="C5733" s="59"/>
      <c r="D5733" s="69"/>
      <c r="E5733" s="69"/>
      <c r="F5733" s="17"/>
      <c r="G5733" s="59"/>
    </row>
    <row r="5734" spans="3:7" ht="20.25" customHeight="1" x14ac:dyDescent="0.3">
      <c r="C5734" s="59"/>
      <c r="D5734" s="69"/>
      <c r="E5734" s="69"/>
      <c r="F5734" s="17"/>
      <c r="G5734" s="59"/>
    </row>
    <row r="5735" spans="3:7" ht="20.25" customHeight="1" x14ac:dyDescent="0.3">
      <c r="C5735" s="59"/>
      <c r="D5735" s="69"/>
      <c r="E5735" s="69"/>
      <c r="F5735" s="17"/>
      <c r="G5735" s="59"/>
    </row>
    <row r="5736" spans="3:7" ht="20.25" customHeight="1" x14ac:dyDescent="0.3">
      <c r="C5736" s="59"/>
      <c r="D5736" s="69"/>
      <c r="E5736" s="69"/>
      <c r="F5736" s="17"/>
      <c r="G5736" s="59"/>
    </row>
    <row r="5737" spans="3:7" ht="20.25" customHeight="1" x14ac:dyDescent="0.3">
      <c r="C5737" s="59"/>
      <c r="D5737" s="69"/>
      <c r="E5737" s="69"/>
      <c r="F5737" s="17"/>
      <c r="G5737" s="59"/>
    </row>
    <row r="5738" spans="3:7" ht="20.25" customHeight="1" x14ac:dyDescent="0.3">
      <c r="C5738" s="59"/>
      <c r="D5738" s="69"/>
      <c r="E5738" s="69"/>
      <c r="F5738" s="17"/>
      <c r="G5738" s="59"/>
    </row>
    <row r="5739" spans="3:7" ht="20.25" customHeight="1" x14ac:dyDescent="0.3">
      <c r="C5739" s="59"/>
      <c r="D5739" s="69"/>
      <c r="E5739" s="69"/>
      <c r="F5739" s="17"/>
      <c r="G5739" s="59"/>
    </row>
    <row r="5740" spans="3:7" ht="20.25" customHeight="1" x14ac:dyDescent="0.3">
      <c r="C5740" s="59"/>
      <c r="D5740" s="69"/>
      <c r="E5740" s="69"/>
      <c r="F5740" s="17"/>
      <c r="G5740" s="59"/>
    </row>
    <row r="5741" spans="3:7" ht="20.25" customHeight="1" x14ac:dyDescent="0.3">
      <c r="C5741" s="59"/>
      <c r="D5741" s="69"/>
      <c r="E5741" s="69"/>
      <c r="F5741" s="17"/>
      <c r="G5741" s="59"/>
    </row>
    <row r="5742" spans="3:7" ht="20.25" customHeight="1" x14ac:dyDescent="0.3">
      <c r="C5742" s="59"/>
      <c r="D5742" s="69"/>
      <c r="E5742" s="69"/>
      <c r="F5742" s="17"/>
      <c r="G5742" s="59"/>
    </row>
    <row r="5743" spans="3:7" ht="20.25" customHeight="1" x14ac:dyDescent="0.3">
      <c r="C5743" s="59"/>
      <c r="D5743" s="69"/>
      <c r="E5743" s="69"/>
      <c r="F5743" s="17"/>
      <c r="G5743" s="59"/>
    </row>
    <row r="5744" spans="3:7" ht="20.25" customHeight="1" x14ac:dyDescent="0.3">
      <c r="C5744" s="59"/>
      <c r="D5744" s="69"/>
      <c r="E5744" s="69"/>
      <c r="F5744" s="17"/>
      <c r="G5744" s="59"/>
    </row>
    <row r="5745" spans="3:7" ht="20.25" customHeight="1" x14ac:dyDescent="0.3">
      <c r="C5745" s="59"/>
      <c r="D5745" s="69"/>
      <c r="E5745" s="69"/>
      <c r="F5745" s="17"/>
      <c r="G5745" s="59"/>
    </row>
    <row r="5746" spans="3:7" ht="20.25" customHeight="1" x14ac:dyDescent="0.3">
      <c r="C5746" s="59"/>
      <c r="D5746" s="69"/>
      <c r="E5746" s="69"/>
      <c r="F5746" s="17"/>
      <c r="G5746" s="59"/>
    </row>
    <row r="5747" spans="3:7" ht="20.25" customHeight="1" x14ac:dyDescent="0.3">
      <c r="C5747" s="59"/>
      <c r="D5747" s="69"/>
      <c r="E5747" s="69"/>
      <c r="F5747" s="17"/>
      <c r="G5747" s="59"/>
    </row>
    <row r="5748" spans="3:7" ht="20.25" customHeight="1" x14ac:dyDescent="0.3">
      <c r="C5748" s="59"/>
      <c r="D5748" s="69"/>
      <c r="E5748" s="69"/>
      <c r="F5748" s="17"/>
      <c r="G5748" s="59"/>
    </row>
    <row r="5749" spans="3:7" ht="20.25" customHeight="1" x14ac:dyDescent="0.3">
      <c r="C5749" s="59"/>
      <c r="D5749" s="69"/>
      <c r="E5749" s="69"/>
      <c r="F5749" s="17"/>
      <c r="G5749" s="59"/>
    </row>
    <row r="5750" spans="3:7" ht="20.25" customHeight="1" x14ac:dyDescent="0.3">
      <c r="C5750" s="59"/>
      <c r="D5750" s="69"/>
      <c r="E5750" s="69"/>
      <c r="F5750" s="17"/>
      <c r="G5750" s="59"/>
    </row>
    <row r="5751" spans="3:7" ht="20.25" customHeight="1" x14ac:dyDescent="0.3">
      <c r="C5751" s="59"/>
      <c r="D5751" s="69"/>
      <c r="E5751" s="69"/>
      <c r="F5751" s="17"/>
      <c r="G5751" s="59"/>
    </row>
    <row r="5752" spans="3:7" ht="20.25" customHeight="1" x14ac:dyDescent="0.3">
      <c r="C5752" s="59"/>
      <c r="D5752" s="69"/>
      <c r="E5752" s="69"/>
      <c r="F5752" s="17"/>
      <c r="G5752" s="59"/>
    </row>
    <row r="5753" spans="3:7" ht="20.25" customHeight="1" x14ac:dyDescent="0.3">
      <c r="C5753" s="59"/>
      <c r="D5753" s="69"/>
      <c r="E5753" s="69"/>
      <c r="F5753" s="17"/>
      <c r="G5753" s="59"/>
    </row>
    <row r="5754" spans="3:7" ht="20.25" customHeight="1" x14ac:dyDescent="0.3">
      <c r="C5754" s="59"/>
      <c r="D5754" s="69"/>
      <c r="E5754" s="69"/>
      <c r="F5754" s="17"/>
      <c r="G5754" s="59"/>
    </row>
    <row r="5755" spans="3:7" ht="20.25" customHeight="1" x14ac:dyDescent="0.3">
      <c r="C5755" s="59"/>
      <c r="D5755" s="69"/>
      <c r="E5755" s="69"/>
      <c r="F5755" s="17"/>
      <c r="G5755" s="59"/>
    </row>
    <row r="5756" spans="3:7" ht="20.25" customHeight="1" x14ac:dyDescent="0.3">
      <c r="C5756" s="59"/>
      <c r="D5756" s="69"/>
      <c r="E5756" s="69"/>
      <c r="F5756" s="17"/>
      <c r="G5756" s="59"/>
    </row>
    <row r="5757" spans="3:7" ht="20.25" customHeight="1" x14ac:dyDescent="0.3">
      <c r="C5757" s="59"/>
      <c r="D5757" s="69"/>
      <c r="E5757" s="69"/>
      <c r="F5757" s="17"/>
      <c r="G5757" s="59"/>
    </row>
    <row r="5758" spans="3:7" ht="20.25" customHeight="1" x14ac:dyDescent="0.3">
      <c r="C5758" s="59"/>
      <c r="D5758" s="69"/>
      <c r="E5758" s="69"/>
      <c r="F5758" s="17"/>
      <c r="G5758" s="59"/>
    </row>
    <row r="5759" spans="3:7" ht="20.25" customHeight="1" x14ac:dyDescent="0.3">
      <c r="C5759" s="59"/>
      <c r="D5759" s="69"/>
      <c r="E5759" s="69"/>
      <c r="F5759" s="17"/>
      <c r="G5759" s="59"/>
    </row>
    <row r="5760" spans="3:7" ht="20.25" customHeight="1" x14ac:dyDescent="0.3">
      <c r="C5760" s="59"/>
      <c r="D5760" s="69"/>
      <c r="E5760" s="69"/>
      <c r="F5760" s="17"/>
      <c r="G5760" s="59"/>
    </row>
    <row r="5761" spans="3:7" ht="20.25" customHeight="1" x14ac:dyDescent="0.3">
      <c r="C5761" s="59"/>
      <c r="D5761" s="69"/>
      <c r="E5761" s="69"/>
      <c r="F5761" s="17"/>
      <c r="G5761" s="59"/>
    </row>
    <row r="5762" spans="3:7" ht="20.25" customHeight="1" x14ac:dyDescent="0.3">
      <c r="C5762" s="59"/>
      <c r="D5762" s="69"/>
      <c r="E5762" s="69"/>
      <c r="F5762" s="17"/>
      <c r="G5762" s="59"/>
    </row>
    <row r="5763" spans="3:7" ht="20.25" customHeight="1" x14ac:dyDescent="0.3">
      <c r="C5763" s="59"/>
      <c r="D5763" s="69"/>
      <c r="E5763" s="69"/>
      <c r="F5763" s="17"/>
      <c r="G5763" s="59"/>
    </row>
    <row r="5764" spans="3:7" ht="20.25" customHeight="1" x14ac:dyDescent="0.3">
      <c r="C5764" s="59"/>
      <c r="D5764" s="69"/>
      <c r="E5764" s="69"/>
      <c r="F5764" s="17"/>
      <c r="G5764" s="59"/>
    </row>
    <row r="5765" spans="3:7" ht="20.25" customHeight="1" x14ac:dyDescent="0.3">
      <c r="C5765" s="59"/>
      <c r="D5765" s="69"/>
      <c r="E5765" s="69"/>
      <c r="F5765" s="17"/>
      <c r="G5765" s="59"/>
    </row>
    <row r="5766" spans="3:7" ht="20.25" customHeight="1" x14ac:dyDescent="0.3">
      <c r="C5766" s="59"/>
      <c r="D5766" s="69"/>
      <c r="E5766" s="69"/>
      <c r="F5766" s="17"/>
      <c r="G5766" s="59"/>
    </row>
    <row r="5767" spans="3:7" ht="20.25" customHeight="1" x14ac:dyDescent="0.3">
      <c r="C5767" s="59"/>
      <c r="D5767" s="69"/>
      <c r="E5767" s="69"/>
      <c r="F5767" s="17"/>
      <c r="G5767" s="59"/>
    </row>
    <row r="5768" spans="3:7" ht="20.25" customHeight="1" x14ac:dyDescent="0.3">
      <c r="C5768" s="59"/>
      <c r="D5768" s="69"/>
      <c r="E5768" s="69"/>
      <c r="F5768" s="17"/>
      <c r="G5768" s="59"/>
    </row>
    <row r="5769" spans="3:7" ht="20.25" customHeight="1" x14ac:dyDescent="0.3">
      <c r="C5769" s="59"/>
      <c r="D5769" s="69"/>
      <c r="E5769" s="69"/>
      <c r="F5769" s="17"/>
      <c r="G5769" s="59"/>
    </row>
    <row r="5770" spans="3:7" ht="20.25" customHeight="1" x14ac:dyDescent="0.3">
      <c r="C5770" s="59"/>
      <c r="D5770" s="69"/>
      <c r="E5770" s="69"/>
      <c r="F5770" s="17"/>
      <c r="G5770" s="59"/>
    </row>
    <row r="5771" spans="3:7" ht="20.25" customHeight="1" x14ac:dyDescent="0.3">
      <c r="C5771" s="59"/>
      <c r="D5771" s="69"/>
      <c r="E5771" s="69"/>
      <c r="F5771" s="17"/>
      <c r="G5771" s="59"/>
    </row>
    <row r="5772" spans="3:7" ht="20.25" customHeight="1" x14ac:dyDescent="0.3">
      <c r="C5772" s="59"/>
      <c r="D5772" s="69"/>
      <c r="E5772" s="69"/>
      <c r="F5772" s="17"/>
      <c r="G5772" s="59"/>
    </row>
    <row r="5773" spans="3:7" ht="20.25" customHeight="1" x14ac:dyDescent="0.3">
      <c r="C5773" s="59"/>
      <c r="D5773" s="69"/>
      <c r="E5773" s="69"/>
      <c r="F5773" s="17"/>
      <c r="G5773" s="59"/>
    </row>
    <row r="5774" spans="3:7" ht="20.25" customHeight="1" x14ac:dyDescent="0.3">
      <c r="C5774" s="59"/>
      <c r="D5774" s="69"/>
      <c r="E5774" s="69"/>
      <c r="F5774" s="17"/>
      <c r="G5774" s="59"/>
    </row>
    <row r="5775" spans="3:7" ht="20.25" customHeight="1" x14ac:dyDescent="0.3">
      <c r="C5775" s="59"/>
      <c r="D5775" s="69"/>
      <c r="E5775" s="69"/>
      <c r="F5775" s="17"/>
      <c r="G5775" s="59"/>
    </row>
    <row r="5776" spans="3:7" ht="20.25" customHeight="1" x14ac:dyDescent="0.3">
      <c r="C5776" s="59"/>
      <c r="D5776" s="69"/>
      <c r="E5776" s="69"/>
      <c r="F5776" s="17"/>
      <c r="G5776" s="59"/>
    </row>
    <row r="5777" spans="3:7" ht="20.25" customHeight="1" x14ac:dyDescent="0.3">
      <c r="C5777" s="59"/>
      <c r="D5777" s="69"/>
      <c r="E5777" s="69"/>
      <c r="F5777" s="17"/>
      <c r="G5777" s="59"/>
    </row>
    <row r="5778" spans="3:7" ht="20.25" customHeight="1" x14ac:dyDescent="0.3">
      <c r="C5778" s="59"/>
      <c r="D5778" s="69"/>
      <c r="E5778" s="69"/>
      <c r="F5778" s="17"/>
      <c r="G5778" s="59"/>
    </row>
    <row r="5779" spans="3:7" ht="20.25" customHeight="1" x14ac:dyDescent="0.3">
      <c r="C5779" s="59"/>
      <c r="D5779" s="69"/>
      <c r="E5779" s="69"/>
      <c r="F5779" s="17"/>
      <c r="G5779" s="59"/>
    </row>
    <row r="5780" spans="3:7" ht="20.25" customHeight="1" x14ac:dyDescent="0.3">
      <c r="C5780" s="59"/>
      <c r="D5780" s="69"/>
      <c r="E5780" s="69"/>
      <c r="F5780" s="17"/>
      <c r="G5780" s="59"/>
    </row>
    <row r="5781" spans="3:7" ht="20.25" customHeight="1" x14ac:dyDescent="0.3">
      <c r="C5781" s="59"/>
      <c r="D5781" s="69"/>
      <c r="E5781" s="69"/>
      <c r="F5781" s="17"/>
      <c r="G5781" s="59"/>
    </row>
    <row r="5782" spans="3:7" ht="20.25" customHeight="1" x14ac:dyDescent="0.3">
      <c r="C5782" s="59"/>
      <c r="D5782" s="69"/>
      <c r="E5782" s="69"/>
      <c r="F5782" s="17"/>
      <c r="G5782" s="59"/>
    </row>
    <row r="5783" spans="3:7" ht="20.25" customHeight="1" x14ac:dyDescent="0.3">
      <c r="C5783" s="59"/>
      <c r="D5783" s="69"/>
      <c r="E5783" s="69"/>
      <c r="F5783" s="17"/>
      <c r="G5783" s="59"/>
    </row>
    <row r="5784" spans="3:7" ht="20.25" customHeight="1" x14ac:dyDescent="0.3">
      <c r="C5784" s="59"/>
      <c r="D5784" s="69"/>
      <c r="E5784" s="69"/>
      <c r="F5784" s="17"/>
      <c r="G5784" s="59"/>
    </row>
    <row r="5785" spans="3:7" ht="20.25" customHeight="1" x14ac:dyDescent="0.3">
      <c r="C5785" s="59"/>
      <c r="D5785" s="69"/>
      <c r="E5785" s="69"/>
      <c r="F5785" s="17"/>
      <c r="G5785" s="59"/>
    </row>
    <row r="5786" spans="3:7" ht="20.25" customHeight="1" x14ac:dyDescent="0.3">
      <c r="C5786" s="59"/>
      <c r="D5786" s="69"/>
      <c r="E5786" s="69"/>
      <c r="F5786" s="17"/>
      <c r="G5786" s="59"/>
    </row>
    <row r="5787" spans="3:7" ht="20.25" customHeight="1" x14ac:dyDescent="0.3">
      <c r="C5787" s="59"/>
      <c r="D5787" s="69"/>
      <c r="E5787" s="69"/>
      <c r="F5787" s="17"/>
      <c r="G5787" s="59"/>
    </row>
    <row r="5788" spans="3:7" ht="20.25" customHeight="1" x14ac:dyDescent="0.3">
      <c r="C5788" s="59"/>
      <c r="D5788" s="69"/>
      <c r="E5788" s="69"/>
      <c r="F5788" s="17"/>
      <c r="G5788" s="59"/>
    </row>
    <row r="5789" spans="3:7" ht="20.25" customHeight="1" x14ac:dyDescent="0.3">
      <c r="C5789" s="59"/>
      <c r="D5789" s="69"/>
      <c r="E5789" s="69"/>
      <c r="F5789" s="17"/>
      <c r="G5789" s="59"/>
    </row>
    <row r="5790" spans="3:7" ht="20.25" customHeight="1" x14ac:dyDescent="0.3">
      <c r="C5790" s="59"/>
      <c r="D5790" s="69"/>
      <c r="E5790" s="69"/>
      <c r="F5790" s="17"/>
      <c r="G5790" s="59"/>
    </row>
    <row r="5791" spans="3:7" ht="20.25" customHeight="1" x14ac:dyDescent="0.3">
      <c r="C5791" s="59"/>
      <c r="D5791" s="69"/>
      <c r="E5791" s="69"/>
      <c r="F5791" s="17"/>
      <c r="G5791" s="59"/>
    </row>
    <row r="5792" spans="3:7" ht="20.25" customHeight="1" x14ac:dyDescent="0.3">
      <c r="C5792" s="59"/>
      <c r="D5792" s="69"/>
      <c r="E5792" s="69"/>
      <c r="F5792" s="17"/>
      <c r="G5792" s="59"/>
    </row>
    <row r="5793" spans="3:7" ht="20.25" customHeight="1" x14ac:dyDescent="0.3">
      <c r="C5793" s="59"/>
      <c r="D5793" s="69"/>
      <c r="E5793" s="69"/>
      <c r="F5793" s="17"/>
      <c r="G5793" s="59"/>
    </row>
    <row r="5794" spans="3:7" ht="20.25" customHeight="1" x14ac:dyDescent="0.3">
      <c r="C5794" s="59"/>
      <c r="D5794" s="69"/>
      <c r="E5794" s="69"/>
      <c r="F5794" s="17"/>
      <c r="G5794" s="59"/>
    </row>
    <row r="5795" spans="3:7" ht="20.25" customHeight="1" x14ac:dyDescent="0.3">
      <c r="C5795" s="59"/>
      <c r="D5795" s="69"/>
      <c r="E5795" s="69"/>
      <c r="F5795" s="17"/>
      <c r="G5795" s="59"/>
    </row>
    <row r="5796" spans="3:7" ht="20.25" customHeight="1" x14ac:dyDescent="0.3">
      <c r="C5796" s="59"/>
      <c r="D5796" s="69"/>
      <c r="E5796" s="69"/>
      <c r="F5796" s="17"/>
      <c r="G5796" s="59"/>
    </row>
    <row r="5797" spans="3:7" ht="20.25" customHeight="1" x14ac:dyDescent="0.3">
      <c r="C5797" s="59"/>
      <c r="D5797" s="69"/>
      <c r="E5797" s="69"/>
      <c r="F5797" s="17"/>
      <c r="G5797" s="59"/>
    </row>
    <row r="5798" spans="3:7" ht="20.25" customHeight="1" x14ac:dyDescent="0.3">
      <c r="C5798" s="59"/>
      <c r="D5798" s="69"/>
      <c r="E5798" s="69"/>
      <c r="F5798" s="17"/>
      <c r="G5798" s="59"/>
    </row>
    <row r="5799" spans="3:7" ht="20.25" customHeight="1" x14ac:dyDescent="0.3">
      <c r="C5799" s="59"/>
      <c r="D5799" s="69"/>
      <c r="E5799" s="69"/>
      <c r="F5799" s="17"/>
      <c r="G5799" s="59"/>
    </row>
    <row r="5800" spans="3:7" ht="20.25" customHeight="1" x14ac:dyDescent="0.3">
      <c r="C5800" s="59"/>
      <c r="D5800" s="69"/>
      <c r="E5800" s="69"/>
      <c r="F5800" s="17"/>
      <c r="G5800" s="59"/>
    </row>
    <row r="5801" spans="3:7" ht="20.25" customHeight="1" x14ac:dyDescent="0.3">
      <c r="C5801" s="59"/>
      <c r="D5801" s="69"/>
      <c r="E5801" s="69"/>
      <c r="F5801" s="17"/>
      <c r="G5801" s="59"/>
    </row>
    <row r="5802" spans="3:7" ht="20.25" customHeight="1" x14ac:dyDescent="0.3">
      <c r="C5802" s="59"/>
      <c r="D5802" s="69"/>
      <c r="E5802" s="69"/>
      <c r="F5802" s="17"/>
      <c r="G5802" s="59"/>
    </row>
    <row r="5803" spans="3:7" ht="20.25" customHeight="1" x14ac:dyDescent="0.3">
      <c r="C5803" s="59"/>
      <c r="D5803" s="69"/>
      <c r="E5803" s="69"/>
      <c r="F5803" s="17"/>
      <c r="G5803" s="59"/>
    </row>
    <row r="5804" spans="3:7" ht="20.25" customHeight="1" x14ac:dyDescent="0.3">
      <c r="C5804" s="59"/>
      <c r="D5804" s="69"/>
      <c r="E5804" s="69"/>
      <c r="F5804" s="17"/>
      <c r="G5804" s="59"/>
    </row>
    <row r="5805" spans="3:7" ht="20.25" customHeight="1" x14ac:dyDescent="0.3">
      <c r="C5805" s="59"/>
      <c r="D5805" s="69"/>
      <c r="E5805" s="69"/>
      <c r="F5805" s="17"/>
      <c r="G5805" s="59"/>
    </row>
    <row r="5806" spans="3:7" ht="20.25" customHeight="1" x14ac:dyDescent="0.3">
      <c r="C5806" s="59"/>
      <c r="D5806" s="69"/>
      <c r="E5806" s="69"/>
      <c r="F5806" s="17"/>
      <c r="G5806" s="59"/>
    </row>
    <row r="5807" spans="3:7" ht="20.25" customHeight="1" x14ac:dyDescent="0.3">
      <c r="C5807" s="59"/>
      <c r="D5807" s="69"/>
      <c r="E5807" s="69"/>
      <c r="F5807" s="17"/>
      <c r="G5807" s="59"/>
    </row>
    <row r="5808" spans="3:7" ht="20.25" customHeight="1" x14ac:dyDescent="0.3">
      <c r="C5808" s="59"/>
      <c r="D5808" s="69"/>
      <c r="E5808" s="69"/>
      <c r="F5808" s="17"/>
      <c r="G5808" s="59"/>
    </row>
    <row r="5809" spans="3:7" ht="20.25" customHeight="1" x14ac:dyDescent="0.3">
      <c r="C5809" s="59"/>
      <c r="D5809" s="69"/>
      <c r="E5809" s="69"/>
      <c r="F5809" s="17"/>
      <c r="G5809" s="59"/>
    </row>
    <row r="5810" spans="3:7" ht="20.25" customHeight="1" x14ac:dyDescent="0.3">
      <c r="C5810" s="59"/>
      <c r="D5810" s="69"/>
      <c r="E5810" s="69"/>
      <c r="F5810" s="17"/>
      <c r="G5810" s="59"/>
    </row>
    <row r="5811" spans="3:7" ht="20.25" customHeight="1" x14ac:dyDescent="0.3">
      <c r="C5811" s="59"/>
      <c r="D5811" s="69"/>
      <c r="E5811" s="69"/>
      <c r="F5811" s="17"/>
      <c r="G5811" s="59"/>
    </row>
    <row r="5812" spans="3:7" ht="20.25" customHeight="1" x14ac:dyDescent="0.3">
      <c r="C5812" s="59"/>
      <c r="D5812" s="69"/>
      <c r="E5812" s="69"/>
      <c r="F5812" s="17"/>
      <c r="G5812" s="59"/>
    </row>
    <row r="5813" spans="3:7" ht="20.25" customHeight="1" x14ac:dyDescent="0.3">
      <c r="C5813" s="59"/>
      <c r="D5813" s="69"/>
      <c r="E5813" s="69"/>
      <c r="F5813" s="17"/>
      <c r="G5813" s="59"/>
    </row>
    <row r="5814" spans="3:7" ht="20.25" customHeight="1" x14ac:dyDescent="0.3">
      <c r="C5814" s="59"/>
      <c r="D5814" s="69"/>
      <c r="E5814" s="69"/>
      <c r="F5814" s="17"/>
      <c r="G5814" s="59"/>
    </row>
    <row r="5815" spans="3:7" ht="20.25" customHeight="1" x14ac:dyDescent="0.3">
      <c r="C5815" s="59"/>
      <c r="D5815" s="69"/>
      <c r="E5815" s="69"/>
      <c r="F5815" s="17"/>
      <c r="G5815" s="59"/>
    </row>
    <row r="5816" spans="3:7" ht="20.25" customHeight="1" x14ac:dyDescent="0.3">
      <c r="C5816" s="59"/>
      <c r="D5816" s="69"/>
      <c r="E5816" s="69"/>
      <c r="F5816" s="17"/>
      <c r="G5816" s="59"/>
    </row>
    <row r="5817" spans="3:7" ht="20.25" customHeight="1" x14ac:dyDescent="0.3">
      <c r="C5817" s="59"/>
      <c r="D5817" s="69"/>
      <c r="E5817" s="69"/>
      <c r="F5817" s="17"/>
      <c r="G5817" s="59"/>
    </row>
    <row r="5818" spans="3:7" ht="20.25" customHeight="1" x14ac:dyDescent="0.3">
      <c r="C5818" s="59"/>
      <c r="D5818" s="69"/>
      <c r="E5818" s="69"/>
      <c r="F5818" s="17"/>
      <c r="G5818" s="59"/>
    </row>
    <row r="5819" spans="3:7" ht="20.25" customHeight="1" x14ac:dyDescent="0.3">
      <c r="C5819" s="59"/>
      <c r="D5819" s="69"/>
      <c r="E5819" s="69"/>
      <c r="F5819" s="17"/>
      <c r="G5819" s="59"/>
    </row>
    <row r="5820" spans="3:7" ht="20.25" customHeight="1" x14ac:dyDescent="0.3">
      <c r="C5820" s="59"/>
      <c r="D5820" s="69"/>
      <c r="E5820" s="69"/>
      <c r="F5820" s="17"/>
      <c r="G5820" s="59"/>
    </row>
    <row r="5821" spans="3:7" ht="20.25" customHeight="1" x14ac:dyDescent="0.3">
      <c r="C5821" s="59"/>
      <c r="D5821" s="69"/>
      <c r="E5821" s="69"/>
      <c r="F5821" s="17"/>
      <c r="G5821" s="59"/>
    </row>
    <row r="5822" spans="3:7" ht="20.25" customHeight="1" x14ac:dyDescent="0.3">
      <c r="C5822" s="59"/>
      <c r="D5822" s="69"/>
      <c r="E5822" s="69"/>
      <c r="F5822" s="17"/>
      <c r="G5822" s="59"/>
    </row>
    <row r="5823" spans="3:7" ht="20.25" customHeight="1" x14ac:dyDescent="0.3">
      <c r="C5823" s="59"/>
      <c r="D5823" s="69"/>
      <c r="E5823" s="69"/>
      <c r="F5823" s="17"/>
      <c r="G5823" s="59"/>
    </row>
    <row r="5824" spans="3:7" ht="20.25" customHeight="1" x14ac:dyDescent="0.3">
      <c r="C5824" s="59"/>
      <c r="D5824" s="69"/>
      <c r="E5824" s="69"/>
      <c r="F5824" s="17"/>
      <c r="G5824" s="59"/>
    </row>
    <row r="5825" spans="3:7" ht="20.25" customHeight="1" x14ac:dyDescent="0.3">
      <c r="C5825" s="59"/>
      <c r="D5825" s="69"/>
      <c r="E5825" s="69"/>
      <c r="F5825" s="17"/>
      <c r="G5825" s="59"/>
    </row>
    <row r="5826" spans="3:7" ht="20.25" customHeight="1" x14ac:dyDescent="0.3">
      <c r="C5826" s="59"/>
      <c r="D5826" s="69"/>
      <c r="E5826" s="69"/>
      <c r="F5826" s="17"/>
      <c r="G5826" s="59"/>
    </row>
    <row r="5827" spans="3:7" ht="20.25" customHeight="1" x14ac:dyDescent="0.3">
      <c r="C5827" s="59"/>
      <c r="D5827" s="69"/>
      <c r="E5827" s="69"/>
      <c r="F5827" s="17"/>
      <c r="G5827" s="59"/>
    </row>
    <row r="5828" spans="3:7" ht="20.25" customHeight="1" x14ac:dyDescent="0.3">
      <c r="C5828" s="59"/>
      <c r="D5828" s="69"/>
      <c r="E5828" s="69"/>
      <c r="F5828" s="17"/>
      <c r="G5828" s="59"/>
    </row>
    <row r="5829" spans="3:7" ht="20.25" customHeight="1" x14ac:dyDescent="0.3">
      <c r="C5829" s="59"/>
      <c r="D5829" s="69"/>
      <c r="E5829" s="69"/>
      <c r="F5829" s="17"/>
      <c r="G5829" s="59"/>
    </row>
    <row r="5830" spans="3:7" ht="20.25" customHeight="1" x14ac:dyDescent="0.3">
      <c r="C5830" s="59"/>
      <c r="D5830" s="69"/>
      <c r="E5830" s="69"/>
      <c r="F5830" s="17"/>
      <c r="G5830" s="59"/>
    </row>
    <row r="5831" spans="3:7" ht="20.25" customHeight="1" x14ac:dyDescent="0.3">
      <c r="C5831" s="59"/>
      <c r="D5831" s="69"/>
      <c r="E5831" s="69"/>
      <c r="F5831" s="17"/>
      <c r="G5831" s="59"/>
    </row>
    <row r="5832" spans="3:7" ht="20.25" customHeight="1" x14ac:dyDescent="0.3">
      <c r="C5832" s="59"/>
      <c r="D5832" s="69"/>
      <c r="E5832" s="69"/>
      <c r="F5832" s="17"/>
      <c r="G5832" s="59"/>
    </row>
    <row r="5833" spans="3:7" ht="20.25" customHeight="1" x14ac:dyDescent="0.3">
      <c r="C5833" s="59"/>
      <c r="D5833" s="69"/>
      <c r="E5833" s="69"/>
      <c r="F5833" s="17"/>
      <c r="G5833" s="59"/>
    </row>
    <row r="5834" spans="3:7" ht="20.25" customHeight="1" x14ac:dyDescent="0.3">
      <c r="C5834" s="59"/>
      <c r="D5834" s="69"/>
      <c r="E5834" s="69"/>
      <c r="F5834" s="17"/>
      <c r="G5834" s="59"/>
    </row>
    <row r="5835" spans="3:7" ht="20.25" customHeight="1" x14ac:dyDescent="0.3">
      <c r="C5835" s="59"/>
      <c r="D5835" s="69"/>
      <c r="E5835" s="69"/>
      <c r="F5835" s="17"/>
      <c r="G5835" s="59"/>
    </row>
    <row r="5836" spans="3:7" ht="20.25" customHeight="1" x14ac:dyDescent="0.3">
      <c r="C5836" s="59"/>
      <c r="D5836" s="69"/>
      <c r="E5836" s="69"/>
      <c r="F5836" s="17"/>
      <c r="G5836" s="59"/>
    </row>
    <row r="5837" spans="3:7" ht="20.25" customHeight="1" x14ac:dyDescent="0.3">
      <c r="C5837" s="59"/>
      <c r="D5837" s="69"/>
      <c r="E5837" s="69"/>
      <c r="F5837" s="17"/>
      <c r="G5837" s="59"/>
    </row>
    <row r="5838" spans="3:7" ht="20.25" customHeight="1" x14ac:dyDescent="0.3">
      <c r="C5838" s="59"/>
      <c r="D5838" s="69"/>
      <c r="E5838" s="69"/>
      <c r="F5838" s="17"/>
      <c r="G5838" s="59"/>
    </row>
    <row r="5839" spans="3:7" ht="20.25" customHeight="1" x14ac:dyDescent="0.3">
      <c r="C5839" s="59"/>
      <c r="D5839" s="69"/>
      <c r="E5839" s="69"/>
      <c r="F5839" s="17"/>
      <c r="G5839" s="59"/>
    </row>
    <row r="5840" spans="3:7" ht="20.25" customHeight="1" x14ac:dyDescent="0.3">
      <c r="C5840" s="59"/>
      <c r="D5840" s="69"/>
      <c r="E5840" s="69"/>
      <c r="F5840" s="17"/>
      <c r="G5840" s="59"/>
    </row>
    <row r="5841" spans="3:7" ht="20.25" customHeight="1" x14ac:dyDescent="0.3">
      <c r="C5841" s="59"/>
      <c r="D5841" s="69"/>
      <c r="E5841" s="69"/>
      <c r="F5841" s="17"/>
      <c r="G5841" s="59"/>
    </row>
    <row r="5842" spans="3:7" ht="20.25" customHeight="1" x14ac:dyDescent="0.3">
      <c r="C5842" s="59"/>
      <c r="D5842" s="69"/>
      <c r="E5842" s="69"/>
      <c r="F5842" s="17"/>
      <c r="G5842" s="59"/>
    </row>
    <row r="5843" spans="3:7" ht="20.25" customHeight="1" x14ac:dyDescent="0.3">
      <c r="C5843" s="59"/>
      <c r="D5843" s="69"/>
      <c r="E5843" s="69"/>
      <c r="F5843" s="17"/>
      <c r="G5843" s="59"/>
    </row>
    <row r="5844" spans="3:7" ht="20.25" customHeight="1" x14ac:dyDescent="0.3">
      <c r="C5844" s="59"/>
      <c r="D5844" s="69"/>
      <c r="E5844" s="69"/>
      <c r="F5844" s="17"/>
      <c r="G5844" s="59"/>
    </row>
    <row r="5845" spans="3:7" ht="20.25" customHeight="1" x14ac:dyDescent="0.3">
      <c r="C5845" s="59"/>
      <c r="D5845" s="69"/>
      <c r="E5845" s="69"/>
      <c r="F5845" s="17"/>
      <c r="G5845" s="59"/>
    </row>
    <row r="5846" spans="3:7" ht="20.25" customHeight="1" x14ac:dyDescent="0.3">
      <c r="C5846" s="59"/>
      <c r="D5846" s="69"/>
      <c r="E5846" s="69"/>
      <c r="F5846" s="17"/>
      <c r="G5846" s="59"/>
    </row>
    <row r="5847" spans="3:7" ht="20.25" customHeight="1" x14ac:dyDescent="0.3">
      <c r="C5847" s="59"/>
      <c r="D5847" s="69"/>
      <c r="E5847" s="69"/>
      <c r="F5847" s="17"/>
      <c r="G5847" s="59"/>
    </row>
    <row r="5848" spans="3:7" ht="20.25" customHeight="1" x14ac:dyDescent="0.3">
      <c r="C5848" s="59"/>
      <c r="D5848" s="69"/>
      <c r="E5848" s="69"/>
      <c r="F5848" s="17"/>
      <c r="G5848" s="59"/>
    </row>
    <row r="5849" spans="3:7" ht="20.25" customHeight="1" x14ac:dyDescent="0.3">
      <c r="C5849" s="59"/>
      <c r="D5849" s="69"/>
      <c r="E5849" s="69"/>
      <c r="F5849" s="17"/>
      <c r="G5849" s="59"/>
    </row>
    <row r="5850" spans="3:7" ht="20.25" customHeight="1" x14ac:dyDescent="0.3">
      <c r="C5850" s="59"/>
      <c r="D5850" s="69"/>
      <c r="E5850" s="69"/>
      <c r="F5850" s="17"/>
      <c r="G5850" s="59"/>
    </row>
    <row r="5851" spans="3:7" ht="20.25" customHeight="1" x14ac:dyDescent="0.3">
      <c r="C5851" s="59"/>
      <c r="D5851" s="69"/>
      <c r="E5851" s="69"/>
      <c r="F5851" s="17"/>
      <c r="G5851" s="59"/>
    </row>
    <row r="5852" spans="3:7" ht="20.25" customHeight="1" x14ac:dyDescent="0.3">
      <c r="C5852" s="59"/>
      <c r="D5852" s="69"/>
      <c r="E5852" s="69"/>
      <c r="F5852" s="17"/>
      <c r="G5852" s="59"/>
    </row>
    <row r="5853" spans="3:7" ht="20.25" customHeight="1" x14ac:dyDescent="0.3">
      <c r="C5853" s="59"/>
      <c r="D5853" s="69"/>
      <c r="E5853" s="69"/>
      <c r="F5853" s="17"/>
      <c r="G5853" s="59"/>
    </row>
    <row r="5854" spans="3:7" ht="20.25" customHeight="1" x14ac:dyDescent="0.3">
      <c r="C5854" s="59"/>
      <c r="D5854" s="69"/>
      <c r="E5854" s="69"/>
      <c r="F5854" s="17"/>
      <c r="G5854" s="59"/>
    </row>
    <row r="5855" spans="3:7" ht="20.25" customHeight="1" x14ac:dyDescent="0.3">
      <c r="C5855" s="59"/>
      <c r="D5855" s="69"/>
      <c r="E5855" s="69"/>
      <c r="F5855" s="17"/>
      <c r="G5855" s="59"/>
    </row>
    <row r="5856" spans="3:7" ht="20.25" customHeight="1" x14ac:dyDescent="0.3">
      <c r="C5856" s="59"/>
      <c r="D5856" s="69"/>
      <c r="E5856" s="69"/>
      <c r="F5856" s="17"/>
      <c r="G5856" s="59"/>
    </row>
    <row r="5857" spans="3:7" ht="20.25" customHeight="1" x14ac:dyDescent="0.3">
      <c r="C5857" s="59"/>
      <c r="D5857" s="69"/>
      <c r="E5857" s="69"/>
      <c r="F5857" s="17"/>
      <c r="G5857" s="59"/>
    </row>
    <row r="5858" spans="3:7" ht="20.25" customHeight="1" x14ac:dyDescent="0.3">
      <c r="C5858" s="59"/>
      <c r="D5858" s="69"/>
      <c r="E5858" s="69"/>
      <c r="F5858" s="17"/>
      <c r="G5858" s="59"/>
    </row>
    <row r="5859" spans="3:7" ht="20.25" customHeight="1" x14ac:dyDescent="0.3">
      <c r="C5859" s="59"/>
      <c r="D5859" s="69"/>
      <c r="E5859" s="69"/>
      <c r="F5859" s="17"/>
      <c r="G5859" s="59"/>
    </row>
    <row r="5860" spans="3:7" ht="20.25" customHeight="1" x14ac:dyDescent="0.3">
      <c r="C5860" s="59"/>
      <c r="D5860" s="69"/>
      <c r="E5860" s="69"/>
      <c r="F5860" s="17"/>
      <c r="G5860" s="59"/>
    </row>
    <row r="5861" spans="3:7" ht="20.25" customHeight="1" x14ac:dyDescent="0.3">
      <c r="C5861" s="59"/>
      <c r="D5861" s="69"/>
      <c r="E5861" s="69"/>
      <c r="F5861" s="17"/>
      <c r="G5861" s="59"/>
    </row>
    <row r="5862" spans="3:7" ht="20.25" customHeight="1" x14ac:dyDescent="0.3">
      <c r="C5862" s="59"/>
      <c r="D5862" s="69"/>
      <c r="E5862" s="69"/>
      <c r="F5862" s="17"/>
      <c r="G5862" s="59"/>
    </row>
    <row r="5863" spans="3:7" ht="20.25" customHeight="1" x14ac:dyDescent="0.3">
      <c r="C5863" s="59"/>
      <c r="D5863" s="69"/>
      <c r="E5863" s="69"/>
      <c r="F5863" s="17"/>
      <c r="G5863" s="59"/>
    </row>
    <row r="5864" spans="3:7" ht="20.25" customHeight="1" x14ac:dyDescent="0.3">
      <c r="C5864" s="59"/>
      <c r="D5864" s="69"/>
      <c r="E5864" s="69"/>
      <c r="F5864" s="17"/>
      <c r="G5864" s="59"/>
    </row>
    <row r="5865" spans="3:7" ht="20.25" customHeight="1" x14ac:dyDescent="0.3">
      <c r="C5865" s="59"/>
      <c r="D5865" s="69"/>
      <c r="E5865" s="69"/>
      <c r="F5865" s="17"/>
      <c r="G5865" s="59"/>
    </row>
    <row r="5866" spans="3:7" ht="20.25" customHeight="1" x14ac:dyDescent="0.3">
      <c r="C5866" s="59"/>
      <c r="D5866" s="69"/>
      <c r="E5866" s="69"/>
      <c r="F5866" s="17"/>
      <c r="G5866" s="59"/>
    </row>
    <row r="5867" spans="3:7" ht="20.25" customHeight="1" x14ac:dyDescent="0.3">
      <c r="C5867" s="59"/>
      <c r="D5867" s="69"/>
      <c r="E5867" s="69"/>
      <c r="F5867" s="17"/>
      <c r="G5867" s="59"/>
    </row>
    <row r="5868" spans="3:7" ht="20.25" customHeight="1" x14ac:dyDescent="0.3">
      <c r="C5868" s="59"/>
      <c r="D5868" s="69"/>
      <c r="E5868" s="69"/>
      <c r="F5868" s="17"/>
      <c r="G5868" s="59"/>
    </row>
    <row r="5869" spans="3:7" ht="20.25" customHeight="1" x14ac:dyDescent="0.3">
      <c r="C5869" s="59"/>
      <c r="D5869" s="69"/>
      <c r="E5869" s="69"/>
      <c r="F5869" s="17"/>
      <c r="G5869" s="59"/>
    </row>
    <row r="5870" spans="3:7" ht="20.25" customHeight="1" x14ac:dyDescent="0.3">
      <c r="C5870" s="59"/>
      <c r="D5870" s="69"/>
      <c r="E5870" s="69"/>
      <c r="F5870" s="17"/>
      <c r="G5870" s="59"/>
    </row>
    <row r="5871" spans="3:7" ht="20.25" customHeight="1" x14ac:dyDescent="0.3">
      <c r="C5871" s="59"/>
      <c r="D5871" s="69"/>
      <c r="E5871" s="69"/>
      <c r="F5871" s="17"/>
      <c r="G5871" s="59"/>
    </row>
    <row r="5872" spans="3:7" ht="20.25" customHeight="1" x14ac:dyDescent="0.3">
      <c r="C5872" s="59"/>
      <c r="D5872" s="69"/>
      <c r="E5872" s="69"/>
      <c r="F5872" s="17"/>
      <c r="G5872" s="59"/>
    </row>
    <row r="5873" spans="3:7" ht="20.25" customHeight="1" x14ac:dyDescent="0.3">
      <c r="C5873" s="59"/>
      <c r="D5873" s="69"/>
      <c r="E5873" s="69"/>
      <c r="F5873" s="17"/>
      <c r="G5873" s="59"/>
    </row>
    <row r="5874" spans="3:7" ht="20.25" customHeight="1" x14ac:dyDescent="0.3">
      <c r="C5874" s="59"/>
      <c r="D5874" s="69"/>
      <c r="E5874" s="69"/>
      <c r="F5874" s="17"/>
      <c r="G5874" s="59"/>
    </row>
    <row r="5875" spans="3:7" ht="20.25" customHeight="1" x14ac:dyDescent="0.3">
      <c r="C5875" s="59"/>
      <c r="D5875" s="69"/>
      <c r="E5875" s="69"/>
      <c r="F5875" s="17"/>
      <c r="G5875" s="59"/>
    </row>
    <row r="5876" spans="3:7" ht="20.25" customHeight="1" x14ac:dyDescent="0.3">
      <c r="C5876" s="59"/>
      <c r="D5876" s="69"/>
      <c r="E5876" s="69"/>
      <c r="F5876" s="17"/>
      <c r="G5876" s="59"/>
    </row>
    <row r="5877" spans="3:7" ht="20.25" customHeight="1" x14ac:dyDescent="0.3">
      <c r="C5877" s="59"/>
      <c r="D5877" s="69"/>
      <c r="E5877" s="69"/>
      <c r="F5877" s="17"/>
      <c r="G5877" s="59"/>
    </row>
    <row r="5878" spans="3:7" ht="20.25" customHeight="1" x14ac:dyDescent="0.3">
      <c r="C5878" s="59"/>
      <c r="D5878" s="69"/>
      <c r="E5878" s="69"/>
      <c r="F5878" s="17"/>
      <c r="G5878" s="59"/>
    </row>
    <row r="5879" spans="3:7" ht="20.25" customHeight="1" x14ac:dyDescent="0.3">
      <c r="C5879" s="59"/>
      <c r="D5879" s="69"/>
      <c r="E5879" s="69"/>
      <c r="F5879" s="17"/>
      <c r="G5879" s="59"/>
    </row>
    <row r="5880" spans="3:7" ht="20.25" customHeight="1" x14ac:dyDescent="0.3">
      <c r="C5880" s="59"/>
      <c r="D5880" s="69"/>
      <c r="E5880" s="69"/>
      <c r="F5880" s="17"/>
      <c r="G5880" s="59"/>
    </row>
    <row r="5881" spans="3:7" ht="20.25" customHeight="1" x14ac:dyDescent="0.3">
      <c r="C5881" s="59"/>
      <c r="D5881" s="69"/>
      <c r="E5881" s="69"/>
      <c r="F5881" s="17"/>
      <c r="G5881" s="59"/>
    </row>
    <row r="5882" spans="3:7" ht="20.25" customHeight="1" x14ac:dyDescent="0.3">
      <c r="C5882" s="59"/>
      <c r="D5882" s="69"/>
      <c r="E5882" s="69"/>
      <c r="F5882" s="17"/>
      <c r="G5882" s="59"/>
    </row>
    <row r="5883" spans="3:7" ht="20.25" customHeight="1" x14ac:dyDescent="0.3">
      <c r="C5883" s="59"/>
      <c r="D5883" s="69"/>
      <c r="E5883" s="69"/>
      <c r="F5883" s="17"/>
      <c r="G5883" s="59"/>
    </row>
    <row r="5884" spans="3:7" ht="20.25" customHeight="1" x14ac:dyDescent="0.3">
      <c r="C5884" s="59"/>
      <c r="D5884" s="69"/>
      <c r="E5884" s="69"/>
      <c r="F5884" s="17"/>
      <c r="G5884" s="59"/>
    </row>
    <row r="5885" spans="3:7" ht="20.25" customHeight="1" x14ac:dyDescent="0.3">
      <c r="C5885" s="59"/>
      <c r="D5885" s="69"/>
      <c r="E5885" s="69"/>
      <c r="F5885" s="17"/>
      <c r="G5885" s="59"/>
    </row>
    <row r="5886" spans="3:7" ht="20.25" customHeight="1" x14ac:dyDescent="0.3">
      <c r="C5886" s="59"/>
      <c r="D5886" s="69"/>
      <c r="E5886" s="69"/>
      <c r="F5886" s="17"/>
      <c r="G5886" s="59"/>
    </row>
    <row r="5887" spans="3:7" ht="20.25" customHeight="1" x14ac:dyDescent="0.3">
      <c r="C5887" s="59"/>
      <c r="D5887" s="69"/>
      <c r="E5887" s="69"/>
      <c r="F5887" s="17"/>
      <c r="G5887" s="59"/>
    </row>
    <row r="5888" spans="3:7" ht="20.25" customHeight="1" x14ac:dyDescent="0.3">
      <c r="C5888" s="59"/>
      <c r="D5888" s="69"/>
      <c r="E5888" s="69"/>
      <c r="F5888" s="17"/>
      <c r="G5888" s="59"/>
    </row>
    <row r="5889" spans="3:7" ht="20.25" customHeight="1" x14ac:dyDescent="0.3">
      <c r="C5889" s="59"/>
      <c r="D5889" s="69"/>
      <c r="E5889" s="69"/>
      <c r="F5889" s="17"/>
      <c r="G5889" s="59"/>
    </row>
    <row r="5890" spans="3:7" ht="20.25" customHeight="1" x14ac:dyDescent="0.3">
      <c r="C5890" s="59"/>
      <c r="D5890" s="69"/>
      <c r="E5890" s="69"/>
      <c r="F5890" s="17"/>
      <c r="G5890" s="59"/>
    </row>
    <row r="5891" spans="3:7" ht="20.25" customHeight="1" x14ac:dyDescent="0.3">
      <c r="C5891" s="59"/>
      <c r="D5891" s="69"/>
      <c r="E5891" s="69"/>
      <c r="F5891" s="17"/>
      <c r="G5891" s="59"/>
    </row>
    <row r="5892" spans="3:7" ht="20.25" customHeight="1" x14ac:dyDescent="0.3">
      <c r="C5892" s="59"/>
      <c r="D5892" s="69"/>
      <c r="E5892" s="69"/>
      <c r="F5892" s="17"/>
      <c r="G5892" s="59"/>
    </row>
    <row r="5893" spans="3:7" ht="20.25" customHeight="1" x14ac:dyDescent="0.3">
      <c r="C5893" s="59"/>
      <c r="D5893" s="69"/>
      <c r="E5893" s="69"/>
      <c r="F5893" s="17"/>
      <c r="G5893" s="59"/>
    </row>
    <row r="5894" spans="3:7" ht="20.25" customHeight="1" x14ac:dyDescent="0.3">
      <c r="C5894" s="59"/>
      <c r="D5894" s="69"/>
      <c r="E5894" s="69"/>
      <c r="F5894" s="17"/>
      <c r="G5894" s="59"/>
    </row>
    <row r="5895" spans="3:7" ht="20.25" customHeight="1" x14ac:dyDescent="0.3">
      <c r="C5895" s="59"/>
      <c r="D5895" s="69"/>
      <c r="E5895" s="69"/>
      <c r="F5895" s="17"/>
      <c r="G5895" s="59"/>
    </row>
    <row r="5896" spans="3:7" ht="20.25" customHeight="1" x14ac:dyDescent="0.3">
      <c r="C5896" s="59"/>
      <c r="D5896" s="69"/>
      <c r="E5896" s="69"/>
      <c r="F5896" s="17"/>
      <c r="G5896" s="59"/>
    </row>
    <row r="5897" spans="3:7" ht="20.25" customHeight="1" x14ac:dyDescent="0.3">
      <c r="C5897" s="59"/>
      <c r="D5897" s="69"/>
      <c r="E5897" s="69"/>
      <c r="F5897" s="17"/>
      <c r="G5897" s="59"/>
    </row>
    <row r="5898" spans="3:7" ht="20.25" customHeight="1" x14ac:dyDescent="0.3">
      <c r="C5898" s="59"/>
      <c r="D5898" s="69"/>
      <c r="E5898" s="69"/>
      <c r="F5898" s="17"/>
      <c r="G5898" s="59"/>
    </row>
    <row r="5899" spans="3:7" ht="20.25" customHeight="1" x14ac:dyDescent="0.3">
      <c r="C5899" s="59"/>
      <c r="D5899" s="69"/>
      <c r="E5899" s="69"/>
      <c r="F5899" s="17"/>
      <c r="G5899" s="59"/>
    </row>
    <row r="5900" spans="3:7" ht="20.25" customHeight="1" x14ac:dyDescent="0.3">
      <c r="C5900" s="59"/>
      <c r="D5900" s="69"/>
      <c r="E5900" s="69"/>
      <c r="F5900" s="17"/>
      <c r="G5900" s="59"/>
    </row>
    <row r="5901" spans="3:7" ht="20.25" customHeight="1" x14ac:dyDescent="0.3">
      <c r="C5901" s="59"/>
      <c r="D5901" s="69"/>
      <c r="E5901" s="69"/>
      <c r="F5901" s="17"/>
      <c r="G5901" s="59"/>
    </row>
    <row r="5902" spans="3:7" ht="20.25" customHeight="1" x14ac:dyDescent="0.3">
      <c r="C5902" s="59"/>
      <c r="D5902" s="69"/>
      <c r="E5902" s="69"/>
      <c r="F5902" s="17"/>
      <c r="G5902" s="59"/>
    </row>
    <row r="5903" spans="3:7" ht="20.25" customHeight="1" x14ac:dyDescent="0.3">
      <c r="C5903" s="59"/>
      <c r="D5903" s="69"/>
      <c r="E5903" s="69"/>
      <c r="F5903" s="17"/>
      <c r="G5903" s="59"/>
    </row>
    <row r="5904" spans="3:7" ht="20.25" customHeight="1" x14ac:dyDescent="0.3">
      <c r="C5904" s="59"/>
      <c r="D5904" s="69"/>
      <c r="E5904" s="69"/>
      <c r="F5904" s="17"/>
      <c r="G5904" s="59"/>
    </row>
    <row r="5905" spans="3:7" ht="20.25" customHeight="1" x14ac:dyDescent="0.3">
      <c r="C5905" s="59"/>
      <c r="D5905" s="69"/>
      <c r="E5905" s="69"/>
      <c r="F5905" s="17"/>
      <c r="G5905" s="59"/>
    </row>
    <row r="5906" spans="3:7" ht="20.25" customHeight="1" x14ac:dyDescent="0.3">
      <c r="C5906" s="59"/>
      <c r="D5906" s="69"/>
      <c r="E5906" s="69"/>
      <c r="F5906" s="17"/>
      <c r="G5906" s="59"/>
    </row>
    <row r="5907" spans="3:7" ht="20.25" customHeight="1" x14ac:dyDescent="0.3">
      <c r="C5907" s="59"/>
      <c r="D5907" s="69"/>
      <c r="E5907" s="69"/>
      <c r="F5907" s="17"/>
      <c r="G5907" s="59"/>
    </row>
    <row r="5908" spans="3:7" ht="20.25" customHeight="1" x14ac:dyDescent="0.3">
      <c r="C5908" s="59"/>
      <c r="D5908" s="69"/>
      <c r="E5908" s="69"/>
      <c r="F5908" s="17"/>
      <c r="G5908" s="59"/>
    </row>
    <row r="5909" spans="3:7" ht="20.25" customHeight="1" x14ac:dyDescent="0.3">
      <c r="C5909" s="59"/>
      <c r="D5909" s="69"/>
      <c r="E5909" s="69"/>
      <c r="F5909" s="17"/>
      <c r="G5909" s="59"/>
    </row>
    <row r="5910" spans="3:7" ht="20.25" customHeight="1" x14ac:dyDescent="0.3">
      <c r="C5910" s="59"/>
      <c r="D5910" s="69"/>
      <c r="E5910" s="69"/>
      <c r="F5910" s="17"/>
      <c r="G5910" s="59"/>
    </row>
    <row r="5911" spans="3:7" ht="20.25" customHeight="1" x14ac:dyDescent="0.3">
      <c r="C5911" s="59"/>
      <c r="D5911" s="69"/>
      <c r="E5911" s="69"/>
      <c r="F5911" s="17"/>
      <c r="G5911" s="59"/>
    </row>
    <row r="5912" spans="3:7" ht="20.25" customHeight="1" x14ac:dyDescent="0.3">
      <c r="C5912" s="59"/>
      <c r="D5912" s="69"/>
      <c r="E5912" s="69"/>
      <c r="F5912" s="17"/>
      <c r="G5912" s="59"/>
    </row>
    <row r="5913" spans="3:7" ht="20.25" customHeight="1" x14ac:dyDescent="0.3">
      <c r="C5913" s="59"/>
      <c r="D5913" s="69"/>
      <c r="E5913" s="69"/>
      <c r="F5913" s="17"/>
      <c r="G5913" s="59"/>
    </row>
    <row r="5914" spans="3:7" ht="20.25" customHeight="1" x14ac:dyDescent="0.3">
      <c r="C5914" s="59"/>
      <c r="D5914" s="69"/>
      <c r="E5914" s="69"/>
      <c r="F5914" s="17"/>
      <c r="G5914" s="59"/>
    </row>
    <row r="5915" spans="3:7" ht="20.25" customHeight="1" x14ac:dyDescent="0.3">
      <c r="C5915" s="59"/>
      <c r="D5915" s="69"/>
      <c r="E5915" s="69"/>
      <c r="F5915" s="17"/>
      <c r="G5915" s="59"/>
    </row>
    <row r="5916" spans="3:7" ht="20.25" customHeight="1" x14ac:dyDescent="0.3">
      <c r="C5916" s="59"/>
      <c r="D5916" s="69"/>
      <c r="E5916" s="69"/>
      <c r="F5916" s="17"/>
      <c r="G5916" s="59"/>
    </row>
    <row r="5917" spans="3:7" ht="20.25" customHeight="1" x14ac:dyDescent="0.3">
      <c r="C5917" s="59"/>
      <c r="D5917" s="69"/>
      <c r="E5917" s="69"/>
      <c r="F5917" s="17"/>
      <c r="G5917" s="59"/>
    </row>
    <row r="5918" spans="3:7" ht="20.25" customHeight="1" x14ac:dyDescent="0.3">
      <c r="C5918" s="59"/>
      <c r="D5918" s="69"/>
      <c r="E5918" s="69"/>
      <c r="F5918" s="17"/>
      <c r="G5918" s="59"/>
    </row>
    <row r="5919" spans="3:7" ht="20.25" customHeight="1" x14ac:dyDescent="0.3">
      <c r="C5919" s="59"/>
      <c r="D5919" s="69"/>
      <c r="E5919" s="69"/>
      <c r="F5919" s="17"/>
      <c r="G5919" s="59"/>
    </row>
    <row r="5920" spans="3:7" ht="20.25" customHeight="1" x14ac:dyDescent="0.3">
      <c r="C5920" s="59"/>
      <c r="D5920" s="69"/>
      <c r="E5920" s="69"/>
      <c r="F5920" s="17"/>
      <c r="G5920" s="59"/>
    </row>
    <row r="5921" spans="3:7" ht="20.25" customHeight="1" x14ac:dyDescent="0.3">
      <c r="C5921" s="59"/>
      <c r="D5921" s="69"/>
      <c r="E5921" s="69"/>
      <c r="F5921" s="17"/>
      <c r="G5921" s="59"/>
    </row>
    <row r="5922" spans="3:7" ht="20.25" customHeight="1" x14ac:dyDescent="0.3">
      <c r="C5922" s="59"/>
      <c r="D5922" s="69"/>
      <c r="E5922" s="69"/>
      <c r="F5922" s="17"/>
      <c r="G5922" s="59"/>
    </row>
    <row r="5923" spans="3:7" ht="20.25" customHeight="1" x14ac:dyDescent="0.3">
      <c r="C5923" s="59"/>
      <c r="D5923" s="69"/>
      <c r="E5923" s="69"/>
      <c r="F5923" s="17"/>
      <c r="G5923" s="59"/>
    </row>
    <row r="5924" spans="3:7" ht="20.25" customHeight="1" x14ac:dyDescent="0.3">
      <c r="C5924" s="59"/>
      <c r="D5924" s="69"/>
      <c r="E5924" s="69"/>
      <c r="F5924" s="17"/>
      <c r="G5924" s="59"/>
    </row>
    <row r="5925" spans="3:7" ht="20.25" customHeight="1" x14ac:dyDescent="0.3">
      <c r="C5925" s="59"/>
      <c r="D5925" s="69"/>
      <c r="E5925" s="69"/>
      <c r="F5925" s="17"/>
      <c r="G5925" s="59"/>
    </row>
    <row r="5926" spans="3:7" ht="20.25" customHeight="1" x14ac:dyDescent="0.3">
      <c r="C5926" s="59"/>
      <c r="D5926" s="69"/>
      <c r="E5926" s="69"/>
      <c r="F5926" s="17"/>
      <c r="G5926" s="59"/>
    </row>
    <row r="5927" spans="3:7" ht="20.25" customHeight="1" x14ac:dyDescent="0.3">
      <c r="C5927" s="59"/>
      <c r="D5927" s="69"/>
      <c r="E5927" s="69"/>
      <c r="F5927" s="17"/>
      <c r="G5927" s="59"/>
    </row>
    <row r="5928" spans="3:7" ht="20.25" customHeight="1" x14ac:dyDescent="0.3">
      <c r="C5928" s="59"/>
      <c r="D5928" s="69"/>
      <c r="E5928" s="69"/>
      <c r="F5928" s="17"/>
      <c r="G5928" s="59"/>
    </row>
    <row r="5929" spans="3:7" ht="20.25" customHeight="1" x14ac:dyDescent="0.3">
      <c r="C5929" s="59"/>
      <c r="D5929" s="69"/>
      <c r="E5929" s="69"/>
      <c r="F5929" s="17"/>
      <c r="G5929" s="59"/>
    </row>
    <row r="5930" spans="3:7" ht="20.25" customHeight="1" x14ac:dyDescent="0.3">
      <c r="C5930" s="59"/>
      <c r="D5930" s="69"/>
      <c r="E5930" s="69"/>
      <c r="F5930" s="17"/>
      <c r="G5930" s="59"/>
    </row>
    <row r="5931" spans="3:7" ht="20.25" customHeight="1" x14ac:dyDescent="0.3">
      <c r="C5931" s="59"/>
      <c r="D5931" s="69"/>
      <c r="E5931" s="69"/>
      <c r="F5931" s="17"/>
      <c r="G5931" s="59"/>
    </row>
    <row r="5932" spans="3:7" ht="20.25" customHeight="1" x14ac:dyDescent="0.3">
      <c r="C5932" s="59"/>
      <c r="D5932" s="69"/>
      <c r="E5932" s="69"/>
      <c r="F5932" s="17"/>
      <c r="G5932" s="59"/>
    </row>
    <row r="5933" spans="3:7" ht="20.25" customHeight="1" x14ac:dyDescent="0.3">
      <c r="C5933" s="59"/>
      <c r="D5933" s="69"/>
      <c r="E5933" s="69"/>
      <c r="F5933" s="17"/>
      <c r="G5933" s="59"/>
    </row>
    <row r="5934" spans="3:7" ht="20.25" customHeight="1" x14ac:dyDescent="0.3">
      <c r="C5934" s="59"/>
      <c r="D5934" s="69"/>
      <c r="E5934" s="69"/>
      <c r="F5934" s="17"/>
      <c r="G5934" s="59"/>
    </row>
    <row r="5935" spans="3:7" ht="20.25" customHeight="1" x14ac:dyDescent="0.3">
      <c r="C5935" s="59"/>
      <c r="D5935" s="69"/>
      <c r="E5935" s="69"/>
      <c r="F5935" s="17"/>
      <c r="G5935" s="59"/>
    </row>
    <row r="5936" spans="3:7" ht="20.25" customHeight="1" x14ac:dyDescent="0.3">
      <c r="C5936" s="59"/>
      <c r="D5936" s="69"/>
      <c r="E5936" s="69"/>
      <c r="F5936" s="17"/>
      <c r="G5936" s="59"/>
    </row>
    <row r="5937" spans="3:7" ht="20.25" customHeight="1" x14ac:dyDescent="0.3">
      <c r="C5937" s="59"/>
      <c r="D5937" s="69"/>
      <c r="E5937" s="69"/>
      <c r="F5937" s="17"/>
      <c r="G5937" s="59"/>
    </row>
    <row r="5938" spans="3:7" ht="20.25" customHeight="1" x14ac:dyDescent="0.3">
      <c r="C5938" s="59"/>
      <c r="D5938" s="69"/>
      <c r="E5938" s="69"/>
      <c r="F5938" s="17"/>
      <c r="G5938" s="59"/>
    </row>
    <row r="5939" spans="3:7" ht="20.25" customHeight="1" x14ac:dyDescent="0.3">
      <c r="C5939" s="59"/>
      <c r="D5939" s="69"/>
      <c r="E5939" s="69"/>
      <c r="F5939" s="17"/>
      <c r="G5939" s="59"/>
    </row>
    <row r="5940" spans="3:7" ht="20.25" customHeight="1" x14ac:dyDescent="0.3">
      <c r="C5940" s="59"/>
      <c r="D5940" s="69"/>
      <c r="E5940" s="69"/>
      <c r="F5940" s="17"/>
      <c r="G5940" s="59"/>
    </row>
    <row r="5941" spans="3:7" ht="20.25" customHeight="1" x14ac:dyDescent="0.3">
      <c r="C5941" s="59"/>
      <c r="D5941" s="69"/>
      <c r="E5941" s="69"/>
      <c r="F5941" s="17"/>
      <c r="G5941" s="59"/>
    </row>
    <row r="5942" spans="3:7" ht="20.25" customHeight="1" x14ac:dyDescent="0.3">
      <c r="C5942" s="59"/>
      <c r="D5942" s="69"/>
      <c r="E5942" s="69"/>
      <c r="F5942" s="17"/>
      <c r="G5942" s="59"/>
    </row>
    <row r="5943" spans="3:7" ht="20.25" customHeight="1" x14ac:dyDescent="0.3">
      <c r="C5943" s="59"/>
      <c r="D5943" s="69"/>
      <c r="E5943" s="69"/>
      <c r="F5943" s="17"/>
      <c r="G5943" s="59"/>
    </row>
    <row r="5944" spans="3:7" ht="20.25" customHeight="1" x14ac:dyDescent="0.3">
      <c r="C5944" s="59"/>
      <c r="D5944" s="69"/>
      <c r="E5944" s="69"/>
      <c r="F5944" s="17"/>
      <c r="G5944" s="59"/>
    </row>
    <row r="5945" spans="3:7" ht="20.25" customHeight="1" x14ac:dyDescent="0.3">
      <c r="C5945" s="59"/>
      <c r="D5945" s="69"/>
      <c r="E5945" s="69"/>
      <c r="F5945" s="17"/>
      <c r="G5945" s="59"/>
    </row>
    <row r="5946" spans="3:7" ht="20.25" customHeight="1" x14ac:dyDescent="0.3">
      <c r="C5946" s="59"/>
      <c r="D5946" s="69"/>
      <c r="E5946" s="69"/>
      <c r="F5946" s="17"/>
      <c r="G5946" s="59"/>
    </row>
    <row r="5947" spans="3:7" ht="20.25" customHeight="1" x14ac:dyDescent="0.3">
      <c r="C5947" s="59"/>
      <c r="D5947" s="69"/>
      <c r="E5947" s="69"/>
      <c r="F5947" s="17"/>
      <c r="G5947" s="59"/>
    </row>
    <row r="5948" spans="3:7" ht="20.25" customHeight="1" x14ac:dyDescent="0.3">
      <c r="C5948" s="59"/>
      <c r="D5948" s="69"/>
      <c r="E5948" s="69"/>
      <c r="F5948" s="17"/>
      <c r="G5948" s="59"/>
    </row>
    <row r="5949" spans="3:7" ht="20.25" customHeight="1" x14ac:dyDescent="0.3">
      <c r="C5949" s="59"/>
      <c r="D5949" s="69"/>
      <c r="E5949" s="69"/>
      <c r="F5949" s="17"/>
      <c r="G5949" s="59"/>
    </row>
    <row r="5950" spans="3:7" ht="20.25" customHeight="1" x14ac:dyDescent="0.3">
      <c r="C5950" s="59"/>
      <c r="D5950" s="69"/>
      <c r="E5950" s="69"/>
      <c r="F5950" s="17"/>
      <c r="G5950" s="59"/>
    </row>
    <row r="5951" spans="3:7" ht="20.25" customHeight="1" x14ac:dyDescent="0.3">
      <c r="C5951" s="59"/>
      <c r="D5951" s="69"/>
      <c r="E5951" s="69"/>
      <c r="F5951" s="17"/>
      <c r="G5951" s="59"/>
    </row>
    <row r="5952" spans="3:7" ht="20.25" customHeight="1" x14ac:dyDescent="0.3">
      <c r="C5952" s="59"/>
      <c r="D5952" s="69"/>
      <c r="E5952" s="69"/>
      <c r="F5952" s="17"/>
      <c r="G5952" s="59"/>
    </row>
    <row r="5953" spans="3:7" ht="20.25" customHeight="1" x14ac:dyDescent="0.3">
      <c r="C5953" s="59"/>
      <c r="D5953" s="69"/>
      <c r="E5953" s="69"/>
      <c r="F5953" s="17"/>
      <c r="G5953" s="59"/>
    </row>
    <row r="5954" spans="3:7" ht="20.25" customHeight="1" x14ac:dyDescent="0.3">
      <c r="C5954" s="59"/>
      <c r="D5954" s="69"/>
      <c r="E5954" s="69"/>
      <c r="F5954" s="17"/>
      <c r="G5954" s="59"/>
    </row>
    <row r="5955" spans="3:7" ht="20.25" customHeight="1" x14ac:dyDescent="0.3">
      <c r="C5955" s="59"/>
      <c r="D5955" s="69"/>
      <c r="E5955" s="69"/>
      <c r="F5955" s="17"/>
      <c r="G5955" s="59"/>
    </row>
    <row r="5956" spans="3:7" ht="20.25" customHeight="1" x14ac:dyDescent="0.3">
      <c r="C5956" s="59"/>
      <c r="D5956" s="69"/>
      <c r="E5956" s="69"/>
      <c r="F5956" s="17"/>
      <c r="G5956" s="59"/>
    </row>
    <row r="5957" spans="3:7" ht="20.25" customHeight="1" x14ac:dyDescent="0.3">
      <c r="C5957" s="59"/>
      <c r="D5957" s="69"/>
      <c r="E5957" s="69"/>
      <c r="F5957" s="17"/>
      <c r="G5957" s="59"/>
    </row>
    <row r="5958" spans="3:7" ht="20.25" customHeight="1" x14ac:dyDescent="0.3">
      <c r="C5958" s="59"/>
      <c r="D5958" s="69"/>
      <c r="E5958" s="69"/>
      <c r="F5958" s="17"/>
      <c r="G5958" s="59"/>
    </row>
    <row r="5959" spans="3:7" ht="20.25" customHeight="1" x14ac:dyDescent="0.3">
      <c r="C5959" s="59"/>
      <c r="D5959" s="69"/>
      <c r="E5959" s="69"/>
      <c r="F5959" s="17"/>
      <c r="G5959" s="59"/>
    </row>
    <row r="5960" spans="3:7" ht="20.25" customHeight="1" x14ac:dyDescent="0.3">
      <c r="C5960" s="59"/>
      <c r="D5960" s="69"/>
      <c r="E5960" s="69"/>
      <c r="F5960" s="17"/>
      <c r="G5960" s="59"/>
    </row>
    <row r="5961" spans="3:7" ht="20.25" customHeight="1" x14ac:dyDescent="0.3">
      <c r="C5961" s="59"/>
      <c r="D5961" s="69"/>
      <c r="E5961" s="69"/>
      <c r="F5961" s="17"/>
      <c r="G5961" s="59"/>
    </row>
    <row r="5962" spans="3:7" ht="20.25" customHeight="1" x14ac:dyDescent="0.3">
      <c r="C5962" s="59"/>
      <c r="D5962" s="69"/>
      <c r="E5962" s="69"/>
      <c r="F5962" s="17"/>
      <c r="G5962" s="59"/>
    </row>
    <row r="5963" spans="3:7" ht="20.25" customHeight="1" x14ac:dyDescent="0.3">
      <c r="C5963" s="59"/>
      <c r="D5963" s="69"/>
      <c r="E5963" s="69"/>
      <c r="F5963" s="17"/>
      <c r="G5963" s="59"/>
    </row>
    <row r="5964" spans="3:7" ht="20.25" customHeight="1" x14ac:dyDescent="0.3">
      <c r="C5964" s="59"/>
      <c r="D5964" s="69"/>
      <c r="E5964" s="69"/>
      <c r="F5964" s="17"/>
      <c r="G5964" s="59"/>
    </row>
    <row r="5965" spans="3:7" ht="20.25" customHeight="1" x14ac:dyDescent="0.3">
      <c r="C5965" s="59"/>
      <c r="D5965" s="69"/>
      <c r="E5965" s="69"/>
      <c r="F5965" s="17"/>
      <c r="G5965" s="59"/>
    </row>
    <row r="5966" spans="3:7" ht="20.25" customHeight="1" x14ac:dyDescent="0.3">
      <c r="C5966" s="59"/>
      <c r="D5966" s="69"/>
      <c r="E5966" s="69"/>
      <c r="F5966" s="17"/>
      <c r="G5966" s="59"/>
    </row>
    <row r="5967" spans="3:7" ht="20.25" customHeight="1" x14ac:dyDescent="0.3">
      <c r="C5967" s="59"/>
      <c r="D5967" s="69"/>
      <c r="E5967" s="69"/>
      <c r="F5967" s="17"/>
      <c r="G5967" s="59"/>
    </row>
    <row r="5968" spans="3:7" ht="20.25" customHeight="1" x14ac:dyDescent="0.3">
      <c r="C5968" s="59"/>
      <c r="D5968" s="69"/>
      <c r="E5968" s="69"/>
      <c r="F5968" s="17"/>
      <c r="G5968" s="59"/>
    </row>
    <row r="5969" spans="3:7" ht="20.25" customHeight="1" x14ac:dyDescent="0.3">
      <c r="C5969" s="59"/>
      <c r="D5969" s="69"/>
      <c r="E5969" s="69"/>
      <c r="F5969" s="17"/>
      <c r="G5969" s="59"/>
    </row>
    <row r="5970" spans="3:7" ht="20.25" customHeight="1" x14ac:dyDescent="0.3">
      <c r="C5970" s="59"/>
      <c r="D5970" s="69"/>
      <c r="E5970" s="69"/>
      <c r="F5970" s="17"/>
      <c r="G5970" s="59"/>
    </row>
    <row r="5971" spans="3:7" ht="20.25" customHeight="1" x14ac:dyDescent="0.3">
      <c r="C5971" s="59"/>
      <c r="D5971" s="69"/>
      <c r="E5971" s="69"/>
      <c r="F5971" s="17"/>
      <c r="G5971" s="59"/>
    </row>
    <row r="5972" spans="3:7" ht="20.25" customHeight="1" x14ac:dyDescent="0.3">
      <c r="C5972" s="59"/>
      <c r="D5972" s="69"/>
      <c r="E5972" s="69"/>
      <c r="F5972" s="17"/>
      <c r="G5972" s="59"/>
    </row>
    <row r="5973" spans="3:7" ht="20.25" customHeight="1" x14ac:dyDescent="0.3">
      <c r="C5973" s="59"/>
      <c r="D5973" s="69"/>
      <c r="E5973" s="69"/>
      <c r="F5973" s="17"/>
      <c r="G5973" s="59"/>
    </row>
    <row r="5974" spans="3:7" ht="20.25" customHeight="1" x14ac:dyDescent="0.3">
      <c r="C5974" s="59"/>
      <c r="D5974" s="69"/>
      <c r="E5974" s="69"/>
      <c r="F5974" s="17"/>
      <c r="G5974" s="59"/>
    </row>
    <row r="5975" spans="3:7" ht="20.25" customHeight="1" x14ac:dyDescent="0.3">
      <c r="C5975" s="59"/>
      <c r="D5975" s="69"/>
      <c r="E5975" s="69"/>
      <c r="F5975" s="17"/>
      <c r="G5975" s="59"/>
    </row>
    <row r="5976" spans="3:7" ht="20.25" customHeight="1" x14ac:dyDescent="0.3">
      <c r="C5976" s="59"/>
      <c r="D5976" s="69"/>
      <c r="E5976" s="69"/>
      <c r="F5976" s="17"/>
      <c r="G5976" s="59"/>
    </row>
    <row r="5977" spans="3:7" ht="20.25" customHeight="1" x14ac:dyDescent="0.3">
      <c r="C5977" s="59"/>
      <c r="D5977" s="69"/>
      <c r="E5977" s="69"/>
      <c r="F5977" s="17"/>
      <c r="G5977" s="59"/>
    </row>
    <row r="5978" spans="3:7" ht="20.25" customHeight="1" x14ac:dyDescent="0.3">
      <c r="C5978" s="59"/>
      <c r="D5978" s="69"/>
      <c r="E5978" s="69"/>
      <c r="F5978" s="17"/>
      <c r="G5978" s="59"/>
    </row>
    <row r="5979" spans="3:7" ht="20.25" customHeight="1" x14ac:dyDescent="0.3">
      <c r="C5979" s="59"/>
      <c r="D5979" s="69"/>
      <c r="E5979" s="69"/>
      <c r="F5979" s="17"/>
      <c r="G5979" s="59"/>
    </row>
    <row r="5980" spans="3:7" ht="20.25" customHeight="1" x14ac:dyDescent="0.3">
      <c r="C5980" s="59"/>
      <c r="D5980" s="69"/>
      <c r="E5980" s="69"/>
      <c r="F5980" s="17"/>
      <c r="G5980" s="59"/>
    </row>
    <row r="5981" spans="3:7" ht="20.25" customHeight="1" x14ac:dyDescent="0.3">
      <c r="C5981" s="59"/>
      <c r="D5981" s="69"/>
      <c r="E5981" s="69"/>
      <c r="F5981" s="17"/>
      <c r="G5981" s="59"/>
    </row>
    <row r="5982" spans="3:7" ht="20.25" customHeight="1" x14ac:dyDescent="0.3">
      <c r="C5982" s="59"/>
      <c r="D5982" s="69"/>
      <c r="E5982" s="69"/>
      <c r="F5982" s="17"/>
      <c r="G5982" s="59"/>
    </row>
    <row r="5983" spans="3:7" ht="20.25" customHeight="1" x14ac:dyDescent="0.3">
      <c r="C5983" s="59"/>
      <c r="D5983" s="69"/>
      <c r="E5983" s="69"/>
      <c r="F5983" s="17"/>
      <c r="G5983" s="59"/>
    </row>
    <row r="5984" spans="3:7" ht="20.25" customHeight="1" x14ac:dyDescent="0.3">
      <c r="C5984" s="59"/>
      <c r="D5984" s="69"/>
      <c r="E5984" s="69"/>
      <c r="F5984" s="17"/>
      <c r="G5984" s="59"/>
    </row>
    <row r="5985" spans="3:7" ht="20.25" customHeight="1" x14ac:dyDescent="0.3">
      <c r="C5985" s="59"/>
      <c r="D5985" s="69"/>
      <c r="E5985" s="69"/>
      <c r="F5985" s="17"/>
      <c r="G5985" s="59"/>
    </row>
    <row r="5986" spans="3:7" ht="20.25" customHeight="1" x14ac:dyDescent="0.3">
      <c r="C5986" s="59"/>
      <c r="D5986" s="69"/>
      <c r="E5986" s="69"/>
      <c r="F5986" s="17"/>
      <c r="G5986" s="59"/>
    </row>
    <row r="5987" spans="3:7" ht="20.25" customHeight="1" x14ac:dyDescent="0.3">
      <c r="C5987" s="59"/>
      <c r="D5987" s="69"/>
      <c r="E5987" s="69"/>
      <c r="F5987" s="17"/>
      <c r="G5987" s="59"/>
    </row>
    <row r="5988" spans="3:7" ht="20.25" customHeight="1" x14ac:dyDescent="0.3">
      <c r="C5988" s="59"/>
      <c r="D5988" s="69"/>
      <c r="E5988" s="69"/>
      <c r="F5988" s="17"/>
      <c r="G5988" s="59"/>
    </row>
    <row r="5989" spans="3:7" ht="20.25" customHeight="1" x14ac:dyDescent="0.3">
      <c r="C5989" s="59"/>
      <c r="D5989" s="69"/>
      <c r="E5989" s="69"/>
      <c r="F5989" s="17"/>
      <c r="G5989" s="59"/>
    </row>
    <row r="5990" spans="3:7" ht="20.25" customHeight="1" x14ac:dyDescent="0.3">
      <c r="C5990" s="59"/>
      <c r="D5990" s="69"/>
      <c r="E5990" s="69"/>
      <c r="F5990" s="17"/>
      <c r="G5990" s="59"/>
    </row>
    <row r="5991" spans="3:7" ht="20.25" customHeight="1" x14ac:dyDescent="0.3">
      <c r="C5991" s="59"/>
      <c r="D5991" s="69"/>
      <c r="E5991" s="69"/>
      <c r="F5991" s="17"/>
      <c r="G5991" s="59"/>
    </row>
    <row r="5992" spans="3:7" ht="20.25" customHeight="1" x14ac:dyDescent="0.3">
      <c r="C5992" s="59"/>
      <c r="D5992" s="69"/>
      <c r="E5992" s="69"/>
      <c r="F5992" s="17"/>
      <c r="G5992" s="59"/>
    </row>
    <row r="5993" spans="3:7" ht="20.25" customHeight="1" x14ac:dyDescent="0.3">
      <c r="C5993" s="59"/>
      <c r="D5993" s="69"/>
      <c r="E5993" s="69"/>
      <c r="F5993" s="17"/>
      <c r="G5993" s="59"/>
    </row>
    <row r="5994" spans="3:7" ht="20.25" customHeight="1" x14ac:dyDescent="0.3">
      <c r="C5994" s="59"/>
      <c r="D5994" s="69"/>
      <c r="E5994" s="69"/>
      <c r="F5994" s="17"/>
      <c r="G5994" s="59"/>
    </row>
    <row r="5995" spans="3:7" ht="20.25" customHeight="1" x14ac:dyDescent="0.3">
      <c r="C5995" s="59"/>
      <c r="D5995" s="69"/>
      <c r="E5995" s="69"/>
      <c r="F5995" s="17"/>
      <c r="G5995" s="59"/>
    </row>
    <row r="5996" spans="3:7" ht="20.25" customHeight="1" x14ac:dyDescent="0.3">
      <c r="C5996" s="59"/>
      <c r="D5996" s="69"/>
      <c r="E5996" s="69"/>
      <c r="F5996" s="17"/>
      <c r="G5996" s="59"/>
    </row>
    <row r="5997" spans="3:7" ht="20.25" customHeight="1" x14ac:dyDescent="0.3">
      <c r="C5997" s="59"/>
      <c r="D5997" s="69"/>
      <c r="E5997" s="69"/>
      <c r="F5997" s="17"/>
      <c r="G5997" s="59"/>
    </row>
    <row r="5998" spans="3:7" ht="20.25" customHeight="1" x14ac:dyDescent="0.3">
      <c r="C5998" s="59"/>
      <c r="D5998" s="69"/>
      <c r="E5998" s="69"/>
      <c r="F5998" s="17"/>
      <c r="G5998" s="59"/>
    </row>
    <row r="5999" spans="3:7" ht="20.25" customHeight="1" x14ac:dyDescent="0.3">
      <c r="C5999" s="59"/>
      <c r="D5999" s="69"/>
      <c r="E5999" s="69"/>
      <c r="F5999" s="17"/>
      <c r="G5999" s="59"/>
    </row>
    <row r="6000" spans="3:7" ht="20.25" customHeight="1" x14ac:dyDescent="0.3">
      <c r="C6000" s="59"/>
      <c r="D6000" s="69"/>
      <c r="E6000" s="69"/>
      <c r="F6000" s="17"/>
      <c r="G6000" s="59"/>
    </row>
    <row r="6001" spans="3:7" ht="20.25" customHeight="1" x14ac:dyDescent="0.3">
      <c r="C6001" s="59"/>
      <c r="D6001" s="69"/>
      <c r="E6001" s="69"/>
      <c r="F6001" s="17"/>
      <c r="G6001" s="59"/>
    </row>
    <row r="6002" spans="3:7" ht="20.25" customHeight="1" x14ac:dyDescent="0.3">
      <c r="C6002" s="59"/>
      <c r="D6002" s="69"/>
      <c r="E6002" s="69"/>
      <c r="F6002" s="17"/>
      <c r="G6002" s="59"/>
    </row>
    <row r="6003" spans="3:7" ht="20.25" customHeight="1" x14ac:dyDescent="0.3">
      <c r="C6003" s="59"/>
      <c r="D6003" s="69"/>
      <c r="E6003" s="69"/>
      <c r="F6003" s="17"/>
      <c r="G6003" s="59"/>
    </row>
    <row r="6004" spans="3:7" ht="20.25" customHeight="1" x14ac:dyDescent="0.3">
      <c r="C6004" s="59"/>
      <c r="D6004" s="69"/>
      <c r="E6004" s="69"/>
      <c r="F6004" s="17"/>
      <c r="G6004" s="59"/>
    </row>
    <row r="6005" spans="3:7" ht="20.25" customHeight="1" x14ac:dyDescent="0.3">
      <c r="C6005" s="59"/>
      <c r="D6005" s="69"/>
      <c r="E6005" s="69"/>
      <c r="F6005" s="17"/>
      <c r="G6005" s="59"/>
    </row>
    <row r="6006" spans="3:7" ht="20.25" customHeight="1" x14ac:dyDescent="0.3">
      <c r="C6006" s="59"/>
      <c r="D6006" s="69"/>
      <c r="E6006" s="69"/>
      <c r="F6006" s="17"/>
      <c r="G6006" s="59"/>
    </row>
    <row r="6007" spans="3:7" ht="20.25" customHeight="1" x14ac:dyDescent="0.3">
      <c r="C6007" s="59"/>
      <c r="D6007" s="69"/>
      <c r="E6007" s="69"/>
      <c r="F6007" s="17"/>
      <c r="G6007" s="59"/>
    </row>
    <row r="6008" spans="3:7" ht="20.25" customHeight="1" x14ac:dyDescent="0.3">
      <c r="C6008" s="59"/>
      <c r="D6008" s="69"/>
      <c r="E6008" s="69"/>
      <c r="F6008" s="17"/>
      <c r="G6008" s="59"/>
    </row>
    <row r="6009" spans="3:7" ht="20.25" customHeight="1" x14ac:dyDescent="0.3">
      <c r="C6009" s="59"/>
      <c r="D6009" s="69"/>
      <c r="E6009" s="69"/>
      <c r="F6009" s="17"/>
      <c r="G6009" s="59"/>
    </row>
    <row r="6010" spans="3:7" ht="20.25" customHeight="1" x14ac:dyDescent="0.3">
      <c r="C6010" s="59"/>
      <c r="D6010" s="69"/>
      <c r="E6010" s="69"/>
      <c r="F6010" s="17"/>
      <c r="G6010" s="59"/>
    </row>
    <row r="6011" spans="3:7" ht="20.25" customHeight="1" x14ac:dyDescent="0.3">
      <c r="C6011" s="59"/>
      <c r="D6011" s="69"/>
      <c r="E6011" s="69"/>
      <c r="F6011" s="17"/>
      <c r="G6011" s="59"/>
    </row>
    <row r="6012" spans="3:7" ht="20.25" customHeight="1" x14ac:dyDescent="0.3">
      <c r="C6012" s="59"/>
      <c r="D6012" s="69"/>
      <c r="E6012" s="69"/>
      <c r="F6012" s="17"/>
      <c r="G6012" s="59"/>
    </row>
    <row r="6013" spans="3:7" ht="20.25" customHeight="1" x14ac:dyDescent="0.3">
      <c r="C6013" s="59"/>
      <c r="D6013" s="69"/>
      <c r="E6013" s="69"/>
      <c r="F6013" s="17"/>
      <c r="G6013" s="59"/>
    </row>
    <row r="6014" spans="3:7" ht="20.25" customHeight="1" x14ac:dyDescent="0.3">
      <c r="C6014" s="59"/>
      <c r="D6014" s="69"/>
      <c r="E6014" s="69"/>
      <c r="F6014" s="17"/>
      <c r="G6014" s="59"/>
    </row>
    <row r="6015" spans="3:7" ht="20.25" customHeight="1" x14ac:dyDescent="0.3">
      <c r="C6015" s="59"/>
      <c r="D6015" s="69"/>
      <c r="E6015" s="69"/>
      <c r="F6015" s="17"/>
      <c r="G6015" s="59"/>
    </row>
    <row r="6016" spans="3:7" ht="20.25" customHeight="1" x14ac:dyDescent="0.3">
      <c r="C6016" s="59"/>
      <c r="D6016" s="69"/>
      <c r="E6016" s="69"/>
      <c r="F6016" s="17"/>
      <c r="G6016" s="59"/>
    </row>
    <row r="6017" spans="3:7" ht="20.25" customHeight="1" x14ac:dyDescent="0.3">
      <c r="C6017" s="59"/>
      <c r="D6017" s="69"/>
      <c r="E6017" s="69"/>
      <c r="F6017" s="17"/>
      <c r="G6017" s="59"/>
    </row>
    <row r="6018" spans="3:7" ht="20.25" customHeight="1" x14ac:dyDescent="0.3">
      <c r="C6018" s="59"/>
      <c r="D6018" s="69"/>
      <c r="E6018" s="69"/>
      <c r="F6018" s="17"/>
      <c r="G6018" s="59"/>
    </row>
    <row r="6019" spans="3:7" ht="20.25" customHeight="1" x14ac:dyDescent="0.3">
      <c r="C6019" s="59"/>
      <c r="D6019" s="69"/>
      <c r="E6019" s="69"/>
      <c r="F6019" s="17"/>
      <c r="G6019" s="59"/>
    </row>
    <row r="6020" spans="3:7" ht="20.25" customHeight="1" x14ac:dyDescent="0.3">
      <c r="C6020" s="59"/>
      <c r="D6020" s="69"/>
      <c r="E6020" s="69"/>
      <c r="F6020" s="17"/>
      <c r="G6020" s="59"/>
    </row>
    <row r="6021" spans="3:7" ht="20.25" customHeight="1" x14ac:dyDescent="0.3">
      <c r="C6021" s="59"/>
      <c r="D6021" s="69"/>
      <c r="E6021" s="69"/>
      <c r="F6021" s="17"/>
      <c r="G6021" s="59"/>
    </row>
    <row r="6022" spans="3:7" ht="20.25" customHeight="1" x14ac:dyDescent="0.3">
      <c r="C6022" s="59"/>
      <c r="D6022" s="69"/>
      <c r="E6022" s="69"/>
      <c r="F6022" s="17"/>
      <c r="G6022" s="59"/>
    </row>
    <row r="6023" spans="3:7" ht="20.25" customHeight="1" x14ac:dyDescent="0.3">
      <c r="C6023" s="59"/>
      <c r="D6023" s="69"/>
      <c r="E6023" s="69"/>
      <c r="F6023" s="17"/>
      <c r="G6023" s="59"/>
    </row>
    <row r="6024" spans="3:7" ht="20.25" customHeight="1" x14ac:dyDescent="0.3">
      <c r="C6024" s="59"/>
      <c r="D6024" s="69"/>
      <c r="E6024" s="69"/>
      <c r="F6024" s="17"/>
      <c r="G6024" s="59"/>
    </row>
    <row r="6025" spans="3:7" ht="20.25" customHeight="1" x14ac:dyDescent="0.3">
      <c r="C6025" s="59"/>
      <c r="D6025" s="69"/>
      <c r="E6025" s="69"/>
      <c r="F6025" s="17"/>
      <c r="G6025" s="59"/>
    </row>
    <row r="6026" spans="3:7" ht="20.25" customHeight="1" x14ac:dyDescent="0.3">
      <c r="C6026" s="59"/>
      <c r="D6026" s="69"/>
      <c r="E6026" s="69"/>
      <c r="F6026" s="17"/>
      <c r="G6026" s="59"/>
    </row>
    <row r="6027" spans="3:7" ht="20.25" customHeight="1" x14ac:dyDescent="0.3">
      <c r="C6027" s="59"/>
      <c r="D6027" s="69"/>
      <c r="E6027" s="69"/>
      <c r="F6027" s="17"/>
      <c r="G6027" s="59"/>
    </row>
    <row r="6028" spans="3:7" ht="20.25" customHeight="1" x14ac:dyDescent="0.3">
      <c r="C6028" s="59"/>
      <c r="D6028" s="69"/>
      <c r="E6028" s="69"/>
      <c r="F6028" s="17"/>
      <c r="G6028" s="59"/>
    </row>
    <row r="6029" spans="3:7" ht="20.25" customHeight="1" x14ac:dyDescent="0.3">
      <c r="C6029" s="59"/>
      <c r="D6029" s="69"/>
      <c r="E6029" s="69"/>
      <c r="F6029" s="17"/>
      <c r="G6029" s="59"/>
    </row>
    <row r="6030" spans="3:7" ht="20.25" customHeight="1" x14ac:dyDescent="0.3">
      <c r="C6030" s="59"/>
      <c r="D6030" s="69"/>
      <c r="E6030" s="69"/>
      <c r="F6030" s="17"/>
      <c r="G6030" s="59"/>
    </row>
    <row r="6031" spans="3:7" ht="20.25" customHeight="1" x14ac:dyDescent="0.3">
      <c r="C6031" s="59"/>
      <c r="D6031" s="69"/>
      <c r="E6031" s="69"/>
      <c r="F6031" s="17"/>
      <c r="G6031" s="59"/>
    </row>
    <row r="6032" spans="3:7" ht="20.25" customHeight="1" x14ac:dyDescent="0.3">
      <c r="C6032" s="59"/>
      <c r="D6032" s="69"/>
      <c r="E6032" s="69"/>
      <c r="F6032" s="17"/>
      <c r="G6032" s="59"/>
    </row>
    <row r="6033" spans="3:7" ht="20.25" customHeight="1" x14ac:dyDescent="0.3">
      <c r="C6033" s="59"/>
      <c r="D6033" s="69"/>
      <c r="E6033" s="69"/>
      <c r="F6033" s="17"/>
      <c r="G6033" s="59"/>
    </row>
    <row r="6034" spans="3:7" ht="20.25" customHeight="1" x14ac:dyDescent="0.3">
      <c r="C6034" s="59"/>
      <c r="D6034" s="69"/>
      <c r="E6034" s="69"/>
      <c r="F6034" s="17"/>
      <c r="G6034" s="59"/>
    </row>
    <row r="6035" spans="3:7" ht="20.25" customHeight="1" x14ac:dyDescent="0.3">
      <c r="C6035" s="59"/>
      <c r="D6035" s="69"/>
      <c r="E6035" s="69"/>
      <c r="F6035" s="17"/>
      <c r="G6035" s="59"/>
    </row>
    <row r="6036" spans="3:7" ht="20.25" customHeight="1" x14ac:dyDescent="0.3">
      <c r="C6036" s="59"/>
      <c r="D6036" s="69"/>
      <c r="E6036" s="69"/>
      <c r="F6036" s="17"/>
      <c r="G6036" s="59"/>
    </row>
    <row r="6037" spans="3:7" ht="20.25" customHeight="1" x14ac:dyDescent="0.3">
      <c r="C6037" s="59"/>
      <c r="D6037" s="69"/>
      <c r="E6037" s="69"/>
      <c r="F6037" s="17"/>
      <c r="G6037" s="59"/>
    </row>
    <row r="6038" spans="3:7" ht="20.25" customHeight="1" x14ac:dyDescent="0.3">
      <c r="C6038" s="59"/>
      <c r="D6038" s="69"/>
      <c r="E6038" s="69"/>
      <c r="F6038" s="17"/>
      <c r="G6038" s="59"/>
    </row>
    <row r="6039" spans="3:7" ht="20.25" customHeight="1" x14ac:dyDescent="0.3">
      <c r="C6039" s="59"/>
      <c r="D6039" s="69"/>
      <c r="E6039" s="69"/>
      <c r="F6039" s="17"/>
      <c r="G6039" s="59"/>
    </row>
    <row r="6040" spans="3:7" ht="20.25" customHeight="1" x14ac:dyDescent="0.3">
      <c r="C6040" s="59"/>
      <c r="D6040" s="69"/>
      <c r="E6040" s="69"/>
      <c r="F6040" s="17"/>
      <c r="G6040" s="59"/>
    </row>
    <row r="6041" spans="3:7" ht="20.25" customHeight="1" x14ac:dyDescent="0.3">
      <c r="C6041" s="59"/>
      <c r="D6041" s="69"/>
      <c r="E6041" s="69"/>
      <c r="F6041" s="17"/>
      <c r="G6041" s="59"/>
    </row>
    <row r="6042" spans="3:7" ht="20.25" customHeight="1" x14ac:dyDescent="0.3">
      <c r="C6042" s="59"/>
      <c r="D6042" s="69"/>
      <c r="E6042" s="69"/>
      <c r="F6042" s="17"/>
      <c r="G6042" s="59"/>
    </row>
    <row r="6043" spans="3:7" ht="20.25" customHeight="1" x14ac:dyDescent="0.3">
      <c r="C6043" s="59"/>
      <c r="D6043" s="69"/>
      <c r="E6043" s="69"/>
      <c r="F6043" s="17"/>
      <c r="G6043" s="59"/>
    </row>
    <row r="6044" spans="3:7" ht="20.25" customHeight="1" x14ac:dyDescent="0.3">
      <c r="C6044" s="59"/>
      <c r="D6044" s="69"/>
      <c r="E6044" s="69"/>
      <c r="F6044" s="17"/>
      <c r="G6044" s="59"/>
    </row>
    <row r="6045" spans="3:7" ht="20.25" customHeight="1" x14ac:dyDescent="0.3">
      <c r="C6045" s="59"/>
      <c r="D6045" s="69"/>
      <c r="E6045" s="69"/>
      <c r="F6045" s="17"/>
      <c r="G6045" s="59"/>
    </row>
    <row r="6046" spans="3:7" ht="20.25" customHeight="1" x14ac:dyDescent="0.3">
      <c r="C6046" s="59"/>
      <c r="D6046" s="69"/>
      <c r="E6046" s="69"/>
      <c r="F6046" s="17"/>
      <c r="G6046" s="59"/>
    </row>
    <row r="6047" spans="3:7" ht="20.25" customHeight="1" x14ac:dyDescent="0.3">
      <c r="C6047" s="59"/>
      <c r="D6047" s="69"/>
      <c r="E6047" s="69"/>
      <c r="F6047" s="17"/>
      <c r="G6047" s="59"/>
    </row>
    <row r="6048" spans="3:7" ht="20.25" customHeight="1" x14ac:dyDescent="0.3">
      <c r="C6048" s="59"/>
      <c r="D6048" s="69"/>
      <c r="E6048" s="69"/>
      <c r="F6048" s="17"/>
      <c r="G6048" s="59"/>
    </row>
    <row r="6049" spans="3:7" ht="20.25" customHeight="1" x14ac:dyDescent="0.3">
      <c r="C6049" s="59"/>
      <c r="D6049" s="69"/>
      <c r="E6049" s="69"/>
      <c r="F6049" s="17"/>
      <c r="G6049" s="59"/>
    </row>
    <row r="6050" spans="3:7" ht="20.25" customHeight="1" x14ac:dyDescent="0.3">
      <c r="C6050" s="59"/>
      <c r="D6050" s="69"/>
      <c r="E6050" s="69"/>
      <c r="F6050" s="17"/>
      <c r="G6050" s="59"/>
    </row>
    <row r="6051" spans="3:7" ht="20.25" customHeight="1" x14ac:dyDescent="0.3">
      <c r="C6051" s="59"/>
      <c r="D6051" s="69"/>
      <c r="E6051" s="69"/>
      <c r="F6051" s="17"/>
      <c r="G6051" s="59"/>
    </row>
    <row r="6052" spans="3:7" ht="20.25" customHeight="1" x14ac:dyDescent="0.3">
      <c r="C6052" s="59"/>
      <c r="D6052" s="69"/>
      <c r="E6052" s="69"/>
      <c r="F6052" s="17"/>
      <c r="G6052" s="59"/>
    </row>
    <row r="6053" spans="3:7" ht="20.25" customHeight="1" x14ac:dyDescent="0.3">
      <c r="C6053" s="59"/>
      <c r="D6053" s="69"/>
      <c r="E6053" s="69"/>
      <c r="F6053" s="17"/>
      <c r="G6053" s="59"/>
    </row>
    <row r="6054" spans="3:7" ht="20.25" customHeight="1" x14ac:dyDescent="0.3">
      <c r="C6054" s="59"/>
      <c r="D6054" s="69"/>
      <c r="E6054" s="69"/>
      <c r="F6054" s="17"/>
      <c r="G6054" s="59"/>
    </row>
    <row r="6055" spans="3:7" ht="20.25" customHeight="1" x14ac:dyDescent="0.3">
      <c r="C6055" s="59"/>
      <c r="D6055" s="69"/>
      <c r="E6055" s="69"/>
      <c r="F6055" s="17"/>
      <c r="G6055" s="59"/>
    </row>
    <row r="6056" spans="3:7" ht="20.25" customHeight="1" x14ac:dyDescent="0.3">
      <c r="C6056" s="59"/>
      <c r="D6056" s="69"/>
      <c r="E6056" s="69"/>
      <c r="F6056" s="17"/>
      <c r="G6056" s="59"/>
    </row>
    <row r="6057" spans="3:7" ht="20.25" customHeight="1" x14ac:dyDescent="0.3">
      <c r="C6057" s="59"/>
      <c r="D6057" s="69"/>
      <c r="E6057" s="69"/>
      <c r="F6057" s="17"/>
      <c r="G6057" s="59"/>
    </row>
    <row r="6058" spans="3:7" ht="20.25" customHeight="1" x14ac:dyDescent="0.3">
      <c r="C6058" s="59"/>
      <c r="D6058" s="69"/>
      <c r="E6058" s="69"/>
      <c r="F6058" s="17"/>
      <c r="G6058" s="59"/>
    </row>
    <row r="6059" spans="3:7" ht="20.25" customHeight="1" x14ac:dyDescent="0.3">
      <c r="C6059" s="59"/>
      <c r="D6059" s="69"/>
      <c r="E6059" s="69"/>
      <c r="F6059" s="17"/>
      <c r="G6059" s="59"/>
    </row>
    <row r="6060" spans="3:7" ht="20.25" customHeight="1" x14ac:dyDescent="0.3">
      <c r="C6060" s="59"/>
      <c r="D6060" s="69"/>
      <c r="E6060" s="69"/>
      <c r="F6060" s="17"/>
      <c r="G6060" s="59"/>
    </row>
    <row r="6061" spans="3:7" ht="20.25" customHeight="1" x14ac:dyDescent="0.3">
      <c r="C6061" s="59"/>
      <c r="D6061" s="69"/>
      <c r="E6061" s="69"/>
      <c r="F6061" s="17"/>
      <c r="G6061" s="59"/>
    </row>
    <row r="6062" spans="3:7" ht="20.25" customHeight="1" x14ac:dyDescent="0.3">
      <c r="C6062" s="59"/>
      <c r="D6062" s="69"/>
      <c r="E6062" s="69"/>
      <c r="F6062" s="17"/>
      <c r="G6062" s="59"/>
    </row>
    <row r="6063" spans="3:7" ht="20.25" customHeight="1" x14ac:dyDescent="0.3">
      <c r="C6063" s="59"/>
      <c r="D6063" s="69"/>
      <c r="E6063" s="69"/>
      <c r="F6063" s="17"/>
      <c r="G6063" s="59"/>
    </row>
    <row r="6064" spans="3:7" ht="20.25" customHeight="1" x14ac:dyDescent="0.3">
      <c r="C6064" s="59"/>
      <c r="D6064" s="69"/>
      <c r="E6064" s="69"/>
      <c r="F6064" s="17"/>
      <c r="G6064" s="59"/>
    </row>
    <row r="6065" spans="3:7" ht="20.25" customHeight="1" x14ac:dyDescent="0.3">
      <c r="C6065" s="59"/>
      <c r="D6065" s="69"/>
      <c r="E6065" s="69"/>
      <c r="F6065" s="17"/>
      <c r="G6065" s="59"/>
    </row>
    <row r="6066" spans="3:7" ht="20.25" customHeight="1" x14ac:dyDescent="0.3">
      <c r="C6066" s="59"/>
      <c r="D6066" s="69"/>
      <c r="E6066" s="69"/>
      <c r="F6066" s="17"/>
      <c r="G6066" s="59"/>
    </row>
    <row r="6067" spans="3:7" ht="20.25" customHeight="1" x14ac:dyDescent="0.3">
      <c r="C6067" s="59"/>
      <c r="D6067" s="69"/>
      <c r="E6067" s="69"/>
      <c r="F6067" s="17"/>
      <c r="G6067" s="59"/>
    </row>
    <row r="6068" spans="3:7" ht="20.25" customHeight="1" x14ac:dyDescent="0.3">
      <c r="C6068" s="59"/>
      <c r="D6068" s="69"/>
      <c r="E6068" s="69"/>
      <c r="F6068" s="17"/>
      <c r="G6068" s="59"/>
    </row>
    <row r="6069" spans="3:7" ht="20.25" customHeight="1" x14ac:dyDescent="0.3">
      <c r="C6069" s="59"/>
      <c r="D6069" s="69"/>
      <c r="E6069" s="69"/>
      <c r="F6069" s="17"/>
      <c r="G6069" s="59"/>
    </row>
    <row r="6070" spans="3:7" ht="20.25" customHeight="1" x14ac:dyDescent="0.3">
      <c r="C6070" s="59"/>
      <c r="D6070" s="69"/>
      <c r="E6070" s="69"/>
      <c r="F6070" s="17"/>
      <c r="G6070" s="59"/>
    </row>
    <row r="6071" spans="3:7" ht="20.25" customHeight="1" x14ac:dyDescent="0.3">
      <c r="C6071" s="59"/>
      <c r="D6071" s="69"/>
      <c r="E6071" s="69"/>
      <c r="F6071" s="17"/>
      <c r="G6071" s="59"/>
    </row>
    <row r="6072" spans="3:7" ht="20.25" customHeight="1" x14ac:dyDescent="0.3">
      <c r="C6072" s="59"/>
      <c r="D6072" s="69"/>
      <c r="E6072" s="69"/>
      <c r="F6072" s="17"/>
      <c r="G6072" s="59"/>
    </row>
    <row r="6073" spans="3:7" ht="20.25" customHeight="1" x14ac:dyDescent="0.3">
      <c r="C6073" s="59"/>
      <c r="D6073" s="69"/>
      <c r="E6073" s="69"/>
      <c r="F6073" s="17"/>
      <c r="G6073" s="59"/>
    </row>
    <row r="6074" spans="3:7" ht="20.25" customHeight="1" x14ac:dyDescent="0.3">
      <c r="C6074" s="59"/>
      <c r="D6074" s="69"/>
      <c r="E6074" s="69"/>
      <c r="F6074" s="17"/>
      <c r="G6074" s="59"/>
    </row>
    <row r="6075" spans="3:7" ht="20.25" customHeight="1" x14ac:dyDescent="0.3">
      <c r="C6075" s="59"/>
      <c r="D6075" s="69"/>
      <c r="E6075" s="69"/>
      <c r="F6075" s="17"/>
      <c r="G6075" s="59"/>
    </row>
    <row r="6076" spans="3:7" ht="20.25" customHeight="1" x14ac:dyDescent="0.3">
      <c r="C6076" s="59"/>
      <c r="D6076" s="69"/>
      <c r="E6076" s="69"/>
      <c r="F6076" s="17"/>
      <c r="G6076" s="59"/>
    </row>
    <row r="6077" spans="3:7" ht="20.25" customHeight="1" x14ac:dyDescent="0.3">
      <c r="C6077" s="59"/>
      <c r="D6077" s="69"/>
      <c r="E6077" s="69"/>
      <c r="F6077" s="17"/>
      <c r="G6077" s="59"/>
    </row>
    <row r="6078" spans="3:7" ht="20.25" customHeight="1" x14ac:dyDescent="0.3">
      <c r="C6078" s="59"/>
      <c r="D6078" s="69"/>
      <c r="E6078" s="69"/>
      <c r="F6078" s="17"/>
      <c r="G6078" s="59"/>
    </row>
    <row r="6079" spans="3:7" ht="20.25" customHeight="1" x14ac:dyDescent="0.3">
      <c r="C6079" s="59"/>
      <c r="D6079" s="69"/>
      <c r="E6079" s="69"/>
      <c r="F6079" s="17"/>
      <c r="G6079" s="59"/>
    </row>
    <row r="6080" spans="3:7" ht="20.25" customHeight="1" x14ac:dyDescent="0.3">
      <c r="C6080" s="59"/>
      <c r="D6080" s="69"/>
      <c r="E6080" s="69"/>
      <c r="F6080" s="17"/>
      <c r="G6080" s="59"/>
    </row>
    <row r="6081" spans="3:7" ht="20.25" customHeight="1" x14ac:dyDescent="0.3">
      <c r="C6081" s="59"/>
      <c r="D6081" s="69"/>
      <c r="E6081" s="69"/>
      <c r="F6081" s="17"/>
      <c r="G6081" s="59"/>
    </row>
    <row r="6082" spans="3:7" ht="20.25" customHeight="1" x14ac:dyDescent="0.3">
      <c r="C6082" s="59"/>
      <c r="D6082" s="69"/>
      <c r="E6082" s="69"/>
      <c r="F6082" s="17"/>
      <c r="G6082" s="59"/>
    </row>
    <row r="6083" spans="3:7" ht="20.25" customHeight="1" x14ac:dyDescent="0.3">
      <c r="C6083" s="59"/>
      <c r="D6083" s="69"/>
      <c r="E6083" s="69"/>
      <c r="F6083" s="17"/>
      <c r="G6083" s="59"/>
    </row>
    <row r="6084" spans="3:7" ht="20.25" customHeight="1" x14ac:dyDescent="0.3">
      <c r="C6084" s="59"/>
      <c r="D6084" s="69"/>
      <c r="E6084" s="69"/>
      <c r="F6084" s="17"/>
      <c r="G6084" s="59"/>
    </row>
    <row r="6085" spans="3:7" ht="20.25" customHeight="1" x14ac:dyDescent="0.3">
      <c r="C6085" s="59"/>
      <c r="D6085" s="69"/>
      <c r="E6085" s="69"/>
      <c r="F6085" s="17"/>
      <c r="G6085" s="59"/>
    </row>
    <row r="6086" spans="3:7" ht="20.25" customHeight="1" x14ac:dyDescent="0.3">
      <c r="C6086" s="59"/>
      <c r="D6086" s="69"/>
      <c r="E6086" s="69"/>
      <c r="F6086" s="17"/>
      <c r="G6086" s="59"/>
    </row>
    <row r="6087" spans="3:7" ht="20.25" customHeight="1" x14ac:dyDescent="0.3">
      <c r="C6087" s="59"/>
      <c r="D6087" s="69"/>
      <c r="E6087" s="69"/>
      <c r="F6087" s="17"/>
      <c r="G6087" s="59"/>
    </row>
    <row r="6088" spans="3:7" ht="20.25" customHeight="1" x14ac:dyDescent="0.3">
      <c r="C6088" s="59"/>
      <c r="D6088" s="69"/>
      <c r="E6088" s="69"/>
      <c r="F6088" s="17"/>
      <c r="G6088" s="59"/>
    </row>
    <row r="6089" spans="3:7" ht="20.25" customHeight="1" x14ac:dyDescent="0.3">
      <c r="C6089" s="59"/>
      <c r="D6089" s="69"/>
      <c r="E6089" s="69"/>
      <c r="F6089" s="17"/>
      <c r="G6089" s="59"/>
    </row>
    <row r="6090" spans="3:7" ht="20.25" customHeight="1" x14ac:dyDescent="0.3">
      <c r="C6090" s="59"/>
      <c r="D6090" s="69"/>
      <c r="E6090" s="69"/>
      <c r="F6090" s="17"/>
      <c r="G6090" s="59"/>
    </row>
    <row r="6091" spans="3:7" ht="20.25" customHeight="1" x14ac:dyDescent="0.3">
      <c r="C6091" s="59"/>
      <c r="D6091" s="69"/>
      <c r="E6091" s="69"/>
      <c r="F6091" s="17"/>
      <c r="G6091" s="59"/>
    </row>
    <row r="6092" spans="3:7" ht="20.25" customHeight="1" x14ac:dyDescent="0.3">
      <c r="C6092" s="59"/>
      <c r="D6092" s="69"/>
      <c r="E6092" s="69"/>
      <c r="F6092" s="17"/>
      <c r="G6092" s="59"/>
    </row>
    <row r="6093" spans="3:7" ht="20.25" customHeight="1" x14ac:dyDescent="0.3">
      <c r="C6093" s="59"/>
      <c r="D6093" s="69"/>
      <c r="E6093" s="69"/>
      <c r="F6093" s="17"/>
      <c r="G6093" s="59"/>
    </row>
    <row r="6094" spans="3:7" ht="20.25" customHeight="1" x14ac:dyDescent="0.3">
      <c r="C6094" s="59"/>
      <c r="D6094" s="69"/>
      <c r="E6094" s="69"/>
      <c r="F6094" s="17"/>
      <c r="G6094" s="59"/>
    </row>
    <row r="6095" spans="3:7" ht="20.25" customHeight="1" x14ac:dyDescent="0.3">
      <c r="C6095" s="59"/>
      <c r="D6095" s="69"/>
      <c r="E6095" s="69"/>
      <c r="F6095" s="17"/>
      <c r="G6095" s="59"/>
    </row>
    <row r="6096" spans="3:7" ht="20.25" customHeight="1" x14ac:dyDescent="0.3">
      <c r="C6096" s="59"/>
      <c r="D6096" s="69"/>
      <c r="E6096" s="69"/>
      <c r="F6096" s="17"/>
      <c r="G6096" s="59"/>
    </row>
    <row r="6097" spans="3:7" ht="20.25" customHeight="1" x14ac:dyDescent="0.3">
      <c r="C6097" s="59"/>
      <c r="D6097" s="69"/>
      <c r="E6097" s="69"/>
      <c r="F6097" s="17"/>
      <c r="G6097" s="59"/>
    </row>
    <row r="6098" spans="3:7" ht="20.25" customHeight="1" x14ac:dyDescent="0.3">
      <c r="C6098" s="59"/>
      <c r="D6098" s="69"/>
      <c r="E6098" s="69"/>
      <c r="F6098" s="17"/>
      <c r="G6098" s="59"/>
    </row>
    <row r="6099" spans="3:7" ht="20.25" customHeight="1" x14ac:dyDescent="0.3">
      <c r="C6099" s="59"/>
      <c r="D6099" s="69"/>
      <c r="E6099" s="69"/>
      <c r="F6099" s="17"/>
      <c r="G6099" s="59"/>
    </row>
    <row r="6100" spans="3:7" ht="20.25" customHeight="1" x14ac:dyDescent="0.3">
      <c r="C6100" s="59"/>
      <c r="D6100" s="69"/>
      <c r="E6100" s="69"/>
      <c r="F6100" s="17"/>
      <c r="G6100" s="59"/>
    </row>
    <row r="6101" spans="3:7" ht="20.25" customHeight="1" x14ac:dyDescent="0.3">
      <c r="C6101" s="59"/>
      <c r="D6101" s="69"/>
      <c r="E6101" s="69"/>
      <c r="F6101" s="17"/>
      <c r="G6101" s="59"/>
    </row>
    <row r="6102" spans="3:7" ht="20.25" customHeight="1" x14ac:dyDescent="0.3">
      <c r="C6102" s="59"/>
      <c r="D6102" s="69"/>
      <c r="E6102" s="69"/>
      <c r="F6102" s="17"/>
      <c r="G6102" s="59"/>
    </row>
    <row r="6103" spans="3:7" ht="20.25" customHeight="1" x14ac:dyDescent="0.3">
      <c r="C6103" s="59"/>
      <c r="D6103" s="69"/>
      <c r="E6103" s="69"/>
      <c r="F6103" s="17"/>
      <c r="G6103" s="59"/>
    </row>
    <row r="6104" spans="3:7" ht="20.25" customHeight="1" x14ac:dyDescent="0.3">
      <c r="C6104" s="59"/>
      <c r="D6104" s="69"/>
      <c r="E6104" s="69"/>
      <c r="F6104" s="17"/>
      <c r="G6104" s="59"/>
    </row>
    <row r="6105" spans="3:7" ht="20.25" customHeight="1" x14ac:dyDescent="0.3">
      <c r="C6105" s="59"/>
      <c r="D6105" s="69"/>
      <c r="E6105" s="69"/>
      <c r="F6105" s="17"/>
      <c r="G6105" s="59"/>
    </row>
    <row r="6106" spans="3:7" ht="20.25" customHeight="1" x14ac:dyDescent="0.3">
      <c r="C6106" s="59"/>
      <c r="D6106" s="69"/>
      <c r="E6106" s="69"/>
      <c r="F6106" s="17"/>
      <c r="G6106" s="59"/>
    </row>
    <row r="6107" spans="3:7" ht="20.25" customHeight="1" x14ac:dyDescent="0.3">
      <c r="C6107" s="59"/>
      <c r="D6107" s="69"/>
      <c r="E6107" s="69"/>
      <c r="F6107" s="17"/>
      <c r="G6107" s="59"/>
    </row>
    <row r="6108" spans="3:7" ht="20.25" customHeight="1" x14ac:dyDescent="0.3">
      <c r="C6108" s="59"/>
      <c r="D6108" s="69"/>
      <c r="E6108" s="69"/>
      <c r="F6108" s="17"/>
      <c r="G6108" s="59"/>
    </row>
    <row r="6109" spans="3:7" ht="20.25" customHeight="1" x14ac:dyDescent="0.3">
      <c r="C6109" s="59"/>
      <c r="D6109" s="69"/>
      <c r="E6109" s="69"/>
      <c r="F6109" s="17"/>
      <c r="G6109" s="59"/>
    </row>
    <row r="6110" spans="3:7" ht="20.25" customHeight="1" x14ac:dyDescent="0.3">
      <c r="C6110" s="59"/>
      <c r="D6110" s="69"/>
      <c r="E6110" s="69"/>
      <c r="F6110" s="17"/>
      <c r="G6110" s="59"/>
    </row>
    <row r="6111" spans="3:7" ht="20.25" customHeight="1" x14ac:dyDescent="0.3">
      <c r="C6111" s="59"/>
      <c r="D6111" s="69"/>
      <c r="E6111" s="69"/>
      <c r="F6111" s="17"/>
      <c r="G6111" s="59"/>
    </row>
    <row r="6112" spans="3:7" ht="20.25" customHeight="1" x14ac:dyDescent="0.3">
      <c r="C6112" s="59"/>
      <c r="D6112" s="69"/>
      <c r="E6112" s="69"/>
      <c r="F6112" s="17"/>
      <c r="G6112" s="59"/>
    </row>
    <row r="6113" spans="3:7" ht="20.25" customHeight="1" x14ac:dyDescent="0.3">
      <c r="C6113" s="59"/>
      <c r="D6113" s="69"/>
      <c r="E6113" s="69"/>
      <c r="F6113" s="17"/>
      <c r="G6113" s="59"/>
    </row>
    <row r="6114" spans="3:7" ht="20.25" customHeight="1" x14ac:dyDescent="0.3">
      <c r="C6114" s="59"/>
      <c r="D6114" s="69"/>
      <c r="E6114" s="69"/>
      <c r="F6114" s="17"/>
      <c r="G6114" s="59"/>
    </row>
    <row r="6115" spans="3:7" ht="20.25" customHeight="1" x14ac:dyDescent="0.3">
      <c r="C6115" s="59"/>
      <c r="D6115" s="69"/>
      <c r="E6115" s="69"/>
      <c r="F6115" s="17"/>
      <c r="G6115" s="59"/>
    </row>
    <row r="6116" spans="3:7" ht="20.25" customHeight="1" x14ac:dyDescent="0.3">
      <c r="C6116" s="59"/>
      <c r="D6116" s="69"/>
      <c r="E6116" s="69"/>
      <c r="F6116" s="17"/>
      <c r="G6116" s="59"/>
    </row>
    <row r="6117" spans="3:7" ht="20.25" customHeight="1" x14ac:dyDescent="0.3">
      <c r="C6117" s="59"/>
      <c r="D6117" s="69"/>
      <c r="E6117" s="69"/>
      <c r="F6117" s="17"/>
      <c r="G6117" s="59"/>
    </row>
    <row r="6118" spans="3:7" ht="20.25" customHeight="1" x14ac:dyDescent="0.3">
      <c r="C6118" s="59"/>
      <c r="D6118" s="69"/>
      <c r="E6118" s="69"/>
      <c r="F6118" s="17"/>
      <c r="G6118" s="59"/>
    </row>
    <row r="6119" spans="3:7" ht="20.25" customHeight="1" x14ac:dyDescent="0.3">
      <c r="C6119" s="59"/>
      <c r="D6119" s="69"/>
      <c r="E6119" s="69"/>
      <c r="F6119" s="17"/>
      <c r="G6119" s="59"/>
    </row>
    <row r="6120" spans="3:7" ht="20.25" customHeight="1" x14ac:dyDescent="0.3">
      <c r="C6120" s="59"/>
      <c r="D6120" s="69"/>
      <c r="E6120" s="69"/>
      <c r="F6120" s="17"/>
      <c r="G6120" s="59"/>
    </row>
    <row r="6121" spans="3:7" ht="20.25" customHeight="1" x14ac:dyDescent="0.3">
      <c r="C6121" s="59"/>
      <c r="D6121" s="69"/>
      <c r="E6121" s="69"/>
      <c r="F6121" s="17"/>
      <c r="G6121" s="59"/>
    </row>
    <row r="6122" spans="3:7" ht="20.25" customHeight="1" x14ac:dyDescent="0.3">
      <c r="C6122" s="59"/>
      <c r="D6122" s="69"/>
      <c r="E6122" s="69"/>
      <c r="F6122" s="17"/>
      <c r="G6122" s="59"/>
    </row>
    <row r="6123" spans="3:7" ht="20.25" customHeight="1" x14ac:dyDescent="0.3">
      <c r="C6123" s="59"/>
      <c r="D6123" s="69"/>
      <c r="E6123" s="69"/>
      <c r="F6123" s="17"/>
      <c r="G6123" s="59"/>
    </row>
    <row r="6124" spans="3:7" ht="20.25" customHeight="1" x14ac:dyDescent="0.3">
      <c r="C6124" s="59"/>
      <c r="D6124" s="69"/>
      <c r="E6124" s="69"/>
      <c r="F6124" s="17"/>
      <c r="G6124" s="59"/>
    </row>
    <row r="6125" spans="3:7" ht="20.25" customHeight="1" x14ac:dyDescent="0.3">
      <c r="C6125" s="59"/>
      <c r="D6125" s="69"/>
      <c r="E6125" s="69"/>
      <c r="F6125" s="17"/>
      <c r="G6125" s="59"/>
    </row>
    <row r="6126" spans="3:7" ht="20.25" customHeight="1" x14ac:dyDescent="0.3">
      <c r="C6126" s="59"/>
      <c r="D6126" s="69"/>
      <c r="E6126" s="69"/>
      <c r="F6126" s="17"/>
      <c r="G6126" s="59"/>
    </row>
    <row r="6127" spans="3:7" ht="20.25" customHeight="1" x14ac:dyDescent="0.3">
      <c r="C6127" s="59"/>
      <c r="D6127" s="69"/>
      <c r="E6127" s="69"/>
      <c r="F6127" s="17"/>
      <c r="G6127" s="59"/>
    </row>
    <row r="6128" spans="3:7" ht="20.25" customHeight="1" x14ac:dyDescent="0.3">
      <c r="C6128" s="59"/>
      <c r="D6128" s="69"/>
      <c r="E6128" s="69"/>
      <c r="F6128" s="17"/>
      <c r="G6128" s="59"/>
    </row>
    <row r="6129" spans="3:7" ht="20.25" customHeight="1" x14ac:dyDescent="0.3">
      <c r="C6129" s="59"/>
      <c r="D6129" s="69"/>
      <c r="E6129" s="69"/>
      <c r="F6129" s="17"/>
      <c r="G6129" s="59"/>
    </row>
    <row r="6130" spans="3:7" ht="20.25" customHeight="1" x14ac:dyDescent="0.3">
      <c r="C6130" s="59"/>
      <c r="D6130" s="69"/>
      <c r="E6130" s="69"/>
      <c r="F6130" s="17"/>
      <c r="G6130" s="59"/>
    </row>
    <row r="6131" spans="3:7" ht="20.25" customHeight="1" x14ac:dyDescent="0.3">
      <c r="C6131" s="59"/>
      <c r="D6131" s="69"/>
      <c r="E6131" s="69"/>
      <c r="F6131" s="17"/>
      <c r="G6131" s="59"/>
    </row>
    <row r="6132" spans="3:7" ht="20.25" customHeight="1" x14ac:dyDescent="0.3">
      <c r="C6132" s="59"/>
      <c r="D6132" s="69"/>
      <c r="E6132" s="69"/>
      <c r="F6132" s="17"/>
      <c r="G6132" s="59"/>
    </row>
    <row r="6133" spans="3:7" ht="20.25" customHeight="1" x14ac:dyDescent="0.3">
      <c r="C6133" s="59"/>
      <c r="D6133" s="69"/>
      <c r="E6133" s="69"/>
      <c r="F6133" s="17"/>
      <c r="G6133" s="59"/>
    </row>
    <row r="6134" spans="3:7" ht="20.25" customHeight="1" x14ac:dyDescent="0.3">
      <c r="C6134" s="59"/>
      <c r="D6134" s="69"/>
      <c r="E6134" s="69"/>
      <c r="F6134" s="17"/>
      <c r="G6134" s="59"/>
    </row>
    <row r="6135" spans="3:7" ht="20.25" customHeight="1" x14ac:dyDescent="0.3">
      <c r="C6135" s="59"/>
      <c r="D6135" s="69"/>
      <c r="E6135" s="69"/>
      <c r="F6135" s="17"/>
      <c r="G6135" s="59"/>
    </row>
    <row r="6136" spans="3:7" ht="20.25" customHeight="1" x14ac:dyDescent="0.3">
      <c r="C6136" s="59"/>
      <c r="D6136" s="69"/>
      <c r="E6136" s="69"/>
      <c r="F6136" s="17"/>
      <c r="G6136" s="59"/>
    </row>
    <row r="6137" spans="3:7" ht="20.25" customHeight="1" x14ac:dyDescent="0.3">
      <c r="C6137" s="59"/>
      <c r="D6137" s="69"/>
      <c r="E6137" s="69"/>
      <c r="F6137" s="17"/>
      <c r="G6137" s="59"/>
    </row>
    <row r="6138" spans="3:7" ht="20.25" customHeight="1" x14ac:dyDescent="0.3">
      <c r="C6138" s="59"/>
      <c r="D6138" s="69"/>
      <c r="E6138" s="69"/>
      <c r="F6138" s="17"/>
      <c r="G6138" s="59"/>
    </row>
    <row r="6139" spans="3:7" ht="20.25" customHeight="1" x14ac:dyDescent="0.3">
      <c r="C6139" s="59"/>
      <c r="D6139" s="69"/>
      <c r="E6139" s="69"/>
      <c r="F6139" s="17"/>
      <c r="G6139" s="59"/>
    </row>
    <row r="6140" spans="3:7" ht="20.25" customHeight="1" x14ac:dyDescent="0.3">
      <c r="C6140" s="59"/>
      <c r="D6140" s="69"/>
      <c r="E6140" s="69"/>
      <c r="F6140" s="17"/>
      <c r="G6140" s="59"/>
    </row>
    <row r="6141" spans="3:7" ht="20.25" customHeight="1" x14ac:dyDescent="0.3">
      <c r="C6141" s="59"/>
      <c r="D6141" s="69"/>
      <c r="E6141" s="69"/>
      <c r="F6141" s="17"/>
      <c r="G6141" s="59"/>
    </row>
    <row r="6142" spans="3:7" ht="20.25" customHeight="1" x14ac:dyDescent="0.3">
      <c r="C6142" s="59"/>
      <c r="D6142" s="69"/>
      <c r="E6142" s="69"/>
      <c r="F6142" s="17"/>
      <c r="G6142" s="59"/>
    </row>
    <row r="6143" spans="3:7" ht="20.25" customHeight="1" x14ac:dyDescent="0.3">
      <c r="C6143" s="59"/>
      <c r="D6143" s="69"/>
      <c r="E6143" s="69"/>
      <c r="F6143" s="17"/>
      <c r="G6143" s="59"/>
    </row>
    <row r="6144" spans="3:7" ht="20.25" customHeight="1" x14ac:dyDescent="0.3">
      <c r="C6144" s="59"/>
      <c r="D6144" s="69"/>
      <c r="E6144" s="69"/>
      <c r="F6144" s="17"/>
      <c r="G6144" s="59"/>
    </row>
    <row r="6145" spans="3:7" ht="20.25" customHeight="1" x14ac:dyDescent="0.3">
      <c r="C6145" s="59"/>
      <c r="D6145" s="69"/>
      <c r="E6145" s="69"/>
      <c r="F6145" s="17"/>
      <c r="G6145" s="59"/>
    </row>
    <row r="6146" spans="3:7" ht="20.25" customHeight="1" x14ac:dyDescent="0.3">
      <c r="C6146" s="59"/>
      <c r="D6146" s="69"/>
      <c r="E6146" s="69"/>
      <c r="F6146" s="17"/>
      <c r="G6146" s="59"/>
    </row>
    <row r="6147" spans="3:7" ht="20.25" customHeight="1" x14ac:dyDescent="0.3">
      <c r="C6147" s="59"/>
      <c r="D6147" s="69"/>
      <c r="E6147" s="69"/>
      <c r="F6147" s="17"/>
      <c r="G6147" s="59"/>
    </row>
    <row r="6148" spans="3:7" ht="20.25" customHeight="1" x14ac:dyDescent="0.3">
      <c r="C6148" s="59"/>
      <c r="D6148" s="69"/>
      <c r="E6148" s="69"/>
      <c r="F6148" s="17"/>
      <c r="G6148" s="59"/>
    </row>
    <row r="6149" spans="3:7" ht="20.25" customHeight="1" x14ac:dyDescent="0.3">
      <c r="C6149" s="59"/>
      <c r="D6149" s="69"/>
      <c r="E6149" s="69"/>
      <c r="F6149" s="17"/>
      <c r="G6149" s="59"/>
    </row>
    <row r="6150" spans="3:7" ht="20.25" customHeight="1" x14ac:dyDescent="0.3">
      <c r="C6150" s="59"/>
      <c r="D6150" s="69"/>
      <c r="E6150" s="69"/>
      <c r="F6150" s="17"/>
      <c r="G6150" s="59"/>
    </row>
    <row r="6151" spans="3:7" ht="20.25" customHeight="1" x14ac:dyDescent="0.3">
      <c r="C6151" s="59"/>
      <c r="D6151" s="69"/>
      <c r="E6151" s="69"/>
      <c r="F6151" s="17"/>
      <c r="G6151" s="59"/>
    </row>
    <row r="6152" spans="3:7" ht="20.25" customHeight="1" x14ac:dyDescent="0.3">
      <c r="C6152" s="59"/>
      <c r="D6152" s="69"/>
      <c r="E6152" s="69"/>
      <c r="F6152" s="17"/>
      <c r="G6152" s="59"/>
    </row>
    <row r="6153" spans="3:7" ht="20.25" customHeight="1" x14ac:dyDescent="0.3">
      <c r="C6153" s="59"/>
      <c r="D6153" s="69"/>
      <c r="E6153" s="69"/>
      <c r="F6153" s="17"/>
      <c r="G6153" s="59"/>
    </row>
    <row r="6154" spans="3:7" ht="20.25" customHeight="1" x14ac:dyDescent="0.3">
      <c r="C6154" s="59"/>
      <c r="D6154" s="69"/>
      <c r="E6154" s="69"/>
      <c r="F6154" s="17"/>
      <c r="G6154" s="59"/>
    </row>
    <row r="6155" spans="3:7" ht="20.25" customHeight="1" x14ac:dyDescent="0.3">
      <c r="C6155" s="59"/>
      <c r="D6155" s="69"/>
      <c r="E6155" s="69"/>
      <c r="F6155" s="17"/>
      <c r="G6155" s="59"/>
    </row>
    <row r="6156" spans="3:7" ht="20.25" customHeight="1" x14ac:dyDescent="0.3">
      <c r="C6156" s="59"/>
      <c r="D6156" s="69"/>
      <c r="E6156" s="69"/>
      <c r="F6156" s="17"/>
      <c r="G6156" s="59"/>
    </row>
    <row r="6157" spans="3:7" ht="20.25" customHeight="1" x14ac:dyDescent="0.3">
      <c r="C6157" s="59"/>
      <c r="D6157" s="69"/>
      <c r="E6157" s="69"/>
      <c r="F6157" s="17"/>
      <c r="G6157" s="59"/>
    </row>
    <row r="6158" spans="3:7" ht="20.25" customHeight="1" x14ac:dyDescent="0.3">
      <c r="C6158" s="59"/>
      <c r="D6158" s="69"/>
      <c r="E6158" s="69"/>
      <c r="F6158" s="17"/>
      <c r="G6158" s="59"/>
    </row>
    <row r="6159" spans="3:7" ht="20.25" customHeight="1" x14ac:dyDescent="0.3">
      <c r="C6159" s="59"/>
      <c r="D6159" s="69"/>
      <c r="E6159" s="69"/>
      <c r="F6159" s="17"/>
      <c r="G6159" s="59"/>
    </row>
    <row r="6160" spans="3:7" ht="20.25" customHeight="1" x14ac:dyDescent="0.3">
      <c r="C6160" s="59"/>
      <c r="D6160" s="69"/>
      <c r="E6160" s="69"/>
      <c r="F6160" s="17"/>
      <c r="G6160" s="59"/>
    </row>
    <row r="6161" spans="3:7" ht="20.25" customHeight="1" x14ac:dyDescent="0.3">
      <c r="C6161" s="59"/>
      <c r="D6161" s="69"/>
      <c r="E6161" s="69"/>
      <c r="F6161" s="17"/>
      <c r="G6161" s="59"/>
    </row>
    <row r="6162" spans="3:7" ht="20.25" customHeight="1" x14ac:dyDescent="0.3">
      <c r="C6162" s="59"/>
      <c r="D6162" s="69"/>
      <c r="E6162" s="69"/>
      <c r="F6162" s="17"/>
      <c r="G6162" s="59"/>
    </row>
    <row r="6163" spans="3:7" ht="20.25" customHeight="1" x14ac:dyDescent="0.3">
      <c r="C6163" s="59"/>
      <c r="D6163" s="69"/>
      <c r="E6163" s="69"/>
      <c r="F6163" s="17"/>
      <c r="G6163" s="59"/>
    </row>
    <row r="6164" spans="3:7" ht="20.25" customHeight="1" x14ac:dyDescent="0.3">
      <c r="C6164" s="59"/>
      <c r="D6164" s="69"/>
      <c r="E6164" s="69"/>
      <c r="F6164" s="17"/>
      <c r="G6164" s="59"/>
    </row>
    <row r="6165" spans="3:7" ht="20.25" customHeight="1" x14ac:dyDescent="0.3">
      <c r="C6165" s="59"/>
      <c r="D6165" s="69"/>
      <c r="E6165" s="69"/>
      <c r="F6165" s="17"/>
      <c r="G6165" s="59"/>
    </row>
    <row r="6166" spans="3:7" ht="20.25" customHeight="1" x14ac:dyDescent="0.3">
      <c r="C6166" s="59"/>
      <c r="D6166" s="69"/>
      <c r="E6166" s="69"/>
      <c r="F6166" s="17"/>
      <c r="G6166" s="59"/>
    </row>
    <row r="6167" spans="3:7" ht="20.25" customHeight="1" x14ac:dyDescent="0.3">
      <c r="C6167" s="59"/>
      <c r="D6167" s="69"/>
      <c r="E6167" s="69"/>
      <c r="F6167" s="17"/>
      <c r="G6167" s="59"/>
    </row>
    <row r="6168" spans="3:7" ht="20.25" customHeight="1" x14ac:dyDescent="0.3">
      <c r="C6168" s="59"/>
      <c r="D6168" s="69"/>
      <c r="E6168" s="69"/>
      <c r="F6168" s="17"/>
      <c r="G6168" s="59"/>
    </row>
    <row r="6169" spans="3:7" ht="20.25" customHeight="1" x14ac:dyDescent="0.3">
      <c r="C6169" s="59"/>
      <c r="D6169" s="69"/>
      <c r="E6169" s="69"/>
      <c r="F6169" s="17"/>
      <c r="G6169" s="59"/>
    </row>
    <row r="6170" spans="3:7" ht="20.25" customHeight="1" x14ac:dyDescent="0.3">
      <c r="C6170" s="59"/>
      <c r="D6170" s="69"/>
      <c r="E6170" s="69"/>
      <c r="F6170" s="17"/>
      <c r="G6170" s="59"/>
    </row>
    <row r="6171" spans="3:7" ht="20.25" customHeight="1" x14ac:dyDescent="0.3">
      <c r="C6171" s="59"/>
      <c r="D6171" s="69"/>
      <c r="E6171" s="69"/>
      <c r="F6171" s="17"/>
      <c r="G6171" s="59"/>
    </row>
    <row r="6172" spans="3:7" ht="20.25" customHeight="1" x14ac:dyDescent="0.3">
      <c r="C6172" s="59"/>
      <c r="D6172" s="69"/>
      <c r="E6172" s="69"/>
      <c r="F6172" s="17"/>
      <c r="G6172" s="59"/>
    </row>
    <row r="6173" spans="3:7" ht="20.25" customHeight="1" x14ac:dyDescent="0.3">
      <c r="C6173" s="59"/>
      <c r="D6173" s="69"/>
      <c r="E6173" s="69"/>
      <c r="F6173" s="17"/>
      <c r="G6173" s="59"/>
    </row>
    <row r="6174" spans="3:7" ht="20.25" customHeight="1" x14ac:dyDescent="0.3">
      <c r="C6174" s="59"/>
      <c r="D6174" s="69"/>
      <c r="E6174" s="69"/>
      <c r="F6174" s="17"/>
      <c r="G6174" s="59"/>
    </row>
    <row r="6175" spans="3:7" ht="20.25" customHeight="1" x14ac:dyDescent="0.3">
      <c r="C6175" s="59"/>
      <c r="D6175" s="69"/>
      <c r="E6175" s="69"/>
      <c r="F6175" s="17"/>
      <c r="G6175" s="59"/>
    </row>
    <row r="6176" spans="3:7" ht="20.25" customHeight="1" x14ac:dyDescent="0.3">
      <c r="C6176" s="59"/>
      <c r="D6176" s="69"/>
      <c r="E6176" s="69"/>
      <c r="F6176" s="17"/>
      <c r="G6176" s="59"/>
    </row>
    <row r="6177" spans="3:7" ht="20.25" customHeight="1" x14ac:dyDescent="0.3">
      <c r="C6177" s="59"/>
      <c r="D6177" s="69"/>
      <c r="E6177" s="69"/>
      <c r="F6177" s="17"/>
      <c r="G6177" s="59"/>
    </row>
    <row r="6178" spans="3:7" ht="20.25" customHeight="1" x14ac:dyDescent="0.3">
      <c r="C6178" s="59"/>
      <c r="D6178" s="69"/>
      <c r="E6178" s="69"/>
      <c r="F6178" s="17"/>
      <c r="G6178" s="59"/>
    </row>
    <row r="6179" spans="3:7" ht="20.25" customHeight="1" x14ac:dyDescent="0.3">
      <c r="C6179" s="59"/>
      <c r="D6179" s="69"/>
      <c r="E6179" s="69"/>
      <c r="F6179" s="17"/>
      <c r="G6179" s="59"/>
    </row>
    <row r="6180" spans="3:7" ht="20.25" customHeight="1" x14ac:dyDescent="0.3">
      <c r="C6180" s="59"/>
      <c r="D6180" s="69"/>
      <c r="E6180" s="69"/>
      <c r="F6180" s="17"/>
      <c r="G6180" s="59"/>
    </row>
    <row r="6181" spans="3:7" ht="20.25" customHeight="1" x14ac:dyDescent="0.3">
      <c r="C6181" s="59"/>
      <c r="D6181" s="69"/>
      <c r="E6181" s="69"/>
      <c r="F6181" s="17"/>
      <c r="G6181" s="59"/>
    </row>
    <row r="6182" spans="3:7" ht="20.25" customHeight="1" x14ac:dyDescent="0.3">
      <c r="C6182" s="59"/>
      <c r="D6182" s="69"/>
      <c r="E6182" s="69"/>
      <c r="F6182" s="17"/>
      <c r="G6182" s="59"/>
    </row>
    <row r="6183" spans="3:7" ht="20.25" customHeight="1" x14ac:dyDescent="0.3">
      <c r="C6183" s="59"/>
      <c r="D6183" s="69"/>
      <c r="E6183" s="69"/>
      <c r="F6183" s="17"/>
      <c r="G6183" s="59"/>
    </row>
    <row r="6184" spans="3:7" ht="20.25" customHeight="1" x14ac:dyDescent="0.3">
      <c r="C6184" s="59"/>
      <c r="D6184" s="69"/>
      <c r="E6184" s="69"/>
      <c r="F6184" s="17"/>
      <c r="G6184" s="59"/>
    </row>
    <row r="6185" spans="3:7" ht="20.25" customHeight="1" x14ac:dyDescent="0.3">
      <c r="C6185" s="59"/>
      <c r="D6185" s="69"/>
      <c r="E6185" s="69"/>
      <c r="F6185" s="17"/>
      <c r="G6185" s="59"/>
    </row>
    <row r="6186" spans="3:7" ht="20.25" customHeight="1" x14ac:dyDescent="0.3">
      <c r="C6186" s="59"/>
      <c r="D6186" s="69"/>
      <c r="E6186" s="69"/>
      <c r="F6186" s="17"/>
      <c r="G6186" s="59"/>
    </row>
    <row r="6187" spans="3:7" ht="20.25" customHeight="1" x14ac:dyDescent="0.3">
      <c r="C6187" s="59"/>
      <c r="D6187" s="69"/>
      <c r="E6187" s="69"/>
      <c r="F6187" s="17"/>
      <c r="G6187" s="59"/>
    </row>
    <row r="6188" spans="3:7" ht="20.25" customHeight="1" x14ac:dyDescent="0.3">
      <c r="C6188" s="59"/>
      <c r="D6188" s="69"/>
      <c r="E6188" s="69"/>
      <c r="F6188" s="17"/>
      <c r="G6188" s="59"/>
    </row>
    <row r="6189" spans="3:7" ht="20.25" customHeight="1" x14ac:dyDescent="0.3">
      <c r="C6189" s="59"/>
      <c r="D6189" s="69"/>
      <c r="E6189" s="69"/>
      <c r="F6189" s="17"/>
      <c r="G6189" s="59"/>
    </row>
    <row r="6190" spans="3:7" ht="20.25" customHeight="1" x14ac:dyDescent="0.3">
      <c r="C6190" s="59"/>
      <c r="D6190" s="69"/>
      <c r="E6190" s="69"/>
      <c r="F6190" s="17"/>
      <c r="G6190" s="59"/>
    </row>
    <row r="6191" spans="3:7" ht="20.25" customHeight="1" x14ac:dyDescent="0.3">
      <c r="C6191" s="59"/>
      <c r="D6191" s="69"/>
      <c r="E6191" s="69"/>
      <c r="F6191" s="17"/>
      <c r="G6191" s="59"/>
    </row>
    <row r="6192" spans="3:7" ht="20.25" customHeight="1" x14ac:dyDescent="0.3">
      <c r="C6192" s="59"/>
      <c r="D6192" s="69"/>
      <c r="E6192" s="69"/>
      <c r="F6192" s="17"/>
      <c r="G6192" s="59"/>
    </row>
    <row r="6193" spans="3:7" ht="20.25" customHeight="1" x14ac:dyDescent="0.3">
      <c r="C6193" s="59"/>
      <c r="D6193" s="69"/>
      <c r="E6193" s="69"/>
      <c r="F6193" s="17"/>
      <c r="G6193" s="59"/>
    </row>
    <row r="6194" spans="3:7" ht="20.25" customHeight="1" x14ac:dyDescent="0.3">
      <c r="C6194" s="59"/>
      <c r="D6194" s="69"/>
      <c r="E6194" s="69"/>
      <c r="F6194" s="17"/>
      <c r="G6194" s="59"/>
    </row>
    <row r="6195" spans="3:7" ht="20.25" customHeight="1" x14ac:dyDescent="0.3">
      <c r="C6195" s="59"/>
      <c r="D6195" s="69"/>
      <c r="E6195" s="69"/>
      <c r="F6195" s="17"/>
      <c r="G6195" s="59"/>
    </row>
    <row r="6196" spans="3:7" ht="20.25" customHeight="1" x14ac:dyDescent="0.3">
      <c r="C6196" s="59"/>
      <c r="D6196" s="69"/>
      <c r="E6196" s="69"/>
      <c r="F6196" s="17"/>
      <c r="G6196" s="59"/>
    </row>
    <row r="6197" spans="3:7" ht="20.25" customHeight="1" x14ac:dyDescent="0.3">
      <c r="C6197" s="59"/>
      <c r="D6197" s="69"/>
      <c r="E6197" s="69"/>
      <c r="F6197" s="17"/>
      <c r="G6197" s="59"/>
    </row>
    <row r="6198" spans="3:7" ht="20.25" customHeight="1" x14ac:dyDescent="0.3">
      <c r="C6198" s="59"/>
      <c r="D6198" s="69"/>
      <c r="E6198" s="69"/>
      <c r="F6198" s="17"/>
      <c r="G6198" s="59"/>
    </row>
    <row r="6199" spans="3:7" ht="20.25" customHeight="1" x14ac:dyDescent="0.3">
      <c r="C6199" s="59"/>
      <c r="D6199" s="69"/>
      <c r="E6199" s="69"/>
      <c r="F6199" s="17"/>
      <c r="G6199" s="59"/>
    </row>
    <row r="6200" spans="3:7" ht="20.25" customHeight="1" x14ac:dyDescent="0.3">
      <c r="C6200" s="59"/>
      <c r="D6200" s="69"/>
      <c r="E6200" s="69"/>
      <c r="F6200" s="17"/>
      <c r="G6200" s="59"/>
    </row>
    <row r="6201" spans="3:7" ht="20.25" customHeight="1" x14ac:dyDescent="0.3">
      <c r="C6201" s="59"/>
      <c r="D6201" s="69"/>
      <c r="E6201" s="69"/>
      <c r="F6201" s="17"/>
      <c r="G6201" s="59"/>
    </row>
    <row r="6202" spans="3:7" ht="20.25" customHeight="1" x14ac:dyDescent="0.3">
      <c r="C6202" s="59"/>
      <c r="D6202" s="69"/>
      <c r="E6202" s="69"/>
      <c r="F6202" s="17"/>
      <c r="G6202" s="59"/>
    </row>
    <row r="6203" spans="3:7" ht="20.25" customHeight="1" x14ac:dyDescent="0.3">
      <c r="C6203" s="59"/>
      <c r="D6203" s="69"/>
      <c r="E6203" s="69"/>
      <c r="F6203" s="17"/>
      <c r="G6203" s="59"/>
    </row>
    <row r="6204" spans="3:7" ht="20.25" customHeight="1" x14ac:dyDescent="0.3">
      <c r="C6204" s="59"/>
      <c r="D6204" s="69"/>
      <c r="E6204" s="69"/>
      <c r="F6204" s="17"/>
      <c r="G6204" s="59"/>
    </row>
    <row r="6205" spans="3:7" ht="20.25" customHeight="1" x14ac:dyDescent="0.3">
      <c r="C6205" s="59"/>
      <c r="D6205" s="69"/>
      <c r="E6205" s="69"/>
      <c r="F6205" s="17"/>
      <c r="G6205" s="59"/>
    </row>
    <row r="6206" spans="3:7" ht="20.25" customHeight="1" x14ac:dyDescent="0.3">
      <c r="C6206" s="59"/>
      <c r="D6206" s="69"/>
      <c r="E6206" s="69"/>
      <c r="F6206" s="17"/>
      <c r="G6206" s="59"/>
    </row>
    <row r="6207" spans="3:7" ht="20.25" customHeight="1" x14ac:dyDescent="0.3">
      <c r="C6207" s="59"/>
      <c r="D6207" s="69"/>
      <c r="E6207" s="69"/>
      <c r="F6207" s="17"/>
      <c r="G6207" s="59"/>
    </row>
    <row r="6208" spans="3:7" ht="20.25" customHeight="1" x14ac:dyDescent="0.3">
      <c r="C6208" s="59"/>
      <c r="D6208" s="69"/>
      <c r="E6208" s="69"/>
      <c r="F6208" s="17"/>
      <c r="G6208" s="59"/>
    </row>
    <row r="6209" spans="3:7" ht="20.25" customHeight="1" x14ac:dyDescent="0.3">
      <c r="C6209" s="59"/>
      <c r="D6209" s="69"/>
      <c r="E6209" s="69"/>
      <c r="F6209" s="17"/>
      <c r="G6209" s="59"/>
    </row>
    <row r="6210" spans="3:7" ht="20.25" customHeight="1" x14ac:dyDescent="0.3">
      <c r="C6210" s="59"/>
      <c r="D6210" s="69"/>
      <c r="E6210" s="69"/>
      <c r="F6210" s="17"/>
      <c r="G6210" s="59"/>
    </row>
    <row r="6211" spans="3:7" ht="20.25" customHeight="1" x14ac:dyDescent="0.3">
      <c r="C6211" s="59"/>
      <c r="D6211" s="69"/>
      <c r="E6211" s="69"/>
      <c r="F6211" s="17"/>
      <c r="G6211" s="59"/>
    </row>
    <row r="6212" spans="3:7" ht="20.25" customHeight="1" x14ac:dyDescent="0.3">
      <c r="C6212" s="59"/>
      <c r="D6212" s="69"/>
      <c r="E6212" s="69"/>
      <c r="F6212" s="17"/>
      <c r="G6212" s="59"/>
    </row>
    <row r="6213" spans="3:7" ht="20.25" customHeight="1" x14ac:dyDescent="0.3">
      <c r="C6213" s="59"/>
      <c r="D6213" s="69"/>
      <c r="E6213" s="69"/>
      <c r="F6213" s="17"/>
      <c r="G6213" s="59"/>
    </row>
    <row r="6214" spans="3:7" ht="20.25" customHeight="1" x14ac:dyDescent="0.3">
      <c r="C6214" s="59"/>
      <c r="D6214" s="69"/>
      <c r="E6214" s="69"/>
      <c r="F6214" s="17"/>
      <c r="G6214" s="59"/>
    </row>
    <row r="6215" spans="3:7" ht="20.25" customHeight="1" x14ac:dyDescent="0.3">
      <c r="C6215" s="59"/>
      <c r="D6215" s="69"/>
      <c r="E6215" s="69"/>
      <c r="F6215" s="17"/>
      <c r="G6215" s="59"/>
    </row>
    <row r="6216" spans="3:7" ht="20.25" customHeight="1" x14ac:dyDescent="0.3">
      <c r="C6216" s="59"/>
      <c r="D6216" s="69"/>
      <c r="E6216" s="69"/>
      <c r="F6216" s="17"/>
      <c r="G6216" s="59"/>
    </row>
    <row r="6217" spans="3:7" ht="20.25" customHeight="1" x14ac:dyDescent="0.3">
      <c r="C6217" s="59"/>
      <c r="D6217" s="69"/>
      <c r="E6217" s="69"/>
      <c r="F6217" s="17"/>
      <c r="G6217" s="59"/>
    </row>
    <row r="6218" spans="3:7" ht="20.25" customHeight="1" x14ac:dyDescent="0.3">
      <c r="C6218" s="59"/>
      <c r="D6218" s="69"/>
      <c r="E6218" s="69"/>
      <c r="F6218" s="17"/>
      <c r="G6218" s="59"/>
    </row>
    <row r="6219" spans="3:7" ht="20.25" customHeight="1" x14ac:dyDescent="0.3">
      <c r="C6219" s="59"/>
      <c r="D6219" s="69"/>
      <c r="E6219" s="69"/>
      <c r="F6219" s="17"/>
      <c r="G6219" s="59"/>
    </row>
    <row r="6220" spans="3:7" ht="20.25" customHeight="1" x14ac:dyDescent="0.3">
      <c r="C6220" s="59"/>
      <c r="D6220" s="69"/>
      <c r="E6220" s="69"/>
      <c r="F6220" s="17"/>
      <c r="G6220" s="59"/>
    </row>
    <row r="6221" spans="3:7" ht="20.25" customHeight="1" x14ac:dyDescent="0.3">
      <c r="C6221" s="59"/>
      <c r="D6221" s="69"/>
      <c r="E6221" s="69"/>
      <c r="F6221" s="17"/>
      <c r="G6221" s="59"/>
    </row>
    <row r="6222" spans="3:7" ht="20.25" customHeight="1" x14ac:dyDescent="0.3">
      <c r="C6222" s="59"/>
      <c r="D6222" s="69"/>
      <c r="E6222" s="69"/>
      <c r="F6222" s="17"/>
      <c r="G6222" s="59"/>
    </row>
    <row r="6223" spans="3:7" ht="20.25" customHeight="1" x14ac:dyDescent="0.3">
      <c r="C6223" s="59"/>
      <c r="D6223" s="69"/>
      <c r="E6223" s="69"/>
      <c r="F6223" s="17"/>
      <c r="G6223" s="59"/>
    </row>
    <row r="6224" spans="3:7" ht="20.25" customHeight="1" x14ac:dyDescent="0.3">
      <c r="C6224" s="59"/>
      <c r="D6224" s="69"/>
      <c r="E6224" s="69"/>
      <c r="F6224" s="17"/>
      <c r="G6224" s="59"/>
    </row>
    <row r="6225" spans="3:7" ht="20.25" customHeight="1" x14ac:dyDescent="0.3">
      <c r="C6225" s="59"/>
      <c r="D6225" s="69"/>
      <c r="E6225" s="69"/>
      <c r="F6225" s="17"/>
      <c r="G6225" s="59"/>
    </row>
    <row r="6226" spans="3:7" ht="20.25" customHeight="1" x14ac:dyDescent="0.3">
      <c r="C6226" s="59"/>
      <c r="D6226" s="69"/>
      <c r="E6226" s="69"/>
      <c r="F6226" s="17"/>
      <c r="G6226" s="59"/>
    </row>
    <row r="6227" spans="3:7" ht="20.25" customHeight="1" x14ac:dyDescent="0.3">
      <c r="C6227" s="59"/>
      <c r="D6227" s="69"/>
      <c r="E6227" s="69"/>
      <c r="F6227" s="17"/>
      <c r="G6227" s="59"/>
    </row>
    <row r="6228" spans="3:7" ht="20.25" customHeight="1" x14ac:dyDescent="0.3">
      <c r="C6228" s="59"/>
      <c r="D6228" s="69"/>
      <c r="E6228" s="69"/>
      <c r="F6228" s="17"/>
      <c r="G6228" s="59"/>
    </row>
    <row r="6229" spans="3:7" ht="20.25" customHeight="1" x14ac:dyDescent="0.3">
      <c r="C6229" s="59"/>
      <c r="D6229" s="69"/>
      <c r="E6229" s="69"/>
      <c r="F6229" s="17"/>
      <c r="G6229" s="59"/>
    </row>
    <row r="6230" spans="3:7" ht="20.25" customHeight="1" x14ac:dyDescent="0.3">
      <c r="C6230" s="59"/>
      <c r="D6230" s="69"/>
      <c r="E6230" s="69"/>
      <c r="F6230" s="17"/>
      <c r="G6230" s="59"/>
    </row>
    <row r="6231" spans="3:7" ht="20.25" customHeight="1" x14ac:dyDescent="0.3">
      <c r="C6231" s="59"/>
      <c r="D6231" s="69"/>
      <c r="E6231" s="69"/>
      <c r="F6231" s="17"/>
      <c r="G6231" s="59"/>
    </row>
    <row r="6232" spans="3:7" ht="20.25" customHeight="1" x14ac:dyDescent="0.3">
      <c r="C6232" s="59"/>
      <c r="D6232" s="69"/>
      <c r="E6232" s="69"/>
      <c r="F6232" s="17"/>
      <c r="G6232" s="59"/>
    </row>
    <row r="6233" spans="3:7" ht="20.25" customHeight="1" x14ac:dyDescent="0.3">
      <c r="C6233" s="59"/>
      <c r="D6233" s="69"/>
      <c r="E6233" s="69"/>
      <c r="F6233" s="17"/>
      <c r="G6233" s="59"/>
    </row>
    <row r="6234" spans="3:7" ht="20.25" customHeight="1" x14ac:dyDescent="0.3">
      <c r="C6234" s="59"/>
      <c r="D6234" s="69"/>
      <c r="E6234" s="69"/>
      <c r="F6234" s="17"/>
      <c r="G6234" s="59"/>
    </row>
    <row r="6235" spans="3:7" ht="20.25" customHeight="1" x14ac:dyDescent="0.3">
      <c r="C6235" s="59"/>
      <c r="D6235" s="69"/>
      <c r="E6235" s="69"/>
      <c r="F6235" s="17"/>
      <c r="G6235" s="59"/>
    </row>
    <row r="6236" spans="3:7" ht="20.25" customHeight="1" x14ac:dyDescent="0.3">
      <c r="C6236" s="59"/>
      <c r="D6236" s="69"/>
      <c r="E6236" s="69"/>
      <c r="F6236" s="17"/>
      <c r="G6236" s="59"/>
    </row>
    <row r="6237" spans="3:7" ht="20.25" customHeight="1" x14ac:dyDescent="0.3">
      <c r="C6237" s="59"/>
      <c r="D6237" s="69"/>
      <c r="E6237" s="69"/>
      <c r="F6237" s="17"/>
      <c r="G6237" s="59"/>
    </row>
    <row r="6238" spans="3:7" ht="20.25" customHeight="1" x14ac:dyDescent="0.3">
      <c r="C6238" s="59"/>
      <c r="D6238" s="69"/>
      <c r="E6238" s="69"/>
      <c r="F6238" s="17"/>
      <c r="G6238" s="59"/>
    </row>
    <row r="6239" spans="3:7" ht="20.25" customHeight="1" x14ac:dyDescent="0.3">
      <c r="C6239" s="59"/>
      <c r="D6239" s="69"/>
      <c r="E6239" s="69"/>
      <c r="F6239" s="17"/>
      <c r="G6239" s="59"/>
    </row>
    <row r="6240" spans="3:7" ht="20.25" customHeight="1" x14ac:dyDescent="0.3">
      <c r="C6240" s="59"/>
      <c r="D6240" s="69"/>
      <c r="E6240" s="69"/>
      <c r="F6240" s="17"/>
      <c r="G6240" s="59"/>
    </row>
    <row r="6241" spans="3:7" ht="20.25" customHeight="1" x14ac:dyDescent="0.3">
      <c r="C6241" s="59"/>
      <c r="D6241" s="69"/>
      <c r="E6241" s="69"/>
      <c r="F6241" s="17"/>
      <c r="G6241" s="59"/>
    </row>
    <row r="6242" spans="3:7" ht="20.25" customHeight="1" x14ac:dyDescent="0.3">
      <c r="C6242" s="59"/>
      <c r="D6242" s="69"/>
      <c r="E6242" s="69"/>
      <c r="F6242" s="17"/>
      <c r="G6242" s="59"/>
    </row>
    <row r="6243" spans="3:7" ht="20.25" customHeight="1" x14ac:dyDescent="0.3">
      <c r="C6243" s="59"/>
      <c r="D6243" s="69"/>
      <c r="E6243" s="69"/>
      <c r="F6243" s="17"/>
      <c r="G6243" s="59"/>
    </row>
    <row r="6244" spans="3:7" ht="20.25" customHeight="1" x14ac:dyDescent="0.3">
      <c r="C6244" s="59"/>
      <c r="D6244" s="69"/>
      <c r="E6244" s="69"/>
      <c r="F6244" s="17"/>
      <c r="G6244" s="59"/>
    </row>
    <row r="6245" spans="3:7" ht="20.25" customHeight="1" x14ac:dyDescent="0.3">
      <c r="C6245" s="59"/>
      <c r="D6245" s="69"/>
      <c r="E6245" s="69"/>
      <c r="F6245" s="17"/>
      <c r="G6245" s="59"/>
    </row>
    <row r="6246" spans="3:7" ht="20.25" customHeight="1" x14ac:dyDescent="0.3">
      <c r="C6246" s="59"/>
      <c r="D6246" s="69"/>
      <c r="E6246" s="69"/>
      <c r="F6246" s="17"/>
      <c r="G6246" s="59"/>
    </row>
    <row r="6247" spans="3:7" ht="20.25" customHeight="1" x14ac:dyDescent="0.3">
      <c r="C6247" s="59"/>
      <c r="D6247" s="69"/>
      <c r="E6247" s="69"/>
      <c r="F6247" s="17"/>
      <c r="G6247" s="59"/>
    </row>
    <row r="6248" spans="3:7" ht="20.25" customHeight="1" x14ac:dyDescent="0.3">
      <c r="C6248" s="59"/>
      <c r="D6248" s="69"/>
      <c r="E6248" s="69"/>
      <c r="F6248" s="17"/>
      <c r="G6248" s="59"/>
    </row>
    <row r="6249" spans="3:7" ht="20.25" customHeight="1" x14ac:dyDescent="0.3">
      <c r="C6249" s="59"/>
      <c r="D6249" s="69"/>
      <c r="E6249" s="69"/>
      <c r="F6249" s="17"/>
      <c r="G6249" s="59"/>
    </row>
    <row r="6250" spans="3:7" ht="20.25" customHeight="1" x14ac:dyDescent="0.3">
      <c r="C6250" s="59"/>
      <c r="D6250" s="69"/>
      <c r="E6250" s="69"/>
      <c r="F6250" s="17"/>
      <c r="G6250" s="59"/>
    </row>
    <row r="6251" spans="3:7" ht="20.25" customHeight="1" x14ac:dyDescent="0.3">
      <c r="C6251" s="59"/>
      <c r="D6251" s="69"/>
      <c r="E6251" s="69"/>
      <c r="F6251" s="17"/>
      <c r="G6251" s="59"/>
    </row>
    <row r="6252" spans="3:7" ht="20.25" customHeight="1" x14ac:dyDescent="0.3">
      <c r="C6252" s="59"/>
      <c r="D6252" s="69"/>
      <c r="E6252" s="69"/>
      <c r="F6252" s="17"/>
      <c r="G6252" s="59"/>
    </row>
    <row r="6253" spans="3:7" ht="20.25" customHeight="1" x14ac:dyDescent="0.3">
      <c r="C6253" s="59"/>
      <c r="D6253" s="69"/>
      <c r="E6253" s="69"/>
      <c r="F6253" s="17"/>
      <c r="G6253" s="59"/>
    </row>
    <row r="6254" spans="3:7" ht="20.25" customHeight="1" x14ac:dyDescent="0.3">
      <c r="C6254" s="59"/>
      <c r="D6254" s="69"/>
      <c r="E6254" s="69"/>
      <c r="F6254" s="17"/>
      <c r="G6254" s="59"/>
    </row>
    <row r="6255" spans="3:7" ht="20.25" customHeight="1" x14ac:dyDescent="0.3">
      <c r="C6255" s="59"/>
      <c r="D6255" s="69"/>
      <c r="E6255" s="69"/>
      <c r="F6255" s="17"/>
      <c r="G6255" s="59"/>
    </row>
    <row r="6256" spans="3:7" ht="20.25" customHeight="1" x14ac:dyDescent="0.3">
      <c r="C6256" s="59"/>
      <c r="D6256" s="69"/>
      <c r="E6256" s="69"/>
      <c r="F6256" s="17"/>
      <c r="G6256" s="59"/>
    </row>
    <row r="6257" spans="3:7" ht="20.25" customHeight="1" x14ac:dyDescent="0.3">
      <c r="C6257" s="59"/>
      <c r="D6257" s="69"/>
      <c r="E6257" s="69"/>
      <c r="F6257" s="17"/>
      <c r="G6257" s="59"/>
    </row>
    <row r="6258" spans="3:7" ht="20.25" customHeight="1" x14ac:dyDescent="0.3">
      <c r="C6258" s="59"/>
      <c r="D6258" s="69"/>
      <c r="E6258" s="69"/>
      <c r="F6258" s="17"/>
      <c r="G6258" s="59"/>
    </row>
    <row r="6259" spans="3:7" ht="20.25" customHeight="1" x14ac:dyDescent="0.3">
      <c r="C6259" s="59"/>
      <c r="D6259" s="69"/>
      <c r="E6259" s="69"/>
      <c r="F6259" s="17"/>
      <c r="G6259" s="59"/>
    </row>
    <row r="6260" spans="3:7" ht="20.25" customHeight="1" x14ac:dyDescent="0.3">
      <c r="C6260" s="59"/>
      <c r="D6260" s="69"/>
      <c r="E6260" s="69"/>
      <c r="F6260" s="17"/>
      <c r="G6260" s="59"/>
    </row>
    <row r="6261" spans="3:7" ht="20.25" customHeight="1" x14ac:dyDescent="0.3">
      <c r="C6261" s="59"/>
      <c r="D6261" s="69"/>
      <c r="E6261" s="69"/>
      <c r="F6261" s="17"/>
      <c r="G6261" s="59"/>
    </row>
    <row r="6262" spans="3:7" ht="20.25" customHeight="1" x14ac:dyDescent="0.3">
      <c r="C6262" s="59"/>
      <c r="D6262" s="69"/>
      <c r="E6262" s="69"/>
      <c r="F6262" s="17"/>
      <c r="G6262" s="59"/>
    </row>
    <row r="6263" spans="3:7" ht="20.25" customHeight="1" x14ac:dyDescent="0.3">
      <c r="C6263" s="59"/>
      <c r="D6263" s="69"/>
      <c r="E6263" s="69"/>
      <c r="F6263" s="17"/>
      <c r="G6263" s="59"/>
    </row>
    <row r="6264" spans="3:7" ht="20.25" customHeight="1" x14ac:dyDescent="0.3">
      <c r="C6264" s="59"/>
      <c r="D6264" s="69"/>
      <c r="E6264" s="69"/>
      <c r="F6264" s="17"/>
      <c r="G6264" s="59"/>
    </row>
    <row r="6265" spans="3:7" ht="20.25" customHeight="1" x14ac:dyDescent="0.3">
      <c r="C6265" s="59"/>
      <c r="D6265" s="69"/>
      <c r="E6265" s="69"/>
      <c r="F6265" s="17"/>
      <c r="G6265" s="59"/>
    </row>
    <row r="6266" spans="3:7" ht="20.25" customHeight="1" x14ac:dyDescent="0.3">
      <c r="C6266" s="59"/>
      <c r="D6266" s="69"/>
      <c r="E6266" s="69"/>
      <c r="F6266" s="17"/>
      <c r="G6266" s="59"/>
    </row>
    <row r="6267" spans="3:7" ht="20.25" customHeight="1" x14ac:dyDescent="0.3">
      <c r="C6267" s="59"/>
      <c r="D6267" s="69"/>
      <c r="E6267" s="69"/>
      <c r="F6267" s="17"/>
      <c r="G6267" s="59"/>
    </row>
    <row r="6268" spans="3:7" ht="20.25" customHeight="1" x14ac:dyDescent="0.3">
      <c r="C6268" s="59"/>
      <c r="D6268" s="69"/>
      <c r="E6268" s="69"/>
      <c r="F6268" s="17"/>
      <c r="G6268" s="59"/>
    </row>
    <row r="6269" spans="3:7" ht="20.25" customHeight="1" x14ac:dyDescent="0.3">
      <c r="C6269" s="59"/>
      <c r="D6269" s="69"/>
      <c r="E6269" s="69"/>
      <c r="F6269" s="17"/>
      <c r="G6269" s="59"/>
    </row>
    <row r="6270" spans="3:7" ht="20.25" customHeight="1" x14ac:dyDescent="0.3">
      <c r="C6270" s="59"/>
      <c r="D6270" s="69"/>
      <c r="E6270" s="69"/>
      <c r="F6270" s="17"/>
      <c r="G6270" s="59"/>
    </row>
    <row r="6271" spans="3:7" ht="20.25" customHeight="1" x14ac:dyDescent="0.3">
      <c r="C6271" s="59"/>
      <c r="D6271" s="69"/>
      <c r="E6271" s="69"/>
      <c r="F6271" s="17"/>
      <c r="G6271" s="59"/>
    </row>
    <row r="6272" spans="3:7" ht="20.25" customHeight="1" x14ac:dyDescent="0.3">
      <c r="C6272" s="59"/>
      <c r="D6272" s="69"/>
      <c r="E6272" s="69"/>
      <c r="F6272" s="17"/>
      <c r="G6272" s="59"/>
    </row>
    <row r="6273" spans="3:7" ht="20.25" customHeight="1" x14ac:dyDescent="0.3">
      <c r="C6273" s="59"/>
      <c r="D6273" s="69"/>
      <c r="E6273" s="69"/>
      <c r="F6273" s="17"/>
      <c r="G6273" s="59"/>
    </row>
    <row r="6274" spans="3:7" ht="20.25" customHeight="1" x14ac:dyDescent="0.3">
      <c r="C6274" s="59"/>
      <c r="D6274" s="69"/>
      <c r="E6274" s="69"/>
      <c r="F6274" s="17"/>
      <c r="G6274" s="59"/>
    </row>
    <row r="6275" spans="3:7" ht="20.25" customHeight="1" x14ac:dyDescent="0.3">
      <c r="C6275" s="59"/>
      <c r="D6275" s="69"/>
      <c r="E6275" s="69"/>
      <c r="F6275" s="17"/>
      <c r="G6275" s="59"/>
    </row>
    <row r="6276" spans="3:7" ht="20.25" customHeight="1" x14ac:dyDescent="0.3">
      <c r="C6276" s="59"/>
      <c r="D6276" s="69"/>
      <c r="E6276" s="69"/>
      <c r="F6276" s="17"/>
      <c r="G6276" s="59"/>
    </row>
    <row r="6277" spans="3:7" ht="20.25" customHeight="1" x14ac:dyDescent="0.3">
      <c r="C6277" s="59"/>
      <c r="D6277" s="69"/>
      <c r="E6277" s="69"/>
      <c r="F6277" s="17"/>
      <c r="G6277" s="59"/>
    </row>
    <row r="6278" spans="3:7" ht="20.25" customHeight="1" x14ac:dyDescent="0.3">
      <c r="C6278" s="59"/>
      <c r="D6278" s="69"/>
      <c r="E6278" s="69"/>
      <c r="F6278" s="17"/>
      <c r="G6278" s="59"/>
    </row>
    <row r="6279" spans="3:7" ht="20.25" customHeight="1" x14ac:dyDescent="0.3">
      <c r="C6279" s="59"/>
      <c r="D6279" s="69"/>
      <c r="E6279" s="69"/>
      <c r="F6279" s="17"/>
      <c r="G6279" s="59"/>
    </row>
    <row r="6280" spans="3:7" ht="20.25" customHeight="1" x14ac:dyDescent="0.3">
      <c r="C6280" s="59"/>
      <c r="D6280" s="69"/>
      <c r="E6280" s="69"/>
      <c r="F6280" s="17"/>
      <c r="G6280" s="59"/>
    </row>
    <row r="6281" spans="3:7" ht="20.25" customHeight="1" x14ac:dyDescent="0.3">
      <c r="C6281" s="59"/>
      <c r="D6281" s="69"/>
      <c r="E6281" s="69"/>
      <c r="F6281" s="17"/>
      <c r="G6281" s="59"/>
    </row>
    <row r="6282" spans="3:7" ht="20.25" customHeight="1" x14ac:dyDescent="0.3">
      <c r="C6282" s="59"/>
      <c r="D6282" s="69"/>
      <c r="E6282" s="69"/>
      <c r="F6282" s="17"/>
      <c r="G6282" s="59"/>
    </row>
    <row r="6283" spans="3:7" ht="20.25" customHeight="1" x14ac:dyDescent="0.3">
      <c r="C6283" s="59"/>
      <c r="D6283" s="69"/>
      <c r="E6283" s="69"/>
      <c r="F6283" s="17"/>
      <c r="G6283" s="59"/>
    </row>
    <row r="6284" spans="3:7" ht="20.25" customHeight="1" x14ac:dyDescent="0.3">
      <c r="C6284" s="59"/>
      <c r="D6284" s="69"/>
      <c r="E6284" s="69"/>
      <c r="F6284" s="17"/>
      <c r="G6284" s="59"/>
    </row>
    <row r="6285" spans="3:7" ht="20.25" customHeight="1" x14ac:dyDescent="0.3">
      <c r="C6285" s="59"/>
      <c r="D6285" s="69"/>
      <c r="E6285" s="69"/>
      <c r="F6285" s="17"/>
      <c r="G6285" s="59"/>
    </row>
    <row r="6286" spans="3:7" ht="20.25" customHeight="1" x14ac:dyDescent="0.3">
      <c r="C6286" s="59"/>
      <c r="D6286" s="69"/>
      <c r="E6286" s="69"/>
      <c r="F6286" s="17"/>
      <c r="G6286" s="59"/>
    </row>
    <row r="6287" spans="3:7" ht="20.25" customHeight="1" x14ac:dyDescent="0.3">
      <c r="C6287" s="59"/>
      <c r="D6287" s="69"/>
      <c r="E6287" s="69"/>
      <c r="F6287" s="17"/>
      <c r="G6287" s="59"/>
    </row>
    <row r="6288" spans="3:7" ht="20.25" customHeight="1" x14ac:dyDescent="0.3">
      <c r="C6288" s="59"/>
      <c r="D6288" s="69"/>
      <c r="E6288" s="69"/>
      <c r="F6288" s="17"/>
      <c r="G6288" s="59"/>
    </row>
    <row r="6289" spans="3:7" ht="20.25" customHeight="1" x14ac:dyDescent="0.3">
      <c r="C6289" s="59"/>
      <c r="D6289" s="69"/>
      <c r="E6289" s="69"/>
      <c r="F6289" s="17"/>
      <c r="G6289" s="59"/>
    </row>
    <row r="6290" spans="3:7" ht="20.25" customHeight="1" x14ac:dyDescent="0.3">
      <c r="C6290" s="59"/>
      <c r="D6290" s="69"/>
      <c r="E6290" s="69"/>
      <c r="F6290" s="17"/>
      <c r="G6290" s="59"/>
    </row>
    <row r="6291" spans="3:7" ht="20.25" customHeight="1" x14ac:dyDescent="0.3">
      <c r="C6291" s="59"/>
      <c r="D6291" s="69"/>
      <c r="E6291" s="69"/>
      <c r="F6291" s="17"/>
      <c r="G6291" s="59"/>
    </row>
    <row r="6292" spans="3:7" ht="20.25" customHeight="1" x14ac:dyDescent="0.3">
      <c r="C6292" s="59"/>
      <c r="D6292" s="69"/>
      <c r="E6292" s="69"/>
      <c r="F6292" s="17"/>
      <c r="G6292" s="59"/>
    </row>
    <row r="6293" spans="3:7" ht="20.25" customHeight="1" x14ac:dyDescent="0.3">
      <c r="C6293" s="59"/>
      <c r="D6293" s="69"/>
      <c r="E6293" s="69"/>
      <c r="F6293" s="17"/>
      <c r="G6293" s="59"/>
    </row>
    <row r="6294" spans="3:7" ht="20.25" customHeight="1" x14ac:dyDescent="0.3">
      <c r="C6294" s="59"/>
      <c r="D6294" s="69"/>
      <c r="E6294" s="69"/>
      <c r="F6294" s="17"/>
      <c r="G6294" s="59"/>
    </row>
    <row r="6295" spans="3:7" ht="20.25" customHeight="1" x14ac:dyDescent="0.3">
      <c r="C6295" s="59"/>
      <c r="D6295" s="69"/>
      <c r="E6295" s="69"/>
      <c r="F6295" s="17"/>
      <c r="G6295" s="59"/>
    </row>
    <row r="6296" spans="3:7" ht="20.25" customHeight="1" x14ac:dyDescent="0.3">
      <c r="C6296" s="59"/>
      <c r="D6296" s="69"/>
      <c r="E6296" s="69"/>
      <c r="F6296" s="17"/>
      <c r="G6296" s="59"/>
    </row>
    <row r="6297" spans="3:7" ht="20.25" customHeight="1" x14ac:dyDescent="0.3">
      <c r="C6297" s="59"/>
      <c r="D6297" s="69"/>
      <c r="E6297" s="69"/>
      <c r="F6297" s="17"/>
      <c r="G6297" s="59"/>
    </row>
    <row r="6298" spans="3:7" ht="20.25" customHeight="1" x14ac:dyDescent="0.3">
      <c r="C6298" s="59"/>
      <c r="D6298" s="69"/>
      <c r="E6298" s="69"/>
      <c r="F6298" s="17"/>
      <c r="G6298" s="59"/>
    </row>
    <row r="6299" spans="3:7" ht="20.25" customHeight="1" x14ac:dyDescent="0.3">
      <c r="C6299" s="59"/>
      <c r="D6299" s="69"/>
      <c r="E6299" s="69"/>
      <c r="F6299" s="17"/>
      <c r="G6299" s="59"/>
    </row>
    <row r="6300" spans="3:7" ht="20.25" customHeight="1" x14ac:dyDescent="0.3">
      <c r="C6300" s="59"/>
      <c r="D6300" s="69"/>
      <c r="E6300" s="69"/>
      <c r="F6300" s="17"/>
      <c r="G6300" s="59"/>
    </row>
    <row r="6301" spans="3:7" ht="20.25" customHeight="1" x14ac:dyDescent="0.3">
      <c r="C6301" s="59"/>
      <c r="D6301" s="69"/>
      <c r="E6301" s="69"/>
      <c r="F6301" s="17"/>
      <c r="G6301" s="59"/>
    </row>
    <row r="6302" spans="3:7" ht="20.25" customHeight="1" x14ac:dyDescent="0.3">
      <c r="C6302" s="59"/>
      <c r="D6302" s="69"/>
      <c r="E6302" s="69"/>
      <c r="F6302" s="17"/>
      <c r="G6302" s="59"/>
    </row>
    <row r="6303" spans="3:7" ht="20.25" customHeight="1" x14ac:dyDescent="0.3">
      <c r="C6303" s="59"/>
      <c r="D6303" s="69"/>
      <c r="E6303" s="69"/>
      <c r="F6303" s="17"/>
      <c r="G6303" s="59"/>
    </row>
    <row r="6304" spans="3:7" ht="20.25" customHeight="1" x14ac:dyDescent="0.3">
      <c r="C6304" s="59"/>
      <c r="D6304" s="69"/>
      <c r="E6304" s="69"/>
      <c r="F6304" s="17"/>
      <c r="G6304" s="59"/>
    </row>
    <row r="6305" spans="3:7" ht="20.25" customHeight="1" x14ac:dyDescent="0.3">
      <c r="C6305" s="59"/>
      <c r="D6305" s="69"/>
      <c r="E6305" s="69"/>
      <c r="F6305" s="17"/>
      <c r="G6305" s="59"/>
    </row>
    <row r="6306" spans="3:7" ht="20.25" customHeight="1" x14ac:dyDescent="0.3">
      <c r="C6306" s="59"/>
      <c r="D6306" s="69"/>
      <c r="E6306" s="69"/>
      <c r="F6306" s="17"/>
      <c r="G6306" s="59"/>
    </row>
    <row r="6307" spans="3:7" ht="20.25" customHeight="1" x14ac:dyDescent="0.3">
      <c r="C6307" s="59"/>
      <c r="D6307" s="69"/>
      <c r="E6307" s="69"/>
      <c r="F6307" s="17"/>
      <c r="G6307" s="59"/>
    </row>
    <row r="6308" spans="3:7" ht="20.25" customHeight="1" x14ac:dyDescent="0.3">
      <c r="C6308" s="59"/>
      <c r="D6308" s="69"/>
      <c r="E6308" s="69"/>
      <c r="F6308" s="17"/>
      <c r="G6308" s="59"/>
    </row>
    <row r="6309" spans="3:7" ht="20.25" customHeight="1" x14ac:dyDescent="0.3">
      <c r="C6309" s="59"/>
      <c r="D6309" s="69"/>
      <c r="E6309" s="69"/>
      <c r="F6309" s="17"/>
      <c r="G6309" s="59"/>
    </row>
    <row r="6310" spans="3:7" ht="20.25" customHeight="1" x14ac:dyDescent="0.3">
      <c r="C6310" s="59"/>
      <c r="D6310" s="69"/>
      <c r="E6310" s="69"/>
      <c r="F6310" s="17"/>
      <c r="G6310" s="59"/>
    </row>
    <row r="6311" spans="3:7" ht="20.25" customHeight="1" x14ac:dyDescent="0.3">
      <c r="C6311" s="59"/>
      <c r="D6311" s="69"/>
      <c r="E6311" s="69"/>
      <c r="F6311" s="17"/>
      <c r="G6311" s="59"/>
    </row>
    <row r="6312" spans="3:7" ht="20.25" customHeight="1" x14ac:dyDescent="0.3">
      <c r="C6312" s="59"/>
      <c r="D6312" s="69"/>
      <c r="E6312" s="69"/>
      <c r="F6312" s="17"/>
      <c r="G6312" s="59"/>
    </row>
    <row r="6313" spans="3:7" ht="20.25" customHeight="1" x14ac:dyDescent="0.3">
      <c r="C6313" s="59"/>
      <c r="D6313" s="69"/>
      <c r="E6313" s="69"/>
      <c r="F6313" s="17"/>
      <c r="G6313" s="59"/>
    </row>
    <row r="6314" spans="3:7" ht="20.25" customHeight="1" x14ac:dyDescent="0.3">
      <c r="C6314" s="59"/>
      <c r="D6314" s="69"/>
      <c r="E6314" s="69"/>
      <c r="F6314" s="17"/>
      <c r="G6314" s="59"/>
    </row>
    <row r="6315" spans="3:7" ht="20.25" customHeight="1" x14ac:dyDescent="0.3">
      <c r="C6315" s="59"/>
      <c r="D6315" s="69"/>
      <c r="E6315" s="69"/>
      <c r="F6315" s="17"/>
      <c r="G6315" s="59"/>
    </row>
    <row r="6316" spans="3:7" ht="20.25" customHeight="1" x14ac:dyDescent="0.3">
      <c r="C6316" s="59"/>
      <c r="D6316" s="69"/>
      <c r="E6316" s="69"/>
      <c r="F6316" s="17"/>
      <c r="G6316" s="59"/>
    </row>
    <row r="6317" spans="3:7" ht="20.25" customHeight="1" x14ac:dyDescent="0.3">
      <c r="C6317" s="59"/>
      <c r="D6317" s="69"/>
      <c r="E6317" s="69"/>
      <c r="F6317" s="17"/>
      <c r="G6317" s="59"/>
    </row>
    <row r="6318" spans="3:7" ht="20.25" customHeight="1" x14ac:dyDescent="0.3">
      <c r="C6318" s="59"/>
      <c r="D6318" s="69"/>
      <c r="E6318" s="69"/>
      <c r="F6318" s="17"/>
      <c r="G6318" s="59"/>
    </row>
    <row r="6319" spans="3:7" ht="20.25" customHeight="1" x14ac:dyDescent="0.3">
      <c r="C6319" s="59"/>
      <c r="D6319" s="69"/>
      <c r="E6319" s="69"/>
      <c r="F6319" s="17"/>
      <c r="G6319" s="59"/>
    </row>
    <row r="6320" spans="3:7" ht="20.25" customHeight="1" x14ac:dyDescent="0.3">
      <c r="C6320" s="59"/>
      <c r="D6320" s="69"/>
      <c r="E6320" s="69"/>
      <c r="F6320" s="17"/>
      <c r="G6320" s="59"/>
    </row>
    <row r="6321" spans="3:7" ht="20.25" customHeight="1" x14ac:dyDescent="0.3">
      <c r="C6321" s="59"/>
      <c r="D6321" s="69"/>
      <c r="E6321" s="69"/>
      <c r="F6321" s="17"/>
      <c r="G6321" s="59"/>
    </row>
    <row r="6322" spans="3:7" ht="20.25" customHeight="1" x14ac:dyDescent="0.3">
      <c r="C6322" s="59"/>
      <c r="D6322" s="69"/>
      <c r="E6322" s="69"/>
      <c r="F6322" s="17"/>
      <c r="G6322" s="59"/>
    </row>
    <row r="6323" spans="3:7" ht="20.25" customHeight="1" x14ac:dyDescent="0.3">
      <c r="C6323" s="59"/>
      <c r="D6323" s="69"/>
      <c r="E6323" s="69"/>
      <c r="F6323" s="17"/>
      <c r="G6323" s="59"/>
    </row>
    <row r="6324" spans="3:7" ht="20.25" customHeight="1" x14ac:dyDescent="0.3">
      <c r="C6324" s="59"/>
      <c r="D6324" s="69"/>
      <c r="E6324" s="69"/>
      <c r="F6324" s="17"/>
      <c r="G6324" s="59"/>
    </row>
    <row r="6325" spans="3:7" ht="20.25" customHeight="1" x14ac:dyDescent="0.3">
      <c r="C6325" s="59"/>
      <c r="D6325" s="69"/>
      <c r="E6325" s="69"/>
      <c r="F6325" s="17"/>
      <c r="G6325" s="59"/>
    </row>
    <row r="6326" spans="3:7" ht="20.25" customHeight="1" x14ac:dyDescent="0.3">
      <c r="C6326" s="59"/>
      <c r="D6326" s="69"/>
      <c r="E6326" s="69"/>
      <c r="F6326" s="17"/>
      <c r="G6326" s="59"/>
    </row>
    <row r="6327" spans="3:7" ht="20.25" customHeight="1" x14ac:dyDescent="0.3">
      <c r="C6327" s="59"/>
      <c r="D6327" s="69"/>
      <c r="E6327" s="69"/>
      <c r="F6327" s="17"/>
      <c r="G6327" s="59"/>
    </row>
    <row r="6328" spans="3:7" ht="20.25" customHeight="1" x14ac:dyDescent="0.3">
      <c r="C6328" s="59"/>
      <c r="D6328" s="69"/>
      <c r="E6328" s="69"/>
      <c r="F6328" s="17"/>
      <c r="G6328" s="59"/>
    </row>
    <row r="6329" spans="3:7" ht="20.25" customHeight="1" x14ac:dyDescent="0.3">
      <c r="C6329" s="59"/>
      <c r="D6329" s="69"/>
      <c r="E6329" s="69"/>
      <c r="F6329" s="17"/>
      <c r="G6329" s="59"/>
    </row>
    <row r="6330" spans="3:7" ht="20.25" customHeight="1" x14ac:dyDescent="0.3">
      <c r="C6330" s="59"/>
      <c r="D6330" s="69"/>
      <c r="E6330" s="69"/>
      <c r="F6330" s="17"/>
      <c r="G6330" s="59"/>
    </row>
    <row r="6331" spans="3:7" ht="20.25" customHeight="1" x14ac:dyDescent="0.3">
      <c r="C6331" s="59"/>
      <c r="D6331" s="69"/>
      <c r="E6331" s="69"/>
      <c r="F6331" s="17"/>
      <c r="G6331" s="59"/>
    </row>
    <row r="6332" spans="3:7" ht="20.25" customHeight="1" x14ac:dyDescent="0.3">
      <c r="C6332" s="59"/>
      <c r="D6332" s="69"/>
      <c r="E6332" s="69"/>
      <c r="F6332" s="17"/>
      <c r="G6332" s="59"/>
    </row>
    <row r="6333" spans="3:7" ht="20.25" customHeight="1" x14ac:dyDescent="0.3">
      <c r="C6333" s="59"/>
      <c r="D6333" s="69"/>
      <c r="E6333" s="69"/>
      <c r="F6333" s="17"/>
      <c r="G6333" s="59"/>
    </row>
    <row r="6334" spans="3:7" ht="20.25" customHeight="1" x14ac:dyDescent="0.3">
      <c r="C6334" s="59"/>
      <c r="D6334" s="69"/>
      <c r="E6334" s="69"/>
      <c r="F6334" s="17"/>
      <c r="G6334" s="59"/>
    </row>
    <row r="6335" spans="3:7" ht="20.25" customHeight="1" x14ac:dyDescent="0.3">
      <c r="C6335" s="59"/>
      <c r="D6335" s="69"/>
      <c r="E6335" s="69"/>
      <c r="F6335" s="17"/>
      <c r="G6335" s="59"/>
    </row>
    <row r="6336" spans="3:7" ht="20.25" customHeight="1" x14ac:dyDescent="0.3">
      <c r="C6336" s="59"/>
      <c r="D6336" s="69"/>
      <c r="E6336" s="69"/>
      <c r="F6336" s="17"/>
      <c r="G6336" s="59"/>
    </row>
    <row r="6337" spans="3:7" ht="20.25" customHeight="1" x14ac:dyDescent="0.3">
      <c r="C6337" s="59"/>
      <c r="D6337" s="69"/>
      <c r="E6337" s="69"/>
      <c r="F6337" s="17"/>
      <c r="G6337" s="59"/>
    </row>
    <row r="6338" spans="3:7" ht="20.25" customHeight="1" x14ac:dyDescent="0.3">
      <c r="C6338" s="59"/>
      <c r="D6338" s="69"/>
      <c r="E6338" s="69"/>
      <c r="F6338" s="17"/>
      <c r="G6338" s="59"/>
    </row>
    <row r="6339" spans="3:7" ht="20.25" customHeight="1" x14ac:dyDescent="0.3">
      <c r="C6339" s="59"/>
      <c r="D6339" s="69"/>
      <c r="E6339" s="69"/>
      <c r="F6339" s="17"/>
      <c r="G6339" s="59"/>
    </row>
    <row r="6340" spans="3:7" ht="20.25" customHeight="1" x14ac:dyDescent="0.3">
      <c r="C6340" s="59"/>
      <c r="D6340" s="69"/>
      <c r="E6340" s="69"/>
      <c r="F6340" s="17"/>
      <c r="G6340" s="59"/>
    </row>
    <row r="6341" spans="3:7" ht="20.25" customHeight="1" x14ac:dyDescent="0.3">
      <c r="C6341" s="59"/>
      <c r="D6341" s="69"/>
      <c r="E6341" s="69"/>
      <c r="F6341" s="17"/>
      <c r="G6341" s="59"/>
    </row>
    <row r="6342" spans="3:7" ht="20.25" customHeight="1" x14ac:dyDescent="0.3">
      <c r="C6342" s="59"/>
      <c r="D6342" s="69"/>
      <c r="E6342" s="69"/>
      <c r="F6342" s="17"/>
      <c r="G6342" s="59"/>
    </row>
    <row r="6343" spans="3:7" ht="20.25" customHeight="1" x14ac:dyDescent="0.3">
      <c r="C6343" s="59"/>
      <c r="D6343" s="69"/>
      <c r="E6343" s="69"/>
      <c r="F6343" s="17"/>
      <c r="G6343" s="59"/>
    </row>
    <row r="6344" spans="3:7" ht="20.25" customHeight="1" x14ac:dyDescent="0.3">
      <c r="C6344" s="59"/>
      <c r="D6344" s="69"/>
      <c r="E6344" s="69"/>
      <c r="F6344" s="17"/>
      <c r="G6344" s="59"/>
    </row>
    <row r="6345" spans="3:7" ht="20.25" customHeight="1" x14ac:dyDescent="0.3">
      <c r="C6345" s="59"/>
      <c r="D6345" s="69"/>
      <c r="E6345" s="69"/>
      <c r="F6345" s="17"/>
      <c r="G6345" s="59"/>
    </row>
    <row r="6346" spans="3:7" ht="20.25" customHeight="1" x14ac:dyDescent="0.3">
      <c r="C6346" s="59"/>
      <c r="D6346" s="69"/>
      <c r="E6346" s="69"/>
      <c r="F6346" s="17"/>
      <c r="G6346" s="59"/>
    </row>
    <row r="6347" spans="3:7" ht="20.25" customHeight="1" x14ac:dyDescent="0.3">
      <c r="C6347" s="59"/>
      <c r="D6347" s="69"/>
      <c r="E6347" s="69"/>
      <c r="F6347" s="17"/>
      <c r="G6347" s="59"/>
    </row>
    <row r="6348" spans="3:7" ht="20.25" customHeight="1" x14ac:dyDescent="0.3">
      <c r="C6348" s="59"/>
      <c r="D6348" s="69"/>
      <c r="E6348" s="69"/>
      <c r="F6348" s="17"/>
      <c r="G6348" s="59"/>
    </row>
    <row r="6349" spans="3:7" ht="20.25" customHeight="1" x14ac:dyDescent="0.3">
      <c r="C6349" s="59"/>
      <c r="D6349" s="69"/>
      <c r="E6349" s="69"/>
      <c r="F6349" s="17"/>
      <c r="G6349" s="59"/>
    </row>
    <row r="6350" spans="3:7" ht="20.25" customHeight="1" x14ac:dyDescent="0.3">
      <c r="C6350" s="59"/>
      <c r="D6350" s="69"/>
      <c r="E6350" s="69"/>
      <c r="F6350" s="17"/>
      <c r="G6350" s="59"/>
    </row>
    <row r="6351" spans="3:7" ht="20.25" customHeight="1" x14ac:dyDescent="0.3">
      <c r="C6351" s="59"/>
      <c r="D6351" s="69"/>
      <c r="E6351" s="69"/>
      <c r="F6351" s="17"/>
      <c r="G6351" s="59"/>
    </row>
    <row r="6352" spans="3:7" ht="20.25" customHeight="1" x14ac:dyDescent="0.3">
      <c r="C6352" s="59"/>
      <c r="D6352" s="69"/>
      <c r="E6352" s="69"/>
      <c r="F6352" s="17"/>
      <c r="G6352" s="59"/>
    </row>
    <row r="6353" spans="3:7" ht="20.25" customHeight="1" x14ac:dyDescent="0.3">
      <c r="C6353" s="59"/>
      <c r="D6353" s="69"/>
      <c r="E6353" s="69"/>
      <c r="F6353" s="17"/>
      <c r="G6353" s="59"/>
    </row>
    <row r="6354" spans="3:7" ht="20.25" customHeight="1" x14ac:dyDescent="0.3">
      <c r="C6354" s="59"/>
      <c r="D6354" s="69"/>
      <c r="E6354" s="69"/>
      <c r="F6354" s="17"/>
      <c r="G6354" s="59"/>
    </row>
    <row r="6355" spans="3:7" ht="20.25" customHeight="1" x14ac:dyDescent="0.3">
      <c r="C6355" s="59"/>
      <c r="D6355" s="69"/>
      <c r="E6355" s="69"/>
      <c r="F6355" s="17"/>
      <c r="G6355" s="59"/>
    </row>
    <row r="6356" spans="3:7" ht="20.25" customHeight="1" x14ac:dyDescent="0.3">
      <c r="C6356" s="59"/>
      <c r="D6356" s="69"/>
      <c r="E6356" s="69"/>
      <c r="F6356" s="17"/>
      <c r="G6356" s="59"/>
    </row>
    <row r="6357" spans="3:7" ht="20.25" customHeight="1" x14ac:dyDescent="0.3">
      <c r="C6357" s="59"/>
      <c r="D6357" s="69"/>
      <c r="E6357" s="69"/>
      <c r="F6357" s="17"/>
      <c r="G6357" s="59"/>
    </row>
    <row r="6358" spans="3:7" ht="20.25" customHeight="1" x14ac:dyDescent="0.3">
      <c r="C6358" s="59"/>
      <c r="D6358" s="69"/>
      <c r="E6358" s="69"/>
      <c r="F6358" s="17"/>
      <c r="G6358" s="59"/>
    </row>
    <row r="6359" spans="3:7" ht="20.25" customHeight="1" x14ac:dyDescent="0.3">
      <c r="C6359" s="59"/>
      <c r="D6359" s="69"/>
      <c r="E6359" s="69"/>
      <c r="F6359" s="17"/>
      <c r="G6359" s="59"/>
    </row>
    <row r="6360" spans="3:7" ht="20.25" customHeight="1" x14ac:dyDescent="0.3">
      <c r="C6360" s="59"/>
      <c r="D6360" s="69"/>
      <c r="E6360" s="69"/>
      <c r="F6360" s="17"/>
      <c r="G6360" s="59"/>
    </row>
    <row r="6361" spans="3:7" ht="20.25" customHeight="1" x14ac:dyDescent="0.3">
      <c r="C6361" s="59"/>
      <c r="D6361" s="69"/>
      <c r="E6361" s="69"/>
      <c r="F6361" s="17"/>
      <c r="G6361" s="59"/>
    </row>
    <row r="6362" spans="3:7" ht="20.25" customHeight="1" x14ac:dyDescent="0.3">
      <c r="C6362" s="59"/>
      <c r="D6362" s="69"/>
      <c r="E6362" s="69"/>
      <c r="F6362" s="17"/>
      <c r="G6362" s="59"/>
    </row>
    <row r="6363" spans="3:7" ht="20.25" customHeight="1" x14ac:dyDescent="0.3">
      <c r="C6363" s="59"/>
      <c r="D6363" s="69"/>
      <c r="E6363" s="69"/>
      <c r="F6363" s="17"/>
      <c r="G6363" s="59"/>
    </row>
    <row r="6364" spans="3:7" ht="20.25" customHeight="1" x14ac:dyDescent="0.3">
      <c r="C6364" s="59"/>
      <c r="D6364" s="69"/>
      <c r="E6364" s="69"/>
      <c r="F6364" s="17"/>
      <c r="G6364" s="59"/>
    </row>
    <row r="6365" spans="3:7" ht="20.25" customHeight="1" x14ac:dyDescent="0.3">
      <c r="C6365" s="59"/>
      <c r="D6365" s="69"/>
      <c r="E6365" s="69"/>
      <c r="F6365" s="17"/>
      <c r="G6365" s="59"/>
    </row>
    <row r="6366" spans="3:7" ht="20.25" customHeight="1" x14ac:dyDescent="0.3">
      <c r="C6366" s="59"/>
      <c r="D6366" s="69"/>
      <c r="E6366" s="69"/>
      <c r="F6366" s="17"/>
      <c r="G6366" s="59"/>
    </row>
    <row r="6367" spans="3:7" ht="20.25" customHeight="1" x14ac:dyDescent="0.3">
      <c r="C6367" s="59"/>
      <c r="D6367" s="69"/>
      <c r="E6367" s="69"/>
      <c r="F6367" s="17"/>
      <c r="G6367" s="59"/>
    </row>
    <row r="6368" spans="3:7" ht="20.25" customHeight="1" x14ac:dyDescent="0.3">
      <c r="C6368" s="59"/>
      <c r="D6368" s="69"/>
      <c r="E6368" s="69"/>
      <c r="F6368" s="17"/>
      <c r="G6368" s="59"/>
    </row>
    <row r="6369" spans="3:7" ht="20.25" customHeight="1" x14ac:dyDescent="0.3">
      <c r="C6369" s="59"/>
      <c r="D6369" s="69"/>
      <c r="E6369" s="69"/>
      <c r="F6369" s="17"/>
      <c r="G6369" s="59"/>
    </row>
    <row r="6370" spans="3:7" ht="20.25" customHeight="1" x14ac:dyDescent="0.3">
      <c r="C6370" s="59"/>
      <c r="D6370" s="69"/>
      <c r="E6370" s="69"/>
      <c r="F6370" s="17"/>
      <c r="G6370" s="59"/>
    </row>
    <row r="6371" spans="3:7" ht="20.25" customHeight="1" x14ac:dyDescent="0.3">
      <c r="C6371" s="59"/>
      <c r="D6371" s="69"/>
      <c r="E6371" s="69"/>
      <c r="F6371" s="17"/>
      <c r="G6371" s="59"/>
    </row>
    <row r="6372" spans="3:7" ht="20.25" customHeight="1" x14ac:dyDescent="0.3">
      <c r="C6372" s="59"/>
      <c r="D6372" s="69"/>
      <c r="E6372" s="69"/>
      <c r="F6372" s="17"/>
      <c r="G6372" s="59"/>
    </row>
    <row r="6373" spans="3:7" ht="20.25" customHeight="1" x14ac:dyDescent="0.3">
      <c r="C6373" s="59"/>
      <c r="D6373" s="69"/>
      <c r="E6373" s="69"/>
      <c r="F6373" s="17"/>
      <c r="G6373" s="59"/>
    </row>
    <row r="6374" spans="3:7" ht="20.25" customHeight="1" x14ac:dyDescent="0.3">
      <c r="C6374" s="59"/>
      <c r="D6374" s="69"/>
      <c r="E6374" s="69"/>
      <c r="F6374" s="17"/>
      <c r="G6374" s="59"/>
    </row>
    <row r="6375" spans="3:7" ht="20.25" customHeight="1" x14ac:dyDescent="0.3">
      <c r="C6375" s="59"/>
      <c r="D6375" s="69"/>
      <c r="E6375" s="69"/>
      <c r="F6375" s="17"/>
      <c r="G6375" s="59"/>
    </row>
    <row r="6376" spans="3:7" ht="20.25" customHeight="1" x14ac:dyDescent="0.3">
      <c r="C6376" s="59"/>
      <c r="D6376" s="69"/>
      <c r="E6376" s="69"/>
      <c r="F6376" s="17"/>
      <c r="G6376" s="59"/>
    </row>
    <row r="6377" spans="3:7" ht="20.25" customHeight="1" x14ac:dyDescent="0.3">
      <c r="C6377" s="59"/>
      <c r="D6377" s="69"/>
      <c r="E6377" s="69"/>
      <c r="F6377" s="17"/>
      <c r="G6377" s="59"/>
    </row>
    <row r="6378" spans="3:7" ht="20.25" customHeight="1" x14ac:dyDescent="0.3">
      <c r="C6378" s="59"/>
      <c r="D6378" s="69"/>
      <c r="E6378" s="69"/>
      <c r="F6378" s="17"/>
      <c r="G6378" s="59"/>
    </row>
    <row r="6379" spans="3:7" ht="20.25" customHeight="1" x14ac:dyDescent="0.3">
      <c r="C6379" s="59"/>
      <c r="D6379" s="69"/>
      <c r="E6379" s="69"/>
      <c r="F6379" s="17"/>
      <c r="G6379" s="59"/>
    </row>
    <row r="6380" spans="3:7" ht="20.25" customHeight="1" x14ac:dyDescent="0.3">
      <c r="C6380" s="59"/>
      <c r="D6380" s="69"/>
      <c r="E6380" s="69"/>
      <c r="F6380" s="17"/>
      <c r="G6380" s="59"/>
    </row>
    <row r="6381" spans="3:7" ht="20.25" customHeight="1" x14ac:dyDescent="0.3">
      <c r="C6381" s="59"/>
      <c r="D6381" s="69"/>
      <c r="E6381" s="69"/>
      <c r="F6381" s="17"/>
      <c r="G6381" s="59"/>
    </row>
    <row r="6382" spans="3:7" ht="20.25" customHeight="1" x14ac:dyDescent="0.3">
      <c r="C6382" s="59"/>
      <c r="D6382" s="69"/>
      <c r="E6382" s="69"/>
      <c r="F6382" s="17"/>
      <c r="G6382" s="59"/>
    </row>
    <row r="6383" spans="3:7" ht="20.25" customHeight="1" x14ac:dyDescent="0.3">
      <c r="C6383" s="59"/>
      <c r="D6383" s="69"/>
      <c r="E6383" s="69"/>
      <c r="F6383" s="17"/>
      <c r="G6383" s="59"/>
    </row>
    <row r="6384" spans="3:7" ht="20.25" customHeight="1" x14ac:dyDescent="0.3">
      <c r="C6384" s="59"/>
      <c r="D6384" s="69"/>
      <c r="E6384" s="69"/>
      <c r="F6384" s="17"/>
      <c r="G6384" s="59"/>
    </row>
    <row r="6385" spans="3:7" ht="20.25" customHeight="1" x14ac:dyDescent="0.3">
      <c r="C6385" s="59"/>
      <c r="D6385" s="69"/>
      <c r="E6385" s="69"/>
      <c r="F6385" s="17"/>
      <c r="G6385" s="59"/>
    </row>
    <row r="6386" spans="3:7" ht="20.25" customHeight="1" x14ac:dyDescent="0.3">
      <c r="C6386" s="59"/>
      <c r="D6386" s="69"/>
      <c r="E6386" s="69"/>
      <c r="F6386" s="17"/>
      <c r="G6386" s="59"/>
    </row>
    <row r="6387" spans="3:7" ht="20.25" customHeight="1" x14ac:dyDescent="0.3">
      <c r="C6387" s="59"/>
      <c r="D6387" s="69"/>
      <c r="E6387" s="69"/>
      <c r="F6387" s="17"/>
      <c r="G6387" s="59"/>
    </row>
    <row r="6388" spans="3:7" ht="20.25" customHeight="1" x14ac:dyDescent="0.3">
      <c r="C6388" s="59"/>
      <c r="D6388" s="69"/>
      <c r="E6388" s="69"/>
      <c r="F6388" s="17"/>
      <c r="G6388" s="59"/>
    </row>
    <row r="6389" spans="3:7" ht="20.25" customHeight="1" x14ac:dyDescent="0.3">
      <c r="C6389" s="59"/>
      <c r="D6389" s="69"/>
      <c r="E6389" s="69"/>
      <c r="F6389" s="17"/>
      <c r="G6389" s="59"/>
    </row>
    <row r="6390" spans="3:7" ht="20.25" customHeight="1" x14ac:dyDescent="0.3">
      <c r="C6390" s="59"/>
      <c r="D6390" s="69"/>
      <c r="E6390" s="69"/>
      <c r="F6390" s="17"/>
      <c r="G6390" s="59"/>
    </row>
    <row r="6391" spans="3:7" ht="20.25" customHeight="1" x14ac:dyDescent="0.3">
      <c r="C6391" s="59"/>
      <c r="D6391" s="69"/>
      <c r="E6391" s="69"/>
      <c r="F6391" s="17"/>
      <c r="G6391" s="59"/>
    </row>
    <row r="6392" spans="3:7" ht="20.25" customHeight="1" x14ac:dyDescent="0.3">
      <c r="C6392" s="59"/>
      <c r="D6392" s="69"/>
      <c r="E6392" s="69"/>
      <c r="F6392" s="17"/>
      <c r="G6392" s="59"/>
    </row>
    <row r="6393" spans="3:7" ht="20.25" customHeight="1" x14ac:dyDescent="0.3">
      <c r="C6393" s="59"/>
      <c r="D6393" s="69"/>
      <c r="E6393" s="69"/>
      <c r="F6393" s="17"/>
      <c r="G6393" s="59"/>
    </row>
    <row r="6394" spans="3:7" ht="20.25" customHeight="1" x14ac:dyDescent="0.3">
      <c r="C6394" s="59"/>
      <c r="D6394" s="69"/>
      <c r="E6394" s="69"/>
      <c r="F6394" s="17"/>
      <c r="G6394" s="59"/>
    </row>
    <row r="6395" spans="3:7" ht="20.25" customHeight="1" x14ac:dyDescent="0.3">
      <c r="C6395" s="59"/>
      <c r="D6395" s="69"/>
      <c r="E6395" s="69"/>
      <c r="F6395" s="17"/>
      <c r="G6395" s="59"/>
    </row>
    <row r="6396" spans="3:7" ht="20.25" customHeight="1" x14ac:dyDescent="0.3">
      <c r="C6396" s="59"/>
      <c r="D6396" s="69"/>
      <c r="E6396" s="69"/>
      <c r="F6396" s="17"/>
      <c r="G6396" s="59"/>
    </row>
    <row r="6397" spans="3:7" ht="20.25" customHeight="1" x14ac:dyDescent="0.3">
      <c r="C6397" s="59"/>
      <c r="D6397" s="69"/>
      <c r="E6397" s="69"/>
      <c r="F6397" s="17"/>
      <c r="G6397" s="59"/>
    </row>
    <row r="6398" spans="3:7" ht="20.25" customHeight="1" x14ac:dyDescent="0.3">
      <c r="C6398" s="59"/>
      <c r="D6398" s="69"/>
      <c r="E6398" s="69"/>
      <c r="F6398" s="17"/>
      <c r="G6398" s="59"/>
    </row>
    <row r="6399" spans="3:7" ht="20.25" customHeight="1" x14ac:dyDescent="0.3">
      <c r="C6399" s="59"/>
      <c r="D6399" s="69"/>
      <c r="E6399" s="69"/>
      <c r="F6399" s="17"/>
      <c r="G6399" s="59"/>
    </row>
    <row r="6400" spans="3:7" ht="20.25" customHeight="1" x14ac:dyDescent="0.3">
      <c r="C6400" s="59"/>
      <c r="D6400" s="69"/>
      <c r="E6400" s="69"/>
      <c r="F6400" s="17"/>
      <c r="G6400" s="59"/>
    </row>
    <row r="6401" spans="3:7" ht="20.25" customHeight="1" x14ac:dyDescent="0.3">
      <c r="C6401" s="59"/>
      <c r="D6401" s="69"/>
      <c r="E6401" s="69"/>
      <c r="F6401" s="17"/>
      <c r="G6401" s="59"/>
    </row>
    <row r="6402" spans="3:7" ht="20.25" customHeight="1" x14ac:dyDescent="0.3">
      <c r="C6402" s="59"/>
      <c r="D6402" s="69"/>
      <c r="E6402" s="69"/>
      <c r="F6402" s="17"/>
      <c r="G6402" s="59"/>
    </row>
    <row r="6403" spans="3:7" ht="20.25" customHeight="1" x14ac:dyDescent="0.3">
      <c r="C6403" s="59"/>
      <c r="D6403" s="69"/>
      <c r="E6403" s="69"/>
      <c r="F6403" s="17"/>
      <c r="G6403" s="59"/>
    </row>
    <row r="6404" spans="3:7" ht="20.25" customHeight="1" x14ac:dyDescent="0.3">
      <c r="C6404" s="59"/>
      <c r="D6404" s="69"/>
      <c r="E6404" s="69"/>
      <c r="F6404" s="17"/>
      <c r="G6404" s="59"/>
    </row>
    <row r="6405" spans="3:7" ht="20.25" customHeight="1" x14ac:dyDescent="0.3">
      <c r="C6405" s="59"/>
      <c r="D6405" s="69"/>
      <c r="E6405" s="69"/>
      <c r="F6405" s="17"/>
      <c r="G6405" s="59"/>
    </row>
    <row r="6406" spans="3:7" ht="20.25" customHeight="1" x14ac:dyDescent="0.3">
      <c r="C6406" s="59"/>
      <c r="D6406" s="69"/>
      <c r="E6406" s="69"/>
      <c r="F6406" s="17"/>
      <c r="G6406" s="59"/>
    </row>
    <row r="6407" spans="3:7" ht="20.25" customHeight="1" x14ac:dyDescent="0.3">
      <c r="C6407" s="59"/>
      <c r="D6407" s="69"/>
      <c r="E6407" s="69"/>
      <c r="F6407" s="17"/>
      <c r="G6407" s="59"/>
    </row>
    <row r="6408" spans="3:7" ht="20.25" customHeight="1" x14ac:dyDescent="0.3">
      <c r="C6408" s="59"/>
      <c r="D6408" s="69"/>
      <c r="E6408" s="69"/>
      <c r="F6408" s="17"/>
      <c r="G6408" s="59"/>
    </row>
    <row r="6409" spans="3:7" ht="20.25" customHeight="1" x14ac:dyDescent="0.3">
      <c r="C6409" s="59"/>
      <c r="D6409" s="69"/>
      <c r="E6409" s="69"/>
      <c r="F6409" s="17"/>
      <c r="G6409" s="59"/>
    </row>
    <row r="6410" spans="3:7" ht="20.25" customHeight="1" x14ac:dyDescent="0.3">
      <c r="C6410" s="59"/>
      <c r="D6410" s="69"/>
      <c r="E6410" s="69"/>
      <c r="F6410" s="17"/>
      <c r="G6410" s="59"/>
    </row>
    <row r="6411" spans="3:7" ht="20.25" customHeight="1" x14ac:dyDescent="0.3">
      <c r="C6411" s="59"/>
      <c r="D6411" s="69"/>
      <c r="E6411" s="69"/>
      <c r="F6411" s="17"/>
      <c r="G6411" s="59"/>
    </row>
    <row r="6412" spans="3:7" ht="20.25" customHeight="1" x14ac:dyDescent="0.3">
      <c r="C6412" s="59"/>
      <c r="D6412" s="69"/>
      <c r="E6412" s="69"/>
      <c r="F6412" s="17"/>
      <c r="G6412" s="59"/>
    </row>
    <row r="6413" spans="3:7" ht="20.25" customHeight="1" x14ac:dyDescent="0.3">
      <c r="C6413" s="59"/>
      <c r="D6413" s="69"/>
      <c r="E6413" s="69"/>
      <c r="F6413" s="17"/>
      <c r="G6413" s="59"/>
    </row>
    <row r="6414" spans="3:7" ht="20.25" customHeight="1" x14ac:dyDescent="0.3">
      <c r="C6414" s="59"/>
      <c r="D6414" s="69"/>
      <c r="E6414" s="69"/>
      <c r="F6414" s="17"/>
      <c r="G6414" s="59"/>
    </row>
    <row r="6415" spans="3:7" ht="20.25" customHeight="1" x14ac:dyDescent="0.3">
      <c r="C6415" s="59"/>
      <c r="D6415" s="69"/>
      <c r="E6415" s="69"/>
      <c r="F6415" s="17"/>
      <c r="G6415" s="59"/>
    </row>
    <row r="6416" spans="3:7" ht="20.25" customHeight="1" x14ac:dyDescent="0.3">
      <c r="C6416" s="59"/>
      <c r="D6416" s="69"/>
      <c r="E6416" s="69"/>
      <c r="F6416" s="17"/>
      <c r="G6416" s="59"/>
    </row>
    <row r="6417" spans="3:7" ht="20.25" customHeight="1" x14ac:dyDescent="0.3">
      <c r="C6417" s="59"/>
      <c r="D6417" s="69"/>
      <c r="E6417" s="69"/>
      <c r="F6417" s="17"/>
      <c r="G6417" s="59"/>
    </row>
    <row r="6418" spans="3:7" ht="20.25" customHeight="1" x14ac:dyDescent="0.3">
      <c r="C6418" s="59"/>
      <c r="D6418" s="69"/>
      <c r="E6418" s="69"/>
      <c r="F6418" s="17"/>
      <c r="G6418" s="59"/>
    </row>
    <row r="6419" spans="3:7" ht="20.25" customHeight="1" x14ac:dyDescent="0.3">
      <c r="C6419" s="59"/>
      <c r="D6419" s="69"/>
      <c r="E6419" s="69"/>
      <c r="F6419" s="17"/>
      <c r="G6419" s="59"/>
    </row>
    <row r="6420" spans="3:7" ht="20.25" customHeight="1" x14ac:dyDescent="0.3">
      <c r="C6420" s="59"/>
      <c r="D6420" s="69"/>
      <c r="E6420" s="69"/>
      <c r="F6420" s="17"/>
      <c r="G6420" s="59"/>
    </row>
    <row r="6421" spans="3:7" ht="20.25" customHeight="1" x14ac:dyDescent="0.3">
      <c r="C6421" s="59"/>
      <c r="D6421" s="69"/>
      <c r="E6421" s="69"/>
      <c r="F6421" s="17"/>
      <c r="G6421" s="59"/>
    </row>
    <row r="6422" spans="3:7" ht="20.25" customHeight="1" x14ac:dyDescent="0.3">
      <c r="C6422" s="59"/>
      <c r="D6422" s="69"/>
      <c r="E6422" s="69"/>
      <c r="F6422" s="17"/>
      <c r="G6422" s="59"/>
    </row>
    <row r="6423" spans="3:7" ht="20.25" customHeight="1" x14ac:dyDescent="0.3">
      <c r="C6423" s="59"/>
      <c r="D6423" s="69"/>
      <c r="E6423" s="69"/>
      <c r="F6423" s="17"/>
      <c r="G6423" s="59"/>
    </row>
    <row r="6424" spans="3:7" ht="20.25" customHeight="1" x14ac:dyDescent="0.3">
      <c r="C6424" s="59"/>
      <c r="D6424" s="69"/>
      <c r="E6424" s="69"/>
      <c r="F6424" s="17"/>
      <c r="G6424" s="59"/>
    </row>
    <row r="6425" spans="3:7" ht="20.25" customHeight="1" x14ac:dyDescent="0.3">
      <c r="C6425" s="59"/>
      <c r="D6425" s="69"/>
      <c r="E6425" s="69"/>
      <c r="F6425" s="17"/>
      <c r="G6425" s="59"/>
    </row>
    <row r="6426" spans="3:7" ht="20.25" customHeight="1" x14ac:dyDescent="0.3">
      <c r="C6426" s="59"/>
      <c r="D6426" s="69"/>
      <c r="E6426" s="69"/>
      <c r="F6426" s="17"/>
      <c r="G6426" s="59"/>
    </row>
    <row r="6427" spans="3:7" ht="20.25" customHeight="1" x14ac:dyDescent="0.3">
      <c r="C6427" s="59"/>
      <c r="D6427" s="69"/>
      <c r="E6427" s="69"/>
      <c r="F6427" s="17"/>
      <c r="G6427" s="59"/>
    </row>
    <row r="6428" spans="3:7" ht="20.25" customHeight="1" x14ac:dyDescent="0.3">
      <c r="C6428" s="59"/>
      <c r="D6428" s="69"/>
      <c r="E6428" s="69"/>
      <c r="F6428" s="17"/>
      <c r="G6428" s="59"/>
    </row>
    <row r="6429" spans="3:7" ht="20.25" customHeight="1" x14ac:dyDescent="0.3">
      <c r="C6429" s="59"/>
      <c r="D6429" s="69"/>
      <c r="E6429" s="69"/>
      <c r="F6429" s="17"/>
      <c r="G6429" s="59"/>
    </row>
    <row r="6430" spans="3:7" ht="20.25" customHeight="1" x14ac:dyDescent="0.3">
      <c r="C6430" s="59"/>
      <c r="D6430" s="69"/>
      <c r="E6430" s="69"/>
      <c r="F6430" s="17"/>
      <c r="G6430" s="59"/>
    </row>
    <row r="6431" spans="3:7" ht="20.25" customHeight="1" x14ac:dyDescent="0.3">
      <c r="C6431" s="59"/>
      <c r="D6431" s="69"/>
      <c r="E6431" s="69"/>
      <c r="F6431" s="17"/>
      <c r="G6431" s="59"/>
    </row>
    <row r="6432" spans="3:7" ht="20.25" customHeight="1" x14ac:dyDescent="0.3">
      <c r="C6432" s="59"/>
      <c r="D6432" s="69"/>
      <c r="E6432" s="69"/>
      <c r="F6432" s="17"/>
      <c r="G6432" s="59"/>
    </row>
    <row r="6433" spans="3:7" ht="20.25" customHeight="1" x14ac:dyDescent="0.3">
      <c r="C6433" s="59"/>
      <c r="D6433" s="69"/>
      <c r="E6433" s="69"/>
      <c r="F6433" s="17"/>
      <c r="G6433" s="59"/>
    </row>
    <row r="6434" spans="3:7" ht="20.25" customHeight="1" x14ac:dyDescent="0.3">
      <c r="C6434" s="59"/>
      <c r="D6434" s="69"/>
      <c r="E6434" s="69"/>
      <c r="F6434" s="17"/>
      <c r="G6434" s="59"/>
    </row>
    <row r="6435" spans="3:7" ht="20.25" customHeight="1" x14ac:dyDescent="0.3">
      <c r="C6435" s="59"/>
      <c r="D6435" s="69"/>
      <c r="E6435" s="69"/>
      <c r="F6435" s="17"/>
      <c r="G6435" s="59"/>
    </row>
    <row r="6436" spans="3:7" ht="20.25" customHeight="1" x14ac:dyDescent="0.3">
      <c r="C6436" s="59"/>
      <c r="D6436" s="69"/>
      <c r="E6436" s="69"/>
      <c r="F6436" s="17"/>
      <c r="G6436" s="59"/>
    </row>
    <row r="6437" spans="3:7" ht="20.25" customHeight="1" x14ac:dyDescent="0.3">
      <c r="C6437" s="59"/>
      <c r="D6437" s="69"/>
      <c r="E6437" s="69"/>
      <c r="F6437" s="17"/>
      <c r="G6437" s="59"/>
    </row>
    <row r="6438" spans="3:7" ht="20.25" customHeight="1" x14ac:dyDescent="0.3">
      <c r="C6438" s="59"/>
      <c r="D6438" s="69"/>
      <c r="E6438" s="69"/>
      <c r="F6438" s="17"/>
      <c r="G6438" s="59"/>
    </row>
    <row r="6439" spans="3:7" ht="20.25" customHeight="1" x14ac:dyDescent="0.3">
      <c r="C6439" s="59"/>
      <c r="D6439" s="69"/>
      <c r="E6439" s="69"/>
      <c r="F6439" s="17"/>
      <c r="G6439" s="59"/>
    </row>
    <row r="6440" spans="3:7" ht="20.25" customHeight="1" x14ac:dyDescent="0.3">
      <c r="C6440" s="59"/>
      <c r="D6440" s="69"/>
      <c r="E6440" s="69"/>
      <c r="F6440" s="17"/>
      <c r="G6440" s="59"/>
    </row>
    <row r="6441" spans="3:7" ht="20.25" customHeight="1" x14ac:dyDescent="0.3">
      <c r="C6441" s="59"/>
      <c r="D6441" s="69"/>
      <c r="E6441" s="69"/>
      <c r="F6441" s="17"/>
      <c r="G6441" s="59"/>
    </row>
    <row r="6442" spans="3:7" ht="20.25" customHeight="1" x14ac:dyDescent="0.3">
      <c r="C6442" s="59"/>
      <c r="D6442" s="69"/>
      <c r="E6442" s="69"/>
      <c r="F6442" s="17"/>
      <c r="G6442" s="59"/>
    </row>
    <row r="6443" spans="3:7" ht="20.25" customHeight="1" x14ac:dyDescent="0.3">
      <c r="C6443" s="59"/>
      <c r="D6443" s="69"/>
      <c r="E6443" s="69"/>
      <c r="F6443" s="17"/>
      <c r="G6443" s="59"/>
    </row>
    <row r="6444" spans="3:7" ht="20.25" customHeight="1" x14ac:dyDescent="0.3">
      <c r="C6444" s="59"/>
      <c r="D6444" s="69"/>
      <c r="E6444" s="69"/>
      <c r="F6444" s="17"/>
      <c r="G6444" s="59"/>
    </row>
    <row r="6445" spans="3:7" ht="20.25" customHeight="1" x14ac:dyDescent="0.3">
      <c r="C6445" s="59"/>
      <c r="D6445" s="69"/>
      <c r="E6445" s="69"/>
      <c r="F6445" s="17"/>
      <c r="G6445" s="59"/>
    </row>
    <row r="6446" spans="3:7" ht="20.25" customHeight="1" x14ac:dyDescent="0.3">
      <c r="C6446" s="59"/>
      <c r="D6446" s="69"/>
      <c r="E6446" s="69"/>
      <c r="F6446" s="17"/>
      <c r="G6446" s="59"/>
    </row>
    <row r="6447" spans="3:7" ht="20.25" customHeight="1" x14ac:dyDescent="0.3">
      <c r="C6447" s="59"/>
      <c r="D6447" s="69"/>
      <c r="E6447" s="69"/>
      <c r="F6447" s="17"/>
      <c r="G6447" s="59"/>
    </row>
    <row r="6448" spans="3:7" ht="20.25" customHeight="1" x14ac:dyDescent="0.3">
      <c r="C6448" s="59"/>
      <c r="D6448" s="69"/>
      <c r="E6448" s="69"/>
      <c r="F6448" s="17"/>
      <c r="G6448" s="59"/>
    </row>
    <row r="6449" spans="3:7" ht="20.25" customHeight="1" x14ac:dyDescent="0.3">
      <c r="C6449" s="59"/>
      <c r="D6449" s="69"/>
      <c r="E6449" s="69"/>
      <c r="F6449" s="17"/>
      <c r="G6449" s="59"/>
    </row>
    <row r="6450" spans="3:7" ht="20.25" customHeight="1" x14ac:dyDescent="0.3">
      <c r="C6450" s="59"/>
      <c r="D6450" s="69"/>
      <c r="E6450" s="69"/>
      <c r="F6450" s="17"/>
      <c r="G6450" s="59"/>
    </row>
    <row r="6451" spans="3:7" ht="20.25" customHeight="1" x14ac:dyDescent="0.3">
      <c r="C6451" s="59"/>
      <c r="D6451" s="69"/>
      <c r="E6451" s="69"/>
      <c r="F6451" s="17"/>
      <c r="G6451" s="59"/>
    </row>
    <row r="6452" spans="3:7" ht="20.25" customHeight="1" x14ac:dyDescent="0.3">
      <c r="C6452" s="59"/>
      <c r="D6452" s="69"/>
      <c r="E6452" s="69"/>
      <c r="F6452" s="17"/>
      <c r="G6452" s="59"/>
    </row>
    <row r="6453" spans="3:7" ht="20.25" customHeight="1" x14ac:dyDescent="0.3">
      <c r="C6453" s="59"/>
      <c r="D6453" s="69"/>
      <c r="E6453" s="69"/>
      <c r="F6453" s="17"/>
      <c r="G6453" s="59"/>
    </row>
    <row r="6454" spans="3:7" ht="20.25" customHeight="1" x14ac:dyDescent="0.3">
      <c r="C6454" s="59"/>
      <c r="D6454" s="69"/>
      <c r="E6454" s="69"/>
      <c r="F6454" s="17"/>
      <c r="G6454" s="59"/>
    </row>
    <row r="6455" spans="3:7" ht="20.25" customHeight="1" x14ac:dyDescent="0.3">
      <c r="C6455" s="59"/>
      <c r="D6455" s="69"/>
      <c r="E6455" s="69"/>
      <c r="F6455" s="17"/>
      <c r="G6455" s="59"/>
    </row>
    <row r="6456" spans="3:7" ht="20.25" customHeight="1" x14ac:dyDescent="0.3">
      <c r="C6456" s="59"/>
      <c r="D6456" s="69"/>
      <c r="E6456" s="69"/>
      <c r="F6456" s="17"/>
      <c r="G6456" s="59"/>
    </row>
    <row r="6457" spans="3:7" ht="20.25" customHeight="1" x14ac:dyDescent="0.3">
      <c r="C6457" s="59"/>
      <c r="D6457" s="69"/>
      <c r="E6457" s="69"/>
      <c r="F6457" s="17"/>
      <c r="G6457" s="59"/>
    </row>
    <row r="6458" spans="3:7" ht="20.25" customHeight="1" x14ac:dyDescent="0.3">
      <c r="C6458" s="59"/>
      <c r="D6458" s="69"/>
      <c r="E6458" s="69"/>
      <c r="F6458" s="17"/>
      <c r="G6458" s="59"/>
    </row>
    <row r="6459" spans="3:7" ht="20.25" customHeight="1" x14ac:dyDescent="0.3">
      <c r="C6459" s="59"/>
      <c r="D6459" s="69"/>
      <c r="E6459" s="69"/>
      <c r="F6459" s="17"/>
      <c r="G6459" s="59"/>
    </row>
    <row r="6460" spans="3:7" ht="20.25" customHeight="1" x14ac:dyDescent="0.3">
      <c r="C6460" s="59"/>
      <c r="D6460" s="69"/>
      <c r="E6460" s="69"/>
      <c r="F6460" s="17"/>
      <c r="G6460" s="59"/>
    </row>
    <row r="6461" spans="3:7" ht="20.25" customHeight="1" x14ac:dyDescent="0.3">
      <c r="C6461" s="59"/>
      <c r="D6461" s="69"/>
      <c r="E6461" s="69"/>
      <c r="F6461" s="17"/>
      <c r="G6461" s="59"/>
    </row>
    <row r="6462" spans="3:7" ht="20.25" customHeight="1" x14ac:dyDescent="0.3">
      <c r="C6462" s="59"/>
      <c r="D6462" s="69"/>
      <c r="E6462" s="69"/>
      <c r="F6462" s="17"/>
      <c r="G6462" s="59"/>
    </row>
    <row r="6463" spans="3:7" ht="20.25" customHeight="1" x14ac:dyDescent="0.3">
      <c r="C6463" s="59"/>
      <c r="D6463" s="69"/>
      <c r="E6463" s="69"/>
      <c r="F6463" s="17"/>
      <c r="G6463" s="59"/>
    </row>
    <row r="6464" spans="3:7" ht="20.25" customHeight="1" x14ac:dyDescent="0.3">
      <c r="C6464" s="59"/>
      <c r="D6464" s="69"/>
      <c r="E6464" s="69"/>
      <c r="F6464" s="17"/>
      <c r="G6464" s="59"/>
    </row>
    <row r="6465" spans="3:7" ht="20.25" customHeight="1" x14ac:dyDescent="0.3">
      <c r="C6465" s="59"/>
      <c r="D6465" s="69"/>
      <c r="E6465" s="69"/>
      <c r="F6465" s="17"/>
      <c r="G6465" s="59"/>
    </row>
    <row r="6466" spans="3:7" ht="20.25" customHeight="1" x14ac:dyDescent="0.3">
      <c r="C6466" s="59"/>
      <c r="D6466" s="69"/>
      <c r="E6466" s="69"/>
      <c r="F6466" s="17"/>
      <c r="G6466" s="59"/>
    </row>
    <row r="6467" spans="3:7" ht="20.25" customHeight="1" x14ac:dyDescent="0.3">
      <c r="C6467" s="59"/>
      <c r="D6467" s="69"/>
      <c r="E6467" s="69"/>
      <c r="F6467" s="17"/>
      <c r="G6467" s="59"/>
    </row>
    <row r="6468" spans="3:7" ht="20.25" customHeight="1" x14ac:dyDescent="0.3">
      <c r="C6468" s="59"/>
      <c r="D6468" s="69"/>
      <c r="E6468" s="69"/>
      <c r="F6468" s="17"/>
      <c r="G6468" s="59"/>
    </row>
    <row r="6469" spans="3:7" ht="20.25" customHeight="1" x14ac:dyDescent="0.3">
      <c r="C6469" s="59"/>
      <c r="D6469" s="69"/>
      <c r="E6469" s="69"/>
      <c r="F6469" s="17"/>
      <c r="G6469" s="59"/>
    </row>
    <row r="6470" spans="3:7" ht="20.25" customHeight="1" x14ac:dyDescent="0.3">
      <c r="C6470" s="59"/>
      <c r="D6470" s="69"/>
      <c r="E6470" s="69"/>
      <c r="F6470" s="17"/>
      <c r="G6470" s="59"/>
    </row>
    <row r="6471" spans="3:7" ht="20.25" customHeight="1" x14ac:dyDescent="0.3">
      <c r="C6471" s="59"/>
      <c r="D6471" s="69"/>
      <c r="E6471" s="69"/>
      <c r="F6471" s="17"/>
      <c r="G6471" s="59"/>
    </row>
    <row r="6472" spans="3:7" ht="20.25" customHeight="1" x14ac:dyDescent="0.3">
      <c r="C6472" s="59"/>
      <c r="D6472" s="69"/>
      <c r="E6472" s="69"/>
      <c r="F6472" s="17"/>
      <c r="G6472" s="59"/>
    </row>
    <row r="6473" spans="3:7" ht="20.25" customHeight="1" x14ac:dyDescent="0.3">
      <c r="C6473" s="59"/>
      <c r="D6473" s="69"/>
      <c r="E6473" s="69"/>
      <c r="F6473" s="17"/>
      <c r="G6473" s="59"/>
    </row>
    <row r="6474" spans="3:7" ht="20.25" customHeight="1" x14ac:dyDescent="0.3">
      <c r="C6474" s="59"/>
      <c r="D6474" s="69"/>
      <c r="E6474" s="69"/>
      <c r="F6474" s="17"/>
      <c r="G6474" s="59"/>
    </row>
    <row r="6475" spans="3:7" ht="20.25" customHeight="1" x14ac:dyDescent="0.3">
      <c r="C6475" s="59"/>
      <c r="D6475" s="69"/>
      <c r="E6475" s="69"/>
      <c r="F6475" s="17"/>
      <c r="G6475" s="59"/>
    </row>
    <row r="6476" spans="3:7" ht="20.25" customHeight="1" x14ac:dyDescent="0.3">
      <c r="C6476" s="59"/>
      <c r="D6476" s="69"/>
      <c r="E6476" s="69"/>
      <c r="F6476" s="17"/>
      <c r="G6476" s="59"/>
    </row>
    <row r="6477" spans="3:7" ht="20.25" customHeight="1" x14ac:dyDescent="0.3">
      <c r="C6477" s="59"/>
      <c r="D6477" s="69"/>
      <c r="E6477" s="69"/>
      <c r="F6477" s="17"/>
      <c r="G6477" s="59"/>
    </row>
    <row r="6478" spans="3:7" ht="20.25" customHeight="1" x14ac:dyDescent="0.3">
      <c r="C6478" s="59"/>
      <c r="D6478" s="69"/>
      <c r="E6478" s="69"/>
      <c r="F6478" s="17"/>
      <c r="G6478" s="59"/>
    </row>
    <row r="6479" spans="3:7" ht="20.25" customHeight="1" x14ac:dyDescent="0.3">
      <c r="C6479" s="59"/>
      <c r="D6479" s="69"/>
      <c r="E6479" s="69"/>
      <c r="F6479" s="17"/>
      <c r="G6479" s="59"/>
    </row>
    <row r="6480" spans="3:7" ht="20.25" customHeight="1" x14ac:dyDescent="0.3">
      <c r="C6480" s="59"/>
      <c r="D6480" s="69"/>
      <c r="E6480" s="69"/>
      <c r="F6480" s="17"/>
      <c r="G6480" s="59"/>
    </row>
    <row r="6481" spans="3:7" ht="20.25" customHeight="1" x14ac:dyDescent="0.3">
      <c r="C6481" s="59"/>
      <c r="D6481" s="69"/>
      <c r="E6481" s="69"/>
      <c r="F6481" s="17"/>
      <c r="G6481" s="59"/>
    </row>
    <row r="6482" spans="3:7" ht="20.25" customHeight="1" x14ac:dyDescent="0.3">
      <c r="C6482" s="59"/>
      <c r="D6482" s="69"/>
      <c r="E6482" s="69"/>
      <c r="F6482" s="17"/>
      <c r="G6482" s="59"/>
    </row>
    <row r="6483" spans="3:7" ht="20.25" customHeight="1" x14ac:dyDescent="0.3">
      <c r="C6483" s="59"/>
      <c r="D6483" s="69"/>
      <c r="E6483" s="69"/>
      <c r="F6483" s="17"/>
      <c r="G6483" s="59"/>
    </row>
    <row r="6484" spans="3:7" ht="20.25" customHeight="1" x14ac:dyDescent="0.3">
      <c r="C6484" s="59"/>
      <c r="D6484" s="69"/>
      <c r="E6484" s="69"/>
      <c r="F6484" s="17"/>
      <c r="G6484" s="59"/>
    </row>
    <row r="6485" spans="3:7" ht="20.25" customHeight="1" x14ac:dyDescent="0.3">
      <c r="C6485" s="59"/>
      <c r="D6485" s="69"/>
      <c r="E6485" s="69"/>
      <c r="F6485" s="17"/>
      <c r="G6485" s="59"/>
    </row>
    <row r="6486" spans="3:7" ht="20.25" customHeight="1" x14ac:dyDescent="0.3">
      <c r="C6486" s="59"/>
      <c r="D6486" s="69"/>
      <c r="E6486" s="69"/>
      <c r="F6486" s="17"/>
      <c r="G6486" s="59"/>
    </row>
    <row r="6487" spans="3:7" ht="20.25" customHeight="1" x14ac:dyDescent="0.3">
      <c r="C6487" s="59"/>
      <c r="D6487" s="69"/>
      <c r="E6487" s="69"/>
      <c r="F6487" s="17"/>
      <c r="G6487" s="59"/>
    </row>
    <row r="6488" spans="3:7" ht="20.25" customHeight="1" x14ac:dyDescent="0.3">
      <c r="C6488" s="59"/>
      <c r="D6488" s="69"/>
      <c r="E6488" s="69"/>
      <c r="F6488" s="17"/>
      <c r="G6488" s="59"/>
    </row>
    <row r="6489" spans="3:7" ht="20.25" customHeight="1" x14ac:dyDescent="0.3">
      <c r="C6489" s="59"/>
      <c r="D6489" s="69"/>
      <c r="E6489" s="69"/>
      <c r="F6489" s="17"/>
      <c r="G6489" s="59"/>
    </row>
    <row r="6490" spans="3:7" ht="20.25" customHeight="1" x14ac:dyDescent="0.3">
      <c r="C6490" s="59"/>
      <c r="D6490" s="69"/>
      <c r="E6490" s="69"/>
      <c r="F6490" s="17"/>
      <c r="G6490" s="59"/>
    </row>
    <row r="6491" spans="3:7" ht="20.25" customHeight="1" x14ac:dyDescent="0.3">
      <c r="C6491" s="59"/>
      <c r="D6491" s="69"/>
      <c r="E6491" s="69"/>
      <c r="F6491" s="17"/>
      <c r="G6491" s="59"/>
    </row>
    <row r="6492" spans="3:7" ht="20.25" customHeight="1" x14ac:dyDescent="0.3">
      <c r="C6492" s="59"/>
      <c r="D6492" s="69"/>
      <c r="E6492" s="69"/>
      <c r="F6492" s="17"/>
      <c r="G6492" s="59"/>
    </row>
    <row r="6493" spans="3:7" ht="20.25" customHeight="1" x14ac:dyDescent="0.3">
      <c r="C6493" s="59"/>
      <c r="D6493" s="69"/>
      <c r="E6493" s="69"/>
      <c r="F6493" s="17"/>
      <c r="G6493" s="59"/>
    </row>
    <row r="6494" spans="3:7" ht="20.25" customHeight="1" x14ac:dyDescent="0.3">
      <c r="C6494" s="59"/>
      <c r="D6494" s="69"/>
      <c r="E6494" s="69"/>
      <c r="F6494" s="17"/>
      <c r="G6494" s="59"/>
    </row>
    <row r="6495" spans="3:7" ht="20.25" customHeight="1" x14ac:dyDescent="0.3">
      <c r="C6495" s="59"/>
      <c r="D6495" s="69"/>
      <c r="E6495" s="69"/>
      <c r="F6495" s="17"/>
      <c r="G6495" s="59"/>
    </row>
    <row r="6496" spans="3:7" ht="20.25" customHeight="1" x14ac:dyDescent="0.3">
      <c r="C6496" s="59"/>
      <c r="D6496" s="69"/>
      <c r="E6496" s="69"/>
      <c r="F6496" s="17"/>
      <c r="G6496" s="59"/>
    </row>
    <row r="6497" spans="3:7" ht="20.25" customHeight="1" x14ac:dyDescent="0.3">
      <c r="C6497" s="59"/>
      <c r="D6497" s="69"/>
      <c r="E6497" s="69"/>
      <c r="F6497" s="17"/>
      <c r="G6497" s="59"/>
    </row>
    <row r="6498" spans="3:7" ht="20.25" customHeight="1" x14ac:dyDescent="0.3">
      <c r="C6498" s="59"/>
      <c r="D6498" s="69"/>
      <c r="E6498" s="69"/>
      <c r="F6498" s="17"/>
      <c r="G6498" s="59"/>
    </row>
    <row r="6499" spans="3:7" ht="20.25" customHeight="1" x14ac:dyDescent="0.3">
      <c r="C6499" s="59"/>
      <c r="D6499" s="69"/>
      <c r="E6499" s="69"/>
      <c r="F6499" s="17"/>
      <c r="G6499" s="59"/>
    </row>
    <row r="6500" spans="3:7" ht="20.25" customHeight="1" x14ac:dyDescent="0.3">
      <c r="C6500" s="59"/>
      <c r="D6500" s="69"/>
      <c r="E6500" s="69"/>
      <c r="F6500" s="17"/>
      <c r="G6500" s="59"/>
    </row>
    <row r="6501" spans="3:7" ht="20.25" customHeight="1" x14ac:dyDescent="0.3">
      <c r="C6501" s="59"/>
      <c r="D6501" s="69"/>
      <c r="E6501" s="69"/>
      <c r="F6501" s="17"/>
      <c r="G6501" s="59"/>
    </row>
    <row r="6502" spans="3:7" ht="20.25" customHeight="1" x14ac:dyDescent="0.3">
      <c r="C6502" s="59"/>
      <c r="D6502" s="69"/>
      <c r="E6502" s="69"/>
      <c r="F6502" s="17"/>
      <c r="G6502" s="59"/>
    </row>
    <row r="6503" spans="3:7" ht="20.25" customHeight="1" x14ac:dyDescent="0.3">
      <c r="C6503" s="59"/>
      <c r="D6503" s="69"/>
      <c r="E6503" s="69"/>
      <c r="F6503" s="17"/>
      <c r="G6503" s="59"/>
    </row>
    <row r="6504" spans="3:7" ht="20.25" customHeight="1" x14ac:dyDescent="0.3">
      <c r="C6504" s="59"/>
      <c r="D6504" s="69"/>
      <c r="E6504" s="69"/>
      <c r="F6504" s="17"/>
      <c r="G6504" s="59"/>
    </row>
    <row r="6505" spans="3:7" ht="20.25" customHeight="1" x14ac:dyDescent="0.3">
      <c r="C6505" s="59"/>
      <c r="D6505" s="69"/>
      <c r="E6505" s="69"/>
      <c r="F6505" s="17"/>
      <c r="G6505" s="59"/>
    </row>
    <row r="6506" spans="3:7" ht="20.25" customHeight="1" x14ac:dyDescent="0.3">
      <c r="C6506" s="59"/>
      <c r="D6506" s="69"/>
      <c r="E6506" s="69"/>
      <c r="F6506" s="17"/>
      <c r="G6506" s="59"/>
    </row>
    <row r="6507" spans="3:7" ht="20.25" customHeight="1" x14ac:dyDescent="0.3">
      <c r="C6507" s="59"/>
      <c r="D6507" s="69"/>
      <c r="E6507" s="69"/>
      <c r="F6507" s="17"/>
      <c r="G6507" s="59"/>
    </row>
    <row r="6508" spans="3:7" ht="20.25" customHeight="1" x14ac:dyDescent="0.3">
      <c r="C6508" s="59"/>
      <c r="D6508" s="69"/>
      <c r="E6508" s="69"/>
      <c r="F6508" s="17"/>
      <c r="G6508" s="59"/>
    </row>
    <row r="6509" spans="3:7" ht="20.25" customHeight="1" x14ac:dyDescent="0.3">
      <c r="C6509" s="59"/>
      <c r="D6509" s="69"/>
      <c r="E6509" s="69"/>
      <c r="F6509" s="17"/>
      <c r="G6509" s="59"/>
    </row>
    <row r="6510" spans="3:7" ht="20.25" customHeight="1" x14ac:dyDescent="0.3">
      <c r="C6510" s="59"/>
      <c r="D6510" s="69"/>
      <c r="E6510" s="69"/>
      <c r="F6510" s="17"/>
      <c r="G6510" s="59"/>
    </row>
    <row r="6511" spans="3:7" ht="20.25" customHeight="1" x14ac:dyDescent="0.3">
      <c r="C6511" s="59"/>
      <c r="D6511" s="69"/>
      <c r="E6511" s="69"/>
      <c r="F6511" s="17"/>
      <c r="G6511" s="59"/>
    </row>
    <row r="6512" spans="3:7" ht="20.25" customHeight="1" x14ac:dyDescent="0.3">
      <c r="C6512" s="59"/>
      <c r="D6512" s="69"/>
      <c r="E6512" s="69"/>
      <c r="F6512" s="17"/>
      <c r="G6512" s="59"/>
    </row>
    <row r="6513" spans="3:7" ht="20.25" customHeight="1" x14ac:dyDescent="0.3">
      <c r="C6513" s="59"/>
      <c r="D6513" s="69"/>
      <c r="E6513" s="69"/>
      <c r="F6513" s="17"/>
      <c r="G6513" s="59"/>
    </row>
    <row r="6514" spans="3:7" ht="20.25" customHeight="1" x14ac:dyDescent="0.3">
      <c r="C6514" s="59"/>
      <c r="D6514" s="69"/>
      <c r="E6514" s="69"/>
      <c r="F6514" s="17"/>
      <c r="G6514" s="59"/>
    </row>
    <row r="6515" spans="3:7" ht="20.25" customHeight="1" x14ac:dyDescent="0.3">
      <c r="C6515" s="59"/>
      <c r="D6515" s="69"/>
      <c r="E6515" s="69"/>
      <c r="F6515" s="17"/>
      <c r="G6515" s="59"/>
    </row>
    <row r="6516" spans="3:7" ht="20.25" customHeight="1" x14ac:dyDescent="0.3">
      <c r="C6516" s="59"/>
      <c r="D6516" s="69"/>
      <c r="E6516" s="69"/>
      <c r="F6516" s="17"/>
      <c r="G6516" s="59"/>
    </row>
    <row r="6517" spans="3:7" ht="20.25" customHeight="1" x14ac:dyDescent="0.3">
      <c r="C6517" s="59"/>
      <c r="D6517" s="69"/>
      <c r="E6517" s="69"/>
      <c r="F6517" s="17"/>
      <c r="G6517" s="59"/>
    </row>
    <row r="6518" spans="3:7" ht="20.25" customHeight="1" x14ac:dyDescent="0.3">
      <c r="C6518" s="59"/>
      <c r="D6518" s="69"/>
      <c r="E6518" s="69"/>
      <c r="F6518" s="17"/>
      <c r="G6518" s="59"/>
    </row>
    <row r="6519" spans="3:7" ht="20.25" customHeight="1" x14ac:dyDescent="0.3">
      <c r="C6519" s="59"/>
      <c r="D6519" s="69"/>
      <c r="E6519" s="69"/>
      <c r="F6519" s="17"/>
      <c r="G6519" s="59"/>
    </row>
    <row r="6520" spans="3:7" ht="20.25" customHeight="1" x14ac:dyDescent="0.3">
      <c r="C6520" s="59"/>
      <c r="D6520" s="69"/>
      <c r="E6520" s="69"/>
      <c r="F6520" s="17"/>
      <c r="G6520" s="59"/>
    </row>
    <row r="6521" spans="3:7" ht="20.25" customHeight="1" x14ac:dyDescent="0.3">
      <c r="C6521" s="59"/>
      <c r="D6521" s="69"/>
      <c r="E6521" s="69"/>
      <c r="F6521" s="17"/>
      <c r="G6521" s="59"/>
    </row>
    <row r="6522" spans="3:7" ht="20.25" customHeight="1" x14ac:dyDescent="0.3">
      <c r="C6522" s="59"/>
      <c r="D6522" s="69"/>
      <c r="E6522" s="69"/>
      <c r="F6522" s="17"/>
      <c r="G6522" s="59"/>
    </row>
    <row r="6523" spans="3:7" ht="20.25" customHeight="1" x14ac:dyDescent="0.3">
      <c r="C6523" s="59"/>
      <c r="D6523" s="69"/>
      <c r="E6523" s="69"/>
      <c r="F6523" s="17"/>
      <c r="G6523" s="59"/>
    </row>
    <row r="6524" spans="3:7" ht="20.25" customHeight="1" x14ac:dyDescent="0.3">
      <c r="C6524" s="59"/>
      <c r="D6524" s="69"/>
      <c r="E6524" s="69"/>
      <c r="F6524" s="17"/>
      <c r="G6524" s="59"/>
    </row>
    <row r="6525" spans="3:7" ht="20.25" customHeight="1" x14ac:dyDescent="0.3">
      <c r="C6525" s="59"/>
      <c r="D6525" s="69"/>
      <c r="E6525" s="69"/>
      <c r="F6525" s="17"/>
      <c r="G6525" s="59"/>
    </row>
    <row r="6526" spans="3:7" ht="20.25" customHeight="1" x14ac:dyDescent="0.3">
      <c r="C6526" s="59"/>
      <c r="D6526" s="69"/>
      <c r="E6526" s="69"/>
      <c r="F6526" s="17"/>
      <c r="G6526" s="59"/>
    </row>
    <row r="6527" spans="3:7" ht="20.25" customHeight="1" x14ac:dyDescent="0.3">
      <c r="C6527" s="59"/>
      <c r="D6527" s="69"/>
      <c r="E6527" s="69"/>
      <c r="F6527" s="17"/>
      <c r="G6527" s="59"/>
    </row>
    <row r="6528" spans="3:7" ht="20.25" customHeight="1" x14ac:dyDescent="0.3">
      <c r="C6528" s="59"/>
      <c r="D6528" s="69"/>
      <c r="E6528" s="69"/>
      <c r="F6528" s="17"/>
      <c r="G6528" s="59"/>
    </row>
    <row r="6529" spans="3:7" ht="20.25" customHeight="1" x14ac:dyDescent="0.3">
      <c r="C6529" s="59"/>
      <c r="D6529" s="69"/>
      <c r="E6529" s="69"/>
      <c r="F6529" s="17"/>
      <c r="G6529" s="59"/>
    </row>
    <row r="6530" spans="3:7" ht="20.25" customHeight="1" x14ac:dyDescent="0.3">
      <c r="C6530" s="59"/>
      <c r="D6530" s="69"/>
      <c r="E6530" s="69"/>
      <c r="F6530" s="17"/>
      <c r="G6530" s="59"/>
    </row>
    <row r="6531" spans="3:7" ht="20.25" customHeight="1" x14ac:dyDescent="0.3">
      <c r="C6531" s="59"/>
      <c r="D6531" s="69"/>
      <c r="E6531" s="69"/>
      <c r="F6531" s="17"/>
      <c r="G6531" s="59"/>
    </row>
    <row r="6532" spans="3:7" ht="20.25" customHeight="1" x14ac:dyDescent="0.3">
      <c r="C6532" s="59"/>
      <c r="D6532" s="69"/>
      <c r="E6532" s="69"/>
      <c r="F6532" s="17"/>
      <c r="G6532" s="59"/>
    </row>
    <row r="6533" spans="3:7" ht="20.25" customHeight="1" x14ac:dyDescent="0.3">
      <c r="C6533" s="59"/>
      <c r="D6533" s="69"/>
      <c r="E6533" s="69"/>
      <c r="F6533" s="17"/>
      <c r="G6533" s="59"/>
    </row>
    <row r="6534" spans="3:7" ht="20.25" customHeight="1" x14ac:dyDescent="0.3">
      <c r="C6534" s="59"/>
      <c r="D6534" s="69"/>
      <c r="E6534" s="69"/>
      <c r="F6534" s="17"/>
      <c r="G6534" s="59"/>
    </row>
    <row r="6535" spans="3:7" ht="20.25" customHeight="1" x14ac:dyDescent="0.3">
      <c r="C6535" s="59"/>
      <c r="D6535" s="69"/>
      <c r="E6535" s="69"/>
      <c r="F6535" s="17"/>
      <c r="G6535" s="59"/>
    </row>
    <row r="6536" spans="3:7" ht="20.25" customHeight="1" x14ac:dyDescent="0.3">
      <c r="C6536" s="59"/>
      <c r="D6536" s="69"/>
      <c r="E6536" s="69"/>
      <c r="F6536" s="17"/>
      <c r="G6536" s="59"/>
    </row>
    <row r="6537" spans="3:7" ht="20.25" customHeight="1" x14ac:dyDescent="0.3">
      <c r="C6537" s="59"/>
      <c r="D6537" s="69"/>
      <c r="E6537" s="69"/>
      <c r="F6537" s="17"/>
      <c r="G6537" s="59"/>
    </row>
    <row r="6538" spans="3:7" ht="20.25" customHeight="1" x14ac:dyDescent="0.3">
      <c r="C6538" s="59"/>
      <c r="D6538" s="69"/>
      <c r="E6538" s="69"/>
      <c r="F6538" s="17"/>
      <c r="G6538" s="59"/>
    </row>
    <row r="6539" spans="3:7" ht="20.25" customHeight="1" x14ac:dyDescent="0.3">
      <c r="C6539" s="59"/>
      <c r="D6539" s="69"/>
      <c r="E6539" s="69"/>
      <c r="F6539" s="17"/>
      <c r="G6539" s="59"/>
    </row>
    <row r="6540" spans="3:7" ht="20.25" customHeight="1" x14ac:dyDescent="0.3">
      <c r="C6540" s="59"/>
      <c r="D6540" s="69"/>
      <c r="E6540" s="69"/>
      <c r="F6540" s="17"/>
      <c r="G6540" s="59"/>
    </row>
    <row r="6541" spans="3:7" ht="20.25" customHeight="1" x14ac:dyDescent="0.3">
      <c r="C6541" s="59"/>
      <c r="D6541" s="69"/>
      <c r="E6541" s="69"/>
      <c r="F6541" s="17"/>
      <c r="G6541" s="59"/>
    </row>
    <row r="6542" spans="3:7" ht="20.25" customHeight="1" x14ac:dyDescent="0.3">
      <c r="C6542" s="59"/>
      <c r="D6542" s="69"/>
      <c r="E6542" s="69"/>
      <c r="F6542" s="17"/>
      <c r="G6542" s="59"/>
    </row>
    <row r="6543" spans="3:7" ht="20.25" customHeight="1" x14ac:dyDescent="0.3">
      <c r="C6543" s="59"/>
      <c r="D6543" s="69"/>
      <c r="E6543" s="69"/>
      <c r="F6543" s="17"/>
      <c r="G6543" s="59"/>
    </row>
    <row r="6544" spans="3:7" ht="20.25" customHeight="1" x14ac:dyDescent="0.3">
      <c r="C6544" s="59"/>
      <c r="D6544" s="69"/>
      <c r="E6544" s="69"/>
      <c r="F6544" s="17"/>
      <c r="G6544" s="59"/>
    </row>
    <row r="6545" spans="3:7" ht="20.25" customHeight="1" x14ac:dyDescent="0.3">
      <c r="C6545" s="59"/>
      <c r="D6545" s="69"/>
      <c r="E6545" s="69"/>
      <c r="F6545" s="17"/>
      <c r="G6545" s="59"/>
    </row>
    <row r="6546" spans="3:7" ht="20.25" customHeight="1" x14ac:dyDescent="0.3">
      <c r="C6546" s="59"/>
      <c r="D6546" s="69"/>
      <c r="E6546" s="69"/>
      <c r="F6546" s="17"/>
      <c r="G6546" s="59"/>
    </row>
    <row r="6547" spans="3:7" ht="20.25" customHeight="1" x14ac:dyDescent="0.3">
      <c r="C6547" s="59"/>
      <c r="D6547" s="69"/>
      <c r="E6547" s="69"/>
      <c r="F6547" s="17"/>
      <c r="G6547" s="59"/>
    </row>
    <row r="6548" spans="3:7" ht="20.25" customHeight="1" x14ac:dyDescent="0.3">
      <c r="C6548" s="59"/>
      <c r="D6548" s="69"/>
      <c r="E6548" s="69"/>
      <c r="F6548" s="17"/>
      <c r="G6548" s="59"/>
    </row>
    <row r="6549" spans="3:7" ht="20.25" customHeight="1" x14ac:dyDescent="0.3">
      <c r="C6549" s="59"/>
      <c r="D6549" s="69"/>
      <c r="E6549" s="69"/>
      <c r="F6549" s="17"/>
      <c r="G6549" s="59"/>
    </row>
    <row r="6550" spans="3:7" ht="20.25" customHeight="1" x14ac:dyDescent="0.3">
      <c r="C6550" s="59"/>
      <c r="D6550" s="69"/>
      <c r="E6550" s="69"/>
      <c r="F6550" s="17"/>
      <c r="G6550" s="59"/>
    </row>
    <row r="6551" spans="3:7" ht="20.25" customHeight="1" x14ac:dyDescent="0.3">
      <c r="C6551" s="59"/>
      <c r="D6551" s="69"/>
      <c r="E6551" s="69"/>
      <c r="F6551" s="17"/>
      <c r="G6551" s="59"/>
    </row>
    <row r="6552" spans="3:7" ht="20.25" customHeight="1" x14ac:dyDescent="0.3">
      <c r="C6552" s="59"/>
      <c r="D6552" s="69"/>
      <c r="E6552" s="69"/>
      <c r="F6552" s="17"/>
      <c r="G6552" s="59"/>
    </row>
    <row r="6553" spans="3:7" ht="20.25" customHeight="1" x14ac:dyDescent="0.3">
      <c r="C6553" s="59"/>
      <c r="D6553" s="69"/>
      <c r="E6553" s="69"/>
      <c r="F6553" s="17"/>
      <c r="G6553" s="59"/>
    </row>
    <row r="6554" spans="3:7" ht="20.25" customHeight="1" x14ac:dyDescent="0.3">
      <c r="C6554" s="59"/>
      <c r="D6554" s="69"/>
      <c r="E6554" s="69"/>
      <c r="F6554" s="17"/>
      <c r="G6554" s="59"/>
    </row>
    <row r="6555" spans="3:7" ht="20.25" customHeight="1" x14ac:dyDescent="0.3">
      <c r="C6555" s="59"/>
      <c r="D6555" s="69"/>
      <c r="E6555" s="69"/>
      <c r="F6555" s="17"/>
      <c r="G6555" s="59"/>
    </row>
    <row r="6556" spans="3:7" ht="20.25" customHeight="1" x14ac:dyDescent="0.3">
      <c r="C6556" s="59"/>
      <c r="D6556" s="69"/>
      <c r="E6556" s="69"/>
      <c r="F6556" s="17"/>
      <c r="G6556" s="59"/>
    </row>
    <row r="6557" spans="3:7" ht="20.25" customHeight="1" x14ac:dyDescent="0.3">
      <c r="C6557" s="59"/>
      <c r="D6557" s="69"/>
      <c r="E6557" s="69"/>
      <c r="F6557" s="17"/>
      <c r="G6557" s="59"/>
    </row>
    <row r="6558" spans="3:7" ht="20.25" customHeight="1" x14ac:dyDescent="0.3">
      <c r="C6558" s="59"/>
      <c r="D6558" s="69"/>
      <c r="E6558" s="69"/>
      <c r="F6558" s="17"/>
      <c r="G6558" s="59"/>
    </row>
    <row r="6559" spans="3:7" ht="20.25" customHeight="1" x14ac:dyDescent="0.3">
      <c r="C6559" s="59"/>
      <c r="D6559" s="69"/>
      <c r="E6559" s="69"/>
      <c r="F6559" s="17"/>
      <c r="G6559" s="59"/>
    </row>
    <row r="6560" spans="3:7" ht="20.25" customHeight="1" x14ac:dyDescent="0.3">
      <c r="C6560" s="59"/>
      <c r="D6560" s="69"/>
      <c r="E6560" s="69"/>
      <c r="F6560" s="17"/>
      <c r="G6560" s="59"/>
    </row>
    <row r="6561" spans="3:7" ht="20.25" customHeight="1" x14ac:dyDescent="0.3">
      <c r="C6561" s="59"/>
      <c r="D6561" s="69"/>
      <c r="E6561" s="69"/>
      <c r="F6561" s="17"/>
      <c r="G6561" s="59"/>
    </row>
    <row r="6562" spans="3:7" ht="20.25" customHeight="1" x14ac:dyDescent="0.3">
      <c r="C6562" s="59"/>
      <c r="D6562" s="69"/>
      <c r="E6562" s="69"/>
      <c r="F6562" s="17"/>
      <c r="G6562" s="59"/>
    </row>
    <row r="6563" spans="3:7" ht="20.25" customHeight="1" x14ac:dyDescent="0.3">
      <c r="C6563" s="59"/>
      <c r="D6563" s="69"/>
      <c r="E6563" s="69"/>
      <c r="F6563" s="17"/>
      <c r="G6563" s="59"/>
    </row>
    <row r="6564" spans="3:7" ht="20.25" customHeight="1" x14ac:dyDescent="0.3">
      <c r="C6564" s="59"/>
      <c r="D6564" s="69"/>
      <c r="E6564" s="69"/>
      <c r="F6564" s="17"/>
      <c r="G6564" s="59"/>
    </row>
    <row r="6565" spans="3:7" ht="20.25" customHeight="1" x14ac:dyDescent="0.3">
      <c r="C6565" s="59"/>
      <c r="D6565" s="69"/>
      <c r="E6565" s="69"/>
      <c r="F6565" s="17"/>
      <c r="G6565" s="59"/>
    </row>
    <row r="6566" spans="3:7" ht="20.25" customHeight="1" x14ac:dyDescent="0.3">
      <c r="C6566" s="59"/>
      <c r="D6566" s="69"/>
      <c r="E6566" s="69"/>
      <c r="F6566" s="17"/>
      <c r="G6566" s="59"/>
    </row>
    <row r="6567" spans="3:7" ht="20.25" customHeight="1" x14ac:dyDescent="0.3">
      <c r="C6567" s="59"/>
      <c r="D6567" s="69"/>
      <c r="E6567" s="69"/>
      <c r="F6567" s="17"/>
      <c r="G6567" s="59"/>
    </row>
    <row r="6568" spans="3:7" ht="20.25" customHeight="1" x14ac:dyDescent="0.3">
      <c r="C6568" s="59"/>
      <c r="D6568" s="69"/>
      <c r="E6568" s="69"/>
      <c r="F6568" s="17"/>
      <c r="G6568" s="59"/>
    </row>
    <row r="6569" spans="3:7" ht="20.25" customHeight="1" x14ac:dyDescent="0.3">
      <c r="C6569" s="59"/>
      <c r="D6569" s="69"/>
      <c r="E6569" s="69"/>
      <c r="F6569" s="17"/>
      <c r="G6569" s="59"/>
    </row>
    <row r="6570" spans="3:7" ht="20.25" customHeight="1" x14ac:dyDescent="0.3">
      <c r="C6570" s="59"/>
      <c r="D6570" s="69"/>
      <c r="E6570" s="69"/>
      <c r="F6570" s="17"/>
      <c r="G6570" s="59"/>
    </row>
    <row r="6571" spans="3:7" ht="20.25" customHeight="1" x14ac:dyDescent="0.3">
      <c r="C6571" s="59"/>
      <c r="D6571" s="69"/>
      <c r="E6571" s="69"/>
      <c r="F6571" s="17"/>
      <c r="G6571" s="59"/>
    </row>
    <row r="6572" spans="3:7" ht="20.25" customHeight="1" x14ac:dyDescent="0.3">
      <c r="C6572" s="59"/>
      <c r="D6572" s="69"/>
      <c r="E6572" s="69"/>
      <c r="F6572" s="17"/>
      <c r="G6572" s="59"/>
    </row>
    <row r="6573" spans="3:7" ht="20.25" customHeight="1" x14ac:dyDescent="0.3">
      <c r="C6573" s="59"/>
      <c r="D6573" s="69"/>
      <c r="E6573" s="69"/>
      <c r="F6573" s="17"/>
      <c r="G6573" s="59"/>
    </row>
    <row r="6574" spans="3:7" ht="20.25" customHeight="1" x14ac:dyDescent="0.3">
      <c r="C6574" s="59"/>
      <c r="D6574" s="69"/>
      <c r="E6574" s="69"/>
      <c r="F6574" s="17"/>
      <c r="G6574" s="59"/>
    </row>
    <row r="6575" spans="3:7" ht="20.25" customHeight="1" x14ac:dyDescent="0.3">
      <c r="C6575" s="59"/>
      <c r="D6575" s="69"/>
      <c r="E6575" s="69"/>
      <c r="F6575" s="17"/>
      <c r="G6575" s="59"/>
    </row>
    <row r="6576" spans="3:7" ht="20.25" customHeight="1" x14ac:dyDescent="0.3">
      <c r="C6576" s="59"/>
      <c r="D6576" s="69"/>
      <c r="E6576" s="69"/>
      <c r="F6576" s="17"/>
      <c r="G6576" s="59"/>
    </row>
    <row r="6577" spans="3:7" ht="20.25" customHeight="1" x14ac:dyDescent="0.3">
      <c r="C6577" s="59"/>
      <c r="D6577" s="69"/>
      <c r="E6577" s="69"/>
      <c r="F6577" s="17"/>
      <c r="G6577" s="59"/>
    </row>
    <row r="6578" spans="3:7" ht="20.25" customHeight="1" x14ac:dyDescent="0.3">
      <c r="C6578" s="59"/>
      <c r="D6578" s="69"/>
      <c r="E6578" s="69"/>
      <c r="F6578" s="17"/>
      <c r="G6578" s="59"/>
    </row>
    <row r="6579" spans="3:7" ht="20.25" customHeight="1" x14ac:dyDescent="0.3">
      <c r="C6579" s="59"/>
      <c r="D6579" s="69"/>
      <c r="E6579" s="69"/>
      <c r="F6579" s="17"/>
      <c r="G6579" s="59"/>
    </row>
    <row r="6580" spans="3:7" ht="20.25" customHeight="1" x14ac:dyDescent="0.3">
      <c r="C6580" s="59"/>
      <c r="D6580" s="69"/>
      <c r="E6580" s="69"/>
      <c r="F6580" s="17"/>
      <c r="G6580" s="59"/>
    </row>
    <row r="6581" spans="3:7" ht="20.25" customHeight="1" x14ac:dyDescent="0.3">
      <c r="C6581" s="59"/>
      <c r="D6581" s="69"/>
      <c r="E6581" s="69"/>
      <c r="F6581" s="17"/>
      <c r="G6581" s="59"/>
    </row>
    <row r="6582" spans="3:7" ht="20.25" customHeight="1" x14ac:dyDescent="0.3">
      <c r="C6582" s="59"/>
      <c r="D6582" s="69"/>
      <c r="E6582" s="69"/>
      <c r="F6582" s="17"/>
      <c r="G6582" s="59"/>
    </row>
    <row r="6583" spans="3:7" ht="20.25" customHeight="1" x14ac:dyDescent="0.3">
      <c r="C6583" s="59"/>
      <c r="D6583" s="69"/>
      <c r="E6583" s="69"/>
      <c r="F6583" s="17"/>
      <c r="G6583" s="59"/>
    </row>
    <row r="6584" spans="3:7" ht="20.25" customHeight="1" x14ac:dyDescent="0.3">
      <c r="C6584" s="59"/>
      <c r="D6584" s="69"/>
      <c r="E6584" s="69"/>
      <c r="F6584" s="17"/>
      <c r="G6584" s="59"/>
    </row>
    <row r="6585" spans="3:7" ht="20.25" customHeight="1" x14ac:dyDescent="0.3">
      <c r="C6585" s="59"/>
      <c r="D6585" s="69"/>
      <c r="E6585" s="69"/>
      <c r="F6585" s="17"/>
      <c r="G6585" s="59"/>
    </row>
    <row r="6586" spans="3:7" ht="20.25" customHeight="1" x14ac:dyDescent="0.3">
      <c r="C6586" s="59"/>
      <c r="D6586" s="69"/>
      <c r="E6586" s="69"/>
      <c r="F6586" s="17"/>
      <c r="G6586" s="59"/>
    </row>
    <row r="6587" spans="3:7" ht="20.25" customHeight="1" x14ac:dyDescent="0.3">
      <c r="C6587" s="59"/>
      <c r="D6587" s="69"/>
      <c r="E6587" s="69"/>
      <c r="F6587" s="17"/>
      <c r="G6587" s="59"/>
    </row>
    <row r="6588" spans="3:7" ht="20.25" customHeight="1" x14ac:dyDescent="0.3">
      <c r="C6588" s="59"/>
      <c r="D6588" s="69"/>
      <c r="E6588" s="69"/>
      <c r="F6588" s="17"/>
      <c r="G6588" s="59"/>
    </row>
    <row r="6589" spans="3:7" ht="20.25" customHeight="1" x14ac:dyDescent="0.3">
      <c r="C6589" s="59"/>
      <c r="D6589" s="69"/>
      <c r="E6589" s="69"/>
      <c r="F6589" s="17"/>
      <c r="G6589" s="59"/>
    </row>
    <row r="6590" spans="3:7" ht="20.25" customHeight="1" x14ac:dyDescent="0.3">
      <c r="C6590" s="59"/>
      <c r="D6590" s="69"/>
      <c r="E6590" s="69"/>
      <c r="F6590" s="17"/>
      <c r="G6590" s="59"/>
    </row>
    <row r="6591" spans="3:7" ht="20.25" customHeight="1" x14ac:dyDescent="0.3">
      <c r="C6591" s="59"/>
      <c r="D6591" s="69"/>
      <c r="E6591" s="69"/>
      <c r="F6591" s="17"/>
      <c r="G6591" s="59"/>
    </row>
    <row r="6592" spans="3:7" ht="20.25" customHeight="1" x14ac:dyDescent="0.3">
      <c r="C6592" s="59"/>
      <c r="D6592" s="69"/>
      <c r="E6592" s="69"/>
      <c r="F6592" s="17"/>
      <c r="G6592" s="59"/>
    </row>
    <row r="6593" spans="3:7" ht="20.25" customHeight="1" x14ac:dyDescent="0.3">
      <c r="C6593" s="59"/>
      <c r="D6593" s="69"/>
      <c r="E6593" s="69"/>
      <c r="F6593" s="17"/>
      <c r="G6593" s="59"/>
    </row>
    <row r="6594" spans="3:7" ht="20.25" customHeight="1" x14ac:dyDescent="0.3">
      <c r="C6594" s="59"/>
      <c r="D6594" s="69"/>
      <c r="E6594" s="69"/>
      <c r="F6594" s="17"/>
      <c r="G6594" s="59"/>
    </row>
    <row r="6595" spans="3:7" ht="20.25" customHeight="1" x14ac:dyDescent="0.3">
      <c r="C6595" s="59"/>
      <c r="D6595" s="69"/>
      <c r="E6595" s="69"/>
      <c r="F6595" s="17"/>
      <c r="G6595" s="59"/>
    </row>
    <row r="6596" spans="3:7" ht="20.25" customHeight="1" x14ac:dyDescent="0.3">
      <c r="C6596" s="59"/>
      <c r="D6596" s="69"/>
      <c r="E6596" s="69"/>
      <c r="F6596" s="17"/>
      <c r="G6596" s="59"/>
    </row>
    <row r="6597" spans="3:7" ht="20.25" customHeight="1" x14ac:dyDescent="0.3">
      <c r="C6597" s="59"/>
      <c r="D6597" s="69"/>
      <c r="E6597" s="69"/>
      <c r="F6597" s="17"/>
      <c r="G6597" s="59"/>
    </row>
    <row r="6598" spans="3:7" ht="20.25" customHeight="1" x14ac:dyDescent="0.3">
      <c r="C6598" s="59"/>
      <c r="D6598" s="69"/>
      <c r="E6598" s="69"/>
      <c r="F6598" s="17"/>
      <c r="G6598" s="59"/>
    </row>
    <row r="6599" spans="3:7" ht="20.25" customHeight="1" x14ac:dyDescent="0.3">
      <c r="C6599" s="59"/>
      <c r="D6599" s="69"/>
      <c r="E6599" s="69"/>
      <c r="F6599" s="17"/>
      <c r="G6599" s="59"/>
    </row>
    <row r="6600" spans="3:7" ht="20.25" customHeight="1" x14ac:dyDescent="0.3">
      <c r="C6600" s="59"/>
      <c r="D6600" s="69"/>
      <c r="E6600" s="69"/>
      <c r="F6600" s="17"/>
      <c r="G6600" s="59"/>
    </row>
    <row r="6601" spans="3:7" ht="20.25" customHeight="1" x14ac:dyDescent="0.3">
      <c r="C6601" s="59"/>
      <c r="D6601" s="69"/>
      <c r="E6601" s="69"/>
      <c r="F6601" s="17"/>
      <c r="G6601" s="59"/>
    </row>
    <row r="6602" spans="3:7" ht="20.25" customHeight="1" x14ac:dyDescent="0.3">
      <c r="C6602" s="59"/>
      <c r="D6602" s="69"/>
      <c r="E6602" s="69"/>
      <c r="F6602" s="17"/>
      <c r="G6602" s="59"/>
    </row>
    <row r="6603" spans="3:7" ht="20.25" customHeight="1" x14ac:dyDescent="0.3">
      <c r="C6603" s="59"/>
      <c r="D6603" s="69"/>
      <c r="E6603" s="69"/>
      <c r="F6603" s="17"/>
      <c r="G6603" s="59"/>
    </row>
    <row r="6604" spans="3:7" ht="20.25" customHeight="1" x14ac:dyDescent="0.3">
      <c r="C6604" s="59"/>
      <c r="D6604" s="69"/>
      <c r="E6604" s="69"/>
      <c r="F6604" s="17"/>
      <c r="G6604" s="59"/>
    </row>
    <row r="6605" spans="3:7" ht="20.25" customHeight="1" x14ac:dyDescent="0.3">
      <c r="C6605" s="59"/>
      <c r="D6605" s="69"/>
      <c r="E6605" s="69"/>
      <c r="F6605" s="17"/>
      <c r="G6605" s="59"/>
    </row>
    <row r="6606" spans="3:7" ht="20.25" customHeight="1" x14ac:dyDescent="0.3">
      <c r="C6606" s="59"/>
      <c r="D6606" s="69"/>
      <c r="E6606" s="69"/>
      <c r="F6606" s="17"/>
      <c r="G6606" s="59"/>
    </row>
    <row r="6607" spans="3:7" ht="20.25" customHeight="1" x14ac:dyDescent="0.3">
      <c r="C6607" s="59"/>
      <c r="D6607" s="69"/>
      <c r="E6607" s="69"/>
      <c r="F6607" s="17"/>
      <c r="G6607" s="59"/>
    </row>
    <row r="6608" spans="3:7" ht="20.25" customHeight="1" x14ac:dyDescent="0.3">
      <c r="C6608" s="59"/>
      <c r="D6608" s="69"/>
      <c r="E6608" s="69"/>
      <c r="F6608" s="17"/>
      <c r="G6608" s="59"/>
    </row>
    <row r="6609" spans="3:7" ht="20.25" customHeight="1" x14ac:dyDescent="0.3">
      <c r="C6609" s="59"/>
      <c r="D6609" s="69"/>
      <c r="E6609" s="69"/>
      <c r="F6609" s="17"/>
      <c r="G6609" s="59"/>
    </row>
    <row r="6610" spans="3:7" ht="20.25" customHeight="1" x14ac:dyDescent="0.3">
      <c r="C6610" s="59"/>
      <c r="D6610" s="69"/>
      <c r="E6610" s="69"/>
      <c r="F6610" s="17"/>
      <c r="G6610" s="59"/>
    </row>
    <row r="6611" spans="3:7" ht="20.25" customHeight="1" x14ac:dyDescent="0.3">
      <c r="C6611" s="59"/>
      <c r="D6611" s="69"/>
      <c r="E6611" s="69"/>
      <c r="F6611" s="17"/>
      <c r="G6611" s="59"/>
    </row>
    <row r="6612" spans="3:7" ht="20.25" customHeight="1" x14ac:dyDescent="0.3">
      <c r="C6612" s="59"/>
      <c r="D6612" s="69"/>
      <c r="E6612" s="69"/>
      <c r="F6612" s="17"/>
      <c r="G6612" s="59"/>
    </row>
    <row r="6613" spans="3:7" ht="20.25" customHeight="1" x14ac:dyDescent="0.3">
      <c r="C6613" s="59"/>
      <c r="D6613" s="69"/>
      <c r="E6613" s="69"/>
      <c r="F6613" s="17"/>
      <c r="G6613" s="59"/>
    </row>
    <row r="6614" spans="3:7" ht="20.25" customHeight="1" x14ac:dyDescent="0.3">
      <c r="C6614" s="59"/>
      <c r="D6614" s="69"/>
      <c r="E6614" s="69"/>
      <c r="F6614" s="17"/>
      <c r="G6614" s="59"/>
    </row>
    <row r="6615" spans="3:7" ht="20.25" customHeight="1" x14ac:dyDescent="0.3">
      <c r="C6615" s="59"/>
      <c r="D6615" s="69"/>
      <c r="E6615" s="69"/>
      <c r="F6615" s="17"/>
      <c r="G6615" s="59"/>
    </row>
    <row r="6616" spans="3:7" ht="20.25" customHeight="1" x14ac:dyDescent="0.3">
      <c r="C6616" s="59"/>
      <c r="D6616" s="69"/>
      <c r="E6616" s="69"/>
      <c r="F6616" s="17"/>
      <c r="G6616" s="59"/>
    </row>
    <row r="6617" spans="3:7" ht="20.25" customHeight="1" x14ac:dyDescent="0.3">
      <c r="C6617" s="59"/>
      <c r="D6617" s="69"/>
      <c r="E6617" s="69"/>
      <c r="F6617" s="17"/>
      <c r="G6617" s="59"/>
    </row>
    <row r="6618" spans="3:7" ht="20.25" customHeight="1" x14ac:dyDescent="0.3">
      <c r="C6618" s="59"/>
      <c r="D6618" s="69"/>
      <c r="E6618" s="69"/>
      <c r="F6618" s="17"/>
      <c r="G6618" s="59"/>
    </row>
    <row r="6619" spans="3:7" ht="20.25" customHeight="1" x14ac:dyDescent="0.3">
      <c r="C6619" s="59"/>
      <c r="D6619" s="69"/>
      <c r="E6619" s="69"/>
      <c r="F6619" s="17"/>
      <c r="G6619" s="59"/>
    </row>
    <row r="6620" spans="3:7" ht="20.25" customHeight="1" x14ac:dyDescent="0.3">
      <c r="C6620" s="59"/>
      <c r="D6620" s="69"/>
      <c r="E6620" s="69"/>
      <c r="F6620" s="17"/>
      <c r="G6620" s="59"/>
    </row>
    <row r="6621" spans="3:7" ht="20.25" customHeight="1" x14ac:dyDescent="0.3">
      <c r="C6621" s="59"/>
      <c r="D6621" s="69"/>
      <c r="E6621" s="69"/>
      <c r="F6621" s="17"/>
      <c r="G6621" s="59"/>
    </row>
    <row r="6622" spans="3:7" ht="20.25" customHeight="1" x14ac:dyDescent="0.3">
      <c r="C6622" s="59"/>
      <c r="D6622" s="69"/>
      <c r="E6622" s="69"/>
      <c r="F6622" s="17"/>
      <c r="G6622" s="59"/>
    </row>
    <row r="6623" spans="3:7" ht="20.25" customHeight="1" x14ac:dyDescent="0.3">
      <c r="C6623" s="59"/>
      <c r="D6623" s="69"/>
      <c r="E6623" s="69"/>
      <c r="F6623" s="17"/>
      <c r="G6623" s="59"/>
    </row>
    <row r="6624" spans="3:7" ht="20.25" customHeight="1" x14ac:dyDescent="0.3">
      <c r="C6624" s="59"/>
      <c r="D6624" s="69"/>
      <c r="E6624" s="69"/>
      <c r="F6624" s="17"/>
      <c r="G6624" s="59"/>
    </row>
    <row r="6625" spans="3:7" ht="20.25" customHeight="1" x14ac:dyDescent="0.3">
      <c r="C6625" s="59"/>
      <c r="D6625" s="69"/>
      <c r="E6625" s="69"/>
      <c r="F6625" s="17"/>
      <c r="G6625" s="59"/>
    </row>
    <row r="6626" spans="3:7" ht="20.25" customHeight="1" x14ac:dyDescent="0.3">
      <c r="C6626" s="59"/>
      <c r="D6626" s="69"/>
      <c r="E6626" s="69"/>
      <c r="F6626" s="17"/>
      <c r="G6626" s="59"/>
    </row>
    <row r="6627" spans="3:7" ht="20.25" customHeight="1" x14ac:dyDescent="0.3">
      <c r="C6627" s="59"/>
      <c r="D6627" s="69"/>
      <c r="E6627" s="69"/>
      <c r="F6627" s="17"/>
      <c r="G6627" s="59"/>
    </row>
    <row r="6628" spans="3:7" ht="20.25" customHeight="1" x14ac:dyDescent="0.3">
      <c r="C6628" s="59"/>
      <c r="D6628" s="69"/>
      <c r="E6628" s="69"/>
      <c r="F6628" s="17"/>
      <c r="G6628" s="59"/>
    </row>
    <row r="6629" spans="3:7" ht="20.25" customHeight="1" x14ac:dyDescent="0.3">
      <c r="C6629" s="59"/>
      <c r="D6629" s="69"/>
      <c r="E6629" s="69"/>
      <c r="F6629" s="17"/>
      <c r="G6629" s="59"/>
    </row>
    <row r="6630" spans="3:7" ht="20.25" customHeight="1" x14ac:dyDescent="0.3">
      <c r="C6630" s="59"/>
      <c r="D6630" s="69"/>
      <c r="E6630" s="69"/>
      <c r="F6630" s="17"/>
      <c r="G6630" s="59"/>
    </row>
    <row r="6631" spans="3:7" ht="20.25" customHeight="1" x14ac:dyDescent="0.3">
      <c r="C6631" s="59"/>
      <c r="D6631" s="69"/>
      <c r="E6631" s="69"/>
      <c r="F6631" s="17"/>
      <c r="G6631" s="59"/>
    </row>
    <row r="6632" spans="3:7" ht="20.25" customHeight="1" x14ac:dyDescent="0.3">
      <c r="C6632" s="59"/>
      <c r="D6632" s="69"/>
      <c r="E6632" s="69"/>
      <c r="F6632" s="17"/>
      <c r="G6632" s="59"/>
    </row>
    <row r="6633" spans="3:7" ht="20.25" customHeight="1" x14ac:dyDescent="0.3">
      <c r="C6633" s="59"/>
      <c r="D6633" s="69"/>
      <c r="E6633" s="69"/>
      <c r="F6633" s="17"/>
      <c r="G6633" s="59"/>
    </row>
    <row r="6634" spans="3:7" ht="20.25" customHeight="1" x14ac:dyDescent="0.3">
      <c r="C6634" s="59"/>
      <c r="D6634" s="69"/>
      <c r="E6634" s="69"/>
      <c r="F6634" s="17"/>
      <c r="G6634" s="59"/>
    </row>
    <row r="6635" spans="3:7" ht="20.25" customHeight="1" x14ac:dyDescent="0.3">
      <c r="C6635" s="59"/>
      <c r="D6635" s="69"/>
      <c r="E6635" s="69"/>
      <c r="F6635" s="17"/>
      <c r="G6635" s="59"/>
    </row>
    <row r="6636" spans="3:7" ht="20.25" customHeight="1" x14ac:dyDescent="0.3">
      <c r="C6636" s="59"/>
      <c r="D6636" s="69"/>
      <c r="E6636" s="69"/>
      <c r="F6636" s="17"/>
      <c r="G6636" s="59"/>
    </row>
    <row r="6637" spans="3:7" ht="20.25" customHeight="1" x14ac:dyDescent="0.3">
      <c r="C6637" s="59"/>
      <c r="D6637" s="69"/>
      <c r="E6637" s="69"/>
      <c r="F6637" s="17"/>
      <c r="G6637" s="59"/>
    </row>
    <row r="6638" spans="3:7" ht="20.25" customHeight="1" x14ac:dyDescent="0.3">
      <c r="C6638" s="59"/>
      <c r="D6638" s="69"/>
      <c r="E6638" s="69"/>
      <c r="F6638" s="17"/>
      <c r="G6638" s="59"/>
    </row>
    <row r="6639" spans="3:7" ht="20.25" customHeight="1" x14ac:dyDescent="0.3">
      <c r="C6639" s="59"/>
      <c r="D6639" s="69"/>
      <c r="E6639" s="69"/>
      <c r="F6639" s="17"/>
      <c r="G6639" s="59"/>
    </row>
    <row r="6640" spans="3:7" ht="20.25" customHeight="1" x14ac:dyDescent="0.3">
      <c r="C6640" s="59"/>
      <c r="D6640" s="69"/>
      <c r="E6640" s="69"/>
      <c r="F6640" s="17"/>
      <c r="G6640" s="59"/>
    </row>
    <row r="6641" spans="3:7" ht="20.25" customHeight="1" x14ac:dyDescent="0.3">
      <c r="C6641" s="59"/>
      <c r="D6641" s="69"/>
      <c r="E6641" s="69"/>
      <c r="F6641" s="17"/>
      <c r="G6641" s="59"/>
    </row>
    <row r="6642" spans="3:7" ht="20.25" customHeight="1" x14ac:dyDescent="0.3">
      <c r="C6642" s="59"/>
      <c r="D6642" s="69"/>
      <c r="E6642" s="69"/>
      <c r="F6642" s="17"/>
      <c r="G6642" s="59"/>
    </row>
    <row r="6643" spans="3:7" ht="20.25" customHeight="1" x14ac:dyDescent="0.3">
      <c r="C6643" s="59"/>
      <c r="D6643" s="69"/>
      <c r="E6643" s="69"/>
      <c r="F6643" s="17"/>
      <c r="G6643" s="59"/>
    </row>
    <row r="6644" spans="3:7" ht="20.25" customHeight="1" x14ac:dyDescent="0.3">
      <c r="C6644" s="59"/>
      <c r="D6644" s="69"/>
      <c r="E6644" s="69"/>
      <c r="F6644" s="17"/>
      <c r="G6644" s="59"/>
    </row>
    <row r="6645" spans="3:7" ht="20.25" customHeight="1" x14ac:dyDescent="0.3">
      <c r="C6645" s="59"/>
      <c r="D6645" s="69"/>
      <c r="E6645" s="69"/>
      <c r="F6645" s="17"/>
      <c r="G6645" s="59"/>
    </row>
    <row r="6646" spans="3:7" ht="20.25" customHeight="1" x14ac:dyDescent="0.3">
      <c r="C6646" s="59"/>
      <c r="D6646" s="69"/>
      <c r="E6646" s="69"/>
      <c r="F6646" s="17"/>
      <c r="G6646" s="59"/>
    </row>
    <row r="6647" spans="3:7" ht="20.25" customHeight="1" x14ac:dyDescent="0.3">
      <c r="C6647" s="59"/>
      <c r="D6647" s="69"/>
      <c r="E6647" s="69"/>
      <c r="F6647" s="17"/>
      <c r="G6647" s="59"/>
    </row>
    <row r="6648" spans="3:7" ht="20.25" customHeight="1" x14ac:dyDescent="0.3">
      <c r="C6648" s="59"/>
      <c r="D6648" s="69"/>
      <c r="E6648" s="69"/>
      <c r="F6648" s="17"/>
      <c r="G6648" s="59"/>
    </row>
    <row r="6649" spans="3:7" ht="20.25" customHeight="1" x14ac:dyDescent="0.3">
      <c r="C6649" s="59"/>
      <c r="D6649" s="69"/>
      <c r="E6649" s="69"/>
      <c r="F6649" s="17"/>
      <c r="G6649" s="59"/>
    </row>
    <row r="6650" spans="3:7" ht="20.25" customHeight="1" x14ac:dyDescent="0.3">
      <c r="C6650" s="59"/>
      <c r="D6650" s="69"/>
      <c r="E6650" s="69"/>
      <c r="F6650" s="17"/>
      <c r="G6650" s="59"/>
    </row>
    <row r="6651" spans="3:7" ht="20.25" customHeight="1" x14ac:dyDescent="0.3">
      <c r="C6651" s="59"/>
      <c r="D6651" s="69"/>
      <c r="E6651" s="69"/>
      <c r="F6651" s="17"/>
      <c r="G6651" s="59"/>
    </row>
    <row r="6652" spans="3:7" ht="20.25" customHeight="1" x14ac:dyDescent="0.3">
      <c r="C6652" s="59"/>
      <c r="D6652" s="69"/>
      <c r="E6652" s="69"/>
      <c r="F6652" s="17"/>
      <c r="G6652" s="59"/>
    </row>
    <row r="6653" spans="3:7" ht="20.25" customHeight="1" x14ac:dyDescent="0.3">
      <c r="C6653" s="59"/>
      <c r="D6653" s="69"/>
      <c r="E6653" s="69"/>
      <c r="F6653" s="17"/>
      <c r="G6653" s="59"/>
    </row>
    <row r="6654" spans="3:7" ht="20.25" customHeight="1" x14ac:dyDescent="0.3">
      <c r="C6654" s="59"/>
      <c r="D6654" s="69"/>
      <c r="E6654" s="69"/>
      <c r="F6654" s="17"/>
      <c r="G6654" s="59"/>
    </row>
    <row r="6655" spans="3:7" ht="20.25" customHeight="1" x14ac:dyDescent="0.3">
      <c r="C6655" s="59"/>
      <c r="D6655" s="69"/>
      <c r="E6655" s="69"/>
      <c r="F6655" s="17"/>
      <c r="G6655" s="59"/>
    </row>
    <row r="6656" spans="3:7" ht="20.25" customHeight="1" x14ac:dyDescent="0.3">
      <c r="C6656" s="59"/>
      <c r="D6656" s="69"/>
      <c r="E6656" s="69"/>
      <c r="F6656" s="17"/>
      <c r="G6656" s="59"/>
    </row>
    <row r="6657" spans="3:7" ht="20.25" customHeight="1" x14ac:dyDescent="0.3">
      <c r="C6657" s="59"/>
      <c r="D6657" s="69"/>
      <c r="E6657" s="69"/>
      <c r="F6657" s="17"/>
      <c r="G6657" s="59"/>
    </row>
    <row r="6658" spans="3:7" ht="20.25" customHeight="1" x14ac:dyDescent="0.3">
      <c r="C6658" s="59"/>
      <c r="D6658" s="69"/>
      <c r="E6658" s="69"/>
      <c r="F6658" s="17"/>
      <c r="G6658" s="59"/>
    </row>
    <row r="6659" spans="3:7" ht="20.25" customHeight="1" x14ac:dyDescent="0.3">
      <c r="C6659" s="59"/>
      <c r="D6659" s="69"/>
      <c r="E6659" s="69"/>
      <c r="F6659" s="17"/>
      <c r="G6659" s="59"/>
    </row>
    <row r="6660" spans="3:7" ht="20.25" customHeight="1" x14ac:dyDescent="0.3">
      <c r="C6660" s="59"/>
      <c r="D6660" s="69"/>
      <c r="E6660" s="69"/>
      <c r="F6660" s="17"/>
      <c r="G6660" s="59"/>
    </row>
    <row r="6661" spans="3:7" ht="20.25" customHeight="1" x14ac:dyDescent="0.3">
      <c r="C6661" s="59"/>
      <c r="D6661" s="69"/>
      <c r="E6661" s="69"/>
      <c r="F6661" s="17"/>
      <c r="G6661" s="59"/>
    </row>
    <row r="6662" spans="3:7" ht="20.25" customHeight="1" x14ac:dyDescent="0.3">
      <c r="C6662" s="59"/>
      <c r="D6662" s="69"/>
      <c r="E6662" s="69"/>
      <c r="F6662" s="17"/>
      <c r="G6662" s="59"/>
    </row>
    <row r="6663" spans="3:7" ht="20.25" customHeight="1" x14ac:dyDescent="0.3">
      <c r="C6663" s="59"/>
      <c r="D6663" s="69"/>
      <c r="E6663" s="69"/>
      <c r="F6663" s="17"/>
      <c r="G6663" s="59"/>
    </row>
    <row r="6664" spans="3:7" ht="20.25" customHeight="1" x14ac:dyDescent="0.3">
      <c r="C6664" s="59"/>
      <c r="D6664" s="69"/>
      <c r="E6664" s="69"/>
      <c r="F6664" s="17"/>
      <c r="G6664" s="59"/>
    </row>
    <row r="6665" spans="3:7" ht="20.25" customHeight="1" x14ac:dyDescent="0.3">
      <c r="C6665" s="59"/>
      <c r="D6665" s="69"/>
      <c r="E6665" s="69"/>
      <c r="F6665" s="17"/>
      <c r="G6665" s="59"/>
    </row>
    <row r="6666" spans="3:7" ht="20.25" customHeight="1" x14ac:dyDescent="0.3">
      <c r="C6666" s="59"/>
      <c r="D6666" s="69"/>
      <c r="E6666" s="69"/>
      <c r="F6666" s="17"/>
      <c r="G6666" s="59"/>
    </row>
    <row r="6667" spans="3:7" ht="20.25" customHeight="1" x14ac:dyDescent="0.3">
      <c r="C6667" s="59"/>
      <c r="D6667" s="69"/>
      <c r="E6667" s="69"/>
      <c r="F6667" s="17"/>
      <c r="G6667" s="59"/>
    </row>
    <row r="6668" spans="3:7" ht="20.25" customHeight="1" x14ac:dyDescent="0.3">
      <c r="C6668" s="59"/>
      <c r="D6668" s="69"/>
      <c r="E6668" s="69"/>
      <c r="F6668" s="17"/>
      <c r="G6668" s="59"/>
    </row>
    <row r="6669" spans="3:7" ht="20.25" customHeight="1" x14ac:dyDescent="0.3">
      <c r="C6669" s="59"/>
      <c r="D6669" s="69"/>
      <c r="E6669" s="69"/>
      <c r="F6669" s="17"/>
      <c r="G6669" s="59"/>
    </row>
    <row r="6670" spans="3:7" ht="20.25" customHeight="1" x14ac:dyDescent="0.3">
      <c r="C6670" s="59"/>
      <c r="D6670" s="69"/>
      <c r="E6670" s="69"/>
      <c r="F6670" s="17"/>
      <c r="G6670" s="59"/>
    </row>
    <row r="6671" spans="3:7" ht="20.25" customHeight="1" x14ac:dyDescent="0.3">
      <c r="C6671" s="59"/>
      <c r="D6671" s="69"/>
      <c r="E6671" s="69"/>
      <c r="F6671" s="17"/>
      <c r="G6671" s="59"/>
    </row>
    <row r="6672" spans="3:7" ht="20.25" customHeight="1" x14ac:dyDescent="0.3">
      <c r="C6672" s="59"/>
      <c r="D6672" s="69"/>
      <c r="E6672" s="69"/>
      <c r="F6672" s="17"/>
      <c r="G6672" s="59"/>
    </row>
    <row r="6673" spans="3:7" ht="20.25" customHeight="1" x14ac:dyDescent="0.3">
      <c r="C6673" s="59"/>
      <c r="D6673" s="69"/>
      <c r="E6673" s="69"/>
      <c r="F6673" s="17"/>
      <c r="G6673" s="59"/>
    </row>
    <row r="6674" spans="3:7" ht="20.25" customHeight="1" x14ac:dyDescent="0.3">
      <c r="C6674" s="59"/>
      <c r="D6674" s="69"/>
      <c r="E6674" s="69"/>
      <c r="F6674" s="17"/>
      <c r="G6674" s="59"/>
    </row>
    <row r="6675" spans="3:7" ht="20.25" customHeight="1" x14ac:dyDescent="0.3">
      <c r="C6675" s="59"/>
      <c r="D6675" s="69"/>
      <c r="E6675" s="69"/>
      <c r="F6675" s="17"/>
      <c r="G6675" s="59"/>
    </row>
    <row r="6676" spans="3:7" ht="20.25" customHeight="1" x14ac:dyDescent="0.3">
      <c r="C6676" s="59"/>
      <c r="D6676" s="69"/>
      <c r="E6676" s="69"/>
      <c r="F6676" s="17"/>
      <c r="G6676" s="59"/>
    </row>
    <row r="6677" spans="3:7" ht="20.25" customHeight="1" x14ac:dyDescent="0.3">
      <c r="C6677" s="59"/>
      <c r="D6677" s="69"/>
      <c r="E6677" s="69"/>
      <c r="F6677" s="17"/>
      <c r="G6677" s="59"/>
    </row>
    <row r="6678" spans="3:7" ht="20.25" customHeight="1" x14ac:dyDescent="0.3">
      <c r="C6678" s="59"/>
      <c r="D6678" s="69"/>
      <c r="E6678" s="69"/>
      <c r="F6678" s="17"/>
      <c r="G6678" s="59"/>
    </row>
    <row r="6679" spans="3:7" ht="20.25" customHeight="1" x14ac:dyDescent="0.3">
      <c r="C6679" s="59"/>
      <c r="D6679" s="69"/>
      <c r="E6679" s="69"/>
      <c r="F6679" s="17"/>
      <c r="G6679" s="59"/>
    </row>
    <row r="6680" spans="3:7" ht="20.25" customHeight="1" x14ac:dyDescent="0.3">
      <c r="C6680" s="59"/>
      <c r="D6680" s="69"/>
      <c r="E6680" s="69"/>
      <c r="F6680" s="17"/>
      <c r="G6680" s="59"/>
    </row>
    <row r="6681" spans="3:7" ht="20.25" customHeight="1" x14ac:dyDescent="0.3">
      <c r="C6681" s="59"/>
      <c r="D6681" s="69"/>
      <c r="E6681" s="69"/>
      <c r="F6681" s="17"/>
      <c r="G6681" s="59"/>
    </row>
    <row r="6682" spans="3:7" ht="20.25" customHeight="1" x14ac:dyDescent="0.3">
      <c r="C6682" s="59"/>
      <c r="D6682" s="69"/>
      <c r="E6682" s="69"/>
      <c r="F6682" s="17"/>
      <c r="G6682" s="59"/>
    </row>
    <row r="6683" spans="3:7" ht="20.25" customHeight="1" x14ac:dyDescent="0.3">
      <c r="C6683" s="59"/>
      <c r="D6683" s="69"/>
      <c r="E6683" s="69"/>
      <c r="F6683" s="17"/>
      <c r="G6683" s="59"/>
    </row>
    <row r="6684" spans="3:7" ht="20.25" customHeight="1" x14ac:dyDescent="0.3">
      <c r="C6684" s="59"/>
      <c r="D6684" s="69"/>
      <c r="E6684" s="69"/>
      <c r="F6684" s="17"/>
      <c r="G6684" s="59"/>
    </row>
    <row r="6685" spans="3:7" ht="20.25" customHeight="1" x14ac:dyDescent="0.3">
      <c r="C6685" s="59"/>
      <c r="D6685" s="69"/>
      <c r="E6685" s="69"/>
      <c r="F6685" s="17"/>
      <c r="G6685" s="59"/>
    </row>
    <row r="6686" spans="3:7" ht="20.25" customHeight="1" x14ac:dyDescent="0.3">
      <c r="C6686" s="59"/>
      <c r="D6686" s="69"/>
      <c r="E6686" s="69"/>
      <c r="F6686" s="17"/>
      <c r="G6686" s="59"/>
    </row>
    <row r="6687" spans="3:7" ht="20.25" customHeight="1" x14ac:dyDescent="0.3">
      <c r="C6687" s="59"/>
      <c r="D6687" s="69"/>
      <c r="E6687" s="69"/>
      <c r="F6687" s="17"/>
      <c r="G6687" s="59"/>
    </row>
    <row r="6688" spans="3:7" ht="20.25" customHeight="1" x14ac:dyDescent="0.3">
      <c r="C6688" s="59"/>
      <c r="D6688" s="69"/>
      <c r="E6688" s="69"/>
      <c r="F6688" s="17"/>
      <c r="G6688" s="59"/>
    </row>
    <row r="6689" spans="3:7" ht="20.25" customHeight="1" x14ac:dyDescent="0.3">
      <c r="C6689" s="59"/>
      <c r="D6689" s="69"/>
      <c r="E6689" s="69"/>
      <c r="F6689" s="17"/>
      <c r="G6689" s="59"/>
    </row>
    <row r="6690" spans="3:7" ht="20.25" customHeight="1" x14ac:dyDescent="0.3">
      <c r="C6690" s="59"/>
      <c r="D6690" s="69"/>
      <c r="E6690" s="69"/>
      <c r="F6690" s="17"/>
      <c r="G6690" s="59"/>
    </row>
    <row r="6691" spans="3:7" ht="20.25" customHeight="1" x14ac:dyDescent="0.3">
      <c r="C6691" s="59"/>
      <c r="D6691" s="69"/>
      <c r="E6691" s="69"/>
      <c r="F6691" s="17"/>
      <c r="G6691" s="59"/>
    </row>
    <row r="6692" spans="3:7" ht="20.25" customHeight="1" x14ac:dyDescent="0.3">
      <c r="C6692" s="59"/>
      <c r="D6692" s="69"/>
      <c r="E6692" s="69"/>
      <c r="F6692" s="17"/>
      <c r="G6692" s="59"/>
    </row>
    <row r="6693" spans="3:7" ht="20.25" customHeight="1" x14ac:dyDescent="0.3">
      <c r="C6693" s="59"/>
      <c r="D6693" s="69"/>
      <c r="E6693" s="69"/>
      <c r="F6693" s="17"/>
      <c r="G6693" s="59"/>
    </row>
    <row r="6694" spans="3:7" ht="20.25" customHeight="1" x14ac:dyDescent="0.3">
      <c r="C6694" s="59"/>
      <c r="D6694" s="69"/>
      <c r="E6694" s="69"/>
      <c r="F6694" s="17"/>
      <c r="G6694" s="59"/>
    </row>
    <row r="6695" spans="3:7" ht="20.25" customHeight="1" x14ac:dyDescent="0.3">
      <c r="C6695" s="59"/>
      <c r="D6695" s="69"/>
      <c r="E6695" s="69"/>
      <c r="F6695" s="17"/>
      <c r="G6695" s="59"/>
    </row>
    <row r="6696" spans="3:7" ht="20.25" customHeight="1" x14ac:dyDescent="0.3">
      <c r="C6696" s="59"/>
      <c r="D6696" s="69"/>
      <c r="E6696" s="69"/>
      <c r="F6696" s="17"/>
      <c r="G6696" s="59"/>
    </row>
    <row r="6697" spans="3:7" ht="20.25" customHeight="1" x14ac:dyDescent="0.3">
      <c r="C6697" s="59"/>
      <c r="D6697" s="69"/>
      <c r="E6697" s="69"/>
      <c r="F6697" s="17"/>
      <c r="G6697" s="59"/>
    </row>
    <row r="6698" spans="3:7" ht="20.25" customHeight="1" x14ac:dyDescent="0.3">
      <c r="C6698" s="59"/>
      <c r="D6698" s="69"/>
      <c r="E6698" s="69"/>
      <c r="F6698" s="17"/>
      <c r="G6698" s="59"/>
    </row>
    <row r="6699" spans="3:7" ht="20.25" customHeight="1" x14ac:dyDescent="0.3">
      <c r="C6699" s="59"/>
      <c r="D6699" s="69"/>
      <c r="E6699" s="69"/>
      <c r="F6699" s="17"/>
      <c r="G6699" s="59"/>
    </row>
    <row r="6700" spans="3:7" ht="20.25" customHeight="1" x14ac:dyDescent="0.3">
      <c r="C6700" s="59"/>
      <c r="D6700" s="69"/>
      <c r="E6700" s="69"/>
      <c r="F6700" s="17"/>
      <c r="G6700" s="59"/>
    </row>
    <row r="6701" spans="3:7" ht="20.25" customHeight="1" x14ac:dyDescent="0.3">
      <c r="C6701" s="59"/>
      <c r="D6701" s="69"/>
      <c r="E6701" s="69"/>
      <c r="F6701" s="17"/>
      <c r="G6701" s="59"/>
    </row>
    <row r="6702" spans="3:7" ht="20.25" customHeight="1" x14ac:dyDescent="0.3">
      <c r="C6702" s="59"/>
      <c r="D6702" s="69"/>
      <c r="E6702" s="69"/>
      <c r="F6702" s="17"/>
      <c r="G6702" s="59"/>
    </row>
    <row r="6703" spans="3:7" ht="20.25" customHeight="1" x14ac:dyDescent="0.3">
      <c r="C6703" s="59"/>
      <c r="D6703" s="69"/>
      <c r="E6703" s="69"/>
      <c r="F6703" s="17"/>
      <c r="G6703" s="59"/>
    </row>
    <row r="6704" spans="3:7" ht="20.25" customHeight="1" x14ac:dyDescent="0.3">
      <c r="C6704" s="59"/>
      <c r="D6704" s="69"/>
      <c r="E6704" s="69"/>
      <c r="F6704" s="17"/>
      <c r="G6704" s="59"/>
    </row>
    <row r="6705" spans="3:7" ht="20.25" customHeight="1" x14ac:dyDescent="0.3">
      <c r="C6705" s="59"/>
      <c r="D6705" s="69"/>
      <c r="E6705" s="69"/>
      <c r="F6705" s="17"/>
      <c r="G6705" s="59"/>
    </row>
    <row r="6706" spans="3:7" ht="20.25" customHeight="1" x14ac:dyDescent="0.3">
      <c r="C6706" s="59"/>
      <c r="D6706" s="69"/>
      <c r="E6706" s="69"/>
      <c r="F6706" s="17"/>
      <c r="G6706" s="59"/>
    </row>
    <row r="6707" spans="3:7" ht="20.25" customHeight="1" x14ac:dyDescent="0.3">
      <c r="C6707" s="59"/>
      <c r="D6707" s="69"/>
      <c r="E6707" s="69"/>
      <c r="F6707" s="17"/>
      <c r="G6707" s="59"/>
    </row>
    <row r="6708" spans="3:7" ht="20.25" customHeight="1" x14ac:dyDescent="0.3">
      <c r="C6708" s="59"/>
      <c r="D6708" s="69"/>
      <c r="E6708" s="69"/>
      <c r="F6708" s="17"/>
      <c r="G6708" s="59"/>
    </row>
    <row r="6709" spans="3:7" ht="20.25" customHeight="1" x14ac:dyDescent="0.3">
      <c r="C6709" s="59"/>
      <c r="D6709" s="69"/>
      <c r="E6709" s="69"/>
      <c r="F6709" s="17"/>
      <c r="G6709" s="59"/>
    </row>
    <row r="6710" spans="3:7" ht="20.25" customHeight="1" x14ac:dyDescent="0.3">
      <c r="C6710" s="59"/>
      <c r="D6710" s="69"/>
      <c r="E6710" s="69"/>
      <c r="F6710" s="17"/>
      <c r="G6710" s="59"/>
    </row>
    <row r="6711" spans="3:7" ht="20.25" customHeight="1" x14ac:dyDescent="0.3">
      <c r="C6711" s="59"/>
      <c r="D6711" s="69"/>
      <c r="E6711" s="69"/>
      <c r="F6711" s="17"/>
      <c r="G6711" s="59"/>
    </row>
    <row r="6712" spans="3:7" ht="20.25" customHeight="1" x14ac:dyDescent="0.3">
      <c r="C6712" s="59"/>
      <c r="D6712" s="69"/>
      <c r="E6712" s="69"/>
      <c r="F6712" s="17"/>
      <c r="G6712" s="59"/>
    </row>
    <row r="6713" spans="3:7" ht="20.25" customHeight="1" x14ac:dyDescent="0.3">
      <c r="C6713" s="59"/>
      <c r="D6713" s="69"/>
      <c r="E6713" s="69"/>
      <c r="F6713" s="17"/>
      <c r="G6713" s="59"/>
    </row>
    <row r="6714" spans="3:7" ht="20.25" customHeight="1" x14ac:dyDescent="0.3">
      <c r="C6714" s="59"/>
      <c r="D6714" s="69"/>
      <c r="E6714" s="69"/>
      <c r="F6714" s="17"/>
      <c r="G6714" s="59"/>
    </row>
    <row r="6715" spans="3:7" ht="20.25" customHeight="1" x14ac:dyDescent="0.3">
      <c r="C6715" s="59"/>
      <c r="D6715" s="69"/>
      <c r="E6715" s="69"/>
      <c r="F6715" s="17"/>
      <c r="G6715" s="59"/>
    </row>
    <row r="6716" spans="3:7" ht="20.25" customHeight="1" x14ac:dyDescent="0.3">
      <c r="C6716" s="59"/>
      <c r="D6716" s="69"/>
      <c r="E6716" s="69"/>
      <c r="F6716" s="17"/>
      <c r="G6716" s="59"/>
    </row>
    <row r="6717" spans="3:7" ht="20.25" customHeight="1" x14ac:dyDescent="0.3">
      <c r="C6717" s="59"/>
      <c r="D6717" s="69"/>
      <c r="E6717" s="69"/>
      <c r="F6717" s="17"/>
      <c r="G6717" s="59"/>
    </row>
    <row r="6718" spans="3:7" ht="20.25" customHeight="1" x14ac:dyDescent="0.3">
      <c r="C6718" s="59"/>
      <c r="D6718" s="69"/>
      <c r="E6718" s="69"/>
      <c r="F6718" s="17"/>
      <c r="G6718" s="59"/>
    </row>
    <row r="6719" spans="3:7" ht="20.25" customHeight="1" x14ac:dyDescent="0.3">
      <c r="C6719" s="59"/>
      <c r="D6719" s="69"/>
      <c r="E6719" s="69"/>
      <c r="F6719" s="17"/>
      <c r="G6719" s="59"/>
    </row>
    <row r="6720" spans="3:7" ht="20.25" customHeight="1" x14ac:dyDescent="0.3">
      <c r="C6720" s="59"/>
      <c r="D6720" s="69"/>
      <c r="E6720" s="69"/>
      <c r="F6720" s="17"/>
      <c r="G6720" s="59"/>
    </row>
    <row r="6721" spans="3:7" ht="20.25" customHeight="1" x14ac:dyDescent="0.3">
      <c r="C6721" s="59"/>
      <c r="D6721" s="69"/>
      <c r="E6721" s="69"/>
      <c r="F6721" s="17"/>
      <c r="G6721" s="59"/>
    </row>
    <row r="6722" spans="3:7" ht="20.25" customHeight="1" x14ac:dyDescent="0.3">
      <c r="C6722" s="59"/>
      <c r="D6722" s="69"/>
      <c r="E6722" s="69"/>
      <c r="F6722" s="17"/>
      <c r="G6722" s="59"/>
    </row>
    <row r="6723" spans="3:7" ht="20.25" customHeight="1" x14ac:dyDescent="0.3">
      <c r="C6723" s="59"/>
      <c r="D6723" s="69"/>
      <c r="E6723" s="69"/>
      <c r="F6723" s="17"/>
      <c r="G6723" s="59"/>
    </row>
    <row r="6724" spans="3:7" ht="20.25" customHeight="1" x14ac:dyDescent="0.3">
      <c r="C6724" s="59"/>
      <c r="D6724" s="69"/>
      <c r="E6724" s="69"/>
      <c r="F6724" s="17"/>
      <c r="G6724" s="59"/>
    </row>
    <row r="6725" spans="3:7" ht="20.25" customHeight="1" x14ac:dyDescent="0.3">
      <c r="C6725" s="59"/>
      <c r="D6725" s="69"/>
      <c r="E6725" s="69"/>
      <c r="F6725" s="17"/>
      <c r="G6725" s="59"/>
    </row>
    <row r="6726" spans="3:7" ht="20.25" customHeight="1" x14ac:dyDescent="0.3">
      <c r="C6726" s="59"/>
      <c r="D6726" s="69"/>
      <c r="E6726" s="69"/>
      <c r="F6726" s="17"/>
      <c r="G6726" s="59"/>
    </row>
    <row r="6727" spans="3:7" ht="20.25" customHeight="1" x14ac:dyDescent="0.3">
      <c r="C6727" s="59"/>
      <c r="D6727" s="69"/>
      <c r="E6727" s="69"/>
      <c r="F6727" s="17"/>
      <c r="G6727" s="59"/>
    </row>
    <row r="6728" spans="3:7" ht="20.25" customHeight="1" x14ac:dyDescent="0.3">
      <c r="C6728" s="59"/>
      <c r="D6728" s="69"/>
      <c r="E6728" s="69"/>
      <c r="F6728" s="17"/>
      <c r="G6728" s="59"/>
    </row>
    <row r="6729" spans="3:7" ht="20.25" customHeight="1" x14ac:dyDescent="0.3">
      <c r="C6729" s="59"/>
      <c r="D6729" s="69"/>
      <c r="E6729" s="69"/>
      <c r="F6729" s="17"/>
      <c r="G6729" s="59"/>
    </row>
    <row r="6730" spans="3:7" ht="20.25" customHeight="1" x14ac:dyDescent="0.3">
      <c r="C6730" s="59"/>
      <c r="D6730" s="69"/>
      <c r="E6730" s="69"/>
      <c r="F6730" s="17"/>
      <c r="G6730" s="59"/>
    </row>
    <row r="6731" spans="3:7" ht="20.25" customHeight="1" x14ac:dyDescent="0.3">
      <c r="C6731" s="59"/>
      <c r="D6731" s="69"/>
      <c r="E6731" s="69"/>
      <c r="F6731" s="17"/>
      <c r="G6731" s="59"/>
    </row>
    <row r="6732" spans="3:7" ht="20.25" customHeight="1" x14ac:dyDescent="0.3">
      <c r="C6732" s="59"/>
      <c r="D6732" s="69"/>
      <c r="E6732" s="69"/>
      <c r="F6732" s="17"/>
      <c r="G6732" s="59"/>
    </row>
    <row r="6733" spans="3:7" ht="20.25" customHeight="1" x14ac:dyDescent="0.3">
      <c r="C6733" s="59"/>
      <c r="D6733" s="69"/>
      <c r="E6733" s="69"/>
      <c r="F6733" s="17"/>
      <c r="G6733" s="59"/>
    </row>
    <row r="6734" spans="3:7" ht="20.25" customHeight="1" x14ac:dyDescent="0.3">
      <c r="C6734" s="59"/>
      <c r="D6734" s="69"/>
      <c r="E6734" s="69"/>
      <c r="F6734" s="17"/>
      <c r="G6734" s="59"/>
    </row>
    <row r="6735" spans="3:7" ht="20.25" customHeight="1" x14ac:dyDescent="0.3">
      <c r="C6735" s="59"/>
      <c r="D6735" s="69"/>
      <c r="E6735" s="69"/>
      <c r="F6735" s="17"/>
      <c r="G6735" s="59"/>
    </row>
    <row r="6736" spans="3:7" ht="20.25" customHeight="1" x14ac:dyDescent="0.3">
      <c r="C6736" s="59"/>
      <c r="D6736" s="69"/>
      <c r="E6736" s="69"/>
      <c r="F6736" s="17"/>
      <c r="G6736" s="59"/>
    </row>
    <row r="6737" spans="3:7" ht="20.25" customHeight="1" x14ac:dyDescent="0.3">
      <c r="C6737" s="59"/>
      <c r="D6737" s="69"/>
      <c r="E6737" s="69"/>
      <c r="F6737" s="17"/>
      <c r="G6737" s="59"/>
    </row>
    <row r="6738" spans="3:7" ht="20.25" customHeight="1" x14ac:dyDescent="0.3">
      <c r="C6738" s="59"/>
      <c r="D6738" s="69"/>
      <c r="E6738" s="69"/>
      <c r="F6738" s="17"/>
      <c r="G6738" s="59"/>
    </row>
    <row r="6739" spans="3:7" ht="20.25" customHeight="1" x14ac:dyDescent="0.3">
      <c r="C6739" s="59"/>
      <c r="D6739" s="69"/>
      <c r="E6739" s="69"/>
      <c r="F6739" s="17"/>
      <c r="G6739" s="59"/>
    </row>
    <row r="6740" spans="3:7" ht="20.25" customHeight="1" x14ac:dyDescent="0.3">
      <c r="C6740" s="59"/>
      <c r="D6740" s="69"/>
      <c r="E6740" s="69"/>
      <c r="F6740" s="17"/>
      <c r="G6740" s="59"/>
    </row>
    <row r="6741" spans="3:7" ht="20.25" customHeight="1" x14ac:dyDescent="0.3">
      <c r="C6741" s="59"/>
      <c r="D6741" s="69"/>
      <c r="E6741" s="69"/>
      <c r="F6741" s="17"/>
      <c r="G6741" s="59"/>
    </row>
    <row r="6742" spans="3:7" ht="20.25" customHeight="1" x14ac:dyDescent="0.3">
      <c r="C6742" s="59"/>
      <c r="D6742" s="69"/>
      <c r="E6742" s="69"/>
      <c r="F6742" s="17"/>
      <c r="G6742" s="59"/>
    </row>
    <row r="6743" spans="3:7" ht="20.25" customHeight="1" x14ac:dyDescent="0.3">
      <c r="C6743" s="59"/>
      <c r="D6743" s="69"/>
      <c r="E6743" s="69"/>
      <c r="F6743" s="17"/>
      <c r="G6743" s="59"/>
    </row>
    <row r="6744" spans="3:7" ht="20.25" customHeight="1" x14ac:dyDescent="0.3">
      <c r="C6744" s="59"/>
      <c r="D6744" s="69"/>
      <c r="E6744" s="69"/>
      <c r="F6744" s="17"/>
      <c r="G6744" s="59"/>
    </row>
    <row r="6745" spans="3:7" ht="20.25" customHeight="1" x14ac:dyDescent="0.3">
      <c r="C6745" s="59"/>
      <c r="D6745" s="69"/>
      <c r="E6745" s="69"/>
      <c r="F6745" s="17"/>
      <c r="G6745" s="59"/>
    </row>
    <row r="6746" spans="3:7" ht="20.25" customHeight="1" x14ac:dyDescent="0.3">
      <c r="C6746" s="59"/>
      <c r="D6746" s="69"/>
      <c r="E6746" s="69"/>
      <c r="F6746" s="17"/>
      <c r="G6746" s="59"/>
    </row>
    <row r="6747" spans="3:7" ht="20.25" customHeight="1" x14ac:dyDescent="0.3">
      <c r="C6747" s="59"/>
      <c r="D6747" s="69"/>
      <c r="E6747" s="69"/>
      <c r="F6747" s="17"/>
      <c r="G6747" s="59"/>
    </row>
    <row r="6748" spans="3:7" ht="20.25" customHeight="1" x14ac:dyDescent="0.3">
      <c r="C6748" s="59"/>
      <c r="D6748" s="69"/>
      <c r="E6748" s="69"/>
      <c r="F6748" s="17"/>
      <c r="G6748" s="59"/>
    </row>
    <row r="6749" spans="3:7" ht="20.25" customHeight="1" x14ac:dyDescent="0.3">
      <c r="C6749" s="59"/>
      <c r="D6749" s="69"/>
      <c r="E6749" s="69"/>
      <c r="F6749" s="17"/>
      <c r="G6749" s="59"/>
    </row>
    <row r="6750" spans="3:7" ht="20.25" customHeight="1" x14ac:dyDescent="0.3">
      <c r="C6750" s="59"/>
      <c r="D6750" s="69"/>
      <c r="E6750" s="69"/>
      <c r="F6750" s="17"/>
      <c r="G6750" s="59"/>
    </row>
    <row r="6751" spans="3:7" ht="20.25" customHeight="1" x14ac:dyDescent="0.3">
      <c r="C6751" s="59"/>
      <c r="D6751" s="69"/>
      <c r="E6751" s="69"/>
      <c r="F6751" s="17"/>
      <c r="G6751" s="59"/>
    </row>
    <row r="6752" spans="3:7" ht="20.25" customHeight="1" x14ac:dyDescent="0.3">
      <c r="C6752" s="59"/>
      <c r="D6752" s="69"/>
      <c r="E6752" s="69"/>
      <c r="F6752" s="17"/>
      <c r="G6752" s="59"/>
    </row>
    <row r="6753" spans="3:7" ht="20.25" customHeight="1" x14ac:dyDescent="0.3">
      <c r="C6753" s="59"/>
      <c r="D6753" s="69"/>
      <c r="E6753" s="69"/>
      <c r="F6753" s="17"/>
      <c r="G6753" s="59"/>
    </row>
    <row r="6754" spans="3:7" ht="20.25" customHeight="1" x14ac:dyDescent="0.3">
      <c r="C6754" s="59"/>
      <c r="D6754" s="69"/>
      <c r="E6754" s="69"/>
      <c r="F6754" s="17"/>
      <c r="G6754" s="59"/>
    </row>
    <row r="6755" spans="3:7" ht="20.25" customHeight="1" x14ac:dyDescent="0.3">
      <c r="C6755" s="59"/>
      <c r="D6755" s="69"/>
      <c r="E6755" s="69"/>
      <c r="F6755" s="17"/>
      <c r="G6755" s="59"/>
    </row>
    <row r="6756" spans="3:7" ht="20.25" customHeight="1" x14ac:dyDescent="0.3">
      <c r="C6756" s="59"/>
      <c r="D6756" s="69"/>
      <c r="E6756" s="69"/>
      <c r="F6756" s="17"/>
      <c r="G6756" s="59"/>
    </row>
    <row r="6757" spans="3:7" ht="20.25" customHeight="1" x14ac:dyDescent="0.3">
      <c r="C6757" s="59"/>
      <c r="D6757" s="69"/>
      <c r="E6757" s="69"/>
      <c r="F6757" s="17"/>
      <c r="G6757" s="59"/>
    </row>
    <row r="6758" spans="3:7" ht="20.25" customHeight="1" x14ac:dyDescent="0.3">
      <c r="C6758" s="59"/>
      <c r="D6758" s="69"/>
      <c r="E6758" s="69"/>
      <c r="F6758" s="17"/>
      <c r="G6758" s="59"/>
    </row>
    <row r="6759" spans="3:7" ht="20.25" customHeight="1" x14ac:dyDescent="0.3">
      <c r="C6759" s="59"/>
      <c r="D6759" s="69"/>
      <c r="E6759" s="69"/>
      <c r="F6759" s="17"/>
      <c r="G6759" s="59"/>
    </row>
    <row r="6760" spans="3:7" ht="20.25" customHeight="1" x14ac:dyDescent="0.3">
      <c r="C6760" s="59"/>
      <c r="D6760" s="69"/>
      <c r="E6760" s="69"/>
      <c r="F6760" s="17"/>
      <c r="G6760" s="59"/>
    </row>
    <row r="6761" spans="3:7" ht="20.25" customHeight="1" x14ac:dyDescent="0.3">
      <c r="C6761" s="59"/>
      <c r="D6761" s="69"/>
      <c r="E6761" s="69"/>
      <c r="F6761" s="17"/>
      <c r="G6761" s="59"/>
    </row>
    <row r="6762" spans="3:7" ht="20.25" customHeight="1" x14ac:dyDescent="0.3">
      <c r="C6762" s="59"/>
      <c r="D6762" s="69"/>
      <c r="E6762" s="69"/>
      <c r="F6762" s="17"/>
      <c r="G6762" s="59"/>
    </row>
    <row r="6763" spans="3:7" ht="20.25" customHeight="1" x14ac:dyDescent="0.3">
      <c r="C6763" s="59"/>
      <c r="D6763" s="69"/>
      <c r="E6763" s="69"/>
      <c r="F6763" s="17"/>
      <c r="G6763" s="59"/>
    </row>
    <row r="6764" spans="3:7" ht="20.25" customHeight="1" x14ac:dyDescent="0.3">
      <c r="C6764" s="59"/>
      <c r="D6764" s="69"/>
      <c r="E6764" s="69"/>
      <c r="F6764" s="17"/>
      <c r="G6764" s="59"/>
    </row>
    <row r="6765" spans="3:7" ht="20.25" customHeight="1" x14ac:dyDescent="0.3">
      <c r="C6765" s="59"/>
      <c r="D6765" s="69"/>
      <c r="E6765" s="69"/>
      <c r="F6765" s="17"/>
      <c r="G6765" s="59"/>
    </row>
    <row r="6766" spans="3:7" ht="20.25" customHeight="1" x14ac:dyDescent="0.3">
      <c r="C6766" s="59"/>
      <c r="D6766" s="69"/>
      <c r="E6766" s="69"/>
      <c r="F6766" s="17"/>
      <c r="G6766" s="59"/>
    </row>
    <row r="6767" spans="3:7" ht="20.25" customHeight="1" x14ac:dyDescent="0.3">
      <c r="C6767" s="59"/>
      <c r="D6767" s="69"/>
      <c r="E6767" s="69"/>
      <c r="F6767" s="17"/>
      <c r="G6767" s="59"/>
    </row>
    <row r="6768" spans="3:7" ht="20.25" customHeight="1" x14ac:dyDescent="0.3">
      <c r="C6768" s="59"/>
      <c r="D6768" s="69"/>
      <c r="E6768" s="69"/>
      <c r="F6768" s="17"/>
      <c r="G6768" s="59"/>
    </row>
    <row r="6769" spans="3:7" ht="20.25" customHeight="1" x14ac:dyDescent="0.3">
      <c r="C6769" s="59"/>
      <c r="D6769" s="69"/>
      <c r="E6769" s="69"/>
      <c r="F6769" s="17"/>
      <c r="G6769" s="59"/>
    </row>
    <row r="6770" spans="3:7" ht="20.25" customHeight="1" x14ac:dyDescent="0.3">
      <c r="C6770" s="59"/>
      <c r="D6770" s="69"/>
      <c r="E6770" s="69"/>
      <c r="F6770" s="17"/>
      <c r="G6770" s="59"/>
    </row>
    <row r="6771" spans="3:7" ht="20.25" customHeight="1" x14ac:dyDescent="0.3">
      <c r="C6771" s="59"/>
      <c r="D6771" s="69"/>
      <c r="E6771" s="69"/>
      <c r="F6771" s="17"/>
      <c r="G6771" s="59"/>
    </row>
    <row r="6772" spans="3:7" ht="20.25" customHeight="1" x14ac:dyDescent="0.3">
      <c r="C6772" s="59"/>
      <c r="D6772" s="69"/>
      <c r="E6772" s="69"/>
      <c r="F6772" s="17"/>
      <c r="G6772" s="59"/>
    </row>
    <row r="6773" spans="3:7" ht="20.25" customHeight="1" x14ac:dyDescent="0.3">
      <c r="C6773" s="59"/>
      <c r="D6773" s="69"/>
      <c r="E6773" s="69"/>
      <c r="F6773" s="17"/>
      <c r="G6773" s="59"/>
    </row>
    <row r="6774" spans="3:7" ht="20.25" customHeight="1" x14ac:dyDescent="0.3">
      <c r="C6774" s="59"/>
      <c r="D6774" s="69"/>
      <c r="E6774" s="69"/>
      <c r="F6774" s="17"/>
      <c r="G6774" s="59"/>
    </row>
    <row r="6775" spans="3:7" ht="20.25" customHeight="1" x14ac:dyDescent="0.3">
      <c r="C6775" s="59"/>
      <c r="D6775" s="69"/>
      <c r="E6775" s="69"/>
      <c r="F6775" s="17"/>
      <c r="G6775" s="59"/>
    </row>
    <row r="6776" spans="3:7" ht="20.25" customHeight="1" x14ac:dyDescent="0.3">
      <c r="C6776" s="59"/>
      <c r="D6776" s="69"/>
      <c r="E6776" s="69"/>
      <c r="F6776" s="17"/>
      <c r="G6776" s="59"/>
    </row>
    <row r="6777" spans="3:7" ht="20.25" customHeight="1" x14ac:dyDescent="0.3">
      <c r="C6777" s="59"/>
      <c r="D6777" s="69"/>
      <c r="E6777" s="69"/>
      <c r="F6777" s="17"/>
      <c r="G6777" s="59"/>
    </row>
    <row r="6778" spans="3:7" ht="20.25" customHeight="1" x14ac:dyDescent="0.3">
      <c r="C6778" s="59"/>
      <c r="D6778" s="69"/>
      <c r="E6778" s="69"/>
      <c r="F6778" s="17"/>
      <c r="G6778" s="59"/>
    </row>
    <row r="6779" spans="3:7" ht="20.25" customHeight="1" x14ac:dyDescent="0.3">
      <c r="C6779" s="59"/>
      <c r="D6779" s="69"/>
      <c r="E6779" s="69"/>
      <c r="F6779" s="17"/>
      <c r="G6779" s="59"/>
    </row>
    <row r="6780" spans="3:7" ht="20.25" customHeight="1" x14ac:dyDescent="0.3">
      <c r="C6780" s="59"/>
      <c r="D6780" s="69"/>
      <c r="E6780" s="69"/>
      <c r="F6780" s="17"/>
      <c r="G6780" s="59"/>
    </row>
    <row r="6781" spans="3:7" ht="20.25" customHeight="1" x14ac:dyDescent="0.3">
      <c r="C6781" s="59"/>
      <c r="D6781" s="69"/>
      <c r="E6781" s="69"/>
      <c r="F6781" s="17"/>
      <c r="G6781" s="59"/>
    </row>
    <row r="6782" spans="3:7" ht="20.25" customHeight="1" x14ac:dyDescent="0.3">
      <c r="C6782" s="59"/>
      <c r="D6782" s="69"/>
      <c r="E6782" s="69"/>
      <c r="F6782" s="17"/>
      <c r="G6782" s="59"/>
    </row>
    <row r="6783" spans="3:7" ht="20.25" customHeight="1" x14ac:dyDescent="0.3">
      <c r="C6783" s="59"/>
      <c r="D6783" s="69"/>
      <c r="E6783" s="69"/>
      <c r="F6783" s="17"/>
      <c r="G6783" s="59"/>
    </row>
    <row r="6784" spans="3:7" ht="20.25" customHeight="1" x14ac:dyDescent="0.3">
      <c r="C6784" s="59"/>
      <c r="D6784" s="69"/>
      <c r="E6784" s="69"/>
      <c r="F6784" s="17"/>
      <c r="G6784" s="59"/>
    </row>
    <row r="6785" spans="3:7" ht="20.25" customHeight="1" x14ac:dyDescent="0.3">
      <c r="C6785" s="59"/>
      <c r="D6785" s="69"/>
      <c r="E6785" s="69"/>
      <c r="F6785" s="17"/>
      <c r="G6785" s="59"/>
    </row>
    <row r="6786" spans="3:7" ht="20.25" customHeight="1" x14ac:dyDescent="0.3">
      <c r="C6786" s="59"/>
      <c r="D6786" s="69"/>
      <c r="E6786" s="69"/>
      <c r="F6786" s="17"/>
      <c r="G6786" s="59"/>
    </row>
    <row r="6787" spans="3:7" ht="20.25" customHeight="1" x14ac:dyDescent="0.3">
      <c r="C6787" s="59"/>
      <c r="D6787" s="69"/>
      <c r="E6787" s="69"/>
      <c r="F6787" s="17"/>
      <c r="G6787" s="59"/>
    </row>
    <row r="6788" spans="3:7" ht="20.25" customHeight="1" x14ac:dyDescent="0.3">
      <c r="C6788" s="59"/>
      <c r="D6788" s="69"/>
      <c r="E6788" s="69"/>
      <c r="F6788" s="17"/>
      <c r="G6788" s="59"/>
    </row>
    <row r="6789" spans="3:7" ht="20.25" customHeight="1" x14ac:dyDescent="0.3">
      <c r="C6789" s="59"/>
      <c r="D6789" s="69"/>
      <c r="E6789" s="69"/>
      <c r="F6789" s="17"/>
      <c r="G6789" s="59"/>
    </row>
    <row r="6790" spans="3:7" ht="20.25" customHeight="1" x14ac:dyDescent="0.3">
      <c r="C6790" s="59"/>
      <c r="D6790" s="69"/>
      <c r="E6790" s="69"/>
      <c r="F6790" s="17"/>
      <c r="G6790" s="59"/>
    </row>
    <row r="6791" spans="3:7" ht="20.25" customHeight="1" x14ac:dyDescent="0.3">
      <c r="C6791" s="59"/>
      <c r="D6791" s="69"/>
      <c r="E6791" s="69"/>
      <c r="F6791" s="17"/>
      <c r="G6791" s="59"/>
    </row>
    <row r="6792" spans="3:7" ht="20.25" customHeight="1" x14ac:dyDescent="0.3">
      <c r="C6792" s="59"/>
      <c r="D6792" s="69"/>
      <c r="E6792" s="69"/>
      <c r="F6792" s="17"/>
      <c r="G6792" s="59"/>
    </row>
    <row r="6793" spans="3:7" ht="20.25" customHeight="1" x14ac:dyDescent="0.3">
      <c r="C6793" s="59"/>
      <c r="D6793" s="69"/>
      <c r="E6793" s="69"/>
      <c r="F6793" s="17"/>
      <c r="G6793" s="59"/>
    </row>
    <row r="6794" spans="3:7" ht="20.25" customHeight="1" x14ac:dyDescent="0.3">
      <c r="C6794" s="59"/>
      <c r="D6794" s="69"/>
      <c r="E6794" s="69"/>
      <c r="F6794" s="17"/>
      <c r="G6794" s="59"/>
    </row>
    <row r="6795" spans="3:7" ht="20.25" customHeight="1" x14ac:dyDescent="0.3">
      <c r="C6795" s="59"/>
      <c r="D6795" s="69"/>
      <c r="E6795" s="69"/>
      <c r="F6795" s="17"/>
      <c r="G6795" s="59"/>
    </row>
    <row r="6796" spans="3:7" ht="20.25" customHeight="1" x14ac:dyDescent="0.3">
      <c r="C6796" s="59"/>
      <c r="D6796" s="69"/>
      <c r="E6796" s="69"/>
      <c r="F6796" s="17"/>
      <c r="G6796" s="59"/>
    </row>
    <row r="6797" spans="3:7" ht="20.25" customHeight="1" x14ac:dyDescent="0.3">
      <c r="C6797" s="59"/>
      <c r="D6797" s="69"/>
      <c r="E6797" s="69"/>
      <c r="F6797" s="17"/>
      <c r="G6797" s="59"/>
    </row>
    <row r="6798" spans="3:7" ht="20.25" customHeight="1" x14ac:dyDescent="0.3">
      <c r="C6798" s="59"/>
      <c r="D6798" s="69"/>
      <c r="E6798" s="69"/>
      <c r="F6798" s="17"/>
      <c r="G6798" s="59"/>
    </row>
    <row r="6799" spans="3:7" ht="20.25" customHeight="1" x14ac:dyDescent="0.3">
      <c r="C6799" s="59"/>
      <c r="D6799" s="69"/>
      <c r="E6799" s="69"/>
      <c r="F6799" s="17"/>
      <c r="G6799" s="59"/>
    </row>
    <row r="6800" spans="3:7" ht="20.25" customHeight="1" x14ac:dyDescent="0.3">
      <c r="C6800" s="59"/>
      <c r="D6800" s="69"/>
      <c r="E6800" s="69"/>
      <c r="F6800" s="17"/>
      <c r="G6800" s="59"/>
    </row>
    <row r="6801" spans="3:7" ht="20.25" customHeight="1" x14ac:dyDescent="0.3">
      <c r="C6801" s="59"/>
      <c r="D6801" s="69"/>
      <c r="E6801" s="69"/>
      <c r="F6801" s="17"/>
      <c r="G6801" s="59"/>
    </row>
    <row r="6802" spans="3:7" ht="20.25" customHeight="1" x14ac:dyDescent="0.3">
      <c r="C6802" s="59"/>
      <c r="D6802" s="69"/>
      <c r="E6802" s="69"/>
      <c r="F6802" s="17"/>
      <c r="G6802" s="59"/>
    </row>
    <row r="6803" spans="3:7" ht="20.25" customHeight="1" x14ac:dyDescent="0.3">
      <c r="C6803" s="59"/>
      <c r="D6803" s="69"/>
      <c r="E6803" s="69"/>
      <c r="F6803" s="17"/>
      <c r="G6803" s="59"/>
    </row>
    <row r="6804" spans="3:7" ht="20.25" customHeight="1" x14ac:dyDescent="0.3">
      <c r="C6804" s="59"/>
      <c r="D6804" s="69"/>
      <c r="E6804" s="69"/>
      <c r="F6804" s="17"/>
      <c r="G6804" s="59"/>
    </row>
    <row r="6805" spans="3:7" ht="20.25" customHeight="1" x14ac:dyDescent="0.3">
      <c r="C6805" s="59"/>
      <c r="D6805" s="69"/>
      <c r="E6805" s="69"/>
      <c r="F6805" s="17"/>
      <c r="G6805" s="59"/>
    </row>
    <row r="6806" spans="3:7" ht="20.25" customHeight="1" x14ac:dyDescent="0.3">
      <c r="C6806" s="59"/>
      <c r="D6806" s="69"/>
      <c r="E6806" s="69"/>
      <c r="F6806" s="17"/>
      <c r="G6806" s="59"/>
    </row>
    <row r="6807" spans="3:7" ht="20.25" customHeight="1" x14ac:dyDescent="0.3">
      <c r="C6807" s="59"/>
      <c r="D6807" s="69"/>
      <c r="E6807" s="69"/>
      <c r="F6807" s="17"/>
      <c r="G6807" s="59"/>
    </row>
    <row r="6808" spans="3:7" ht="20.25" customHeight="1" x14ac:dyDescent="0.3">
      <c r="C6808" s="59"/>
      <c r="D6808" s="69"/>
      <c r="E6808" s="69"/>
      <c r="F6808" s="17"/>
      <c r="G6808" s="59"/>
    </row>
    <row r="6809" spans="3:7" ht="20.25" customHeight="1" x14ac:dyDescent="0.3">
      <c r="C6809" s="59"/>
      <c r="D6809" s="69"/>
      <c r="E6809" s="69"/>
      <c r="F6809" s="17"/>
      <c r="G6809" s="59"/>
    </row>
    <row r="6810" spans="3:7" ht="20.25" customHeight="1" x14ac:dyDescent="0.3">
      <c r="C6810" s="59"/>
      <c r="D6810" s="69"/>
      <c r="E6810" s="69"/>
      <c r="F6810" s="17"/>
      <c r="G6810" s="59"/>
    </row>
    <row r="6811" spans="3:7" ht="20.25" customHeight="1" x14ac:dyDescent="0.3">
      <c r="C6811" s="59"/>
      <c r="D6811" s="69"/>
      <c r="E6811" s="69"/>
      <c r="F6811" s="17"/>
      <c r="G6811" s="59"/>
    </row>
    <row r="6812" spans="3:7" ht="20.25" customHeight="1" x14ac:dyDescent="0.3">
      <c r="C6812" s="59"/>
      <c r="D6812" s="69"/>
      <c r="E6812" s="69"/>
      <c r="F6812" s="17"/>
      <c r="G6812" s="59"/>
    </row>
    <row r="6813" spans="3:7" ht="20.25" customHeight="1" x14ac:dyDescent="0.3">
      <c r="C6813" s="59"/>
      <c r="D6813" s="69"/>
      <c r="E6813" s="69"/>
      <c r="F6813" s="17"/>
      <c r="G6813" s="59"/>
    </row>
    <row r="6814" spans="3:7" ht="20.25" customHeight="1" x14ac:dyDescent="0.3">
      <c r="C6814" s="59"/>
      <c r="D6814" s="69"/>
      <c r="E6814" s="69"/>
      <c r="F6814" s="17"/>
      <c r="G6814" s="59"/>
    </row>
    <row r="6815" spans="3:7" ht="20.25" customHeight="1" x14ac:dyDescent="0.3">
      <c r="C6815" s="59"/>
      <c r="D6815" s="69"/>
      <c r="E6815" s="69"/>
      <c r="F6815" s="17"/>
      <c r="G6815" s="59"/>
    </row>
    <row r="6816" spans="3:7" ht="20.25" customHeight="1" x14ac:dyDescent="0.3">
      <c r="C6816" s="59"/>
      <c r="D6816" s="69"/>
      <c r="E6816" s="69"/>
      <c r="F6816" s="17"/>
      <c r="G6816" s="59"/>
    </row>
    <row r="6817" spans="3:7" ht="20.25" customHeight="1" x14ac:dyDescent="0.3">
      <c r="C6817" s="59"/>
      <c r="D6817" s="69"/>
      <c r="E6817" s="69"/>
      <c r="F6817" s="17"/>
      <c r="G6817" s="59"/>
    </row>
    <row r="6818" spans="3:7" ht="20.25" customHeight="1" x14ac:dyDescent="0.3">
      <c r="C6818" s="59"/>
      <c r="D6818" s="69"/>
      <c r="E6818" s="69"/>
      <c r="F6818" s="17"/>
      <c r="G6818" s="59"/>
    </row>
    <row r="6819" spans="3:7" ht="20.25" customHeight="1" x14ac:dyDescent="0.3">
      <c r="C6819" s="59"/>
      <c r="D6819" s="69"/>
      <c r="E6819" s="69"/>
      <c r="F6819" s="17"/>
      <c r="G6819" s="59"/>
    </row>
    <row r="6820" spans="3:7" ht="20.25" customHeight="1" x14ac:dyDescent="0.3">
      <c r="C6820" s="59"/>
      <c r="D6820" s="69"/>
      <c r="E6820" s="69"/>
      <c r="F6820" s="17"/>
      <c r="G6820" s="59"/>
    </row>
    <row r="6821" spans="3:7" ht="20.25" customHeight="1" x14ac:dyDescent="0.3">
      <c r="C6821" s="59"/>
      <c r="D6821" s="69"/>
      <c r="E6821" s="69"/>
      <c r="F6821" s="17"/>
      <c r="G6821" s="59"/>
    </row>
    <row r="6822" spans="3:7" ht="20.25" customHeight="1" x14ac:dyDescent="0.3">
      <c r="C6822" s="59"/>
      <c r="D6822" s="69"/>
      <c r="E6822" s="69"/>
      <c r="F6822" s="17"/>
      <c r="G6822" s="59"/>
    </row>
    <row r="6823" spans="3:7" ht="20.25" customHeight="1" x14ac:dyDescent="0.3">
      <c r="C6823" s="59"/>
      <c r="D6823" s="69"/>
      <c r="E6823" s="69"/>
      <c r="F6823" s="17"/>
      <c r="G6823" s="59"/>
    </row>
    <row r="6824" spans="3:7" ht="20.25" customHeight="1" x14ac:dyDescent="0.3">
      <c r="C6824" s="59"/>
      <c r="D6824" s="69"/>
      <c r="E6824" s="69"/>
      <c r="F6824" s="17"/>
      <c r="G6824" s="59"/>
    </row>
    <row r="6825" spans="3:7" ht="20.25" customHeight="1" x14ac:dyDescent="0.3">
      <c r="C6825" s="59"/>
      <c r="D6825" s="69"/>
      <c r="E6825" s="69"/>
      <c r="F6825" s="17"/>
      <c r="G6825" s="59"/>
    </row>
    <row r="6826" spans="3:7" ht="20.25" customHeight="1" x14ac:dyDescent="0.3">
      <c r="C6826" s="59"/>
      <c r="D6826" s="69"/>
      <c r="E6826" s="69"/>
      <c r="F6826" s="17"/>
      <c r="G6826" s="59"/>
    </row>
    <row r="6827" spans="3:7" ht="20.25" customHeight="1" x14ac:dyDescent="0.3">
      <c r="C6827" s="59"/>
      <c r="D6827" s="69"/>
      <c r="E6827" s="69"/>
      <c r="F6827" s="17"/>
      <c r="G6827" s="59"/>
    </row>
    <row r="6828" spans="3:7" ht="20.25" customHeight="1" x14ac:dyDescent="0.3">
      <c r="C6828" s="59"/>
      <c r="D6828" s="69"/>
      <c r="E6828" s="69"/>
      <c r="F6828" s="17"/>
      <c r="G6828" s="59"/>
    </row>
    <row r="6829" spans="3:7" ht="20.25" customHeight="1" x14ac:dyDescent="0.3">
      <c r="C6829" s="59"/>
      <c r="D6829" s="69"/>
      <c r="E6829" s="69"/>
      <c r="F6829" s="17"/>
      <c r="G6829" s="59"/>
    </row>
    <row r="6830" spans="3:7" ht="20.25" customHeight="1" x14ac:dyDescent="0.3">
      <c r="C6830" s="59"/>
      <c r="D6830" s="69"/>
      <c r="E6830" s="69"/>
      <c r="F6830" s="17"/>
      <c r="G6830" s="59"/>
    </row>
    <row r="6831" spans="3:7" ht="20.25" customHeight="1" x14ac:dyDescent="0.3">
      <c r="C6831" s="59"/>
      <c r="D6831" s="69"/>
      <c r="E6831" s="69"/>
      <c r="F6831" s="17"/>
      <c r="G6831" s="59"/>
    </row>
    <row r="6832" spans="3:7" ht="20.25" customHeight="1" x14ac:dyDescent="0.3">
      <c r="C6832" s="59"/>
      <c r="D6832" s="69"/>
      <c r="E6832" s="69"/>
      <c r="F6832" s="17"/>
      <c r="G6832" s="59"/>
    </row>
    <row r="6833" spans="3:7" ht="20.25" customHeight="1" x14ac:dyDescent="0.3">
      <c r="C6833" s="59"/>
      <c r="D6833" s="69"/>
      <c r="E6833" s="69"/>
      <c r="F6833" s="17"/>
      <c r="G6833" s="59"/>
    </row>
    <row r="6834" spans="3:7" ht="20.25" customHeight="1" x14ac:dyDescent="0.3">
      <c r="C6834" s="59"/>
      <c r="D6834" s="69"/>
      <c r="E6834" s="69"/>
      <c r="F6834" s="17"/>
      <c r="G6834" s="59"/>
    </row>
    <row r="6835" spans="3:7" ht="20.25" customHeight="1" x14ac:dyDescent="0.3">
      <c r="C6835" s="59"/>
      <c r="D6835" s="69"/>
      <c r="E6835" s="69"/>
      <c r="F6835" s="17"/>
      <c r="G6835" s="59"/>
    </row>
    <row r="6836" spans="3:7" ht="20.25" customHeight="1" x14ac:dyDescent="0.3">
      <c r="C6836" s="59"/>
      <c r="D6836" s="69"/>
      <c r="E6836" s="69"/>
      <c r="F6836" s="17"/>
      <c r="G6836" s="59"/>
    </row>
    <row r="6837" spans="3:7" ht="20.25" customHeight="1" x14ac:dyDescent="0.3">
      <c r="C6837" s="59"/>
      <c r="D6837" s="69"/>
      <c r="E6837" s="69"/>
      <c r="F6837" s="17"/>
      <c r="G6837" s="59"/>
    </row>
    <row r="6838" spans="3:7" ht="20.25" customHeight="1" x14ac:dyDescent="0.3">
      <c r="C6838" s="59"/>
      <c r="D6838" s="69"/>
      <c r="E6838" s="69"/>
      <c r="F6838" s="17"/>
      <c r="G6838" s="59"/>
    </row>
    <row r="6839" spans="3:7" ht="20.25" customHeight="1" x14ac:dyDescent="0.3">
      <c r="C6839" s="59"/>
      <c r="D6839" s="69"/>
      <c r="E6839" s="69"/>
      <c r="F6839" s="17"/>
      <c r="G6839" s="59"/>
    </row>
    <row r="6840" spans="3:7" ht="20.25" customHeight="1" x14ac:dyDescent="0.3">
      <c r="C6840" s="59"/>
      <c r="D6840" s="69"/>
      <c r="E6840" s="69"/>
      <c r="F6840" s="17"/>
      <c r="G6840" s="59"/>
    </row>
    <row r="6841" spans="3:7" ht="20.25" customHeight="1" x14ac:dyDescent="0.3">
      <c r="C6841" s="59"/>
      <c r="D6841" s="69"/>
      <c r="E6841" s="69"/>
      <c r="F6841" s="17"/>
      <c r="G6841" s="59"/>
    </row>
    <row r="6842" spans="3:7" ht="20.25" customHeight="1" x14ac:dyDescent="0.3">
      <c r="C6842" s="59"/>
      <c r="D6842" s="69"/>
      <c r="E6842" s="69"/>
      <c r="F6842" s="17"/>
      <c r="G6842" s="59"/>
    </row>
    <row r="6843" spans="3:7" ht="20.25" customHeight="1" x14ac:dyDescent="0.3">
      <c r="C6843" s="59"/>
      <c r="D6843" s="69"/>
      <c r="E6843" s="69"/>
      <c r="F6843" s="17"/>
      <c r="G6843" s="59"/>
    </row>
    <row r="6844" spans="3:7" ht="20.25" customHeight="1" x14ac:dyDescent="0.3">
      <c r="C6844" s="59"/>
      <c r="D6844" s="69"/>
      <c r="E6844" s="69"/>
      <c r="F6844" s="17"/>
      <c r="G6844" s="59"/>
    </row>
    <row r="6845" spans="3:7" ht="20.25" customHeight="1" x14ac:dyDescent="0.3">
      <c r="C6845" s="59"/>
      <c r="D6845" s="69"/>
      <c r="E6845" s="69"/>
      <c r="F6845" s="17"/>
      <c r="G6845" s="59"/>
    </row>
    <row r="6846" spans="3:7" ht="20.25" customHeight="1" x14ac:dyDescent="0.3">
      <c r="C6846" s="59"/>
      <c r="D6846" s="69"/>
      <c r="E6846" s="69"/>
      <c r="F6846" s="17"/>
      <c r="G6846" s="59"/>
    </row>
    <row r="6847" spans="3:7" ht="20.25" customHeight="1" x14ac:dyDescent="0.3">
      <c r="C6847" s="59"/>
      <c r="D6847" s="69"/>
      <c r="E6847" s="69"/>
      <c r="F6847" s="17"/>
      <c r="G6847" s="59"/>
    </row>
    <row r="6848" spans="3:7" ht="20.25" customHeight="1" x14ac:dyDescent="0.3">
      <c r="C6848" s="59"/>
      <c r="D6848" s="69"/>
      <c r="E6848" s="69"/>
      <c r="F6848" s="17"/>
      <c r="G6848" s="59"/>
    </row>
    <row r="6849" spans="3:7" ht="20.25" customHeight="1" x14ac:dyDescent="0.3">
      <c r="C6849" s="59"/>
      <c r="D6849" s="69"/>
      <c r="E6849" s="69"/>
      <c r="F6849" s="17"/>
      <c r="G6849" s="59"/>
    </row>
    <row r="6850" spans="3:7" ht="20.25" customHeight="1" x14ac:dyDescent="0.3">
      <c r="C6850" s="59"/>
      <c r="D6850" s="69"/>
      <c r="E6850" s="69"/>
      <c r="F6850" s="17"/>
      <c r="G6850" s="59"/>
    </row>
    <row r="6851" spans="3:7" ht="20.25" customHeight="1" x14ac:dyDescent="0.3">
      <c r="C6851" s="59"/>
      <c r="D6851" s="69"/>
      <c r="E6851" s="69"/>
      <c r="F6851" s="17"/>
      <c r="G6851" s="59"/>
    </row>
    <row r="6852" spans="3:7" ht="20.25" customHeight="1" x14ac:dyDescent="0.3">
      <c r="C6852" s="59"/>
      <c r="D6852" s="69"/>
      <c r="E6852" s="69"/>
      <c r="F6852" s="17"/>
      <c r="G6852" s="59"/>
    </row>
    <row r="6853" spans="3:7" ht="20.25" customHeight="1" x14ac:dyDescent="0.3">
      <c r="C6853" s="59"/>
      <c r="D6853" s="69"/>
      <c r="E6853" s="69"/>
      <c r="F6853" s="17"/>
      <c r="G6853" s="59"/>
    </row>
    <row r="6854" spans="3:7" ht="20.25" customHeight="1" x14ac:dyDescent="0.3">
      <c r="C6854" s="59"/>
      <c r="D6854" s="69"/>
      <c r="E6854" s="69"/>
      <c r="F6854" s="17"/>
      <c r="G6854" s="59"/>
    </row>
    <row r="6855" spans="3:7" ht="20.25" customHeight="1" x14ac:dyDescent="0.3">
      <c r="C6855" s="59"/>
      <c r="D6855" s="69"/>
      <c r="E6855" s="69"/>
      <c r="F6855" s="17"/>
      <c r="G6855" s="59"/>
    </row>
    <row r="6856" spans="3:7" ht="20.25" customHeight="1" x14ac:dyDescent="0.3">
      <c r="C6856" s="59"/>
      <c r="D6856" s="69"/>
      <c r="E6856" s="69"/>
      <c r="F6856" s="17"/>
      <c r="G6856" s="59"/>
    </row>
    <row r="6857" spans="3:7" ht="20.25" customHeight="1" x14ac:dyDescent="0.3">
      <c r="C6857" s="59"/>
      <c r="D6857" s="69"/>
      <c r="E6857" s="69"/>
      <c r="F6857" s="17"/>
      <c r="G6857" s="59"/>
    </row>
    <row r="6858" spans="3:7" ht="20.25" customHeight="1" x14ac:dyDescent="0.3">
      <c r="C6858" s="59"/>
      <c r="D6858" s="69"/>
      <c r="E6858" s="69"/>
      <c r="F6858" s="17"/>
      <c r="G6858" s="59"/>
    </row>
    <row r="6859" spans="3:7" ht="20.25" customHeight="1" x14ac:dyDescent="0.3">
      <c r="C6859" s="59"/>
      <c r="D6859" s="69"/>
      <c r="E6859" s="69"/>
      <c r="F6859" s="17"/>
      <c r="G6859" s="59"/>
    </row>
    <row r="6860" spans="3:7" ht="20.25" customHeight="1" x14ac:dyDescent="0.3">
      <c r="C6860" s="59"/>
      <c r="D6860" s="69"/>
      <c r="E6860" s="69"/>
      <c r="F6860" s="17"/>
      <c r="G6860" s="59"/>
    </row>
    <row r="6861" spans="3:7" ht="20.25" customHeight="1" x14ac:dyDescent="0.3">
      <c r="C6861" s="59"/>
      <c r="D6861" s="69"/>
      <c r="E6861" s="69"/>
      <c r="F6861" s="17"/>
      <c r="G6861" s="59"/>
    </row>
    <row r="6862" spans="3:7" ht="20.25" customHeight="1" x14ac:dyDescent="0.3">
      <c r="C6862" s="59"/>
      <c r="D6862" s="69"/>
      <c r="E6862" s="69"/>
      <c r="F6862" s="17"/>
      <c r="G6862" s="59"/>
    </row>
    <row r="6863" spans="3:7" ht="20.25" customHeight="1" x14ac:dyDescent="0.3">
      <c r="C6863" s="59"/>
      <c r="D6863" s="69"/>
      <c r="E6863" s="69"/>
      <c r="F6863" s="17"/>
      <c r="G6863" s="59"/>
    </row>
    <row r="6864" spans="3:7" ht="20.25" customHeight="1" x14ac:dyDescent="0.3">
      <c r="C6864" s="59"/>
      <c r="D6864" s="69"/>
      <c r="E6864" s="69"/>
      <c r="F6864" s="17"/>
      <c r="G6864" s="59"/>
    </row>
    <row r="6865" spans="3:7" ht="20.25" customHeight="1" x14ac:dyDescent="0.3">
      <c r="C6865" s="59"/>
      <c r="D6865" s="69"/>
      <c r="E6865" s="69"/>
      <c r="F6865" s="17"/>
      <c r="G6865" s="59"/>
    </row>
    <row r="6866" spans="3:7" ht="20.25" customHeight="1" x14ac:dyDescent="0.3">
      <c r="C6866" s="59"/>
      <c r="D6866" s="69"/>
      <c r="E6866" s="69"/>
      <c r="F6866" s="17"/>
      <c r="G6866" s="59"/>
    </row>
    <row r="6867" spans="3:7" ht="20.25" customHeight="1" x14ac:dyDescent="0.3">
      <c r="C6867" s="59"/>
      <c r="D6867" s="69"/>
      <c r="E6867" s="69"/>
      <c r="F6867" s="17"/>
      <c r="G6867" s="59"/>
    </row>
    <row r="6868" spans="3:7" ht="20.25" customHeight="1" x14ac:dyDescent="0.3">
      <c r="C6868" s="59"/>
      <c r="D6868" s="69"/>
      <c r="E6868" s="69"/>
      <c r="F6868" s="17"/>
      <c r="G6868" s="59"/>
    </row>
    <row r="6869" spans="3:7" ht="20.25" customHeight="1" x14ac:dyDescent="0.3">
      <c r="C6869" s="59"/>
      <c r="D6869" s="69"/>
      <c r="E6869" s="69"/>
      <c r="F6869" s="17"/>
      <c r="G6869" s="59"/>
    </row>
    <row r="6870" spans="3:7" ht="20.25" customHeight="1" x14ac:dyDescent="0.3">
      <c r="C6870" s="59"/>
      <c r="D6870" s="69"/>
      <c r="E6870" s="69"/>
      <c r="F6870" s="17"/>
      <c r="G6870" s="59"/>
    </row>
    <row r="6871" spans="3:7" ht="20.25" customHeight="1" x14ac:dyDescent="0.3">
      <c r="C6871" s="59"/>
      <c r="D6871" s="69"/>
      <c r="E6871" s="69"/>
      <c r="F6871" s="17"/>
      <c r="G6871" s="59"/>
    </row>
    <row r="6872" spans="3:7" ht="20.25" customHeight="1" x14ac:dyDescent="0.3">
      <c r="C6872" s="59"/>
      <c r="D6872" s="69"/>
      <c r="E6872" s="69"/>
      <c r="F6872" s="17"/>
      <c r="G6872" s="59"/>
    </row>
    <row r="6873" spans="3:7" ht="20.25" customHeight="1" x14ac:dyDescent="0.3">
      <c r="C6873" s="59"/>
      <c r="D6873" s="69"/>
      <c r="E6873" s="69"/>
      <c r="F6873" s="17"/>
      <c r="G6873" s="59"/>
    </row>
    <row r="6874" spans="3:7" ht="20.25" customHeight="1" x14ac:dyDescent="0.3">
      <c r="C6874" s="59"/>
      <c r="D6874" s="69"/>
      <c r="E6874" s="69"/>
      <c r="F6874" s="17"/>
      <c r="G6874" s="59"/>
    </row>
    <row r="6875" spans="3:7" ht="20.25" customHeight="1" x14ac:dyDescent="0.3">
      <c r="C6875" s="59"/>
      <c r="D6875" s="69"/>
      <c r="E6875" s="69"/>
      <c r="F6875" s="17"/>
      <c r="G6875" s="59"/>
    </row>
    <row r="6876" spans="3:7" ht="20.25" customHeight="1" x14ac:dyDescent="0.3">
      <c r="C6876" s="59"/>
      <c r="D6876" s="69"/>
      <c r="E6876" s="69"/>
      <c r="F6876" s="17"/>
      <c r="G6876" s="59"/>
    </row>
    <row r="6877" spans="3:7" ht="20.25" customHeight="1" x14ac:dyDescent="0.3">
      <c r="C6877" s="59"/>
      <c r="D6877" s="69"/>
      <c r="E6877" s="69"/>
      <c r="F6877" s="17"/>
      <c r="G6877" s="59"/>
    </row>
    <row r="6878" spans="3:7" ht="20.25" customHeight="1" x14ac:dyDescent="0.3">
      <c r="C6878" s="59"/>
      <c r="D6878" s="69"/>
      <c r="E6878" s="69"/>
      <c r="F6878" s="17"/>
      <c r="G6878" s="59"/>
    </row>
    <row r="6879" spans="3:7" ht="20.25" customHeight="1" x14ac:dyDescent="0.3">
      <c r="C6879" s="59"/>
      <c r="D6879" s="69"/>
      <c r="E6879" s="69"/>
      <c r="F6879" s="17"/>
      <c r="G6879" s="59"/>
    </row>
    <row r="6880" spans="3:7" ht="20.25" customHeight="1" x14ac:dyDescent="0.3">
      <c r="C6880" s="59"/>
      <c r="D6880" s="69"/>
      <c r="E6880" s="69"/>
      <c r="F6880" s="17"/>
      <c r="G6880" s="59"/>
    </row>
    <row r="6881" spans="3:7" ht="20.25" customHeight="1" x14ac:dyDescent="0.3">
      <c r="C6881" s="59"/>
      <c r="D6881" s="69"/>
      <c r="E6881" s="69"/>
      <c r="F6881" s="17"/>
      <c r="G6881" s="59"/>
    </row>
    <row r="6882" spans="3:7" ht="20.25" customHeight="1" x14ac:dyDescent="0.3">
      <c r="C6882" s="59"/>
      <c r="D6882" s="69"/>
      <c r="E6882" s="69"/>
      <c r="F6882" s="17"/>
      <c r="G6882" s="59"/>
    </row>
    <row r="6883" spans="3:7" ht="20.25" customHeight="1" x14ac:dyDescent="0.3">
      <c r="C6883" s="59"/>
      <c r="D6883" s="69"/>
      <c r="E6883" s="69"/>
      <c r="F6883" s="17"/>
      <c r="G6883" s="59"/>
    </row>
    <row r="6884" spans="3:7" ht="20.25" customHeight="1" x14ac:dyDescent="0.3">
      <c r="C6884" s="59"/>
      <c r="D6884" s="69"/>
      <c r="E6884" s="69"/>
      <c r="F6884" s="17"/>
      <c r="G6884" s="59"/>
    </row>
    <row r="6885" spans="3:7" ht="20.25" customHeight="1" x14ac:dyDescent="0.3">
      <c r="C6885" s="59"/>
      <c r="D6885" s="69"/>
      <c r="E6885" s="69"/>
      <c r="F6885" s="17"/>
      <c r="G6885" s="59"/>
    </row>
    <row r="6886" spans="3:7" ht="20.25" customHeight="1" x14ac:dyDescent="0.3">
      <c r="C6886" s="59"/>
      <c r="D6886" s="69"/>
      <c r="E6886" s="69"/>
      <c r="F6886" s="17"/>
      <c r="G6886" s="59"/>
    </row>
    <row r="6887" spans="3:7" ht="20.25" customHeight="1" x14ac:dyDescent="0.3">
      <c r="C6887" s="59"/>
      <c r="D6887" s="69"/>
      <c r="E6887" s="69"/>
      <c r="F6887" s="17"/>
      <c r="G6887" s="59"/>
    </row>
    <row r="6888" spans="3:7" ht="20.25" customHeight="1" x14ac:dyDescent="0.3">
      <c r="C6888" s="59"/>
      <c r="D6888" s="69"/>
      <c r="E6888" s="69"/>
      <c r="F6888" s="17"/>
      <c r="G6888" s="59"/>
    </row>
    <row r="6889" spans="3:7" ht="20.25" customHeight="1" x14ac:dyDescent="0.3">
      <c r="C6889" s="59"/>
      <c r="D6889" s="69"/>
      <c r="E6889" s="69"/>
      <c r="F6889" s="17"/>
      <c r="G6889" s="59"/>
    </row>
    <row r="6890" spans="3:7" ht="20.25" customHeight="1" x14ac:dyDescent="0.3">
      <c r="C6890" s="59"/>
      <c r="D6890" s="69"/>
      <c r="E6890" s="69"/>
      <c r="F6890" s="17"/>
      <c r="G6890" s="59"/>
    </row>
    <row r="6891" spans="3:7" ht="20.25" customHeight="1" x14ac:dyDescent="0.3">
      <c r="C6891" s="59"/>
      <c r="D6891" s="69"/>
      <c r="E6891" s="69"/>
      <c r="F6891" s="17"/>
      <c r="G6891" s="59"/>
    </row>
    <row r="6892" spans="3:7" ht="20.25" customHeight="1" x14ac:dyDescent="0.3">
      <c r="C6892" s="59"/>
      <c r="D6892" s="69"/>
      <c r="E6892" s="69"/>
      <c r="F6892" s="17"/>
      <c r="G6892" s="59"/>
    </row>
    <row r="6893" spans="3:7" ht="20.25" customHeight="1" x14ac:dyDescent="0.3">
      <c r="C6893" s="59"/>
      <c r="D6893" s="69"/>
      <c r="E6893" s="69"/>
      <c r="F6893" s="17"/>
      <c r="G6893" s="59"/>
    </row>
    <row r="6894" spans="3:7" ht="20.25" customHeight="1" x14ac:dyDescent="0.3">
      <c r="C6894" s="59"/>
      <c r="D6894" s="69"/>
      <c r="E6894" s="69"/>
      <c r="F6894" s="17"/>
      <c r="G6894" s="59"/>
    </row>
    <row r="6895" spans="3:7" ht="20.25" customHeight="1" x14ac:dyDescent="0.3">
      <c r="C6895" s="59"/>
      <c r="D6895" s="69"/>
      <c r="E6895" s="69"/>
      <c r="F6895" s="17"/>
      <c r="G6895" s="59"/>
    </row>
    <row r="6896" spans="3:7" ht="20.25" customHeight="1" x14ac:dyDescent="0.3">
      <c r="C6896" s="59"/>
      <c r="D6896" s="69"/>
      <c r="E6896" s="69"/>
      <c r="F6896" s="17"/>
      <c r="G6896" s="59"/>
    </row>
    <row r="6897" spans="3:7" ht="20.25" customHeight="1" x14ac:dyDescent="0.3">
      <c r="C6897" s="59"/>
      <c r="D6897" s="69"/>
      <c r="E6897" s="69"/>
      <c r="F6897" s="17"/>
      <c r="G6897" s="59"/>
    </row>
    <row r="6898" spans="3:7" ht="20.25" customHeight="1" x14ac:dyDescent="0.3">
      <c r="C6898" s="59"/>
      <c r="D6898" s="69"/>
      <c r="E6898" s="69"/>
      <c r="F6898" s="17"/>
      <c r="G6898" s="59"/>
    </row>
    <row r="6899" spans="3:7" ht="20.25" customHeight="1" x14ac:dyDescent="0.3">
      <c r="C6899" s="59"/>
      <c r="D6899" s="69"/>
      <c r="E6899" s="69"/>
      <c r="F6899" s="17"/>
      <c r="G6899" s="59"/>
    </row>
    <row r="6900" spans="3:7" ht="20.25" customHeight="1" x14ac:dyDescent="0.3">
      <c r="C6900" s="59"/>
      <c r="D6900" s="69"/>
      <c r="E6900" s="69"/>
      <c r="F6900" s="17"/>
      <c r="G6900" s="59"/>
    </row>
    <row r="6901" spans="3:7" ht="20.25" customHeight="1" x14ac:dyDescent="0.3">
      <c r="C6901" s="59"/>
      <c r="D6901" s="69"/>
      <c r="E6901" s="69"/>
      <c r="F6901" s="17"/>
      <c r="G6901" s="59"/>
    </row>
    <row r="6902" spans="3:7" ht="20.25" customHeight="1" x14ac:dyDescent="0.3">
      <c r="C6902" s="59"/>
      <c r="D6902" s="69"/>
      <c r="E6902" s="69"/>
      <c r="F6902" s="17"/>
      <c r="G6902" s="59"/>
    </row>
    <row r="6903" spans="3:7" ht="20.25" customHeight="1" x14ac:dyDescent="0.3">
      <c r="C6903" s="59"/>
      <c r="D6903" s="69"/>
      <c r="E6903" s="69"/>
      <c r="F6903" s="17"/>
      <c r="G6903" s="59"/>
    </row>
    <row r="6904" spans="3:7" ht="20.25" customHeight="1" x14ac:dyDescent="0.3">
      <c r="C6904" s="59"/>
      <c r="D6904" s="69"/>
      <c r="E6904" s="69"/>
      <c r="F6904" s="17"/>
      <c r="G6904" s="59"/>
    </row>
    <row r="6905" spans="3:7" ht="20.25" customHeight="1" x14ac:dyDescent="0.3">
      <c r="C6905" s="59"/>
      <c r="D6905" s="69"/>
      <c r="E6905" s="69"/>
      <c r="F6905" s="17"/>
      <c r="G6905" s="59"/>
    </row>
    <row r="6906" spans="3:7" ht="20.25" customHeight="1" x14ac:dyDescent="0.3">
      <c r="C6906" s="59"/>
      <c r="D6906" s="69"/>
      <c r="E6906" s="69"/>
      <c r="F6906" s="17"/>
      <c r="G6906" s="59"/>
    </row>
    <row r="6907" spans="3:7" ht="20.25" customHeight="1" x14ac:dyDescent="0.3">
      <c r="C6907" s="59"/>
      <c r="D6907" s="69"/>
      <c r="E6907" s="69"/>
      <c r="F6907" s="17"/>
      <c r="G6907" s="59"/>
    </row>
    <row r="6908" spans="3:7" ht="20.25" customHeight="1" x14ac:dyDescent="0.3">
      <c r="C6908" s="59"/>
      <c r="D6908" s="69"/>
      <c r="E6908" s="69"/>
      <c r="F6908" s="17"/>
      <c r="G6908" s="59"/>
    </row>
    <row r="6909" spans="3:7" ht="20.25" customHeight="1" x14ac:dyDescent="0.3">
      <c r="C6909" s="59"/>
      <c r="D6909" s="69"/>
      <c r="E6909" s="69"/>
      <c r="F6909" s="17"/>
      <c r="G6909" s="59"/>
    </row>
    <row r="6910" spans="3:7" ht="20.25" customHeight="1" x14ac:dyDescent="0.3">
      <c r="C6910" s="59"/>
      <c r="D6910" s="69"/>
      <c r="E6910" s="69"/>
      <c r="F6910" s="17"/>
      <c r="G6910" s="59"/>
    </row>
    <row r="6911" spans="3:7" ht="20.25" customHeight="1" x14ac:dyDescent="0.3">
      <c r="C6911" s="59"/>
      <c r="D6911" s="69"/>
      <c r="E6911" s="69"/>
      <c r="F6911" s="17"/>
      <c r="G6911" s="59"/>
    </row>
    <row r="6912" spans="3:7" ht="20.25" customHeight="1" x14ac:dyDescent="0.3">
      <c r="C6912" s="59"/>
      <c r="D6912" s="69"/>
      <c r="E6912" s="69"/>
      <c r="F6912" s="17"/>
      <c r="G6912" s="59"/>
    </row>
    <row r="6913" spans="3:7" ht="20.25" customHeight="1" x14ac:dyDescent="0.3">
      <c r="C6913" s="59"/>
      <c r="D6913" s="69"/>
      <c r="E6913" s="69"/>
      <c r="F6913" s="17"/>
      <c r="G6913" s="59"/>
    </row>
    <row r="6914" spans="3:7" ht="20.25" customHeight="1" x14ac:dyDescent="0.3">
      <c r="C6914" s="59"/>
      <c r="D6914" s="69"/>
      <c r="E6914" s="69"/>
      <c r="F6914" s="17"/>
      <c r="G6914" s="59"/>
    </row>
    <row r="6915" spans="3:7" ht="20.25" customHeight="1" x14ac:dyDescent="0.3">
      <c r="C6915" s="59"/>
      <c r="D6915" s="69"/>
      <c r="E6915" s="69"/>
      <c r="F6915" s="17"/>
      <c r="G6915" s="59"/>
    </row>
    <row r="6916" spans="3:7" ht="20.25" customHeight="1" x14ac:dyDescent="0.3">
      <c r="C6916" s="59"/>
      <c r="D6916" s="69"/>
      <c r="E6916" s="69"/>
      <c r="F6916" s="17"/>
      <c r="G6916" s="59"/>
    </row>
    <row r="6917" spans="3:7" ht="20.25" customHeight="1" x14ac:dyDescent="0.3">
      <c r="C6917" s="59"/>
      <c r="D6917" s="69"/>
      <c r="E6917" s="69"/>
      <c r="F6917" s="17"/>
      <c r="G6917" s="59"/>
    </row>
    <row r="6918" spans="3:7" ht="20.25" customHeight="1" x14ac:dyDescent="0.3">
      <c r="C6918" s="59"/>
      <c r="D6918" s="69"/>
      <c r="E6918" s="69"/>
      <c r="F6918" s="17"/>
      <c r="G6918" s="59"/>
    </row>
    <row r="6919" spans="3:7" ht="20.25" customHeight="1" x14ac:dyDescent="0.3">
      <c r="C6919" s="59"/>
      <c r="D6919" s="69"/>
      <c r="E6919" s="69"/>
      <c r="F6919" s="17"/>
      <c r="G6919" s="59"/>
    </row>
    <row r="6920" spans="3:7" ht="20.25" customHeight="1" x14ac:dyDescent="0.3">
      <c r="C6920" s="59"/>
      <c r="D6920" s="69"/>
      <c r="E6920" s="69"/>
      <c r="F6920" s="17"/>
      <c r="G6920" s="59"/>
    </row>
    <row r="6921" spans="3:7" ht="20.25" customHeight="1" x14ac:dyDescent="0.3">
      <c r="C6921" s="59"/>
      <c r="D6921" s="69"/>
      <c r="E6921" s="69"/>
      <c r="F6921" s="17"/>
      <c r="G6921" s="59"/>
    </row>
    <row r="6922" spans="3:7" ht="20.25" customHeight="1" x14ac:dyDescent="0.3">
      <c r="C6922" s="59"/>
      <c r="D6922" s="69"/>
      <c r="E6922" s="69"/>
      <c r="F6922" s="17"/>
      <c r="G6922" s="59"/>
    </row>
    <row r="6923" spans="3:7" ht="20.25" customHeight="1" x14ac:dyDescent="0.3">
      <c r="C6923" s="59"/>
      <c r="D6923" s="69"/>
      <c r="E6923" s="69"/>
      <c r="F6923" s="17"/>
      <c r="G6923" s="59"/>
    </row>
    <row r="6924" spans="3:7" ht="20.25" customHeight="1" x14ac:dyDescent="0.3">
      <c r="C6924" s="59"/>
      <c r="D6924" s="69"/>
      <c r="E6924" s="69"/>
      <c r="F6924" s="17"/>
      <c r="G6924" s="59"/>
    </row>
    <row r="6925" spans="3:7" ht="20.25" customHeight="1" x14ac:dyDescent="0.3">
      <c r="C6925" s="59"/>
      <c r="D6925" s="69"/>
      <c r="E6925" s="69"/>
      <c r="F6925" s="17"/>
      <c r="G6925" s="59"/>
    </row>
    <row r="6926" spans="3:7" ht="20.25" customHeight="1" x14ac:dyDescent="0.3">
      <c r="C6926" s="59"/>
      <c r="D6926" s="69"/>
      <c r="E6926" s="69"/>
      <c r="F6926" s="17"/>
      <c r="G6926" s="59"/>
    </row>
    <row r="6927" spans="3:7" ht="20.25" customHeight="1" x14ac:dyDescent="0.3">
      <c r="C6927" s="59"/>
      <c r="D6927" s="69"/>
      <c r="E6927" s="69"/>
      <c r="F6927" s="17"/>
      <c r="G6927" s="59"/>
    </row>
    <row r="6928" spans="3:7" ht="20.25" customHeight="1" x14ac:dyDescent="0.3">
      <c r="C6928" s="59"/>
      <c r="D6928" s="69"/>
      <c r="E6928" s="69"/>
      <c r="F6928" s="17"/>
      <c r="G6928" s="59"/>
    </row>
    <row r="6929" spans="3:7" ht="20.25" customHeight="1" x14ac:dyDescent="0.3">
      <c r="C6929" s="59"/>
      <c r="D6929" s="69"/>
      <c r="E6929" s="69"/>
      <c r="F6929" s="17"/>
      <c r="G6929" s="59"/>
    </row>
    <row r="6930" spans="3:7" ht="20.25" customHeight="1" x14ac:dyDescent="0.3">
      <c r="C6930" s="59"/>
      <c r="D6930" s="69"/>
      <c r="E6930" s="69"/>
      <c r="F6930" s="17"/>
      <c r="G6930" s="59"/>
    </row>
    <row r="6931" spans="3:7" ht="20.25" customHeight="1" x14ac:dyDescent="0.3">
      <c r="C6931" s="59"/>
      <c r="D6931" s="69"/>
      <c r="E6931" s="69"/>
      <c r="F6931" s="17"/>
      <c r="G6931" s="59"/>
    </row>
    <row r="6932" spans="3:7" ht="20.25" customHeight="1" x14ac:dyDescent="0.3">
      <c r="C6932" s="59"/>
      <c r="D6932" s="69"/>
      <c r="E6932" s="69"/>
      <c r="F6932" s="17"/>
      <c r="G6932" s="59"/>
    </row>
    <row r="6933" spans="3:7" ht="20.25" customHeight="1" x14ac:dyDescent="0.3">
      <c r="C6933" s="59"/>
      <c r="D6933" s="69"/>
      <c r="E6933" s="69"/>
      <c r="F6933" s="17"/>
      <c r="G6933" s="59"/>
    </row>
    <row r="6934" spans="3:7" ht="20.25" customHeight="1" x14ac:dyDescent="0.3">
      <c r="C6934" s="59"/>
      <c r="D6934" s="69"/>
      <c r="E6934" s="69"/>
      <c r="F6934" s="17"/>
      <c r="G6934" s="59"/>
    </row>
    <row r="6935" spans="3:7" ht="20.25" customHeight="1" x14ac:dyDescent="0.3">
      <c r="C6935" s="59"/>
      <c r="D6935" s="69"/>
      <c r="E6935" s="69"/>
      <c r="F6935" s="17"/>
      <c r="G6935" s="59"/>
    </row>
    <row r="6936" spans="3:7" ht="20.25" customHeight="1" x14ac:dyDescent="0.3">
      <c r="C6936" s="59"/>
      <c r="D6936" s="69"/>
      <c r="E6936" s="69"/>
      <c r="F6936" s="17"/>
      <c r="G6936" s="59"/>
    </row>
    <row r="6937" spans="3:7" ht="20.25" customHeight="1" x14ac:dyDescent="0.3">
      <c r="C6937" s="59"/>
      <c r="D6937" s="69"/>
      <c r="E6937" s="69"/>
      <c r="F6937" s="17"/>
      <c r="G6937" s="59"/>
    </row>
    <row r="6938" spans="3:7" ht="20.25" customHeight="1" x14ac:dyDescent="0.3">
      <c r="C6938" s="59"/>
      <c r="D6938" s="69"/>
      <c r="E6938" s="69"/>
      <c r="F6938" s="17"/>
      <c r="G6938" s="59"/>
    </row>
    <row r="6939" spans="3:7" ht="20.25" customHeight="1" x14ac:dyDescent="0.3">
      <c r="C6939" s="59"/>
      <c r="D6939" s="69"/>
      <c r="E6939" s="69"/>
      <c r="F6939" s="17"/>
      <c r="G6939" s="59"/>
    </row>
    <row r="6940" spans="3:7" ht="20.25" customHeight="1" x14ac:dyDescent="0.3">
      <c r="C6940" s="59"/>
      <c r="D6940" s="69"/>
      <c r="E6940" s="69"/>
      <c r="F6940" s="17"/>
      <c r="G6940" s="59"/>
    </row>
    <row r="6941" spans="3:7" ht="20.25" customHeight="1" x14ac:dyDescent="0.3">
      <c r="C6941" s="59"/>
      <c r="D6941" s="69"/>
      <c r="E6941" s="69"/>
      <c r="F6941" s="17"/>
      <c r="G6941" s="59"/>
    </row>
    <row r="6942" spans="3:7" ht="20.25" customHeight="1" x14ac:dyDescent="0.3">
      <c r="C6942" s="59"/>
      <c r="D6942" s="69"/>
      <c r="E6942" s="69"/>
      <c r="F6942" s="17"/>
      <c r="G6942" s="59"/>
    </row>
    <row r="6943" spans="3:7" ht="20.25" customHeight="1" x14ac:dyDescent="0.3">
      <c r="C6943" s="59"/>
      <c r="D6943" s="69"/>
      <c r="E6943" s="69"/>
      <c r="F6943" s="17"/>
      <c r="G6943" s="59"/>
    </row>
    <row r="6944" spans="3:7" ht="20.25" customHeight="1" x14ac:dyDescent="0.3">
      <c r="C6944" s="59"/>
      <c r="D6944" s="69"/>
      <c r="E6944" s="69"/>
      <c r="F6944" s="17"/>
      <c r="G6944" s="59"/>
    </row>
    <row r="6945" spans="3:7" ht="20.25" customHeight="1" x14ac:dyDescent="0.3">
      <c r="C6945" s="59"/>
      <c r="D6945" s="69"/>
      <c r="E6945" s="69"/>
      <c r="F6945" s="17"/>
      <c r="G6945" s="59"/>
    </row>
    <row r="6946" spans="3:7" ht="20.25" customHeight="1" x14ac:dyDescent="0.3">
      <c r="C6946" s="59"/>
      <c r="D6946" s="69"/>
      <c r="E6946" s="69"/>
      <c r="F6946" s="17"/>
      <c r="G6946" s="59"/>
    </row>
    <row r="6947" spans="3:7" ht="20.25" customHeight="1" x14ac:dyDescent="0.3">
      <c r="C6947" s="59"/>
      <c r="D6947" s="69"/>
      <c r="E6947" s="69"/>
      <c r="F6947" s="17"/>
      <c r="G6947" s="59"/>
    </row>
    <row r="6948" spans="3:7" ht="20.25" customHeight="1" x14ac:dyDescent="0.3">
      <c r="C6948" s="59"/>
      <c r="D6948" s="69"/>
      <c r="E6948" s="69"/>
      <c r="F6948" s="17"/>
      <c r="G6948" s="59"/>
    </row>
    <row r="6949" spans="3:7" ht="20.25" customHeight="1" x14ac:dyDescent="0.3">
      <c r="C6949" s="59"/>
      <c r="D6949" s="69"/>
      <c r="E6949" s="69"/>
      <c r="F6949" s="17"/>
      <c r="G6949" s="59"/>
    </row>
    <row r="6950" spans="3:7" ht="20.25" customHeight="1" x14ac:dyDescent="0.3">
      <c r="C6950" s="59"/>
      <c r="D6950" s="69"/>
      <c r="E6950" s="69"/>
      <c r="F6950" s="17"/>
      <c r="G6950" s="59"/>
    </row>
    <row r="6951" spans="3:7" ht="20.25" customHeight="1" x14ac:dyDescent="0.3">
      <c r="C6951" s="59"/>
      <c r="D6951" s="69"/>
      <c r="E6951" s="69"/>
      <c r="F6951" s="17"/>
      <c r="G6951" s="59"/>
    </row>
    <row r="6952" spans="3:7" ht="20.25" customHeight="1" x14ac:dyDescent="0.3">
      <c r="C6952" s="59"/>
      <c r="D6952" s="69"/>
      <c r="E6952" s="69"/>
      <c r="F6952" s="17"/>
      <c r="G6952" s="59"/>
    </row>
    <row r="6953" spans="3:7" ht="20.25" customHeight="1" x14ac:dyDescent="0.3">
      <c r="C6953" s="59"/>
      <c r="D6953" s="69"/>
      <c r="E6953" s="69"/>
      <c r="F6953" s="17"/>
      <c r="G6953" s="59"/>
    </row>
    <row r="6954" spans="3:7" ht="20.25" customHeight="1" x14ac:dyDescent="0.3">
      <c r="C6954" s="59"/>
      <c r="D6954" s="69"/>
      <c r="E6954" s="69"/>
      <c r="F6954" s="17"/>
      <c r="G6954" s="59"/>
    </row>
    <row r="6955" spans="3:7" ht="20.25" customHeight="1" x14ac:dyDescent="0.3">
      <c r="C6955" s="59"/>
      <c r="D6955" s="69"/>
      <c r="E6955" s="69"/>
      <c r="F6955" s="17"/>
      <c r="G6955" s="59"/>
    </row>
    <row r="6956" spans="3:7" ht="20.25" customHeight="1" x14ac:dyDescent="0.3">
      <c r="C6956" s="59"/>
      <c r="D6956" s="69"/>
      <c r="E6956" s="69"/>
      <c r="F6956" s="17"/>
      <c r="G6956" s="59"/>
    </row>
    <row r="6957" spans="3:7" ht="20.25" customHeight="1" x14ac:dyDescent="0.3">
      <c r="C6957" s="59"/>
      <c r="D6957" s="69"/>
      <c r="E6957" s="69"/>
      <c r="F6957" s="17"/>
      <c r="G6957" s="59"/>
    </row>
    <row r="6958" spans="3:7" ht="20.25" customHeight="1" x14ac:dyDescent="0.3">
      <c r="C6958" s="59"/>
      <c r="D6958" s="69"/>
      <c r="E6958" s="69"/>
      <c r="F6958" s="17"/>
      <c r="G6958" s="59"/>
    </row>
    <row r="6959" spans="3:7" ht="20.25" customHeight="1" x14ac:dyDescent="0.3">
      <c r="C6959" s="59"/>
      <c r="D6959" s="69"/>
      <c r="E6959" s="69"/>
      <c r="F6959" s="17"/>
      <c r="G6959" s="59"/>
    </row>
    <row r="6960" spans="3:7" ht="20.25" customHeight="1" x14ac:dyDescent="0.3">
      <c r="C6960" s="59"/>
      <c r="D6960" s="69"/>
      <c r="E6960" s="69"/>
      <c r="F6960" s="17"/>
      <c r="G6960" s="59"/>
    </row>
    <row r="6961" spans="3:7" ht="20.25" customHeight="1" x14ac:dyDescent="0.3">
      <c r="C6961" s="59"/>
      <c r="D6961" s="69"/>
      <c r="E6961" s="69"/>
      <c r="F6961" s="17"/>
      <c r="G6961" s="59"/>
    </row>
    <row r="6962" spans="3:7" ht="20.25" customHeight="1" x14ac:dyDescent="0.3">
      <c r="C6962" s="59"/>
      <c r="D6962" s="69"/>
      <c r="E6962" s="69"/>
      <c r="F6962" s="17"/>
      <c r="G6962" s="59"/>
    </row>
    <row r="6963" spans="3:7" ht="20.25" customHeight="1" x14ac:dyDescent="0.3">
      <c r="C6963" s="59"/>
      <c r="D6963" s="69"/>
      <c r="E6963" s="69"/>
      <c r="F6963" s="17"/>
      <c r="G6963" s="59"/>
    </row>
    <row r="6964" spans="3:7" ht="20.25" customHeight="1" x14ac:dyDescent="0.3">
      <c r="C6964" s="59"/>
      <c r="D6964" s="69"/>
      <c r="E6964" s="69"/>
      <c r="F6964" s="17"/>
      <c r="G6964" s="59"/>
    </row>
    <row r="6965" spans="3:7" ht="20.25" customHeight="1" x14ac:dyDescent="0.3">
      <c r="C6965" s="59"/>
      <c r="D6965" s="69"/>
      <c r="E6965" s="69"/>
      <c r="F6965" s="17"/>
      <c r="G6965" s="59"/>
    </row>
    <row r="6966" spans="3:7" ht="20.25" customHeight="1" x14ac:dyDescent="0.3">
      <c r="C6966" s="59"/>
      <c r="D6966" s="69"/>
      <c r="E6966" s="69"/>
      <c r="F6966" s="17"/>
      <c r="G6966" s="59"/>
    </row>
    <row r="6967" spans="3:7" ht="20.25" customHeight="1" x14ac:dyDescent="0.3">
      <c r="C6967" s="59"/>
      <c r="D6967" s="69"/>
      <c r="E6967" s="69"/>
      <c r="F6967" s="17"/>
      <c r="G6967" s="59"/>
    </row>
    <row r="6968" spans="3:7" ht="20.25" customHeight="1" x14ac:dyDescent="0.3">
      <c r="C6968" s="59"/>
      <c r="D6968" s="69"/>
      <c r="E6968" s="69"/>
      <c r="F6968" s="17"/>
      <c r="G6968" s="59"/>
    </row>
    <row r="6969" spans="3:7" ht="20.25" customHeight="1" x14ac:dyDescent="0.3">
      <c r="C6969" s="59"/>
      <c r="D6969" s="69"/>
      <c r="E6969" s="69"/>
      <c r="F6969" s="17"/>
      <c r="G6969" s="59"/>
    </row>
    <row r="6970" spans="3:7" ht="20.25" customHeight="1" x14ac:dyDescent="0.3">
      <c r="C6970" s="59"/>
      <c r="D6970" s="69"/>
      <c r="E6970" s="69"/>
      <c r="F6970" s="17"/>
      <c r="G6970" s="59"/>
    </row>
    <row r="6971" spans="3:7" ht="20.25" customHeight="1" x14ac:dyDescent="0.3">
      <c r="C6971" s="59"/>
      <c r="D6971" s="69"/>
      <c r="E6971" s="69"/>
      <c r="F6971" s="17"/>
      <c r="G6971" s="59"/>
    </row>
    <row r="6972" spans="3:7" ht="20.25" customHeight="1" x14ac:dyDescent="0.3">
      <c r="C6972" s="59"/>
      <c r="D6972" s="69"/>
      <c r="E6972" s="69"/>
      <c r="F6972" s="17"/>
      <c r="G6972" s="59"/>
    </row>
    <row r="6973" spans="3:7" ht="20.25" customHeight="1" x14ac:dyDescent="0.3">
      <c r="C6973" s="59"/>
      <c r="D6973" s="69"/>
      <c r="E6973" s="69"/>
      <c r="F6973" s="17"/>
      <c r="G6973" s="59"/>
    </row>
    <row r="6974" spans="3:7" ht="20.25" customHeight="1" x14ac:dyDescent="0.3">
      <c r="C6974" s="59"/>
      <c r="D6974" s="69"/>
      <c r="E6974" s="69"/>
      <c r="F6974" s="17"/>
      <c r="G6974" s="59"/>
    </row>
    <row r="6975" spans="3:7" ht="20.25" customHeight="1" x14ac:dyDescent="0.3">
      <c r="C6975" s="59"/>
      <c r="D6975" s="69"/>
      <c r="E6975" s="69"/>
      <c r="F6975" s="17"/>
      <c r="G6975" s="59"/>
    </row>
    <row r="6976" spans="3:7" ht="20.25" customHeight="1" x14ac:dyDescent="0.3">
      <c r="C6976" s="59"/>
      <c r="D6976" s="69"/>
      <c r="E6976" s="69"/>
      <c r="F6976" s="17"/>
      <c r="G6976" s="59"/>
    </row>
    <row r="6977" spans="3:7" ht="20.25" customHeight="1" x14ac:dyDescent="0.3">
      <c r="C6977" s="59"/>
      <c r="D6977" s="69"/>
      <c r="E6977" s="69"/>
      <c r="F6977" s="17"/>
      <c r="G6977" s="59"/>
    </row>
    <row r="6978" spans="3:7" ht="20.25" customHeight="1" x14ac:dyDescent="0.3">
      <c r="C6978" s="59"/>
      <c r="D6978" s="69"/>
      <c r="E6978" s="69"/>
      <c r="F6978" s="17"/>
      <c r="G6978" s="59"/>
    </row>
    <row r="6979" spans="3:7" ht="20.25" customHeight="1" x14ac:dyDescent="0.3">
      <c r="C6979" s="59"/>
      <c r="D6979" s="69"/>
      <c r="E6979" s="69"/>
      <c r="F6979" s="17"/>
      <c r="G6979" s="59"/>
    </row>
    <row r="6980" spans="3:7" ht="20.25" customHeight="1" x14ac:dyDescent="0.3">
      <c r="C6980" s="59"/>
      <c r="D6980" s="69"/>
      <c r="E6980" s="69"/>
      <c r="F6980" s="17"/>
      <c r="G6980" s="59"/>
    </row>
    <row r="6981" spans="3:7" ht="20.25" customHeight="1" x14ac:dyDescent="0.3">
      <c r="C6981" s="59"/>
      <c r="D6981" s="69"/>
      <c r="E6981" s="69"/>
      <c r="F6981" s="17"/>
      <c r="G6981" s="59"/>
    </row>
    <row r="6982" spans="3:7" ht="20.25" customHeight="1" x14ac:dyDescent="0.3">
      <c r="C6982" s="59"/>
      <c r="D6982" s="69"/>
      <c r="E6982" s="69"/>
      <c r="F6982" s="17"/>
      <c r="G6982" s="59"/>
    </row>
    <row r="6983" spans="3:7" ht="20.25" customHeight="1" x14ac:dyDescent="0.3">
      <c r="C6983" s="59"/>
      <c r="D6983" s="69"/>
      <c r="E6983" s="69"/>
      <c r="F6983" s="17"/>
      <c r="G6983" s="59"/>
    </row>
    <row r="6984" spans="3:7" ht="20.25" customHeight="1" x14ac:dyDescent="0.3">
      <c r="C6984" s="59"/>
      <c r="D6984" s="69"/>
      <c r="E6984" s="69"/>
      <c r="F6984" s="17"/>
      <c r="G6984" s="59"/>
    </row>
    <row r="6985" spans="3:7" ht="20.25" customHeight="1" x14ac:dyDescent="0.3">
      <c r="C6985" s="59"/>
      <c r="D6985" s="69"/>
      <c r="E6985" s="69"/>
      <c r="F6985" s="17"/>
      <c r="G6985" s="59"/>
    </row>
    <row r="6986" spans="3:7" ht="20.25" customHeight="1" x14ac:dyDescent="0.3">
      <c r="C6986" s="59"/>
      <c r="D6986" s="69"/>
      <c r="E6986" s="69"/>
      <c r="F6986" s="17"/>
      <c r="G6986" s="59"/>
    </row>
    <row r="6987" spans="3:7" ht="20.25" customHeight="1" x14ac:dyDescent="0.3">
      <c r="C6987" s="59"/>
      <c r="D6987" s="69"/>
      <c r="E6987" s="69"/>
      <c r="F6987" s="17"/>
      <c r="G6987" s="59"/>
    </row>
    <row r="6988" spans="3:7" ht="20.25" customHeight="1" x14ac:dyDescent="0.3">
      <c r="C6988" s="59"/>
      <c r="D6988" s="69"/>
      <c r="E6988" s="69"/>
      <c r="F6988" s="17"/>
      <c r="G6988" s="59"/>
    </row>
    <row r="6989" spans="3:7" ht="20.25" customHeight="1" x14ac:dyDescent="0.3">
      <c r="C6989" s="59"/>
      <c r="D6989" s="69"/>
      <c r="E6989" s="69"/>
      <c r="F6989" s="17"/>
      <c r="G6989" s="59"/>
    </row>
    <row r="6990" spans="3:7" ht="20.25" customHeight="1" x14ac:dyDescent="0.3">
      <c r="C6990" s="59"/>
      <c r="D6990" s="69"/>
      <c r="E6990" s="69"/>
      <c r="F6990" s="17"/>
      <c r="G6990" s="59"/>
    </row>
    <row r="6991" spans="3:7" ht="20.25" customHeight="1" x14ac:dyDescent="0.3">
      <c r="C6991" s="59"/>
      <c r="D6991" s="69"/>
      <c r="E6991" s="69"/>
      <c r="F6991" s="17"/>
      <c r="G6991" s="59"/>
    </row>
    <row r="6992" spans="3:7" ht="20.25" customHeight="1" x14ac:dyDescent="0.3">
      <c r="C6992" s="59"/>
      <c r="D6992" s="69"/>
      <c r="E6992" s="69"/>
      <c r="F6992" s="17"/>
      <c r="G6992" s="59"/>
    </row>
    <row r="6993" spans="3:7" ht="20.25" customHeight="1" x14ac:dyDescent="0.3">
      <c r="C6993" s="59"/>
      <c r="D6993" s="69"/>
      <c r="E6993" s="69"/>
      <c r="F6993" s="17"/>
      <c r="G6993" s="59"/>
    </row>
    <row r="6994" spans="3:7" ht="20.25" customHeight="1" x14ac:dyDescent="0.3">
      <c r="C6994" s="59"/>
      <c r="D6994" s="69"/>
      <c r="E6994" s="69"/>
      <c r="F6994" s="17"/>
      <c r="G6994" s="59"/>
    </row>
    <row r="6995" spans="3:7" ht="20.25" customHeight="1" x14ac:dyDescent="0.3">
      <c r="C6995" s="59"/>
      <c r="D6995" s="69"/>
      <c r="E6995" s="69"/>
      <c r="F6995" s="17"/>
      <c r="G6995" s="59"/>
    </row>
    <row r="6996" spans="3:7" ht="20.25" customHeight="1" x14ac:dyDescent="0.3">
      <c r="C6996" s="59"/>
      <c r="D6996" s="69"/>
      <c r="E6996" s="69"/>
      <c r="F6996" s="17"/>
      <c r="G6996" s="59"/>
    </row>
    <row r="6997" spans="3:7" ht="20.25" customHeight="1" x14ac:dyDescent="0.3">
      <c r="C6997" s="59"/>
      <c r="D6997" s="69"/>
      <c r="E6997" s="69"/>
      <c r="F6997" s="17"/>
      <c r="G6997" s="59"/>
    </row>
    <row r="6998" spans="3:7" ht="20.25" customHeight="1" x14ac:dyDescent="0.3">
      <c r="C6998" s="59"/>
      <c r="D6998" s="69"/>
      <c r="E6998" s="69"/>
      <c r="F6998" s="17"/>
      <c r="G6998" s="59"/>
    </row>
    <row r="6999" spans="3:7" ht="20.25" customHeight="1" x14ac:dyDescent="0.3">
      <c r="C6999" s="59"/>
      <c r="D6999" s="69"/>
      <c r="E6999" s="69"/>
      <c r="F6999" s="17"/>
      <c r="G6999" s="59"/>
    </row>
    <row r="7000" spans="3:7" ht="20.25" customHeight="1" x14ac:dyDescent="0.3">
      <c r="C7000" s="59"/>
      <c r="D7000" s="69"/>
      <c r="E7000" s="69"/>
      <c r="F7000" s="17"/>
      <c r="G7000" s="59"/>
    </row>
    <row r="7001" spans="3:7" ht="20.25" customHeight="1" x14ac:dyDescent="0.3">
      <c r="C7001" s="59"/>
      <c r="D7001" s="69"/>
      <c r="E7001" s="69"/>
      <c r="F7001" s="17"/>
      <c r="G7001" s="59"/>
    </row>
    <row r="7002" spans="3:7" ht="20.25" customHeight="1" x14ac:dyDescent="0.3">
      <c r="C7002" s="59"/>
      <c r="D7002" s="69"/>
      <c r="E7002" s="69"/>
      <c r="F7002" s="17"/>
      <c r="G7002" s="59"/>
    </row>
    <row r="7003" spans="3:7" ht="20.25" customHeight="1" x14ac:dyDescent="0.3">
      <c r="C7003" s="59"/>
      <c r="D7003" s="69"/>
      <c r="E7003" s="69"/>
      <c r="F7003" s="17"/>
      <c r="G7003" s="59"/>
    </row>
    <row r="7004" spans="3:7" ht="20.25" customHeight="1" x14ac:dyDescent="0.3">
      <c r="C7004" s="59"/>
      <c r="D7004" s="69"/>
      <c r="E7004" s="69"/>
      <c r="F7004" s="17"/>
      <c r="G7004" s="59"/>
    </row>
    <row r="7005" spans="3:7" ht="20.25" customHeight="1" x14ac:dyDescent="0.3">
      <c r="C7005" s="59"/>
      <c r="D7005" s="69"/>
      <c r="E7005" s="69"/>
      <c r="F7005" s="17"/>
      <c r="G7005" s="59"/>
    </row>
    <row r="7006" spans="3:7" ht="20.25" customHeight="1" x14ac:dyDescent="0.3">
      <c r="C7006" s="59"/>
      <c r="D7006" s="69"/>
      <c r="E7006" s="69"/>
      <c r="F7006" s="17"/>
      <c r="G7006" s="59"/>
    </row>
    <row r="7007" spans="3:7" ht="20.25" customHeight="1" x14ac:dyDescent="0.3">
      <c r="C7007" s="59"/>
      <c r="D7007" s="69"/>
      <c r="E7007" s="69"/>
      <c r="F7007" s="17"/>
      <c r="G7007" s="59"/>
    </row>
    <row r="7008" spans="3:7" ht="20.25" customHeight="1" x14ac:dyDescent="0.3">
      <c r="C7008" s="59"/>
      <c r="D7008" s="69"/>
      <c r="E7008" s="69"/>
      <c r="F7008" s="17"/>
      <c r="G7008" s="59"/>
    </row>
    <row r="7009" spans="3:7" ht="20.25" customHeight="1" x14ac:dyDescent="0.3">
      <c r="C7009" s="59"/>
      <c r="D7009" s="69"/>
      <c r="E7009" s="69"/>
      <c r="F7009" s="17"/>
      <c r="G7009" s="59"/>
    </row>
    <row r="7010" spans="3:7" ht="20.25" customHeight="1" x14ac:dyDescent="0.3">
      <c r="C7010" s="59"/>
      <c r="D7010" s="69"/>
      <c r="E7010" s="69"/>
      <c r="F7010" s="17"/>
      <c r="G7010" s="59"/>
    </row>
    <row r="7011" spans="3:7" ht="20.25" customHeight="1" x14ac:dyDescent="0.3">
      <c r="C7011" s="59"/>
      <c r="D7011" s="69"/>
      <c r="E7011" s="69"/>
      <c r="F7011" s="17"/>
      <c r="G7011" s="59"/>
    </row>
    <row r="7012" spans="3:7" ht="20.25" customHeight="1" x14ac:dyDescent="0.3">
      <c r="C7012" s="59"/>
      <c r="D7012" s="69"/>
      <c r="E7012" s="69"/>
      <c r="F7012" s="17"/>
      <c r="G7012" s="59"/>
    </row>
    <row r="7013" spans="3:7" ht="20.25" customHeight="1" x14ac:dyDescent="0.3">
      <c r="C7013" s="59"/>
      <c r="D7013" s="69"/>
      <c r="E7013" s="69"/>
      <c r="F7013" s="17"/>
      <c r="G7013" s="59"/>
    </row>
    <row r="7014" spans="3:7" ht="20.25" customHeight="1" x14ac:dyDescent="0.3">
      <c r="C7014" s="59"/>
      <c r="D7014" s="69"/>
      <c r="E7014" s="69"/>
      <c r="F7014" s="17"/>
      <c r="G7014" s="59"/>
    </row>
    <row r="7015" spans="3:7" ht="20.25" customHeight="1" x14ac:dyDescent="0.3">
      <c r="C7015" s="59"/>
      <c r="D7015" s="69"/>
      <c r="E7015" s="69"/>
      <c r="F7015" s="17"/>
      <c r="G7015" s="59"/>
    </row>
    <row r="7016" spans="3:7" ht="20.25" customHeight="1" x14ac:dyDescent="0.3">
      <c r="C7016" s="59"/>
      <c r="D7016" s="69"/>
      <c r="E7016" s="69"/>
      <c r="F7016" s="17"/>
      <c r="G7016" s="59"/>
    </row>
    <row r="7017" spans="3:7" ht="20.25" customHeight="1" x14ac:dyDescent="0.3">
      <c r="C7017" s="59"/>
      <c r="D7017" s="69"/>
      <c r="E7017" s="69"/>
      <c r="F7017" s="17"/>
      <c r="G7017" s="59"/>
    </row>
    <row r="7018" spans="3:7" ht="20.25" customHeight="1" x14ac:dyDescent="0.3">
      <c r="C7018" s="59"/>
      <c r="D7018" s="69"/>
      <c r="E7018" s="69"/>
      <c r="F7018" s="17"/>
      <c r="G7018" s="59"/>
    </row>
    <row r="7019" spans="3:7" ht="20.25" customHeight="1" x14ac:dyDescent="0.3">
      <c r="C7019" s="59"/>
      <c r="D7019" s="69"/>
      <c r="E7019" s="69"/>
      <c r="F7019" s="17"/>
      <c r="G7019" s="59"/>
    </row>
    <row r="7020" spans="3:7" ht="20.25" customHeight="1" x14ac:dyDescent="0.3">
      <c r="C7020" s="59"/>
      <c r="D7020" s="69"/>
      <c r="E7020" s="69"/>
      <c r="F7020" s="17"/>
      <c r="G7020" s="59"/>
    </row>
    <row r="7021" spans="3:7" ht="20.25" customHeight="1" x14ac:dyDescent="0.3">
      <c r="C7021" s="59"/>
      <c r="D7021" s="69"/>
      <c r="E7021" s="69"/>
      <c r="F7021" s="17"/>
      <c r="G7021" s="59"/>
    </row>
    <row r="7022" spans="3:7" ht="20.25" customHeight="1" x14ac:dyDescent="0.3">
      <c r="C7022" s="59"/>
      <c r="D7022" s="69"/>
      <c r="E7022" s="69"/>
      <c r="F7022" s="17"/>
      <c r="G7022" s="59"/>
    </row>
    <row r="7023" spans="3:7" ht="20.25" customHeight="1" x14ac:dyDescent="0.3">
      <c r="C7023" s="59"/>
      <c r="D7023" s="69"/>
      <c r="E7023" s="69"/>
      <c r="F7023" s="17"/>
      <c r="G7023" s="59"/>
    </row>
    <row r="7024" spans="3:7" ht="20.25" customHeight="1" x14ac:dyDescent="0.3">
      <c r="C7024" s="59"/>
      <c r="D7024" s="69"/>
      <c r="E7024" s="69"/>
      <c r="F7024" s="17"/>
      <c r="G7024" s="59"/>
    </row>
    <row r="7025" spans="3:7" ht="20.25" customHeight="1" x14ac:dyDescent="0.3">
      <c r="C7025" s="59"/>
      <c r="D7025" s="69"/>
      <c r="E7025" s="69"/>
      <c r="F7025" s="17"/>
      <c r="G7025" s="59"/>
    </row>
    <row r="7026" spans="3:7" ht="20.25" customHeight="1" x14ac:dyDescent="0.3">
      <c r="C7026" s="59"/>
      <c r="D7026" s="69"/>
      <c r="E7026" s="69"/>
      <c r="F7026" s="17"/>
      <c r="G7026" s="59"/>
    </row>
    <row r="7027" spans="3:7" ht="20.25" customHeight="1" x14ac:dyDescent="0.3">
      <c r="C7027" s="59"/>
      <c r="D7027" s="69"/>
      <c r="E7027" s="69"/>
      <c r="F7027" s="17"/>
      <c r="G7027" s="59"/>
    </row>
    <row r="7028" spans="3:7" ht="20.25" customHeight="1" x14ac:dyDescent="0.3">
      <c r="C7028" s="59"/>
      <c r="D7028" s="69"/>
      <c r="E7028" s="69"/>
      <c r="F7028" s="17"/>
      <c r="G7028" s="59"/>
    </row>
    <row r="7029" spans="3:7" ht="20.25" customHeight="1" x14ac:dyDescent="0.3">
      <c r="C7029" s="59"/>
      <c r="D7029" s="69"/>
      <c r="E7029" s="69"/>
      <c r="F7029" s="17"/>
      <c r="G7029" s="59"/>
    </row>
    <row r="7030" spans="3:7" ht="20.25" customHeight="1" x14ac:dyDescent="0.3">
      <c r="C7030" s="59"/>
      <c r="D7030" s="69"/>
      <c r="E7030" s="69"/>
      <c r="F7030" s="17"/>
      <c r="G7030" s="59"/>
    </row>
    <row r="7031" spans="3:7" ht="20.25" customHeight="1" x14ac:dyDescent="0.3">
      <c r="C7031" s="59"/>
      <c r="D7031" s="69"/>
      <c r="E7031" s="69"/>
      <c r="F7031" s="17"/>
      <c r="G7031" s="59"/>
    </row>
    <row r="7032" spans="3:7" ht="20.25" customHeight="1" x14ac:dyDescent="0.3">
      <c r="C7032" s="59"/>
      <c r="D7032" s="69"/>
      <c r="E7032" s="69"/>
      <c r="F7032" s="17"/>
      <c r="G7032" s="59"/>
    </row>
    <row r="7033" spans="3:7" ht="20.25" customHeight="1" x14ac:dyDescent="0.3">
      <c r="C7033" s="59"/>
      <c r="D7033" s="69"/>
      <c r="E7033" s="69"/>
      <c r="F7033" s="17"/>
      <c r="G7033" s="59"/>
    </row>
    <row r="7034" spans="3:7" ht="20.25" customHeight="1" x14ac:dyDescent="0.3">
      <c r="C7034" s="59"/>
      <c r="D7034" s="69"/>
      <c r="E7034" s="69"/>
      <c r="F7034" s="17"/>
      <c r="G7034" s="59"/>
    </row>
    <row r="7035" spans="3:7" ht="20.25" customHeight="1" x14ac:dyDescent="0.3">
      <c r="C7035" s="59"/>
      <c r="D7035" s="69"/>
      <c r="E7035" s="69"/>
      <c r="F7035" s="17"/>
      <c r="G7035" s="59"/>
    </row>
    <row r="7036" spans="3:7" ht="20.25" customHeight="1" x14ac:dyDescent="0.3">
      <c r="C7036" s="59"/>
      <c r="D7036" s="69"/>
      <c r="E7036" s="69"/>
      <c r="F7036" s="17"/>
      <c r="G7036" s="59"/>
    </row>
    <row r="7037" spans="3:7" ht="20.25" customHeight="1" x14ac:dyDescent="0.3">
      <c r="C7037" s="59"/>
      <c r="D7037" s="69"/>
      <c r="E7037" s="69"/>
      <c r="F7037" s="17"/>
      <c r="G7037" s="59"/>
    </row>
    <row r="7038" spans="3:7" ht="20.25" customHeight="1" x14ac:dyDescent="0.3">
      <c r="C7038" s="59"/>
      <c r="D7038" s="69"/>
      <c r="E7038" s="69"/>
      <c r="F7038" s="17"/>
      <c r="G7038" s="59"/>
    </row>
    <row r="7039" spans="3:7" ht="20.25" customHeight="1" x14ac:dyDescent="0.3">
      <c r="C7039" s="59"/>
      <c r="D7039" s="69"/>
      <c r="E7039" s="69"/>
      <c r="F7039" s="17"/>
      <c r="G7039" s="59"/>
    </row>
    <row r="7040" spans="3:7" ht="20.25" customHeight="1" x14ac:dyDescent="0.3">
      <c r="C7040" s="59"/>
      <c r="D7040" s="69"/>
      <c r="E7040" s="69"/>
      <c r="F7040" s="17"/>
      <c r="G7040" s="59"/>
    </row>
    <row r="7041" spans="3:7" ht="20.25" customHeight="1" x14ac:dyDescent="0.3">
      <c r="C7041" s="59"/>
      <c r="D7041" s="69"/>
      <c r="E7041" s="69"/>
      <c r="F7041" s="17"/>
      <c r="G7041" s="59"/>
    </row>
    <row r="7042" spans="3:7" ht="20.25" customHeight="1" x14ac:dyDescent="0.3">
      <c r="C7042" s="59"/>
      <c r="D7042" s="69"/>
      <c r="E7042" s="69"/>
      <c r="F7042" s="17"/>
      <c r="G7042" s="59"/>
    </row>
    <row r="7043" spans="3:7" ht="20.25" customHeight="1" x14ac:dyDescent="0.3">
      <c r="C7043" s="59"/>
      <c r="D7043" s="69"/>
      <c r="E7043" s="69"/>
      <c r="F7043" s="17"/>
      <c r="G7043" s="59"/>
    </row>
    <row r="7044" spans="3:7" ht="20.25" customHeight="1" x14ac:dyDescent="0.3">
      <c r="C7044" s="59"/>
      <c r="D7044" s="69"/>
      <c r="E7044" s="69"/>
      <c r="F7044" s="17"/>
      <c r="G7044" s="59"/>
    </row>
    <row r="7045" spans="3:7" ht="20.25" customHeight="1" x14ac:dyDescent="0.3">
      <c r="C7045" s="59"/>
      <c r="D7045" s="69"/>
      <c r="E7045" s="69"/>
      <c r="F7045" s="17"/>
      <c r="G7045" s="59"/>
    </row>
    <row r="7046" spans="3:7" ht="20.25" customHeight="1" x14ac:dyDescent="0.3">
      <c r="C7046" s="59"/>
      <c r="D7046" s="69"/>
      <c r="E7046" s="69"/>
      <c r="F7046" s="17"/>
      <c r="G7046" s="59"/>
    </row>
    <row r="7047" spans="3:7" ht="20.25" customHeight="1" x14ac:dyDescent="0.3">
      <c r="C7047" s="59"/>
      <c r="D7047" s="69"/>
      <c r="E7047" s="69"/>
      <c r="F7047" s="17"/>
      <c r="G7047" s="59"/>
    </row>
    <row r="7048" spans="3:7" ht="20.25" customHeight="1" x14ac:dyDescent="0.3">
      <c r="C7048" s="59"/>
      <c r="D7048" s="69"/>
      <c r="E7048" s="69"/>
      <c r="F7048" s="17"/>
      <c r="G7048" s="59"/>
    </row>
    <row r="7049" spans="3:7" ht="20.25" customHeight="1" x14ac:dyDescent="0.3">
      <c r="C7049" s="59"/>
      <c r="D7049" s="69"/>
      <c r="E7049" s="69"/>
      <c r="F7049" s="17"/>
      <c r="G7049" s="59"/>
    </row>
    <row r="7050" spans="3:7" ht="20.25" customHeight="1" x14ac:dyDescent="0.3">
      <c r="C7050" s="59"/>
      <c r="D7050" s="69"/>
      <c r="E7050" s="69"/>
      <c r="F7050" s="17"/>
      <c r="G7050" s="59"/>
    </row>
    <row r="7051" spans="3:7" ht="20.25" customHeight="1" x14ac:dyDescent="0.3">
      <c r="C7051" s="59"/>
      <c r="D7051" s="69"/>
      <c r="E7051" s="69"/>
      <c r="F7051" s="17"/>
      <c r="G7051" s="59"/>
    </row>
    <row r="7052" spans="3:7" ht="20.25" customHeight="1" x14ac:dyDescent="0.3">
      <c r="C7052" s="59"/>
      <c r="D7052" s="69"/>
      <c r="E7052" s="69"/>
      <c r="F7052" s="17"/>
      <c r="G7052" s="59"/>
    </row>
    <row r="7053" spans="3:7" ht="20.25" customHeight="1" x14ac:dyDescent="0.3">
      <c r="C7053" s="59"/>
      <c r="D7053" s="69"/>
      <c r="E7053" s="69"/>
      <c r="F7053" s="17"/>
      <c r="G7053" s="59"/>
    </row>
    <row r="7054" spans="3:7" ht="20.25" customHeight="1" x14ac:dyDescent="0.3">
      <c r="C7054" s="59"/>
      <c r="D7054" s="69"/>
      <c r="E7054" s="69"/>
      <c r="F7054" s="17"/>
      <c r="G7054" s="59"/>
    </row>
    <row r="7055" spans="3:7" ht="20.25" customHeight="1" x14ac:dyDescent="0.3">
      <c r="C7055" s="59"/>
      <c r="D7055" s="69"/>
      <c r="E7055" s="69"/>
      <c r="F7055" s="17"/>
      <c r="G7055" s="59"/>
    </row>
    <row r="7056" spans="3:7" ht="20.25" customHeight="1" x14ac:dyDescent="0.3">
      <c r="C7056" s="59"/>
      <c r="D7056" s="69"/>
      <c r="E7056" s="69"/>
      <c r="F7056" s="17"/>
      <c r="G7056" s="59"/>
    </row>
    <row r="7057" spans="3:7" ht="20.25" customHeight="1" x14ac:dyDescent="0.3">
      <c r="C7057" s="59"/>
      <c r="D7057" s="69"/>
      <c r="E7057" s="69"/>
      <c r="F7057" s="17"/>
      <c r="G7057" s="59"/>
    </row>
    <row r="7058" spans="3:7" ht="20.25" customHeight="1" x14ac:dyDescent="0.3">
      <c r="C7058" s="59"/>
      <c r="D7058" s="69"/>
      <c r="E7058" s="69"/>
      <c r="F7058" s="17"/>
      <c r="G7058" s="59"/>
    </row>
    <row r="7059" spans="3:7" ht="20.25" customHeight="1" x14ac:dyDescent="0.3">
      <c r="C7059" s="59"/>
      <c r="D7059" s="69"/>
      <c r="E7059" s="69"/>
      <c r="F7059" s="17"/>
      <c r="G7059" s="59"/>
    </row>
    <row r="7060" spans="3:7" ht="20.25" customHeight="1" x14ac:dyDescent="0.3">
      <c r="C7060" s="59"/>
      <c r="D7060" s="69"/>
      <c r="E7060" s="69"/>
      <c r="F7060" s="17"/>
      <c r="G7060" s="59"/>
    </row>
    <row r="7061" spans="3:7" ht="20.25" customHeight="1" x14ac:dyDescent="0.3">
      <c r="C7061" s="59"/>
      <c r="D7061" s="69"/>
      <c r="E7061" s="69"/>
      <c r="F7061" s="17"/>
      <c r="G7061" s="59"/>
    </row>
    <row r="7062" spans="3:7" ht="20.25" customHeight="1" x14ac:dyDescent="0.3">
      <c r="C7062" s="59"/>
      <c r="D7062" s="69"/>
      <c r="E7062" s="69"/>
      <c r="F7062" s="17"/>
      <c r="G7062" s="59"/>
    </row>
    <row r="7063" spans="3:7" ht="20.25" customHeight="1" x14ac:dyDescent="0.3">
      <c r="C7063" s="59"/>
      <c r="D7063" s="69"/>
      <c r="E7063" s="69"/>
      <c r="F7063" s="17"/>
      <c r="G7063" s="59"/>
    </row>
    <row r="7064" spans="3:7" ht="20.25" customHeight="1" x14ac:dyDescent="0.3">
      <c r="C7064" s="59"/>
      <c r="D7064" s="69"/>
      <c r="E7064" s="69"/>
      <c r="F7064" s="17"/>
      <c r="G7064" s="59"/>
    </row>
    <row r="7065" spans="3:7" ht="20.25" customHeight="1" x14ac:dyDescent="0.3">
      <c r="C7065" s="59"/>
      <c r="D7065" s="69"/>
      <c r="E7065" s="69"/>
      <c r="F7065" s="17"/>
      <c r="G7065" s="59"/>
    </row>
    <row r="7066" spans="3:7" ht="20.25" customHeight="1" x14ac:dyDescent="0.3">
      <c r="C7066" s="59"/>
      <c r="D7066" s="69"/>
      <c r="E7066" s="69"/>
      <c r="F7066" s="17"/>
      <c r="G7066" s="59"/>
    </row>
    <row r="7067" spans="3:7" ht="20.25" customHeight="1" x14ac:dyDescent="0.3">
      <c r="C7067" s="59"/>
      <c r="D7067" s="69"/>
      <c r="E7067" s="69"/>
      <c r="F7067" s="17"/>
      <c r="G7067" s="59"/>
    </row>
    <row r="7068" spans="3:7" ht="20.25" customHeight="1" x14ac:dyDescent="0.3">
      <c r="C7068" s="59"/>
      <c r="D7068" s="69"/>
      <c r="E7068" s="69"/>
      <c r="F7068" s="17"/>
      <c r="G7068" s="59"/>
    </row>
    <row r="7069" spans="3:7" ht="20.25" customHeight="1" x14ac:dyDescent="0.3">
      <c r="C7069" s="59"/>
      <c r="D7069" s="69"/>
      <c r="E7069" s="69"/>
      <c r="F7069" s="17"/>
      <c r="G7069" s="59"/>
    </row>
    <row r="7070" spans="3:7" ht="20.25" customHeight="1" x14ac:dyDescent="0.3">
      <c r="C7070" s="59"/>
      <c r="D7070" s="69"/>
      <c r="E7070" s="69"/>
      <c r="F7070" s="17"/>
      <c r="G7070" s="59"/>
    </row>
    <row r="7071" spans="3:7" ht="20.25" customHeight="1" x14ac:dyDescent="0.3">
      <c r="C7071" s="59"/>
      <c r="D7071" s="69"/>
      <c r="E7071" s="69"/>
      <c r="F7071" s="17"/>
      <c r="G7071" s="59"/>
    </row>
    <row r="7072" spans="3:7" ht="20.25" customHeight="1" x14ac:dyDescent="0.3">
      <c r="C7072" s="59"/>
      <c r="D7072" s="69"/>
      <c r="E7072" s="69"/>
      <c r="F7072" s="17"/>
      <c r="G7072" s="59"/>
    </row>
    <row r="7073" spans="3:7" ht="20.25" customHeight="1" x14ac:dyDescent="0.3">
      <c r="C7073" s="59"/>
      <c r="D7073" s="69"/>
      <c r="E7073" s="69"/>
      <c r="F7073" s="17"/>
      <c r="G7073" s="59"/>
    </row>
    <row r="7074" spans="3:7" ht="20.25" customHeight="1" x14ac:dyDescent="0.3">
      <c r="C7074" s="59"/>
      <c r="D7074" s="69"/>
      <c r="E7074" s="69"/>
      <c r="F7074" s="17"/>
      <c r="G7074" s="59"/>
    </row>
    <row r="7075" spans="3:7" ht="20.25" customHeight="1" x14ac:dyDescent="0.3">
      <c r="C7075" s="59"/>
      <c r="D7075" s="69"/>
      <c r="E7075" s="69"/>
      <c r="F7075" s="17"/>
      <c r="G7075" s="59"/>
    </row>
    <row r="7076" spans="3:7" ht="20.25" customHeight="1" x14ac:dyDescent="0.3">
      <c r="C7076" s="59"/>
      <c r="D7076" s="69"/>
      <c r="E7076" s="69"/>
      <c r="F7076" s="17"/>
      <c r="G7076" s="59"/>
    </row>
    <row r="7077" spans="3:7" ht="20.25" customHeight="1" x14ac:dyDescent="0.3">
      <c r="C7077" s="59"/>
      <c r="D7077" s="69"/>
      <c r="E7077" s="69"/>
      <c r="F7077" s="17"/>
      <c r="G7077" s="59"/>
    </row>
    <row r="7078" spans="3:7" ht="20.25" customHeight="1" x14ac:dyDescent="0.3">
      <c r="C7078" s="59"/>
      <c r="D7078" s="69"/>
      <c r="E7078" s="69"/>
      <c r="F7078" s="17"/>
      <c r="G7078" s="59"/>
    </row>
    <row r="7079" spans="3:7" ht="20.25" customHeight="1" x14ac:dyDescent="0.3">
      <c r="C7079" s="59"/>
      <c r="D7079" s="69"/>
      <c r="E7079" s="69"/>
      <c r="F7079" s="17"/>
      <c r="G7079" s="59"/>
    </row>
    <row r="7080" spans="3:7" ht="20.25" customHeight="1" x14ac:dyDescent="0.3">
      <c r="C7080" s="59"/>
      <c r="D7080" s="69"/>
      <c r="E7080" s="69"/>
      <c r="F7080" s="17"/>
      <c r="G7080" s="59"/>
    </row>
    <row r="7081" spans="3:7" ht="20.25" customHeight="1" x14ac:dyDescent="0.3">
      <c r="C7081" s="59"/>
      <c r="D7081" s="69"/>
      <c r="E7081" s="69"/>
      <c r="F7081" s="17"/>
      <c r="G7081" s="59"/>
    </row>
    <row r="7082" spans="3:7" ht="20.25" customHeight="1" x14ac:dyDescent="0.3">
      <c r="C7082" s="59"/>
      <c r="D7082" s="69"/>
      <c r="E7082" s="69"/>
      <c r="F7082" s="17"/>
      <c r="G7082" s="59"/>
    </row>
    <row r="7083" spans="3:7" ht="20.25" customHeight="1" x14ac:dyDescent="0.3">
      <c r="C7083" s="59"/>
      <c r="D7083" s="69"/>
      <c r="E7083" s="69"/>
      <c r="F7083" s="17"/>
      <c r="G7083" s="59"/>
    </row>
    <row r="7084" spans="3:7" ht="20.25" customHeight="1" x14ac:dyDescent="0.3">
      <c r="C7084" s="59"/>
      <c r="D7084" s="69"/>
      <c r="E7084" s="69"/>
      <c r="F7084" s="17"/>
      <c r="G7084" s="59"/>
    </row>
    <row r="7085" spans="3:7" ht="20.25" customHeight="1" x14ac:dyDescent="0.3">
      <c r="C7085" s="59"/>
      <c r="D7085" s="69"/>
      <c r="E7085" s="69"/>
      <c r="F7085" s="17"/>
      <c r="G7085" s="59"/>
    </row>
    <row r="7086" spans="3:7" ht="20.25" customHeight="1" x14ac:dyDescent="0.3">
      <c r="C7086" s="59"/>
      <c r="D7086" s="69"/>
      <c r="E7086" s="69"/>
      <c r="F7086" s="17"/>
      <c r="G7086" s="59"/>
    </row>
    <row r="7087" spans="3:7" ht="20.25" customHeight="1" x14ac:dyDescent="0.3">
      <c r="C7087" s="59"/>
      <c r="D7087" s="69"/>
      <c r="E7087" s="69"/>
      <c r="F7087" s="17"/>
      <c r="G7087" s="59"/>
    </row>
    <row r="7088" spans="3:7" ht="20.25" customHeight="1" x14ac:dyDescent="0.3">
      <c r="C7088" s="59"/>
      <c r="D7088" s="69"/>
      <c r="E7088" s="69"/>
      <c r="F7088" s="17"/>
      <c r="G7088" s="59"/>
    </row>
    <row r="7089" spans="3:7" ht="20.25" customHeight="1" x14ac:dyDescent="0.3">
      <c r="C7089" s="59"/>
      <c r="D7089" s="69"/>
      <c r="E7089" s="69"/>
      <c r="F7089" s="17"/>
      <c r="G7089" s="59"/>
    </row>
    <row r="7090" spans="3:7" ht="20.25" customHeight="1" x14ac:dyDescent="0.3">
      <c r="C7090" s="59"/>
      <c r="D7090" s="69"/>
      <c r="E7090" s="69"/>
      <c r="F7090" s="17"/>
      <c r="G7090" s="59"/>
    </row>
    <row r="7091" spans="3:7" ht="20.25" customHeight="1" x14ac:dyDescent="0.3">
      <c r="C7091" s="59"/>
      <c r="D7091" s="69"/>
      <c r="E7091" s="69"/>
      <c r="F7091" s="17"/>
      <c r="G7091" s="59"/>
    </row>
    <row r="7092" spans="3:7" ht="20.25" customHeight="1" x14ac:dyDescent="0.3">
      <c r="C7092" s="59"/>
      <c r="D7092" s="69"/>
      <c r="E7092" s="69"/>
      <c r="F7092" s="17"/>
      <c r="G7092" s="59"/>
    </row>
    <row r="7093" spans="3:7" ht="20.25" customHeight="1" x14ac:dyDescent="0.3">
      <c r="C7093" s="59"/>
      <c r="D7093" s="69"/>
      <c r="E7093" s="69"/>
      <c r="F7093" s="17"/>
      <c r="G7093" s="59"/>
    </row>
    <row r="7094" spans="3:7" ht="20.25" customHeight="1" x14ac:dyDescent="0.3">
      <c r="C7094" s="59"/>
      <c r="D7094" s="69"/>
      <c r="E7094" s="69"/>
      <c r="F7094" s="17"/>
      <c r="G7094" s="59"/>
    </row>
    <row r="7095" spans="3:7" ht="20.25" customHeight="1" x14ac:dyDescent="0.3">
      <c r="C7095" s="59"/>
      <c r="D7095" s="69"/>
      <c r="E7095" s="69"/>
      <c r="F7095" s="17"/>
      <c r="G7095" s="59"/>
    </row>
    <row r="7096" spans="3:7" ht="20.25" customHeight="1" x14ac:dyDescent="0.3">
      <c r="C7096" s="59"/>
      <c r="D7096" s="69"/>
      <c r="E7096" s="69"/>
      <c r="F7096" s="17"/>
      <c r="G7096" s="59"/>
    </row>
    <row r="7097" spans="3:7" ht="20.25" customHeight="1" x14ac:dyDescent="0.3">
      <c r="C7097" s="59"/>
      <c r="D7097" s="69"/>
      <c r="E7097" s="69"/>
      <c r="F7097" s="17"/>
      <c r="G7097" s="59"/>
    </row>
    <row r="7098" spans="3:7" ht="20.25" customHeight="1" x14ac:dyDescent="0.3">
      <c r="C7098" s="59"/>
      <c r="D7098" s="69"/>
      <c r="E7098" s="69"/>
      <c r="F7098" s="17"/>
      <c r="G7098" s="59"/>
    </row>
    <row r="7099" spans="3:7" ht="20.25" customHeight="1" x14ac:dyDescent="0.3">
      <c r="C7099" s="59"/>
      <c r="D7099" s="69"/>
      <c r="E7099" s="69"/>
      <c r="F7099" s="17"/>
      <c r="G7099" s="59"/>
    </row>
    <row r="7100" spans="3:7" ht="20.25" customHeight="1" x14ac:dyDescent="0.3">
      <c r="C7100" s="59"/>
      <c r="D7100" s="69"/>
      <c r="E7100" s="69"/>
      <c r="F7100" s="17"/>
      <c r="G7100" s="59"/>
    </row>
    <row r="7101" spans="3:7" ht="20.25" customHeight="1" x14ac:dyDescent="0.3">
      <c r="C7101" s="59"/>
      <c r="D7101" s="69"/>
      <c r="E7101" s="69"/>
      <c r="F7101" s="17"/>
      <c r="G7101" s="59"/>
    </row>
    <row r="7102" spans="3:7" ht="20.25" customHeight="1" x14ac:dyDescent="0.3">
      <c r="C7102" s="59"/>
      <c r="D7102" s="69"/>
      <c r="E7102" s="69"/>
      <c r="F7102" s="17"/>
      <c r="G7102" s="59"/>
    </row>
    <row r="7103" spans="3:7" ht="20.25" customHeight="1" x14ac:dyDescent="0.3">
      <c r="C7103" s="59"/>
      <c r="D7103" s="69"/>
      <c r="E7103" s="69"/>
      <c r="F7103" s="17"/>
      <c r="G7103" s="59"/>
    </row>
    <row r="7104" spans="3:7" ht="20.25" customHeight="1" x14ac:dyDescent="0.3">
      <c r="C7104" s="59"/>
      <c r="D7104" s="69"/>
      <c r="E7104" s="69"/>
      <c r="F7104" s="17"/>
      <c r="G7104" s="59"/>
    </row>
    <row r="7105" spans="3:7" ht="20.25" customHeight="1" x14ac:dyDescent="0.3">
      <c r="C7105" s="59"/>
      <c r="D7105" s="69"/>
      <c r="E7105" s="69"/>
      <c r="F7105" s="17"/>
      <c r="G7105" s="59"/>
    </row>
    <row r="7106" spans="3:7" ht="20.25" customHeight="1" x14ac:dyDescent="0.3">
      <c r="C7106" s="59"/>
      <c r="D7106" s="69"/>
      <c r="E7106" s="69"/>
      <c r="F7106" s="17"/>
      <c r="G7106" s="59"/>
    </row>
    <row r="7107" spans="3:7" ht="20.25" customHeight="1" x14ac:dyDescent="0.3">
      <c r="C7107" s="59"/>
      <c r="D7107" s="69"/>
      <c r="E7107" s="69"/>
      <c r="F7107" s="17"/>
      <c r="G7107" s="59"/>
    </row>
    <row r="7108" spans="3:7" ht="20.25" customHeight="1" x14ac:dyDescent="0.3">
      <c r="C7108" s="59"/>
      <c r="D7108" s="69"/>
      <c r="E7108" s="69"/>
      <c r="F7108" s="17"/>
      <c r="G7108" s="59"/>
    </row>
    <row r="7109" spans="3:7" ht="20.25" customHeight="1" x14ac:dyDescent="0.3">
      <c r="C7109" s="59"/>
      <c r="D7109" s="69"/>
      <c r="E7109" s="69"/>
      <c r="F7109" s="17"/>
      <c r="G7109" s="59"/>
    </row>
    <row r="7110" spans="3:7" ht="20.25" customHeight="1" x14ac:dyDescent="0.3">
      <c r="C7110" s="59"/>
      <c r="D7110" s="69"/>
      <c r="E7110" s="69"/>
      <c r="F7110" s="17"/>
      <c r="G7110" s="59"/>
    </row>
    <row r="7111" spans="3:7" ht="20.25" customHeight="1" x14ac:dyDescent="0.3">
      <c r="C7111" s="59"/>
      <c r="D7111" s="69"/>
      <c r="E7111" s="69"/>
      <c r="F7111" s="17"/>
      <c r="G7111" s="59"/>
    </row>
    <row r="7112" spans="3:7" ht="20.25" customHeight="1" x14ac:dyDescent="0.3">
      <c r="C7112" s="59"/>
      <c r="D7112" s="69"/>
      <c r="E7112" s="69"/>
      <c r="F7112" s="17"/>
      <c r="G7112" s="59"/>
    </row>
    <row r="7113" spans="3:7" ht="20.25" customHeight="1" x14ac:dyDescent="0.3">
      <c r="C7113" s="59"/>
      <c r="D7113" s="69"/>
      <c r="E7113" s="69"/>
      <c r="F7113" s="17"/>
      <c r="G7113" s="59"/>
    </row>
    <row r="7114" spans="3:7" ht="20.25" customHeight="1" x14ac:dyDescent="0.3">
      <c r="C7114" s="59"/>
      <c r="D7114" s="69"/>
      <c r="E7114" s="69"/>
      <c r="F7114" s="17"/>
      <c r="G7114" s="59"/>
    </row>
    <row r="7115" spans="3:7" ht="20.25" customHeight="1" x14ac:dyDescent="0.3">
      <c r="C7115" s="59"/>
      <c r="D7115" s="69"/>
      <c r="E7115" s="69"/>
      <c r="F7115" s="17"/>
      <c r="G7115" s="59"/>
    </row>
    <row r="7116" spans="3:7" ht="20.25" customHeight="1" x14ac:dyDescent="0.3">
      <c r="C7116" s="59"/>
      <c r="D7116" s="69"/>
      <c r="E7116" s="69"/>
      <c r="F7116" s="17"/>
      <c r="G7116" s="59"/>
    </row>
    <row r="7117" spans="3:7" ht="20.25" customHeight="1" x14ac:dyDescent="0.3">
      <c r="C7117" s="59"/>
      <c r="D7117" s="69"/>
      <c r="E7117" s="69"/>
      <c r="F7117" s="17"/>
      <c r="G7117" s="59"/>
    </row>
    <row r="7118" spans="3:7" ht="20.25" customHeight="1" x14ac:dyDescent="0.3">
      <c r="C7118" s="59"/>
      <c r="D7118" s="69"/>
      <c r="E7118" s="69"/>
      <c r="F7118" s="17"/>
      <c r="G7118" s="59"/>
    </row>
    <row r="7119" spans="3:7" ht="20.25" customHeight="1" x14ac:dyDescent="0.3">
      <c r="C7119" s="59"/>
      <c r="D7119" s="69"/>
      <c r="E7119" s="69"/>
      <c r="F7119" s="17"/>
      <c r="G7119" s="59"/>
    </row>
    <row r="7120" spans="3:7" ht="20.25" customHeight="1" x14ac:dyDescent="0.3">
      <c r="C7120" s="59"/>
      <c r="D7120" s="69"/>
      <c r="E7120" s="69"/>
      <c r="F7120" s="17"/>
      <c r="G7120" s="59"/>
    </row>
    <row r="7121" spans="3:7" ht="20.25" customHeight="1" x14ac:dyDescent="0.3">
      <c r="C7121" s="59"/>
      <c r="D7121" s="69"/>
      <c r="E7121" s="69"/>
      <c r="F7121" s="17"/>
      <c r="G7121" s="59"/>
    </row>
    <row r="7122" spans="3:7" ht="20.25" customHeight="1" x14ac:dyDescent="0.3">
      <c r="C7122" s="59"/>
      <c r="D7122" s="69"/>
      <c r="E7122" s="69"/>
      <c r="F7122" s="17"/>
      <c r="G7122" s="59"/>
    </row>
    <row r="7123" spans="3:7" ht="20.25" customHeight="1" x14ac:dyDescent="0.3">
      <c r="C7123" s="59"/>
      <c r="D7123" s="69"/>
      <c r="E7123" s="69"/>
      <c r="F7123" s="17"/>
      <c r="G7123" s="59"/>
    </row>
    <row r="7124" spans="3:7" ht="20.25" customHeight="1" x14ac:dyDescent="0.3">
      <c r="C7124" s="59"/>
      <c r="D7124" s="69"/>
      <c r="E7124" s="69"/>
      <c r="F7124" s="17"/>
      <c r="G7124" s="59"/>
    </row>
    <row r="7125" spans="3:7" ht="20.25" customHeight="1" x14ac:dyDescent="0.3">
      <c r="C7125" s="59"/>
      <c r="D7125" s="69"/>
      <c r="E7125" s="69"/>
      <c r="F7125" s="17"/>
      <c r="G7125" s="59"/>
    </row>
    <row r="7126" spans="3:7" ht="20.25" customHeight="1" x14ac:dyDescent="0.3">
      <c r="C7126" s="59"/>
      <c r="D7126" s="69"/>
      <c r="E7126" s="69"/>
      <c r="F7126" s="17"/>
      <c r="G7126" s="59"/>
    </row>
    <row r="7127" spans="3:7" ht="20.25" customHeight="1" x14ac:dyDescent="0.3">
      <c r="C7127" s="59"/>
      <c r="D7127" s="69"/>
      <c r="E7127" s="69"/>
      <c r="F7127" s="17"/>
      <c r="G7127" s="59"/>
    </row>
    <row r="7128" spans="3:7" ht="20.25" customHeight="1" x14ac:dyDescent="0.3">
      <c r="C7128" s="59"/>
      <c r="D7128" s="69"/>
      <c r="E7128" s="69"/>
      <c r="F7128" s="17"/>
      <c r="G7128" s="59"/>
    </row>
    <row r="7129" spans="3:7" ht="20.25" customHeight="1" x14ac:dyDescent="0.3">
      <c r="C7129" s="59"/>
      <c r="D7129" s="69"/>
      <c r="E7129" s="69"/>
      <c r="F7129" s="17"/>
      <c r="G7129" s="59"/>
    </row>
    <row r="7130" spans="3:7" ht="20.25" customHeight="1" x14ac:dyDescent="0.3">
      <c r="C7130" s="59"/>
      <c r="D7130" s="69"/>
      <c r="E7130" s="69"/>
      <c r="F7130" s="17"/>
      <c r="G7130" s="59"/>
    </row>
    <row r="7131" spans="3:7" ht="20.25" customHeight="1" x14ac:dyDescent="0.3">
      <c r="C7131" s="59"/>
      <c r="D7131" s="69"/>
      <c r="E7131" s="69"/>
      <c r="F7131" s="17"/>
      <c r="G7131" s="59"/>
    </row>
    <row r="7132" spans="3:7" ht="20.25" customHeight="1" x14ac:dyDescent="0.3">
      <c r="C7132" s="59"/>
      <c r="D7132" s="69"/>
      <c r="E7132" s="69"/>
      <c r="F7132" s="17"/>
      <c r="G7132" s="59"/>
    </row>
    <row r="7133" spans="3:7" ht="20.25" customHeight="1" x14ac:dyDescent="0.3">
      <c r="C7133" s="59"/>
      <c r="D7133" s="69"/>
      <c r="E7133" s="69"/>
      <c r="F7133" s="17"/>
      <c r="G7133" s="59"/>
    </row>
    <row r="7134" spans="3:7" ht="20.25" customHeight="1" x14ac:dyDescent="0.3">
      <c r="C7134" s="59"/>
      <c r="D7134" s="69"/>
      <c r="E7134" s="69"/>
      <c r="F7134" s="17"/>
      <c r="G7134" s="59"/>
    </row>
    <row r="7135" spans="3:7" ht="20.25" customHeight="1" x14ac:dyDescent="0.3">
      <c r="C7135" s="59"/>
      <c r="D7135" s="69"/>
      <c r="E7135" s="69"/>
      <c r="F7135" s="17"/>
      <c r="G7135" s="59"/>
    </row>
    <row r="7136" spans="3:7" ht="20.25" customHeight="1" x14ac:dyDescent="0.3">
      <c r="C7136" s="59"/>
      <c r="D7136" s="69"/>
      <c r="E7136" s="69"/>
      <c r="F7136" s="17"/>
      <c r="G7136" s="59"/>
    </row>
    <row r="7137" spans="3:7" ht="20.25" customHeight="1" x14ac:dyDescent="0.3">
      <c r="C7137" s="59"/>
      <c r="D7137" s="69"/>
      <c r="E7137" s="69"/>
      <c r="F7137" s="17"/>
      <c r="G7137" s="59"/>
    </row>
    <row r="7138" spans="3:7" ht="20.25" customHeight="1" x14ac:dyDescent="0.3">
      <c r="C7138" s="59"/>
      <c r="D7138" s="69"/>
      <c r="E7138" s="69"/>
      <c r="F7138" s="17"/>
      <c r="G7138" s="59"/>
    </row>
    <row r="7139" spans="3:7" ht="20.25" customHeight="1" x14ac:dyDescent="0.3">
      <c r="C7139" s="59"/>
      <c r="D7139" s="69"/>
      <c r="E7139" s="69"/>
      <c r="F7139" s="17"/>
      <c r="G7139" s="59"/>
    </row>
    <row r="7140" spans="3:7" ht="20.25" customHeight="1" x14ac:dyDescent="0.3">
      <c r="C7140" s="59"/>
      <c r="D7140" s="69"/>
      <c r="E7140" s="69"/>
      <c r="F7140" s="17"/>
      <c r="G7140" s="59"/>
    </row>
    <row r="7141" spans="3:7" ht="20.25" customHeight="1" x14ac:dyDescent="0.3">
      <c r="C7141" s="59"/>
      <c r="D7141" s="69"/>
      <c r="E7141" s="69"/>
      <c r="F7141" s="17"/>
      <c r="G7141" s="59"/>
    </row>
    <row r="7142" spans="3:7" ht="20.25" customHeight="1" x14ac:dyDescent="0.3">
      <c r="C7142" s="59"/>
      <c r="D7142" s="69"/>
      <c r="E7142" s="69"/>
      <c r="F7142" s="17"/>
      <c r="G7142" s="59"/>
    </row>
    <row r="7143" spans="3:7" ht="20.25" customHeight="1" x14ac:dyDescent="0.3">
      <c r="C7143" s="59"/>
      <c r="D7143" s="69"/>
      <c r="E7143" s="69"/>
      <c r="F7143" s="17"/>
      <c r="G7143" s="59"/>
    </row>
    <row r="7144" spans="3:7" ht="20.25" customHeight="1" x14ac:dyDescent="0.3">
      <c r="C7144" s="59"/>
      <c r="D7144" s="69"/>
      <c r="E7144" s="69"/>
      <c r="F7144" s="17"/>
      <c r="G7144" s="59"/>
    </row>
    <row r="7145" spans="3:7" ht="20.25" customHeight="1" x14ac:dyDescent="0.3">
      <c r="C7145" s="59"/>
      <c r="D7145" s="69"/>
      <c r="E7145" s="69"/>
      <c r="F7145" s="17"/>
      <c r="G7145" s="59"/>
    </row>
    <row r="7146" spans="3:7" ht="20.25" customHeight="1" x14ac:dyDescent="0.3">
      <c r="C7146" s="59"/>
      <c r="D7146" s="69"/>
      <c r="E7146" s="69"/>
      <c r="F7146" s="17"/>
      <c r="G7146" s="59"/>
    </row>
    <row r="7147" spans="3:7" ht="20.25" customHeight="1" x14ac:dyDescent="0.3">
      <c r="C7147" s="59"/>
      <c r="D7147" s="69"/>
      <c r="E7147" s="69"/>
      <c r="F7147" s="17"/>
      <c r="G7147" s="59"/>
    </row>
    <row r="7148" spans="3:7" ht="20.25" customHeight="1" x14ac:dyDescent="0.3">
      <c r="C7148" s="59"/>
      <c r="D7148" s="69"/>
      <c r="E7148" s="69"/>
      <c r="F7148" s="17"/>
      <c r="G7148" s="59"/>
    </row>
    <row r="7149" spans="3:7" ht="20.25" customHeight="1" x14ac:dyDescent="0.3">
      <c r="C7149" s="59"/>
      <c r="D7149" s="69"/>
      <c r="E7149" s="69"/>
      <c r="F7149" s="17"/>
      <c r="G7149" s="59"/>
    </row>
    <row r="7150" spans="3:7" ht="20.25" customHeight="1" x14ac:dyDescent="0.3">
      <c r="C7150" s="59"/>
      <c r="D7150" s="69"/>
      <c r="E7150" s="69"/>
      <c r="F7150" s="17"/>
      <c r="G7150" s="59"/>
    </row>
    <row r="7151" spans="3:7" ht="20.25" customHeight="1" x14ac:dyDescent="0.3">
      <c r="C7151" s="59"/>
      <c r="D7151" s="69"/>
      <c r="E7151" s="69"/>
      <c r="F7151" s="17"/>
      <c r="G7151" s="59"/>
    </row>
    <row r="7152" spans="3:7" ht="20.25" customHeight="1" x14ac:dyDescent="0.3">
      <c r="C7152" s="59"/>
      <c r="D7152" s="69"/>
      <c r="E7152" s="69"/>
      <c r="F7152" s="17"/>
      <c r="G7152" s="59"/>
    </row>
    <row r="7153" spans="3:7" ht="20.25" customHeight="1" x14ac:dyDescent="0.3">
      <c r="C7153" s="59"/>
      <c r="D7153" s="69"/>
      <c r="E7153" s="69"/>
      <c r="F7153" s="17"/>
      <c r="G7153" s="59"/>
    </row>
    <row r="7154" spans="3:7" ht="20.25" customHeight="1" x14ac:dyDescent="0.3">
      <c r="C7154" s="59"/>
      <c r="D7154" s="69"/>
      <c r="E7154" s="69"/>
      <c r="F7154" s="17"/>
      <c r="G7154" s="59"/>
    </row>
    <row r="7155" spans="3:7" ht="20.25" customHeight="1" x14ac:dyDescent="0.3">
      <c r="C7155" s="59"/>
      <c r="D7155" s="69"/>
      <c r="E7155" s="69"/>
      <c r="F7155" s="17"/>
      <c r="G7155" s="59"/>
    </row>
    <row r="7156" spans="3:7" ht="20.25" customHeight="1" x14ac:dyDescent="0.3">
      <c r="C7156" s="59"/>
      <c r="D7156" s="69"/>
      <c r="E7156" s="69"/>
      <c r="F7156" s="17"/>
      <c r="G7156" s="59"/>
    </row>
    <row r="7157" spans="3:7" ht="20.25" customHeight="1" x14ac:dyDescent="0.3">
      <c r="C7157" s="59"/>
      <c r="D7157" s="69"/>
      <c r="E7157" s="69"/>
      <c r="F7157" s="17"/>
      <c r="G7157" s="59"/>
    </row>
    <row r="7158" spans="3:7" ht="20.25" customHeight="1" x14ac:dyDescent="0.3">
      <c r="C7158" s="59"/>
      <c r="D7158" s="69"/>
      <c r="E7158" s="69"/>
      <c r="F7158" s="17"/>
      <c r="G7158" s="59"/>
    </row>
    <row r="7159" spans="3:7" ht="20.25" customHeight="1" x14ac:dyDescent="0.3">
      <c r="C7159" s="59"/>
      <c r="D7159" s="69"/>
      <c r="E7159" s="69"/>
      <c r="F7159" s="17"/>
      <c r="G7159" s="59"/>
    </row>
    <row r="7160" spans="3:7" ht="20.25" customHeight="1" x14ac:dyDescent="0.3">
      <c r="C7160" s="59"/>
      <c r="D7160" s="69"/>
      <c r="E7160" s="69"/>
      <c r="F7160" s="17"/>
      <c r="G7160" s="59"/>
    </row>
    <row r="7161" spans="3:7" ht="20.25" customHeight="1" x14ac:dyDescent="0.3">
      <c r="C7161" s="59"/>
      <c r="D7161" s="69"/>
      <c r="E7161" s="69"/>
      <c r="F7161" s="17"/>
      <c r="G7161" s="59"/>
    </row>
    <row r="7162" spans="3:7" ht="20.25" customHeight="1" x14ac:dyDescent="0.3">
      <c r="C7162" s="59"/>
      <c r="D7162" s="69"/>
      <c r="E7162" s="69"/>
      <c r="F7162" s="17"/>
      <c r="G7162" s="59"/>
    </row>
    <row r="7163" spans="3:7" ht="20.25" customHeight="1" x14ac:dyDescent="0.3">
      <c r="C7163" s="59"/>
      <c r="D7163" s="69"/>
      <c r="E7163" s="69"/>
      <c r="F7163" s="17"/>
      <c r="G7163" s="59"/>
    </row>
    <row r="7164" spans="3:7" ht="20.25" customHeight="1" x14ac:dyDescent="0.3">
      <c r="C7164" s="59"/>
      <c r="D7164" s="69"/>
      <c r="E7164" s="69"/>
      <c r="F7164" s="17"/>
      <c r="G7164" s="59"/>
    </row>
    <row r="7165" spans="3:7" ht="20.25" customHeight="1" x14ac:dyDescent="0.3">
      <c r="C7165" s="59"/>
      <c r="D7165" s="69"/>
      <c r="E7165" s="69"/>
      <c r="F7165" s="17"/>
      <c r="G7165" s="59"/>
    </row>
    <row r="7166" spans="3:7" ht="20.25" customHeight="1" x14ac:dyDescent="0.3">
      <c r="C7166" s="59"/>
      <c r="D7166" s="69"/>
      <c r="E7166" s="69"/>
      <c r="F7166" s="17"/>
      <c r="G7166" s="59"/>
    </row>
    <row r="7167" spans="3:7" ht="20.25" customHeight="1" x14ac:dyDescent="0.3">
      <c r="C7167" s="59"/>
      <c r="D7167" s="69"/>
      <c r="E7167" s="69"/>
      <c r="F7167" s="17"/>
      <c r="G7167" s="59"/>
    </row>
    <row r="7168" spans="3:7" ht="20.25" customHeight="1" x14ac:dyDescent="0.3">
      <c r="C7168" s="59"/>
      <c r="D7168" s="69"/>
      <c r="E7168" s="69"/>
      <c r="F7168" s="17"/>
      <c r="G7168" s="59"/>
    </row>
    <row r="7169" spans="3:7" ht="20.25" customHeight="1" x14ac:dyDescent="0.3">
      <c r="C7169" s="59"/>
      <c r="D7169" s="69"/>
      <c r="E7169" s="69"/>
      <c r="F7169" s="17"/>
      <c r="G7169" s="59"/>
    </row>
    <row r="7170" spans="3:7" ht="20.25" customHeight="1" x14ac:dyDescent="0.3">
      <c r="C7170" s="59"/>
      <c r="D7170" s="69"/>
      <c r="E7170" s="69"/>
      <c r="F7170" s="17"/>
      <c r="G7170" s="59"/>
    </row>
    <row r="7171" spans="3:7" ht="20.25" customHeight="1" x14ac:dyDescent="0.3">
      <c r="C7171" s="59"/>
      <c r="D7171" s="69"/>
      <c r="E7171" s="69"/>
      <c r="F7171" s="17"/>
      <c r="G7171" s="59"/>
    </row>
    <row r="7172" spans="3:7" ht="20.25" customHeight="1" x14ac:dyDescent="0.3">
      <c r="C7172" s="59"/>
      <c r="D7172" s="69"/>
      <c r="E7172" s="69"/>
      <c r="F7172" s="17"/>
      <c r="G7172" s="59"/>
    </row>
    <row r="7173" spans="3:7" ht="20.25" customHeight="1" x14ac:dyDescent="0.3">
      <c r="C7173" s="59"/>
      <c r="D7173" s="69"/>
      <c r="E7173" s="69"/>
      <c r="F7173" s="17"/>
      <c r="G7173" s="59"/>
    </row>
    <row r="7174" spans="3:7" ht="20.25" customHeight="1" x14ac:dyDescent="0.3">
      <c r="C7174" s="59"/>
      <c r="D7174" s="69"/>
      <c r="E7174" s="69"/>
      <c r="F7174" s="17"/>
      <c r="G7174" s="59"/>
    </row>
    <row r="7175" spans="3:7" ht="20.25" customHeight="1" x14ac:dyDescent="0.3">
      <c r="C7175" s="59"/>
      <c r="D7175" s="69"/>
      <c r="E7175" s="69"/>
      <c r="F7175" s="17"/>
      <c r="G7175" s="59"/>
    </row>
    <row r="7176" spans="3:7" ht="20.25" customHeight="1" x14ac:dyDescent="0.3">
      <c r="C7176" s="59"/>
      <c r="D7176" s="69"/>
      <c r="E7176" s="69"/>
      <c r="F7176" s="17"/>
      <c r="G7176" s="59"/>
    </row>
    <row r="7177" spans="3:7" ht="20.25" customHeight="1" x14ac:dyDescent="0.3">
      <c r="C7177" s="59"/>
      <c r="D7177" s="69"/>
      <c r="E7177" s="69"/>
      <c r="F7177" s="17"/>
      <c r="G7177" s="59"/>
    </row>
    <row r="7178" spans="3:7" ht="20.25" customHeight="1" x14ac:dyDescent="0.3">
      <c r="C7178" s="59"/>
      <c r="D7178" s="69"/>
      <c r="E7178" s="69"/>
      <c r="F7178" s="17"/>
      <c r="G7178" s="59"/>
    </row>
    <row r="7179" spans="3:7" ht="20.25" customHeight="1" x14ac:dyDescent="0.3">
      <c r="C7179" s="59"/>
      <c r="D7179" s="69"/>
      <c r="E7179" s="69"/>
      <c r="F7179" s="17"/>
      <c r="G7179" s="59"/>
    </row>
    <row r="7180" spans="3:7" ht="20.25" customHeight="1" x14ac:dyDescent="0.3">
      <c r="C7180" s="59"/>
      <c r="D7180" s="69"/>
      <c r="E7180" s="69"/>
      <c r="F7180" s="17"/>
      <c r="G7180" s="59"/>
    </row>
    <row r="7181" spans="3:7" ht="20.25" customHeight="1" x14ac:dyDescent="0.3">
      <c r="C7181" s="59"/>
      <c r="D7181" s="69"/>
      <c r="E7181" s="69"/>
      <c r="F7181" s="17"/>
      <c r="G7181" s="59"/>
    </row>
    <row r="7182" spans="3:7" ht="20.25" customHeight="1" x14ac:dyDescent="0.3">
      <c r="C7182" s="59"/>
      <c r="D7182" s="69"/>
      <c r="E7182" s="69"/>
      <c r="F7182" s="17"/>
      <c r="G7182" s="59"/>
    </row>
    <row r="7183" spans="3:7" ht="20.25" customHeight="1" x14ac:dyDescent="0.3">
      <c r="C7183" s="59"/>
      <c r="D7183" s="69"/>
      <c r="E7183" s="69"/>
      <c r="F7183" s="17"/>
      <c r="G7183" s="59"/>
    </row>
    <row r="7184" spans="3:7" ht="20.25" customHeight="1" x14ac:dyDescent="0.3">
      <c r="C7184" s="59"/>
      <c r="D7184" s="69"/>
      <c r="E7184" s="69"/>
      <c r="F7184" s="17"/>
      <c r="G7184" s="59"/>
    </row>
    <row r="7185" spans="3:7" ht="20.25" customHeight="1" x14ac:dyDescent="0.3">
      <c r="C7185" s="59"/>
      <c r="D7185" s="69"/>
      <c r="E7185" s="69"/>
      <c r="F7185" s="17"/>
      <c r="G7185" s="59"/>
    </row>
    <row r="7186" spans="3:7" ht="20.25" customHeight="1" x14ac:dyDescent="0.3">
      <c r="C7186" s="59"/>
      <c r="D7186" s="69"/>
      <c r="E7186" s="69"/>
      <c r="F7186" s="17"/>
      <c r="G7186" s="59"/>
    </row>
    <row r="7187" spans="3:7" ht="20.25" customHeight="1" x14ac:dyDescent="0.3">
      <c r="C7187" s="59"/>
      <c r="D7187" s="69"/>
      <c r="E7187" s="69"/>
      <c r="F7187" s="17"/>
      <c r="G7187" s="59"/>
    </row>
    <row r="7188" spans="3:7" ht="20.25" customHeight="1" x14ac:dyDescent="0.3">
      <c r="C7188" s="59"/>
      <c r="D7188" s="69"/>
      <c r="E7188" s="69"/>
      <c r="F7188" s="17"/>
      <c r="G7188" s="59"/>
    </row>
    <row r="7189" spans="3:7" ht="20.25" customHeight="1" x14ac:dyDescent="0.3">
      <c r="C7189" s="59"/>
      <c r="D7189" s="69"/>
      <c r="E7189" s="69"/>
      <c r="F7189" s="17"/>
      <c r="G7189" s="59"/>
    </row>
    <row r="7190" spans="3:7" ht="20.25" customHeight="1" x14ac:dyDescent="0.3">
      <c r="C7190" s="59"/>
      <c r="D7190" s="69"/>
      <c r="E7190" s="69"/>
      <c r="F7190" s="17"/>
      <c r="G7190" s="59"/>
    </row>
    <row r="7191" spans="3:7" ht="20.25" customHeight="1" x14ac:dyDescent="0.3">
      <c r="C7191" s="59"/>
      <c r="D7191" s="69"/>
      <c r="E7191" s="69"/>
      <c r="F7191" s="17"/>
      <c r="G7191" s="59"/>
    </row>
    <row r="7192" spans="3:7" ht="20.25" customHeight="1" x14ac:dyDescent="0.3">
      <c r="C7192" s="59"/>
      <c r="D7192" s="69"/>
      <c r="E7192" s="69"/>
      <c r="F7192" s="17"/>
      <c r="G7192" s="59"/>
    </row>
    <row r="7193" spans="3:7" ht="20.25" customHeight="1" x14ac:dyDescent="0.3">
      <c r="C7193" s="59"/>
      <c r="D7193" s="69"/>
      <c r="E7193" s="69"/>
      <c r="F7193" s="17"/>
      <c r="G7193" s="59"/>
    </row>
    <row r="7194" spans="3:7" ht="20.25" customHeight="1" x14ac:dyDescent="0.3">
      <c r="C7194" s="59"/>
      <c r="D7194" s="69"/>
      <c r="E7194" s="69"/>
      <c r="F7194" s="17"/>
      <c r="G7194" s="59"/>
    </row>
    <row r="7195" spans="3:7" ht="20.25" customHeight="1" x14ac:dyDescent="0.3">
      <c r="C7195" s="59"/>
      <c r="D7195" s="69"/>
      <c r="E7195" s="69"/>
      <c r="F7195" s="17"/>
      <c r="G7195" s="59"/>
    </row>
    <row r="7196" spans="3:7" ht="20.25" customHeight="1" x14ac:dyDescent="0.3">
      <c r="C7196" s="59"/>
      <c r="D7196" s="69"/>
      <c r="E7196" s="69"/>
      <c r="F7196" s="17"/>
      <c r="G7196" s="59"/>
    </row>
    <row r="7197" spans="3:7" ht="20.25" customHeight="1" x14ac:dyDescent="0.3">
      <c r="C7197" s="59"/>
      <c r="D7197" s="69"/>
      <c r="E7197" s="69"/>
      <c r="F7197" s="17"/>
      <c r="G7197" s="59"/>
    </row>
    <row r="7198" spans="3:7" ht="20.25" customHeight="1" x14ac:dyDescent="0.3">
      <c r="C7198" s="59"/>
      <c r="D7198" s="69"/>
      <c r="E7198" s="69"/>
      <c r="F7198" s="17"/>
      <c r="G7198" s="59"/>
    </row>
    <row r="7199" spans="3:7" ht="20.25" customHeight="1" x14ac:dyDescent="0.3">
      <c r="C7199" s="59"/>
      <c r="D7199" s="69"/>
      <c r="E7199" s="69"/>
      <c r="F7199" s="17"/>
      <c r="G7199" s="59"/>
    </row>
    <row r="7200" spans="3:7" ht="20.25" customHeight="1" x14ac:dyDescent="0.3">
      <c r="C7200" s="59"/>
      <c r="D7200" s="69"/>
      <c r="E7200" s="69"/>
      <c r="F7200" s="17"/>
      <c r="G7200" s="59"/>
    </row>
    <row r="7201" spans="3:7" ht="20.25" customHeight="1" x14ac:dyDescent="0.3">
      <c r="C7201" s="59"/>
      <c r="D7201" s="69"/>
      <c r="E7201" s="69"/>
      <c r="F7201" s="17"/>
      <c r="G7201" s="59"/>
    </row>
    <row r="7202" spans="3:7" ht="20.25" customHeight="1" x14ac:dyDescent="0.3">
      <c r="C7202" s="59"/>
      <c r="D7202" s="69"/>
      <c r="E7202" s="69"/>
      <c r="F7202" s="17"/>
      <c r="G7202" s="59"/>
    </row>
    <row r="7203" spans="3:7" ht="20.25" customHeight="1" x14ac:dyDescent="0.3">
      <c r="C7203" s="59"/>
      <c r="D7203" s="69"/>
      <c r="E7203" s="69"/>
      <c r="F7203" s="17"/>
      <c r="G7203" s="59"/>
    </row>
    <row r="7204" spans="3:7" ht="20.25" customHeight="1" x14ac:dyDescent="0.3">
      <c r="C7204" s="59"/>
      <c r="D7204" s="69"/>
      <c r="E7204" s="69"/>
      <c r="F7204" s="17"/>
      <c r="G7204" s="59"/>
    </row>
    <row r="7205" spans="3:7" ht="20.25" customHeight="1" x14ac:dyDescent="0.3">
      <c r="C7205" s="59"/>
      <c r="D7205" s="69"/>
      <c r="E7205" s="69"/>
      <c r="F7205" s="17"/>
      <c r="G7205" s="59"/>
    </row>
    <row r="7206" spans="3:7" ht="20.25" customHeight="1" x14ac:dyDescent="0.3">
      <c r="C7206" s="59"/>
      <c r="D7206" s="69"/>
      <c r="E7206" s="69"/>
      <c r="F7206" s="17"/>
      <c r="G7206" s="59"/>
    </row>
    <row r="7207" spans="3:7" ht="20.25" customHeight="1" x14ac:dyDescent="0.3">
      <c r="C7207" s="59"/>
      <c r="D7207" s="69"/>
      <c r="E7207" s="69"/>
      <c r="F7207" s="17"/>
      <c r="G7207" s="59"/>
    </row>
    <row r="7208" spans="3:7" ht="20.25" customHeight="1" x14ac:dyDescent="0.3">
      <c r="C7208" s="59"/>
      <c r="D7208" s="69"/>
      <c r="E7208" s="69"/>
      <c r="F7208" s="17"/>
      <c r="G7208" s="59"/>
    </row>
    <row r="7209" spans="3:7" ht="20.25" customHeight="1" x14ac:dyDescent="0.3">
      <c r="C7209" s="59"/>
      <c r="D7209" s="69"/>
      <c r="E7209" s="69"/>
      <c r="F7209" s="17"/>
      <c r="G7209" s="59"/>
    </row>
    <row r="7210" spans="3:7" ht="20.25" customHeight="1" x14ac:dyDescent="0.3">
      <c r="C7210" s="59"/>
      <c r="D7210" s="69"/>
      <c r="E7210" s="69"/>
      <c r="F7210" s="17"/>
      <c r="G7210" s="59"/>
    </row>
    <row r="7211" spans="3:7" ht="20.25" customHeight="1" x14ac:dyDescent="0.3">
      <c r="C7211" s="59"/>
      <c r="D7211" s="69"/>
      <c r="E7211" s="69"/>
      <c r="F7211" s="17"/>
      <c r="G7211" s="59"/>
    </row>
    <row r="7212" spans="3:7" ht="20.25" customHeight="1" x14ac:dyDescent="0.3">
      <c r="C7212" s="59"/>
      <c r="D7212" s="69"/>
      <c r="E7212" s="69"/>
      <c r="F7212" s="17"/>
      <c r="G7212" s="59"/>
    </row>
    <row r="7213" spans="3:7" ht="20.25" customHeight="1" x14ac:dyDescent="0.3">
      <c r="C7213" s="59"/>
      <c r="D7213" s="69"/>
      <c r="E7213" s="69"/>
      <c r="F7213" s="17"/>
      <c r="G7213" s="59"/>
    </row>
    <row r="7214" spans="3:7" ht="20.25" customHeight="1" x14ac:dyDescent="0.3">
      <c r="C7214" s="59"/>
      <c r="D7214" s="69"/>
      <c r="E7214" s="69"/>
      <c r="F7214" s="17"/>
      <c r="G7214" s="59"/>
    </row>
    <row r="7215" spans="3:7" ht="20.25" customHeight="1" x14ac:dyDescent="0.3">
      <c r="C7215" s="59"/>
      <c r="D7215" s="69"/>
      <c r="E7215" s="69"/>
      <c r="F7215" s="17"/>
      <c r="G7215" s="59"/>
    </row>
    <row r="7216" spans="3:7" ht="20.25" customHeight="1" x14ac:dyDescent="0.3">
      <c r="C7216" s="59"/>
      <c r="D7216" s="69"/>
      <c r="E7216" s="69"/>
      <c r="F7216" s="17"/>
      <c r="G7216" s="59"/>
    </row>
    <row r="7217" spans="3:7" ht="20.25" customHeight="1" x14ac:dyDescent="0.3">
      <c r="C7217" s="59"/>
      <c r="D7217" s="69"/>
      <c r="E7217" s="69"/>
      <c r="F7217" s="17"/>
      <c r="G7217" s="59"/>
    </row>
    <row r="7218" spans="3:7" ht="20.25" customHeight="1" x14ac:dyDescent="0.3">
      <c r="C7218" s="59"/>
      <c r="D7218" s="69"/>
      <c r="E7218" s="69"/>
      <c r="F7218" s="17"/>
      <c r="G7218" s="59"/>
    </row>
    <row r="7219" spans="3:7" ht="20.25" customHeight="1" x14ac:dyDescent="0.3">
      <c r="C7219" s="59"/>
      <c r="D7219" s="69"/>
      <c r="E7219" s="69"/>
      <c r="F7219" s="17"/>
      <c r="G7219" s="59"/>
    </row>
    <row r="7220" spans="3:7" ht="20.25" customHeight="1" x14ac:dyDescent="0.3">
      <c r="C7220" s="59"/>
      <c r="D7220" s="69"/>
      <c r="E7220" s="69"/>
      <c r="F7220" s="17"/>
      <c r="G7220" s="59"/>
    </row>
    <row r="7221" spans="3:7" ht="20.25" customHeight="1" x14ac:dyDescent="0.3">
      <c r="C7221" s="59"/>
      <c r="D7221" s="69"/>
      <c r="E7221" s="69"/>
      <c r="F7221" s="17"/>
      <c r="G7221" s="59"/>
    </row>
    <row r="7222" spans="3:7" ht="20.25" customHeight="1" x14ac:dyDescent="0.3">
      <c r="C7222" s="59"/>
      <c r="D7222" s="69"/>
      <c r="E7222" s="69"/>
      <c r="F7222" s="17"/>
      <c r="G7222" s="59"/>
    </row>
    <row r="7223" spans="3:7" ht="20.25" customHeight="1" x14ac:dyDescent="0.3">
      <c r="C7223" s="59"/>
      <c r="D7223" s="69"/>
      <c r="E7223" s="69"/>
      <c r="F7223" s="17"/>
      <c r="G7223" s="59"/>
    </row>
    <row r="7224" spans="3:7" ht="20.25" customHeight="1" x14ac:dyDescent="0.3">
      <c r="C7224" s="59"/>
      <c r="D7224" s="69"/>
      <c r="E7224" s="69"/>
      <c r="F7224" s="17"/>
      <c r="G7224" s="59"/>
    </row>
    <row r="7225" spans="3:7" ht="20.25" customHeight="1" x14ac:dyDescent="0.3">
      <c r="C7225" s="59"/>
      <c r="D7225" s="69"/>
      <c r="E7225" s="69"/>
      <c r="F7225" s="17"/>
      <c r="G7225" s="59"/>
    </row>
    <row r="7226" spans="3:7" ht="20.25" customHeight="1" x14ac:dyDescent="0.3">
      <c r="C7226" s="59"/>
      <c r="D7226" s="69"/>
      <c r="E7226" s="69"/>
      <c r="F7226" s="17"/>
      <c r="G7226" s="59"/>
    </row>
    <row r="7227" spans="3:7" ht="20.25" customHeight="1" x14ac:dyDescent="0.3">
      <c r="C7227" s="59"/>
      <c r="D7227" s="69"/>
      <c r="E7227" s="69"/>
      <c r="F7227" s="17"/>
      <c r="G7227" s="59"/>
    </row>
    <row r="7228" spans="3:7" ht="20.25" customHeight="1" x14ac:dyDescent="0.3">
      <c r="C7228" s="59"/>
      <c r="D7228" s="69"/>
      <c r="E7228" s="69"/>
      <c r="F7228" s="17"/>
      <c r="G7228" s="59"/>
    </row>
    <row r="7229" spans="3:7" ht="20.25" customHeight="1" x14ac:dyDescent="0.3">
      <c r="C7229" s="59"/>
      <c r="D7229" s="69"/>
      <c r="E7229" s="69"/>
      <c r="F7229" s="17"/>
      <c r="G7229" s="59"/>
    </row>
    <row r="7230" spans="3:7" ht="20.25" customHeight="1" x14ac:dyDescent="0.3">
      <c r="C7230" s="59"/>
      <c r="D7230" s="69"/>
      <c r="E7230" s="69"/>
      <c r="F7230" s="17"/>
      <c r="G7230" s="59"/>
    </row>
    <row r="7231" spans="3:7" ht="20.25" customHeight="1" x14ac:dyDescent="0.3">
      <c r="C7231" s="59"/>
      <c r="D7231" s="69"/>
      <c r="E7231" s="69"/>
      <c r="F7231" s="17"/>
      <c r="G7231" s="59"/>
    </row>
    <row r="7232" spans="3:7" ht="20.25" customHeight="1" x14ac:dyDescent="0.3">
      <c r="C7232" s="59"/>
      <c r="D7232" s="69"/>
      <c r="E7232" s="69"/>
      <c r="F7232" s="17"/>
      <c r="G7232" s="59"/>
    </row>
    <row r="7233" spans="3:7" ht="20.25" customHeight="1" x14ac:dyDescent="0.3">
      <c r="C7233" s="59"/>
      <c r="D7233" s="69"/>
      <c r="E7233" s="69"/>
      <c r="F7233" s="17"/>
      <c r="G7233" s="59"/>
    </row>
    <row r="7234" spans="3:7" ht="20.25" customHeight="1" x14ac:dyDescent="0.3">
      <c r="C7234" s="59"/>
      <c r="D7234" s="69"/>
      <c r="E7234" s="69"/>
      <c r="F7234" s="17"/>
      <c r="G7234" s="59"/>
    </row>
    <row r="7235" spans="3:7" ht="20.25" customHeight="1" x14ac:dyDescent="0.3">
      <c r="C7235" s="59"/>
      <c r="D7235" s="69"/>
      <c r="E7235" s="69"/>
      <c r="F7235" s="17"/>
      <c r="G7235" s="59"/>
    </row>
    <row r="7236" spans="3:7" ht="20.25" customHeight="1" x14ac:dyDescent="0.3">
      <c r="C7236" s="59"/>
      <c r="D7236" s="69"/>
      <c r="E7236" s="69"/>
      <c r="F7236" s="17"/>
      <c r="G7236" s="59"/>
    </row>
    <row r="7237" spans="3:7" ht="20.25" customHeight="1" x14ac:dyDescent="0.3">
      <c r="C7237" s="59"/>
      <c r="D7237" s="69"/>
      <c r="E7237" s="69"/>
      <c r="F7237" s="17"/>
      <c r="G7237" s="59"/>
    </row>
    <row r="7238" spans="3:7" ht="20.25" customHeight="1" x14ac:dyDescent="0.3">
      <c r="C7238" s="59"/>
      <c r="D7238" s="69"/>
      <c r="E7238" s="69"/>
      <c r="F7238" s="17"/>
      <c r="G7238" s="59"/>
    </row>
    <row r="7239" spans="3:7" ht="20.25" customHeight="1" x14ac:dyDescent="0.3">
      <c r="C7239" s="59"/>
      <c r="D7239" s="69"/>
      <c r="E7239" s="69"/>
      <c r="F7239" s="17"/>
      <c r="G7239" s="59"/>
    </row>
    <row r="7240" spans="3:7" ht="20.25" customHeight="1" x14ac:dyDescent="0.3">
      <c r="C7240" s="59"/>
      <c r="D7240" s="69"/>
      <c r="E7240" s="69"/>
      <c r="F7240" s="17"/>
      <c r="G7240" s="59"/>
    </row>
    <row r="7241" spans="3:7" ht="20.25" customHeight="1" x14ac:dyDescent="0.3">
      <c r="C7241" s="59"/>
      <c r="D7241" s="69"/>
      <c r="E7241" s="69"/>
      <c r="F7241" s="17"/>
      <c r="G7241" s="59"/>
    </row>
    <row r="7242" spans="3:7" ht="20.25" customHeight="1" x14ac:dyDescent="0.3">
      <c r="C7242" s="59"/>
      <c r="D7242" s="69"/>
      <c r="E7242" s="69"/>
      <c r="F7242" s="17"/>
      <c r="G7242" s="59"/>
    </row>
    <row r="7243" spans="3:7" ht="20.25" customHeight="1" x14ac:dyDescent="0.3">
      <c r="C7243" s="59"/>
      <c r="D7243" s="69"/>
      <c r="E7243" s="69"/>
      <c r="F7243" s="17"/>
      <c r="G7243" s="59"/>
    </row>
    <row r="7244" spans="3:7" ht="20.25" customHeight="1" x14ac:dyDescent="0.3">
      <c r="C7244" s="59"/>
      <c r="D7244" s="69"/>
      <c r="E7244" s="69"/>
      <c r="F7244" s="17"/>
      <c r="G7244" s="59"/>
    </row>
    <row r="7245" spans="3:7" ht="20.25" customHeight="1" x14ac:dyDescent="0.3">
      <c r="C7245" s="59"/>
      <c r="D7245" s="69"/>
      <c r="E7245" s="69"/>
      <c r="F7245" s="17"/>
      <c r="G7245" s="59"/>
    </row>
    <row r="7246" spans="3:7" ht="20.25" customHeight="1" x14ac:dyDescent="0.3">
      <c r="C7246" s="59"/>
      <c r="D7246" s="69"/>
      <c r="E7246" s="69"/>
      <c r="F7246" s="17"/>
      <c r="G7246" s="59"/>
    </row>
    <row r="7247" spans="3:7" ht="20.25" customHeight="1" x14ac:dyDescent="0.3">
      <c r="C7247" s="59"/>
      <c r="D7247" s="69"/>
      <c r="E7247" s="69"/>
      <c r="F7247" s="17"/>
      <c r="G7247" s="59"/>
    </row>
    <row r="7248" spans="3:7" ht="20.25" customHeight="1" x14ac:dyDescent="0.3">
      <c r="C7248" s="59"/>
      <c r="D7248" s="69"/>
      <c r="E7248" s="69"/>
      <c r="F7248" s="17"/>
      <c r="G7248" s="59"/>
    </row>
    <row r="7249" spans="3:7" ht="20.25" customHeight="1" x14ac:dyDescent="0.3">
      <c r="C7249" s="59"/>
      <c r="D7249" s="69"/>
      <c r="E7249" s="69"/>
      <c r="F7249" s="17"/>
      <c r="G7249" s="59"/>
    </row>
    <row r="7250" spans="3:7" ht="20.25" customHeight="1" x14ac:dyDescent="0.3">
      <c r="C7250" s="59"/>
      <c r="D7250" s="69"/>
      <c r="E7250" s="69"/>
      <c r="F7250" s="17"/>
      <c r="G7250" s="59"/>
    </row>
    <row r="7251" spans="3:7" ht="20.25" customHeight="1" x14ac:dyDescent="0.3">
      <c r="C7251" s="59"/>
      <c r="D7251" s="69"/>
      <c r="E7251" s="69"/>
      <c r="F7251" s="17"/>
      <c r="G7251" s="59"/>
    </row>
    <row r="7252" spans="3:7" ht="20.25" customHeight="1" x14ac:dyDescent="0.3">
      <c r="C7252" s="59"/>
      <c r="D7252" s="69"/>
      <c r="E7252" s="69"/>
      <c r="F7252" s="17"/>
      <c r="G7252" s="59"/>
    </row>
    <row r="7253" spans="3:7" ht="20.25" customHeight="1" x14ac:dyDescent="0.3">
      <c r="C7253" s="59"/>
      <c r="D7253" s="69"/>
      <c r="E7253" s="69"/>
      <c r="F7253" s="17"/>
      <c r="G7253" s="59"/>
    </row>
    <row r="7254" spans="3:7" ht="20.25" customHeight="1" x14ac:dyDescent="0.3">
      <c r="C7254" s="59"/>
      <c r="D7254" s="69"/>
      <c r="E7254" s="69"/>
      <c r="F7254" s="17"/>
      <c r="G7254" s="59"/>
    </row>
    <row r="7255" spans="3:7" ht="20.25" customHeight="1" x14ac:dyDescent="0.3">
      <c r="C7255" s="59"/>
      <c r="D7255" s="69"/>
      <c r="E7255" s="69"/>
      <c r="F7255" s="17"/>
      <c r="G7255" s="59"/>
    </row>
    <row r="7256" spans="3:7" ht="20.25" customHeight="1" x14ac:dyDescent="0.3">
      <c r="C7256" s="59"/>
      <c r="D7256" s="69"/>
      <c r="E7256" s="69"/>
      <c r="F7256" s="17"/>
      <c r="G7256" s="59"/>
    </row>
    <row r="7257" spans="3:7" ht="20.25" customHeight="1" x14ac:dyDescent="0.3">
      <c r="C7257" s="59"/>
      <c r="D7257" s="69"/>
      <c r="E7257" s="69"/>
      <c r="F7257" s="17"/>
      <c r="G7257" s="59"/>
    </row>
    <row r="7258" spans="3:7" ht="20.25" customHeight="1" x14ac:dyDescent="0.3">
      <c r="C7258" s="59"/>
      <c r="D7258" s="69"/>
      <c r="E7258" s="69"/>
      <c r="F7258" s="17"/>
      <c r="G7258" s="59"/>
    </row>
    <row r="7259" spans="3:7" ht="20.25" customHeight="1" x14ac:dyDescent="0.3">
      <c r="C7259" s="59"/>
      <c r="D7259" s="69"/>
      <c r="E7259" s="69"/>
      <c r="F7259" s="17"/>
      <c r="G7259" s="59"/>
    </row>
    <row r="7260" spans="3:7" ht="20.25" customHeight="1" x14ac:dyDescent="0.3">
      <c r="C7260" s="59"/>
      <c r="D7260" s="69"/>
      <c r="E7260" s="69"/>
      <c r="F7260" s="17"/>
      <c r="G7260" s="59"/>
    </row>
    <row r="7261" spans="3:7" ht="20.25" customHeight="1" x14ac:dyDescent="0.3">
      <c r="C7261" s="59"/>
      <c r="D7261" s="69"/>
      <c r="E7261" s="69"/>
      <c r="F7261" s="17"/>
      <c r="G7261" s="59"/>
    </row>
    <row r="7262" spans="3:7" ht="20.25" customHeight="1" x14ac:dyDescent="0.3">
      <c r="C7262" s="59"/>
      <c r="D7262" s="69"/>
      <c r="E7262" s="69"/>
      <c r="F7262" s="17"/>
      <c r="G7262" s="59"/>
    </row>
    <row r="7263" spans="3:7" ht="20.25" customHeight="1" x14ac:dyDescent="0.3">
      <c r="C7263" s="59"/>
      <c r="D7263" s="69"/>
      <c r="E7263" s="69"/>
      <c r="F7263" s="17"/>
      <c r="G7263" s="59"/>
    </row>
    <row r="7264" spans="3:7" ht="20.25" customHeight="1" x14ac:dyDescent="0.3">
      <c r="C7264" s="59"/>
      <c r="D7264" s="69"/>
      <c r="E7264" s="69"/>
      <c r="F7264" s="17"/>
      <c r="G7264" s="59"/>
    </row>
    <row r="7265" spans="3:7" ht="20.25" customHeight="1" x14ac:dyDescent="0.3">
      <c r="C7265" s="59"/>
      <c r="D7265" s="69"/>
      <c r="E7265" s="69"/>
      <c r="F7265" s="17"/>
      <c r="G7265" s="59"/>
    </row>
    <row r="7266" spans="3:7" ht="20.25" customHeight="1" x14ac:dyDescent="0.3">
      <c r="C7266" s="59"/>
      <c r="D7266" s="69"/>
      <c r="E7266" s="69"/>
      <c r="F7266" s="17"/>
      <c r="G7266" s="59"/>
    </row>
    <row r="7267" spans="3:7" ht="20.25" customHeight="1" x14ac:dyDescent="0.3">
      <c r="C7267" s="59"/>
      <c r="D7267" s="69"/>
      <c r="E7267" s="69"/>
      <c r="F7267" s="17"/>
      <c r="G7267" s="59"/>
    </row>
    <row r="7268" spans="3:7" ht="20.25" customHeight="1" x14ac:dyDescent="0.3">
      <c r="C7268" s="59"/>
      <c r="D7268" s="69"/>
      <c r="E7268" s="69"/>
      <c r="F7268" s="17"/>
      <c r="G7268" s="59"/>
    </row>
    <row r="7269" spans="3:7" ht="20.25" customHeight="1" x14ac:dyDescent="0.3">
      <c r="C7269" s="59"/>
      <c r="D7269" s="69"/>
      <c r="E7269" s="69"/>
      <c r="F7269" s="17"/>
      <c r="G7269" s="59"/>
    </row>
    <row r="7270" spans="3:7" ht="20.25" customHeight="1" x14ac:dyDescent="0.3">
      <c r="C7270" s="59"/>
      <c r="D7270" s="69"/>
      <c r="E7270" s="69"/>
      <c r="F7270" s="17"/>
      <c r="G7270" s="59"/>
    </row>
    <row r="7271" spans="3:7" ht="20.25" customHeight="1" x14ac:dyDescent="0.3">
      <c r="C7271" s="59"/>
      <c r="D7271" s="69"/>
      <c r="E7271" s="69"/>
      <c r="F7271" s="17"/>
      <c r="G7271" s="59"/>
    </row>
    <row r="7272" spans="3:7" ht="20.25" customHeight="1" x14ac:dyDescent="0.3">
      <c r="C7272" s="59"/>
      <c r="D7272" s="69"/>
      <c r="E7272" s="69"/>
      <c r="F7272" s="17"/>
      <c r="G7272" s="59"/>
    </row>
    <row r="7273" spans="3:7" ht="20.25" customHeight="1" x14ac:dyDescent="0.3">
      <c r="C7273" s="59"/>
      <c r="D7273" s="69"/>
      <c r="E7273" s="69"/>
      <c r="F7273" s="17"/>
      <c r="G7273" s="59"/>
    </row>
    <row r="7274" spans="3:7" ht="20.25" customHeight="1" x14ac:dyDescent="0.3">
      <c r="C7274" s="59"/>
      <c r="D7274" s="69"/>
      <c r="E7274" s="69"/>
      <c r="F7274" s="17"/>
      <c r="G7274" s="59"/>
    </row>
    <row r="7275" spans="3:7" ht="20.25" customHeight="1" x14ac:dyDescent="0.3">
      <c r="C7275" s="59"/>
      <c r="D7275" s="69"/>
      <c r="E7275" s="69"/>
      <c r="F7275" s="17"/>
      <c r="G7275" s="59"/>
    </row>
    <row r="7276" spans="3:7" ht="20.25" customHeight="1" x14ac:dyDescent="0.3">
      <c r="C7276" s="59"/>
      <c r="D7276" s="69"/>
      <c r="E7276" s="69"/>
      <c r="F7276" s="17"/>
      <c r="G7276" s="59"/>
    </row>
    <row r="7277" spans="3:7" ht="20.25" customHeight="1" x14ac:dyDescent="0.3">
      <c r="C7277" s="59"/>
      <c r="D7277" s="69"/>
      <c r="E7277" s="69"/>
      <c r="F7277" s="17"/>
      <c r="G7277" s="59"/>
    </row>
    <row r="7278" spans="3:7" ht="20.25" customHeight="1" x14ac:dyDescent="0.3">
      <c r="C7278" s="59"/>
      <c r="D7278" s="69"/>
      <c r="E7278" s="69"/>
      <c r="F7278" s="17"/>
      <c r="G7278" s="59"/>
    </row>
    <row r="7279" spans="3:7" ht="20.25" customHeight="1" x14ac:dyDescent="0.3">
      <c r="C7279" s="59"/>
      <c r="D7279" s="69"/>
      <c r="E7279" s="69"/>
      <c r="F7279" s="17"/>
      <c r="G7279" s="59"/>
    </row>
    <row r="7280" spans="3:7" ht="20.25" customHeight="1" x14ac:dyDescent="0.3">
      <c r="C7280" s="59"/>
      <c r="D7280" s="69"/>
      <c r="E7280" s="69"/>
      <c r="F7280" s="17"/>
      <c r="G7280" s="59"/>
    </row>
    <row r="7281" spans="3:7" ht="20.25" customHeight="1" x14ac:dyDescent="0.3">
      <c r="C7281" s="59"/>
      <c r="D7281" s="69"/>
      <c r="E7281" s="69"/>
      <c r="F7281" s="17"/>
      <c r="G7281" s="59"/>
    </row>
    <row r="7282" spans="3:7" ht="20.25" customHeight="1" x14ac:dyDescent="0.3">
      <c r="C7282" s="59"/>
      <c r="D7282" s="69"/>
      <c r="E7282" s="69"/>
      <c r="F7282" s="17"/>
      <c r="G7282" s="59"/>
    </row>
    <row r="7283" spans="3:7" ht="20.25" customHeight="1" x14ac:dyDescent="0.3">
      <c r="C7283" s="59"/>
      <c r="D7283" s="69"/>
      <c r="E7283" s="69"/>
      <c r="F7283" s="17"/>
      <c r="G7283" s="59"/>
    </row>
    <row r="7284" spans="3:7" ht="20.25" customHeight="1" x14ac:dyDescent="0.3">
      <c r="C7284" s="59"/>
      <c r="D7284" s="69"/>
      <c r="E7284" s="69"/>
      <c r="F7284" s="17"/>
      <c r="G7284" s="59"/>
    </row>
    <row r="7285" spans="3:7" ht="20.25" customHeight="1" x14ac:dyDescent="0.3">
      <c r="C7285" s="59"/>
      <c r="D7285" s="69"/>
      <c r="E7285" s="69"/>
      <c r="F7285" s="17"/>
      <c r="G7285" s="59"/>
    </row>
    <row r="7286" spans="3:7" ht="20.25" customHeight="1" x14ac:dyDescent="0.3">
      <c r="C7286" s="59"/>
      <c r="D7286" s="69"/>
      <c r="E7286" s="69"/>
      <c r="F7286" s="17"/>
      <c r="G7286" s="59"/>
    </row>
    <row r="7287" spans="3:7" ht="20.25" customHeight="1" x14ac:dyDescent="0.3">
      <c r="C7287" s="59"/>
      <c r="D7287" s="69"/>
      <c r="E7287" s="69"/>
      <c r="F7287" s="17"/>
      <c r="G7287" s="59"/>
    </row>
    <row r="7288" spans="3:7" ht="20.25" customHeight="1" x14ac:dyDescent="0.3">
      <c r="C7288" s="59"/>
      <c r="D7288" s="69"/>
      <c r="E7288" s="69"/>
      <c r="F7288" s="17"/>
      <c r="G7288" s="59"/>
    </row>
    <row r="7289" spans="3:7" ht="20.25" customHeight="1" x14ac:dyDescent="0.3">
      <c r="C7289" s="59"/>
      <c r="D7289" s="69"/>
      <c r="E7289" s="69"/>
      <c r="F7289" s="17"/>
      <c r="G7289" s="59"/>
    </row>
    <row r="7290" spans="3:7" ht="20.25" customHeight="1" x14ac:dyDescent="0.3">
      <c r="C7290" s="59"/>
      <c r="D7290" s="69"/>
      <c r="E7290" s="69"/>
      <c r="F7290" s="17"/>
      <c r="G7290" s="59"/>
    </row>
    <row r="7291" spans="3:7" ht="20.25" customHeight="1" x14ac:dyDescent="0.3">
      <c r="C7291" s="59"/>
      <c r="D7291" s="69"/>
      <c r="E7291" s="69"/>
      <c r="F7291" s="17"/>
      <c r="G7291" s="59"/>
    </row>
    <row r="7292" spans="3:7" ht="20.25" customHeight="1" x14ac:dyDescent="0.3">
      <c r="C7292" s="59"/>
      <c r="D7292" s="69"/>
      <c r="E7292" s="69"/>
      <c r="F7292" s="17"/>
      <c r="G7292" s="59"/>
    </row>
    <row r="7293" spans="3:7" ht="20.25" customHeight="1" x14ac:dyDescent="0.3">
      <c r="C7293" s="59"/>
      <c r="D7293" s="69"/>
      <c r="E7293" s="69"/>
      <c r="F7293" s="17"/>
      <c r="G7293" s="59"/>
    </row>
    <row r="7294" spans="3:7" ht="20.25" customHeight="1" x14ac:dyDescent="0.3">
      <c r="C7294" s="59"/>
      <c r="D7294" s="69"/>
      <c r="E7294" s="69"/>
      <c r="F7294" s="17"/>
      <c r="G7294" s="59"/>
    </row>
    <row r="7295" spans="3:7" ht="20.25" customHeight="1" x14ac:dyDescent="0.3">
      <c r="C7295" s="59"/>
      <c r="D7295" s="69"/>
      <c r="E7295" s="69"/>
      <c r="F7295" s="17"/>
      <c r="G7295" s="59"/>
    </row>
    <row r="7296" spans="3:7" ht="20.25" customHeight="1" x14ac:dyDescent="0.3">
      <c r="C7296" s="59"/>
      <c r="D7296" s="69"/>
      <c r="E7296" s="69"/>
      <c r="F7296" s="17"/>
      <c r="G7296" s="59"/>
    </row>
    <row r="7297" spans="3:7" ht="20.25" customHeight="1" x14ac:dyDescent="0.3">
      <c r="C7297" s="59"/>
      <c r="D7297" s="69"/>
      <c r="E7297" s="69"/>
      <c r="F7297" s="17"/>
      <c r="G7297" s="59"/>
    </row>
    <row r="7298" spans="3:7" ht="20.25" customHeight="1" x14ac:dyDescent="0.3">
      <c r="C7298" s="59"/>
      <c r="D7298" s="69"/>
      <c r="E7298" s="69"/>
      <c r="F7298" s="17"/>
      <c r="G7298" s="59"/>
    </row>
    <row r="7299" spans="3:7" ht="20.25" customHeight="1" x14ac:dyDescent="0.3">
      <c r="C7299" s="59"/>
      <c r="D7299" s="69"/>
      <c r="E7299" s="69"/>
      <c r="F7299" s="17"/>
      <c r="G7299" s="59"/>
    </row>
    <row r="7300" spans="3:7" ht="20.25" customHeight="1" x14ac:dyDescent="0.3">
      <c r="C7300" s="59"/>
      <c r="D7300" s="69"/>
      <c r="E7300" s="69"/>
      <c r="F7300" s="17"/>
      <c r="G7300" s="59"/>
    </row>
    <row r="7301" spans="3:7" ht="20.25" customHeight="1" x14ac:dyDescent="0.3">
      <c r="C7301" s="59"/>
      <c r="D7301" s="69"/>
      <c r="E7301" s="69"/>
      <c r="F7301" s="17"/>
      <c r="G7301" s="59"/>
    </row>
    <row r="7302" spans="3:7" ht="20.25" customHeight="1" x14ac:dyDescent="0.3">
      <c r="C7302" s="59"/>
      <c r="D7302" s="69"/>
      <c r="E7302" s="69"/>
      <c r="F7302" s="17"/>
      <c r="G7302" s="59"/>
    </row>
    <row r="7303" spans="3:7" ht="20.25" customHeight="1" x14ac:dyDescent="0.3">
      <c r="C7303" s="59"/>
      <c r="D7303" s="69"/>
      <c r="E7303" s="69"/>
      <c r="F7303" s="17"/>
      <c r="G7303" s="59"/>
    </row>
    <row r="7304" spans="3:7" ht="20.25" customHeight="1" x14ac:dyDescent="0.3">
      <c r="C7304" s="59"/>
      <c r="D7304" s="69"/>
      <c r="E7304" s="69"/>
      <c r="F7304" s="17"/>
      <c r="G7304" s="59"/>
    </row>
    <row r="7305" spans="3:7" ht="20.25" customHeight="1" x14ac:dyDescent="0.3">
      <c r="C7305" s="59"/>
      <c r="D7305" s="69"/>
      <c r="E7305" s="69"/>
      <c r="F7305" s="17"/>
      <c r="G7305" s="59"/>
    </row>
    <row r="7306" spans="3:7" ht="20.25" customHeight="1" x14ac:dyDescent="0.3">
      <c r="C7306" s="59"/>
      <c r="D7306" s="69"/>
      <c r="E7306" s="69"/>
      <c r="F7306" s="17"/>
      <c r="G7306" s="59"/>
    </row>
    <row r="7307" spans="3:7" ht="20.25" customHeight="1" x14ac:dyDescent="0.3">
      <c r="C7307" s="59"/>
      <c r="D7307" s="69"/>
      <c r="E7307" s="69"/>
      <c r="F7307" s="17"/>
      <c r="G7307" s="59"/>
    </row>
    <row r="7308" spans="3:7" ht="20.25" customHeight="1" x14ac:dyDescent="0.3">
      <c r="C7308" s="59"/>
      <c r="D7308" s="69"/>
      <c r="E7308" s="69"/>
      <c r="F7308" s="17"/>
      <c r="G7308" s="59"/>
    </row>
    <row r="7309" spans="3:7" ht="20.25" customHeight="1" x14ac:dyDescent="0.3">
      <c r="C7309" s="59"/>
      <c r="D7309" s="69"/>
      <c r="E7309" s="69"/>
      <c r="F7309" s="17"/>
      <c r="G7309" s="59"/>
    </row>
    <row r="7310" spans="3:7" ht="20.25" customHeight="1" x14ac:dyDescent="0.3">
      <c r="C7310" s="59"/>
      <c r="D7310" s="69"/>
      <c r="E7310" s="69"/>
      <c r="F7310" s="17"/>
      <c r="G7310" s="59"/>
    </row>
    <row r="7311" spans="3:7" ht="20.25" customHeight="1" x14ac:dyDescent="0.3">
      <c r="C7311" s="59"/>
      <c r="D7311" s="69"/>
      <c r="E7311" s="69"/>
      <c r="F7311" s="17"/>
      <c r="G7311" s="59"/>
    </row>
    <row r="7312" spans="3:7" ht="20.25" customHeight="1" x14ac:dyDescent="0.3">
      <c r="C7312" s="59"/>
      <c r="D7312" s="69"/>
      <c r="E7312" s="69"/>
      <c r="F7312" s="17"/>
      <c r="G7312" s="59"/>
    </row>
    <row r="7313" spans="3:7" ht="20.25" customHeight="1" x14ac:dyDescent="0.3">
      <c r="C7313" s="59"/>
      <c r="D7313" s="69"/>
      <c r="E7313" s="69"/>
      <c r="F7313" s="17"/>
      <c r="G7313" s="59"/>
    </row>
    <row r="7314" spans="3:7" ht="20.25" customHeight="1" x14ac:dyDescent="0.3">
      <c r="C7314" s="59"/>
      <c r="D7314" s="69"/>
      <c r="E7314" s="69"/>
      <c r="F7314" s="17"/>
      <c r="G7314" s="59"/>
    </row>
    <row r="7315" spans="3:7" ht="20.25" customHeight="1" x14ac:dyDescent="0.3">
      <c r="C7315" s="59"/>
      <c r="D7315" s="69"/>
      <c r="E7315" s="69"/>
      <c r="F7315" s="17"/>
      <c r="G7315" s="59"/>
    </row>
    <row r="7316" spans="3:7" ht="20.25" customHeight="1" x14ac:dyDescent="0.3">
      <c r="C7316" s="59"/>
      <c r="D7316" s="69"/>
      <c r="E7316" s="69"/>
      <c r="F7316" s="17"/>
      <c r="G7316" s="59"/>
    </row>
    <row r="7317" spans="3:7" ht="20.25" customHeight="1" x14ac:dyDescent="0.3">
      <c r="C7317" s="59"/>
      <c r="D7317" s="69"/>
      <c r="E7317" s="69"/>
      <c r="F7317" s="17"/>
      <c r="G7317" s="59"/>
    </row>
    <row r="7318" spans="3:7" ht="20.25" customHeight="1" x14ac:dyDescent="0.3">
      <c r="C7318" s="59"/>
      <c r="D7318" s="69"/>
      <c r="E7318" s="69"/>
      <c r="F7318" s="17"/>
      <c r="G7318" s="59"/>
    </row>
    <row r="7319" spans="3:7" ht="20.25" customHeight="1" x14ac:dyDescent="0.3">
      <c r="C7319" s="59"/>
      <c r="D7319" s="69"/>
      <c r="E7319" s="69"/>
      <c r="F7319" s="17"/>
      <c r="G7319" s="59"/>
    </row>
    <row r="7320" spans="3:7" ht="20.25" customHeight="1" x14ac:dyDescent="0.3">
      <c r="C7320" s="59"/>
      <c r="D7320" s="69"/>
      <c r="E7320" s="69"/>
      <c r="F7320" s="17"/>
      <c r="G7320" s="59"/>
    </row>
    <row r="7321" spans="3:7" ht="20.25" customHeight="1" x14ac:dyDescent="0.3">
      <c r="C7321" s="59"/>
      <c r="D7321" s="69"/>
      <c r="E7321" s="69"/>
      <c r="F7321" s="17"/>
      <c r="G7321" s="59"/>
    </row>
    <row r="7322" spans="3:7" ht="20.25" customHeight="1" x14ac:dyDescent="0.3">
      <c r="C7322" s="59"/>
      <c r="D7322" s="69"/>
      <c r="E7322" s="69"/>
      <c r="F7322" s="17"/>
      <c r="G7322" s="59"/>
    </row>
    <row r="7323" spans="3:7" ht="20.25" customHeight="1" x14ac:dyDescent="0.3">
      <c r="C7323" s="59"/>
      <c r="D7323" s="69"/>
      <c r="E7323" s="69"/>
      <c r="F7323" s="17"/>
      <c r="G7323" s="59"/>
    </row>
    <row r="7324" spans="3:7" ht="20.25" customHeight="1" x14ac:dyDescent="0.3">
      <c r="C7324" s="59"/>
      <c r="D7324" s="69"/>
      <c r="E7324" s="69"/>
      <c r="F7324" s="17"/>
      <c r="G7324" s="59"/>
    </row>
    <row r="7325" spans="3:7" ht="20.25" customHeight="1" x14ac:dyDescent="0.3">
      <c r="C7325" s="59"/>
      <c r="D7325" s="69"/>
      <c r="E7325" s="69"/>
      <c r="F7325" s="17"/>
      <c r="G7325" s="59"/>
    </row>
    <row r="7326" spans="3:7" ht="20.25" customHeight="1" x14ac:dyDescent="0.3">
      <c r="C7326" s="59"/>
      <c r="D7326" s="69"/>
      <c r="E7326" s="69"/>
      <c r="F7326" s="17"/>
      <c r="G7326" s="59"/>
    </row>
    <row r="7327" spans="3:7" ht="20.25" customHeight="1" x14ac:dyDescent="0.3">
      <c r="C7327" s="59"/>
      <c r="D7327" s="69"/>
      <c r="E7327" s="69"/>
      <c r="F7327" s="17"/>
      <c r="G7327" s="59"/>
    </row>
    <row r="7328" spans="3:7" ht="20.25" customHeight="1" x14ac:dyDescent="0.3">
      <c r="C7328" s="59"/>
      <c r="D7328" s="69"/>
      <c r="E7328" s="69"/>
      <c r="F7328" s="17"/>
      <c r="G7328" s="59"/>
    </row>
    <row r="7329" spans="3:7" ht="20.25" customHeight="1" x14ac:dyDescent="0.3">
      <c r="C7329" s="59"/>
      <c r="D7329" s="69"/>
      <c r="E7329" s="69"/>
      <c r="F7329" s="17"/>
      <c r="G7329" s="59"/>
    </row>
    <row r="7330" spans="3:7" ht="20.25" customHeight="1" x14ac:dyDescent="0.3">
      <c r="C7330" s="59"/>
      <c r="D7330" s="69"/>
      <c r="E7330" s="69"/>
      <c r="F7330" s="17"/>
      <c r="G7330" s="59"/>
    </row>
    <row r="7331" spans="3:7" ht="20.25" customHeight="1" x14ac:dyDescent="0.3">
      <c r="C7331" s="59"/>
      <c r="D7331" s="69"/>
      <c r="E7331" s="69"/>
      <c r="F7331" s="17"/>
      <c r="G7331" s="59"/>
    </row>
    <row r="7332" spans="3:7" ht="20.25" customHeight="1" x14ac:dyDescent="0.3">
      <c r="C7332" s="59"/>
      <c r="D7332" s="69"/>
      <c r="E7332" s="69"/>
      <c r="F7332" s="17"/>
      <c r="G7332" s="59"/>
    </row>
    <row r="7333" spans="3:7" ht="20.25" customHeight="1" x14ac:dyDescent="0.3">
      <c r="C7333" s="59"/>
      <c r="D7333" s="69"/>
      <c r="E7333" s="69"/>
      <c r="F7333" s="17"/>
      <c r="G7333" s="59"/>
    </row>
    <row r="7334" spans="3:7" ht="20.25" customHeight="1" x14ac:dyDescent="0.3">
      <c r="C7334" s="59"/>
      <c r="D7334" s="69"/>
      <c r="E7334" s="69"/>
      <c r="F7334" s="17"/>
      <c r="G7334" s="59"/>
    </row>
    <row r="7335" spans="3:7" ht="20.25" customHeight="1" x14ac:dyDescent="0.3">
      <c r="C7335" s="59"/>
      <c r="D7335" s="69"/>
      <c r="E7335" s="69"/>
      <c r="F7335" s="17"/>
      <c r="G7335" s="59"/>
    </row>
    <row r="7336" spans="3:7" ht="20.25" customHeight="1" x14ac:dyDescent="0.3">
      <c r="C7336" s="59"/>
      <c r="D7336" s="69"/>
      <c r="E7336" s="69"/>
      <c r="F7336" s="17"/>
      <c r="G7336" s="59"/>
    </row>
    <row r="7337" spans="3:7" ht="20.25" customHeight="1" x14ac:dyDescent="0.3">
      <c r="C7337" s="59"/>
      <c r="D7337" s="69"/>
      <c r="E7337" s="69"/>
      <c r="F7337" s="17"/>
      <c r="G7337" s="59"/>
    </row>
    <row r="7338" spans="3:7" ht="20.25" customHeight="1" x14ac:dyDescent="0.3">
      <c r="C7338" s="59"/>
      <c r="D7338" s="69"/>
      <c r="E7338" s="69"/>
      <c r="F7338" s="17"/>
      <c r="G7338" s="59"/>
    </row>
    <row r="7339" spans="3:7" ht="20.25" customHeight="1" x14ac:dyDescent="0.3">
      <c r="C7339" s="59"/>
      <c r="D7339" s="69"/>
      <c r="E7339" s="69"/>
      <c r="F7339" s="17"/>
      <c r="G7339" s="59"/>
    </row>
    <row r="7340" spans="3:7" ht="20.25" customHeight="1" x14ac:dyDescent="0.3">
      <c r="C7340" s="59"/>
      <c r="D7340" s="69"/>
      <c r="E7340" s="69"/>
      <c r="F7340" s="17"/>
      <c r="G7340" s="59"/>
    </row>
    <row r="7341" spans="3:7" ht="20.25" customHeight="1" x14ac:dyDescent="0.3">
      <c r="C7341" s="59"/>
      <c r="D7341" s="69"/>
      <c r="E7341" s="69"/>
      <c r="F7341" s="17"/>
      <c r="G7341" s="59"/>
    </row>
    <row r="7342" spans="3:7" ht="20.25" customHeight="1" x14ac:dyDescent="0.3">
      <c r="C7342" s="59"/>
      <c r="D7342" s="69"/>
      <c r="E7342" s="69"/>
      <c r="F7342" s="17"/>
      <c r="G7342" s="59"/>
    </row>
    <row r="7343" spans="3:7" ht="20.25" customHeight="1" x14ac:dyDescent="0.3">
      <c r="C7343" s="59"/>
      <c r="D7343" s="69"/>
      <c r="E7343" s="69"/>
      <c r="F7343" s="17"/>
      <c r="G7343" s="59"/>
    </row>
    <row r="7344" spans="3:7" ht="20.25" customHeight="1" x14ac:dyDescent="0.3">
      <c r="C7344" s="59"/>
      <c r="D7344" s="69"/>
      <c r="E7344" s="69"/>
      <c r="F7344" s="17"/>
      <c r="G7344" s="59"/>
    </row>
    <row r="7345" spans="3:7" ht="20.25" customHeight="1" x14ac:dyDescent="0.3">
      <c r="C7345" s="59"/>
      <c r="D7345" s="69"/>
      <c r="E7345" s="69"/>
      <c r="F7345" s="17"/>
      <c r="G7345" s="59"/>
    </row>
    <row r="7346" spans="3:7" ht="20.25" customHeight="1" x14ac:dyDescent="0.3">
      <c r="C7346" s="59"/>
      <c r="D7346" s="69"/>
      <c r="E7346" s="69"/>
      <c r="F7346" s="17"/>
      <c r="G7346" s="59"/>
    </row>
    <row r="7347" spans="3:7" ht="20.25" customHeight="1" x14ac:dyDescent="0.3">
      <c r="C7347" s="59"/>
      <c r="D7347" s="69"/>
      <c r="E7347" s="69"/>
      <c r="F7347" s="17"/>
      <c r="G7347" s="59"/>
    </row>
    <row r="7348" spans="3:7" ht="20.25" customHeight="1" x14ac:dyDescent="0.3">
      <c r="C7348" s="59"/>
      <c r="D7348" s="69"/>
      <c r="E7348" s="69"/>
      <c r="F7348" s="17"/>
      <c r="G7348" s="59"/>
    </row>
    <row r="7349" spans="3:7" ht="20.25" customHeight="1" x14ac:dyDescent="0.3">
      <c r="C7349" s="59"/>
      <c r="D7349" s="69"/>
      <c r="E7349" s="69"/>
      <c r="F7349" s="17"/>
      <c r="G7349" s="59"/>
    </row>
    <row r="7350" spans="3:7" ht="20.25" customHeight="1" x14ac:dyDescent="0.3">
      <c r="C7350" s="59"/>
      <c r="D7350" s="69"/>
      <c r="E7350" s="69"/>
      <c r="F7350" s="17"/>
      <c r="G7350" s="59"/>
    </row>
    <row r="7351" spans="3:7" ht="20.25" customHeight="1" x14ac:dyDescent="0.3">
      <c r="C7351" s="59"/>
      <c r="D7351" s="69"/>
      <c r="E7351" s="69"/>
      <c r="F7351" s="17"/>
      <c r="G7351" s="59"/>
    </row>
    <row r="7352" spans="3:7" ht="20.25" customHeight="1" x14ac:dyDescent="0.3">
      <c r="C7352" s="59"/>
      <c r="D7352" s="69"/>
      <c r="E7352" s="69"/>
      <c r="F7352" s="17"/>
      <c r="G7352" s="59"/>
    </row>
    <row r="7353" spans="3:7" ht="20.25" customHeight="1" x14ac:dyDescent="0.3">
      <c r="C7353" s="59"/>
      <c r="D7353" s="69"/>
      <c r="E7353" s="69"/>
      <c r="F7353" s="17"/>
      <c r="G7353" s="59"/>
    </row>
    <row r="7354" spans="3:7" ht="20.25" customHeight="1" x14ac:dyDescent="0.3">
      <c r="C7354" s="59"/>
      <c r="D7354" s="69"/>
      <c r="E7354" s="69"/>
      <c r="F7354" s="17"/>
      <c r="G7354" s="59"/>
    </row>
    <row r="7355" spans="3:7" ht="20.25" customHeight="1" x14ac:dyDescent="0.3">
      <c r="C7355" s="59"/>
      <c r="D7355" s="69"/>
      <c r="E7355" s="69"/>
      <c r="F7355" s="17"/>
      <c r="G7355" s="59"/>
    </row>
    <row r="7356" spans="3:7" ht="20.25" customHeight="1" x14ac:dyDescent="0.3">
      <c r="C7356" s="59"/>
      <c r="D7356" s="69"/>
      <c r="E7356" s="69"/>
      <c r="F7356" s="17"/>
      <c r="G7356" s="59"/>
    </row>
    <row r="7357" spans="3:7" ht="20.25" customHeight="1" x14ac:dyDescent="0.3">
      <c r="C7357" s="59"/>
      <c r="D7357" s="69"/>
      <c r="E7357" s="69"/>
      <c r="F7357" s="17"/>
      <c r="G7357" s="59"/>
    </row>
    <row r="7358" spans="3:7" ht="20.25" customHeight="1" x14ac:dyDescent="0.3">
      <c r="C7358" s="59"/>
      <c r="D7358" s="69"/>
      <c r="E7358" s="69"/>
      <c r="F7358" s="17"/>
      <c r="G7358" s="59"/>
    </row>
    <row r="7359" spans="3:7" ht="20.25" customHeight="1" x14ac:dyDescent="0.3">
      <c r="C7359" s="59"/>
      <c r="D7359" s="69"/>
      <c r="E7359" s="69"/>
      <c r="F7359" s="17"/>
      <c r="G7359" s="59"/>
    </row>
    <row r="7360" spans="3:7" ht="20.25" customHeight="1" x14ac:dyDescent="0.3">
      <c r="C7360" s="59"/>
      <c r="D7360" s="69"/>
      <c r="E7360" s="69"/>
      <c r="F7360" s="17"/>
      <c r="G7360" s="59"/>
    </row>
    <row r="7361" spans="3:7" ht="20.25" customHeight="1" x14ac:dyDescent="0.3">
      <c r="C7361" s="59"/>
      <c r="D7361" s="69"/>
      <c r="E7361" s="69"/>
      <c r="F7361" s="17"/>
      <c r="G7361" s="59"/>
    </row>
    <row r="7362" spans="3:7" ht="20.25" customHeight="1" x14ac:dyDescent="0.3">
      <c r="C7362" s="59"/>
      <c r="D7362" s="69"/>
      <c r="E7362" s="69"/>
      <c r="F7362" s="17"/>
      <c r="G7362" s="59"/>
    </row>
    <row r="7363" spans="3:7" ht="20.25" customHeight="1" x14ac:dyDescent="0.3">
      <c r="C7363" s="59"/>
      <c r="D7363" s="69"/>
      <c r="E7363" s="69"/>
      <c r="F7363" s="17"/>
      <c r="G7363" s="59"/>
    </row>
    <row r="7364" spans="3:7" ht="20.25" customHeight="1" x14ac:dyDescent="0.3">
      <c r="C7364" s="59"/>
      <c r="D7364" s="69"/>
      <c r="E7364" s="69"/>
      <c r="F7364" s="17"/>
      <c r="G7364" s="59"/>
    </row>
    <row r="7365" spans="3:7" ht="20.25" customHeight="1" x14ac:dyDescent="0.3">
      <c r="C7365" s="59"/>
      <c r="D7365" s="69"/>
      <c r="E7365" s="69"/>
      <c r="F7365" s="17"/>
      <c r="G7365" s="59"/>
    </row>
    <row r="7366" spans="3:7" ht="20.25" customHeight="1" x14ac:dyDescent="0.3">
      <c r="C7366" s="59"/>
      <c r="D7366" s="69"/>
      <c r="E7366" s="69"/>
      <c r="F7366" s="17"/>
      <c r="G7366" s="59"/>
    </row>
    <row r="7367" spans="3:7" ht="20.25" customHeight="1" x14ac:dyDescent="0.3">
      <c r="C7367" s="59"/>
      <c r="D7367" s="69"/>
      <c r="E7367" s="69"/>
      <c r="F7367" s="17"/>
      <c r="G7367" s="59"/>
    </row>
    <row r="7368" spans="3:7" ht="20.25" customHeight="1" x14ac:dyDescent="0.3">
      <c r="C7368" s="59"/>
      <c r="D7368" s="69"/>
      <c r="E7368" s="69"/>
      <c r="F7368" s="17"/>
      <c r="G7368" s="59"/>
    </row>
    <row r="7369" spans="3:7" ht="20.25" customHeight="1" x14ac:dyDescent="0.3">
      <c r="C7369" s="59"/>
      <c r="D7369" s="69"/>
      <c r="E7369" s="69"/>
      <c r="F7369" s="17"/>
      <c r="G7369" s="59"/>
    </row>
    <row r="7370" spans="3:7" ht="20.25" customHeight="1" x14ac:dyDescent="0.3">
      <c r="C7370" s="59"/>
      <c r="D7370" s="69"/>
      <c r="E7370" s="69"/>
      <c r="F7370" s="17"/>
      <c r="G7370" s="59"/>
    </row>
    <row r="7371" spans="3:7" ht="20.25" customHeight="1" x14ac:dyDescent="0.3">
      <c r="C7371" s="59"/>
      <c r="D7371" s="69"/>
      <c r="E7371" s="69"/>
      <c r="F7371" s="17"/>
      <c r="G7371" s="59"/>
    </row>
    <row r="7372" spans="3:7" ht="20.25" customHeight="1" x14ac:dyDescent="0.3">
      <c r="C7372" s="59"/>
      <c r="D7372" s="69"/>
      <c r="E7372" s="69"/>
      <c r="F7372" s="17"/>
      <c r="G7372" s="59"/>
    </row>
    <row r="7373" spans="3:7" ht="20.25" customHeight="1" x14ac:dyDescent="0.3">
      <c r="C7373" s="59"/>
      <c r="D7373" s="69"/>
      <c r="E7373" s="69"/>
      <c r="F7373" s="17"/>
      <c r="G7373" s="59"/>
    </row>
    <row r="7374" spans="3:7" ht="20.25" customHeight="1" x14ac:dyDescent="0.3">
      <c r="C7374" s="59"/>
      <c r="D7374" s="69"/>
      <c r="E7374" s="69"/>
      <c r="F7374" s="17"/>
      <c r="G7374" s="59"/>
    </row>
    <row r="7375" spans="3:7" ht="20.25" customHeight="1" x14ac:dyDescent="0.3">
      <c r="C7375" s="59"/>
      <c r="D7375" s="69"/>
      <c r="E7375" s="69"/>
      <c r="F7375" s="17"/>
      <c r="G7375" s="59"/>
    </row>
    <row r="7376" spans="3:7" ht="20.25" customHeight="1" x14ac:dyDescent="0.3">
      <c r="C7376" s="59"/>
      <c r="D7376" s="69"/>
      <c r="E7376" s="69"/>
      <c r="F7376" s="17"/>
      <c r="G7376" s="59"/>
    </row>
    <row r="7377" spans="3:7" ht="20.25" customHeight="1" x14ac:dyDescent="0.3">
      <c r="C7377" s="59"/>
      <c r="D7377" s="69"/>
      <c r="E7377" s="69"/>
      <c r="F7377" s="17"/>
      <c r="G7377" s="59"/>
    </row>
    <row r="7378" spans="3:7" ht="20.25" customHeight="1" x14ac:dyDescent="0.3">
      <c r="C7378" s="59"/>
      <c r="D7378" s="69"/>
      <c r="E7378" s="69"/>
      <c r="F7378" s="17"/>
      <c r="G7378" s="59"/>
    </row>
    <row r="7379" spans="3:7" ht="20.25" customHeight="1" x14ac:dyDescent="0.3">
      <c r="C7379" s="59"/>
      <c r="D7379" s="69"/>
      <c r="E7379" s="69"/>
      <c r="F7379" s="17"/>
      <c r="G7379" s="59"/>
    </row>
    <row r="7380" spans="3:7" ht="20.25" customHeight="1" x14ac:dyDescent="0.3">
      <c r="C7380" s="59"/>
      <c r="D7380" s="69"/>
      <c r="E7380" s="69"/>
      <c r="F7380" s="17"/>
      <c r="G7380" s="59"/>
    </row>
    <row r="7381" spans="3:7" ht="20.25" customHeight="1" x14ac:dyDescent="0.3">
      <c r="C7381" s="59"/>
      <c r="D7381" s="69"/>
      <c r="E7381" s="69"/>
      <c r="F7381" s="17"/>
      <c r="G7381" s="59"/>
    </row>
    <row r="7382" spans="3:7" ht="20.25" customHeight="1" x14ac:dyDescent="0.3">
      <c r="C7382" s="59"/>
      <c r="D7382" s="69"/>
      <c r="E7382" s="69"/>
      <c r="F7382" s="17"/>
      <c r="G7382" s="59"/>
    </row>
    <row r="7383" spans="3:7" ht="20.25" customHeight="1" x14ac:dyDescent="0.3">
      <c r="C7383" s="59"/>
      <c r="D7383" s="69"/>
      <c r="E7383" s="69"/>
      <c r="F7383" s="17"/>
      <c r="G7383" s="59"/>
    </row>
    <row r="7384" spans="3:7" ht="20.25" customHeight="1" x14ac:dyDescent="0.3">
      <c r="C7384" s="59"/>
      <c r="D7384" s="69"/>
      <c r="E7384" s="69"/>
      <c r="F7384" s="17"/>
      <c r="G7384" s="59"/>
    </row>
    <row r="7385" spans="3:7" ht="20.25" customHeight="1" x14ac:dyDescent="0.3">
      <c r="C7385" s="59"/>
      <c r="D7385" s="69"/>
      <c r="E7385" s="69"/>
      <c r="F7385" s="17"/>
      <c r="G7385" s="59"/>
    </row>
    <row r="7386" spans="3:7" ht="20.25" customHeight="1" x14ac:dyDescent="0.3">
      <c r="C7386" s="59"/>
      <c r="D7386" s="69"/>
      <c r="E7386" s="69"/>
      <c r="F7386" s="17"/>
      <c r="G7386" s="59"/>
    </row>
    <row r="7387" spans="3:7" ht="20.25" customHeight="1" x14ac:dyDescent="0.3">
      <c r="C7387" s="59"/>
      <c r="D7387" s="69"/>
      <c r="E7387" s="69"/>
      <c r="F7387" s="17"/>
      <c r="G7387" s="59"/>
    </row>
    <row r="7388" spans="3:7" ht="20.25" customHeight="1" x14ac:dyDescent="0.3">
      <c r="C7388" s="59"/>
      <c r="D7388" s="69"/>
      <c r="E7388" s="69"/>
      <c r="F7388" s="17"/>
      <c r="G7388" s="59"/>
    </row>
    <row r="7389" spans="3:7" ht="20.25" customHeight="1" x14ac:dyDescent="0.3">
      <c r="C7389" s="59"/>
      <c r="D7389" s="69"/>
      <c r="E7389" s="69"/>
      <c r="F7389" s="17"/>
      <c r="G7389" s="59"/>
    </row>
    <row r="7390" spans="3:7" ht="20.25" customHeight="1" x14ac:dyDescent="0.3">
      <c r="C7390" s="59"/>
      <c r="D7390" s="69"/>
      <c r="E7390" s="69"/>
      <c r="F7390" s="17"/>
      <c r="G7390" s="59"/>
    </row>
    <row r="7391" spans="3:7" ht="20.25" customHeight="1" x14ac:dyDescent="0.3">
      <c r="C7391" s="59"/>
      <c r="D7391" s="69"/>
      <c r="E7391" s="69"/>
      <c r="F7391" s="17"/>
      <c r="G7391" s="59"/>
    </row>
    <row r="7392" spans="3:7" ht="20.25" customHeight="1" x14ac:dyDescent="0.3">
      <c r="C7392" s="59"/>
      <c r="D7392" s="69"/>
      <c r="E7392" s="69"/>
      <c r="F7392" s="17"/>
      <c r="G7392" s="59"/>
    </row>
    <row r="7393" spans="3:7" ht="20.25" customHeight="1" x14ac:dyDescent="0.3">
      <c r="C7393" s="59"/>
      <c r="D7393" s="69"/>
      <c r="E7393" s="69"/>
      <c r="F7393" s="17"/>
      <c r="G7393" s="59"/>
    </row>
    <row r="7394" spans="3:7" ht="20.25" customHeight="1" x14ac:dyDescent="0.3">
      <c r="C7394" s="59"/>
      <c r="D7394" s="69"/>
      <c r="E7394" s="69"/>
      <c r="F7394" s="17"/>
      <c r="G7394" s="59"/>
    </row>
    <row r="7395" spans="3:7" ht="20.25" customHeight="1" x14ac:dyDescent="0.3">
      <c r="C7395" s="59"/>
      <c r="D7395" s="69"/>
      <c r="E7395" s="69"/>
      <c r="F7395" s="17"/>
      <c r="G7395" s="59"/>
    </row>
    <row r="7396" spans="3:7" ht="20.25" customHeight="1" x14ac:dyDescent="0.3">
      <c r="C7396" s="59"/>
      <c r="D7396" s="69"/>
      <c r="E7396" s="69"/>
      <c r="F7396" s="17"/>
      <c r="G7396" s="59"/>
    </row>
    <row r="7397" spans="3:7" ht="20.25" customHeight="1" x14ac:dyDescent="0.3">
      <c r="C7397" s="59"/>
      <c r="D7397" s="69"/>
      <c r="E7397" s="69"/>
      <c r="F7397" s="17"/>
      <c r="G7397" s="59"/>
    </row>
    <row r="7398" spans="3:7" ht="20.25" customHeight="1" x14ac:dyDescent="0.3">
      <c r="C7398" s="59"/>
      <c r="D7398" s="69"/>
      <c r="E7398" s="69"/>
      <c r="F7398" s="17"/>
      <c r="G7398" s="59"/>
    </row>
    <row r="7399" spans="3:7" ht="20.25" customHeight="1" x14ac:dyDescent="0.3">
      <c r="C7399" s="59"/>
      <c r="D7399" s="69"/>
      <c r="E7399" s="69"/>
      <c r="F7399" s="17"/>
      <c r="G7399" s="59"/>
    </row>
    <row r="7400" spans="3:7" ht="20.25" customHeight="1" x14ac:dyDescent="0.3">
      <c r="C7400" s="59"/>
      <c r="D7400" s="69"/>
      <c r="E7400" s="69"/>
      <c r="F7400" s="17"/>
      <c r="G7400" s="59"/>
    </row>
    <row r="7401" spans="3:7" ht="20.25" customHeight="1" x14ac:dyDescent="0.3">
      <c r="C7401" s="59"/>
      <c r="D7401" s="69"/>
      <c r="E7401" s="69"/>
      <c r="F7401" s="17"/>
      <c r="G7401" s="59"/>
    </row>
    <row r="7402" spans="3:7" ht="20.25" customHeight="1" x14ac:dyDescent="0.3">
      <c r="C7402" s="59"/>
      <c r="D7402" s="69"/>
      <c r="E7402" s="69"/>
      <c r="F7402" s="17"/>
      <c r="G7402" s="59"/>
    </row>
    <row r="7403" spans="3:7" ht="20.25" customHeight="1" x14ac:dyDescent="0.3">
      <c r="C7403" s="59"/>
      <c r="D7403" s="69"/>
      <c r="E7403" s="69"/>
      <c r="F7403" s="17"/>
      <c r="G7403" s="59"/>
    </row>
    <row r="7404" spans="3:7" ht="20.25" customHeight="1" x14ac:dyDescent="0.3">
      <c r="C7404" s="59"/>
      <c r="D7404" s="69"/>
      <c r="E7404" s="69"/>
      <c r="F7404" s="17"/>
      <c r="G7404" s="59"/>
    </row>
    <row r="7405" spans="3:7" ht="20.25" customHeight="1" x14ac:dyDescent="0.3">
      <c r="C7405" s="59"/>
      <c r="D7405" s="69"/>
      <c r="E7405" s="69"/>
      <c r="F7405" s="17"/>
      <c r="G7405" s="59"/>
    </row>
    <row r="7406" spans="3:7" ht="20.25" customHeight="1" x14ac:dyDescent="0.3">
      <c r="C7406" s="59"/>
      <c r="D7406" s="69"/>
      <c r="E7406" s="69"/>
      <c r="F7406" s="17"/>
      <c r="G7406" s="59"/>
    </row>
    <row r="7407" spans="3:7" ht="20.25" customHeight="1" x14ac:dyDescent="0.3">
      <c r="C7407" s="59"/>
      <c r="D7407" s="69"/>
      <c r="E7407" s="69"/>
      <c r="F7407" s="17"/>
      <c r="G7407" s="59"/>
    </row>
    <row r="7408" spans="3:7" ht="20.25" customHeight="1" x14ac:dyDescent="0.3">
      <c r="C7408" s="59"/>
      <c r="D7408" s="69"/>
      <c r="E7408" s="69"/>
      <c r="F7408" s="17"/>
      <c r="G7408" s="59"/>
    </row>
    <row r="7409" spans="3:7" ht="20.25" customHeight="1" x14ac:dyDescent="0.3">
      <c r="C7409" s="59"/>
      <c r="D7409" s="69"/>
      <c r="E7409" s="69"/>
      <c r="F7409" s="17"/>
      <c r="G7409" s="59"/>
    </row>
    <row r="7410" spans="3:7" ht="20.25" customHeight="1" x14ac:dyDescent="0.3">
      <c r="C7410" s="59"/>
      <c r="D7410" s="69"/>
      <c r="E7410" s="69"/>
      <c r="F7410" s="17"/>
      <c r="G7410" s="59"/>
    </row>
    <row r="7411" spans="3:7" ht="20.25" customHeight="1" x14ac:dyDescent="0.3">
      <c r="C7411" s="59"/>
      <c r="D7411" s="69"/>
      <c r="E7411" s="69"/>
      <c r="F7411" s="17"/>
      <c r="G7411" s="59"/>
    </row>
    <row r="7412" spans="3:7" ht="20.25" customHeight="1" x14ac:dyDescent="0.3">
      <c r="C7412" s="59"/>
      <c r="D7412" s="69"/>
      <c r="E7412" s="69"/>
      <c r="F7412" s="17"/>
      <c r="G7412" s="59"/>
    </row>
    <row r="7413" spans="3:7" ht="20.25" customHeight="1" x14ac:dyDescent="0.3">
      <c r="C7413" s="59"/>
      <c r="D7413" s="69"/>
      <c r="E7413" s="69"/>
      <c r="F7413" s="17"/>
      <c r="G7413" s="59"/>
    </row>
    <row r="7414" spans="3:7" ht="20.25" customHeight="1" x14ac:dyDescent="0.3">
      <c r="C7414" s="59"/>
      <c r="D7414" s="69"/>
      <c r="E7414" s="69"/>
      <c r="F7414" s="17"/>
      <c r="G7414" s="59"/>
    </row>
    <row r="7415" spans="3:7" ht="20.25" customHeight="1" x14ac:dyDescent="0.3">
      <c r="C7415" s="59"/>
      <c r="D7415" s="69"/>
      <c r="E7415" s="69"/>
      <c r="F7415" s="17"/>
      <c r="G7415" s="59"/>
    </row>
    <row r="7416" spans="3:7" ht="20.25" customHeight="1" x14ac:dyDescent="0.3">
      <c r="C7416" s="59"/>
      <c r="D7416" s="69"/>
      <c r="E7416" s="69"/>
      <c r="F7416" s="17"/>
      <c r="G7416" s="59"/>
    </row>
    <row r="7417" spans="3:7" ht="20.25" customHeight="1" x14ac:dyDescent="0.3">
      <c r="C7417" s="59"/>
      <c r="D7417" s="69"/>
      <c r="E7417" s="69"/>
      <c r="F7417" s="17"/>
      <c r="G7417" s="59"/>
    </row>
    <row r="7418" spans="3:7" ht="20.25" customHeight="1" x14ac:dyDescent="0.3">
      <c r="C7418" s="59"/>
      <c r="D7418" s="69"/>
      <c r="E7418" s="69"/>
      <c r="F7418" s="17"/>
      <c r="G7418" s="59"/>
    </row>
    <row r="7419" spans="3:7" ht="20.25" customHeight="1" x14ac:dyDescent="0.3">
      <c r="C7419" s="59"/>
      <c r="D7419" s="69"/>
      <c r="E7419" s="69"/>
      <c r="F7419" s="17"/>
      <c r="G7419" s="59"/>
    </row>
    <row r="7420" spans="3:7" ht="20.25" customHeight="1" x14ac:dyDescent="0.3">
      <c r="C7420" s="59"/>
      <c r="D7420" s="69"/>
      <c r="E7420" s="69"/>
      <c r="F7420" s="17"/>
      <c r="G7420" s="59"/>
    </row>
    <row r="7421" spans="3:7" ht="20.25" customHeight="1" x14ac:dyDescent="0.3">
      <c r="C7421" s="59"/>
      <c r="D7421" s="69"/>
      <c r="E7421" s="69"/>
      <c r="F7421" s="17"/>
      <c r="G7421" s="59"/>
    </row>
    <row r="7422" spans="3:7" ht="20.25" customHeight="1" x14ac:dyDescent="0.3">
      <c r="C7422" s="59"/>
      <c r="D7422" s="69"/>
      <c r="E7422" s="69"/>
      <c r="F7422" s="17"/>
      <c r="G7422" s="59"/>
    </row>
    <row r="7423" spans="3:7" ht="20.25" customHeight="1" x14ac:dyDescent="0.3">
      <c r="C7423" s="59"/>
      <c r="D7423" s="69"/>
      <c r="E7423" s="69"/>
      <c r="F7423" s="17"/>
      <c r="G7423" s="59"/>
    </row>
    <row r="7424" spans="3:7" ht="20.25" customHeight="1" x14ac:dyDescent="0.3">
      <c r="C7424" s="59"/>
      <c r="D7424" s="69"/>
      <c r="E7424" s="69"/>
      <c r="F7424" s="17"/>
      <c r="G7424" s="59"/>
    </row>
    <row r="7425" spans="3:7" ht="20.25" customHeight="1" x14ac:dyDescent="0.3">
      <c r="C7425" s="59"/>
      <c r="D7425" s="69"/>
      <c r="E7425" s="69"/>
      <c r="F7425" s="17"/>
      <c r="G7425" s="59"/>
    </row>
    <row r="7426" spans="3:7" ht="20.25" customHeight="1" x14ac:dyDescent="0.3">
      <c r="C7426" s="59"/>
      <c r="D7426" s="69"/>
      <c r="E7426" s="69"/>
      <c r="F7426" s="17"/>
      <c r="G7426" s="59"/>
    </row>
    <row r="7427" spans="3:7" ht="20.25" customHeight="1" x14ac:dyDescent="0.3">
      <c r="C7427" s="59"/>
      <c r="D7427" s="69"/>
      <c r="E7427" s="69"/>
      <c r="F7427" s="17"/>
      <c r="G7427" s="59"/>
    </row>
    <row r="7428" spans="3:7" ht="20.25" customHeight="1" x14ac:dyDescent="0.3">
      <c r="C7428" s="59"/>
      <c r="D7428" s="69"/>
      <c r="E7428" s="69"/>
      <c r="F7428" s="17"/>
      <c r="G7428" s="59"/>
    </row>
    <row r="7429" spans="3:7" ht="20.25" customHeight="1" x14ac:dyDescent="0.3">
      <c r="C7429" s="59"/>
      <c r="D7429" s="69"/>
      <c r="E7429" s="69"/>
      <c r="F7429" s="17"/>
      <c r="G7429" s="59"/>
    </row>
    <row r="7430" spans="3:7" ht="20.25" customHeight="1" x14ac:dyDescent="0.3">
      <c r="C7430" s="59"/>
      <c r="D7430" s="69"/>
      <c r="E7430" s="69"/>
      <c r="F7430" s="17"/>
      <c r="G7430" s="59"/>
    </row>
    <row r="7431" spans="3:7" ht="20.25" customHeight="1" x14ac:dyDescent="0.3">
      <c r="C7431" s="59"/>
      <c r="D7431" s="69"/>
      <c r="E7431" s="69"/>
      <c r="F7431" s="17"/>
      <c r="G7431" s="59"/>
    </row>
    <row r="7432" spans="3:7" ht="20.25" customHeight="1" x14ac:dyDescent="0.3">
      <c r="C7432" s="59"/>
      <c r="D7432" s="69"/>
      <c r="E7432" s="69"/>
      <c r="F7432" s="17"/>
      <c r="G7432" s="59"/>
    </row>
    <row r="7433" spans="3:7" ht="20.25" customHeight="1" x14ac:dyDescent="0.3">
      <c r="C7433" s="59"/>
      <c r="D7433" s="69"/>
      <c r="E7433" s="69"/>
      <c r="F7433" s="17"/>
      <c r="G7433" s="59"/>
    </row>
    <row r="7434" spans="3:7" ht="20.25" customHeight="1" x14ac:dyDescent="0.3">
      <c r="C7434" s="59"/>
      <c r="D7434" s="69"/>
      <c r="E7434" s="69"/>
      <c r="F7434" s="17"/>
      <c r="G7434" s="59"/>
    </row>
    <row r="7435" spans="3:7" ht="20.25" customHeight="1" x14ac:dyDescent="0.3">
      <c r="C7435" s="59"/>
      <c r="D7435" s="69"/>
      <c r="E7435" s="69"/>
      <c r="F7435" s="17"/>
      <c r="G7435" s="59"/>
    </row>
    <row r="7436" spans="3:7" ht="20.25" customHeight="1" x14ac:dyDescent="0.3">
      <c r="C7436" s="59"/>
      <c r="D7436" s="69"/>
      <c r="E7436" s="69"/>
      <c r="F7436" s="17"/>
      <c r="G7436" s="59"/>
    </row>
    <row r="7437" spans="3:7" ht="20.25" customHeight="1" x14ac:dyDescent="0.3">
      <c r="C7437" s="59"/>
      <c r="D7437" s="69"/>
      <c r="E7437" s="69"/>
      <c r="F7437" s="17"/>
      <c r="G7437" s="59"/>
    </row>
    <row r="7438" spans="3:7" ht="20.25" customHeight="1" x14ac:dyDescent="0.3">
      <c r="C7438" s="59"/>
      <c r="D7438" s="69"/>
      <c r="E7438" s="69"/>
      <c r="F7438" s="17"/>
      <c r="G7438" s="59"/>
    </row>
    <row r="7439" spans="3:7" ht="20.25" customHeight="1" x14ac:dyDescent="0.3">
      <c r="C7439" s="59"/>
      <c r="D7439" s="69"/>
      <c r="E7439" s="69"/>
      <c r="F7439" s="17"/>
      <c r="G7439" s="59"/>
    </row>
    <row r="7440" spans="3:7" ht="20.25" customHeight="1" x14ac:dyDescent="0.3">
      <c r="C7440" s="59"/>
      <c r="D7440" s="69"/>
      <c r="E7440" s="69"/>
      <c r="F7440" s="17"/>
      <c r="G7440" s="59"/>
    </row>
    <row r="7441" spans="3:7" ht="20.25" customHeight="1" x14ac:dyDescent="0.3">
      <c r="C7441" s="59"/>
      <c r="D7441" s="69"/>
      <c r="E7441" s="69"/>
      <c r="F7441" s="17"/>
      <c r="G7441" s="59"/>
    </row>
    <row r="7442" spans="3:7" ht="20.25" customHeight="1" x14ac:dyDescent="0.3">
      <c r="C7442" s="59"/>
      <c r="D7442" s="69"/>
      <c r="E7442" s="69"/>
      <c r="F7442" s="17"/>
      <c r="G7442" s="59"/>
    </row>
    <row r="7443" spans="3:7" ht="20.25" customHeight="1" x14ac:dyDescent="0.3">
      <c r="C7443" s="59"/>
      <c r="D7443" s="69"/>
      <c r="E7443" s="69"/>
      <c r="F7443" s="17"/>
      <c r="G7443" s="59"/>
    </row>
    <row r="7444" spans="3:7" ht="20.25" customHeight="1" x14ac:dyDescent="0.3">
      <c r="C7444" s="59"/>
      <c r="D7444" s="69"/>
      <c r="E7444" s="69"/>
      <c r="F7444" s="17"/>
      <c r="G7444" s="59"/>
    </row>
    <row r="7445" spans="3:7" ht="20.25" customHeight="1" x14ac:dyDescent="0.3">
      <c r="C7445" s="59"/>
      <c r="D7445" s="69"/>
      <c r="E7445" s="69"/>
      <c r="F7445" s="17"/>
      <c r="G7445" s="59"/>
    </row>
    <row r="7446" spans="3:7" ht="20.25" customHeight="1" x14ac:dyDescent="0.3">
      <c r="C7446" s="59"/>
      <c r="D7446" s="69"/>
      <c r="E7446" s="69"/>
      <c r="F7446" s="17"/>
      <c r="G7446" s="59"/>
    </row>
    <row r="7447" spans="3:7" ht="20.25" customHeight="1" x14ac:dyDescent="0.3">
      <c r="C7447" s="59"/>
      <c r="D7447" s="69"/>
      <c r="E7447" s="69"/>
      <c r="F7447" s="17"/>
      <c r="G7447" s="59"/>
    </row>
    <row r="7448" spans="3:7" ht="20.25" customHeight="1" x14ac:dyDescent="0.3">
      <c r="C7448" s="59"/>
      <c r="D7448" s="69"/>
      <c r="E7448" s="69"/>
      <c r="F7448" s="17"/>
      <c r="G7448" s="59"/>
    </row>
    <row r="7449" spans="3:7" ht="20.25" customHeight="1" x14ac:dyDescent="0.3">
      <c r="C7449" s="59"/>
      <c r="D7449" s="69"/>
      <c r="E7449" s="69"/>
      <c r="F7449" s="17"/>
      <c r="G7449" s="59"/>
    </row>
    <row r="7450" spans="3:7" ht="20.25" customHeight="1" x14ac:dyDescent="0.3">
      <c r="C7450" s="59"/>
      <c r="D7450" s="69"/>
      <c r="E7450" s="69"/>
      <c r="F7450" s="17"/>
      <c r="G7450" s="59"/>
    </row>
    <row r="7451" spans="3:7" ht="20.25" customHeight="1" x14ac:dyDescent="0.3">
      <c r="C7451" s="59"/>
      <c r="D7451" s="69"/>
      <c r="E7451" s="69"/>
      <c r="F7451" s="17"/>
      <c r="G7451" s="59"/>
    </row>
    <row r="7452" spans="3:7" ht="20.25" customHeight="1" x14ac:dyDescent="0.3">
      <c r="C7452" s="59"/>
      <c r="D7452" s="69"/>
      <c r="E7452" s="69"/>
      <c r="F7452" s="17"/>
      <c r="G7452" s="59"/>
    </row>
    <row r="7453" spans="3:7" ht="20.25" customHeight="1" x14ac:dyDescent="0.3">
      <c r="C7453" s="59"/>
      <c r="D7453" s="69"/>
      <c r="E7453" s="69"/>
      <c r="F7453" s="17"/>
      <c r="G7453" s="59"/>
    </row>
    <row r="7454" spans="3:7" ht="20.25" customHeight="1" x14ac:dyDescent="0.3">
      <c r="C7454" s="59"/>
      <c r="D7454" s="69"/>
      <c r="E7454" s="69"/>
      <c r="F7454" s="17"/>
      <c r="G7454" s="59"/>
    </row>
    <row r="7455" spans="3:7" ht="20.25" customHeight="1" x14ac:dyDescent="0.3">
      <c r="C7455" s="59"/>
      <c r="D7455" s="69"/>
      <c r="E7455" s="69"/>
      <c r="F7455" s="17"/>
      <c r="G7455" s="59"/>
    </row>
    <row r="7456" spans="3:7" ht="20.25" customHeight="1" x14ac:dyDescent="0.3">
      <c r="C7456" s="59"/>
      <c r="D7456" s="69"/>
      <c r="E7456" s="69"/>
      <c r="F7456" s="17"/>
      <c r="G7456" s="59"/>
    </row>
    <row r="7457" spans="3:7" ht="20.25" customHeight="1" x14ac:dyDescent="0.3">
      <c r="C7457" s="59"/>
      <c r="D7457" s="69"/>
      <c r="E7457" s="69"/>
      <c r="F7457" s="17"/>
      <c r="G7457" s="59"/>
    </row>
    <row r="7458" spans="3:7" ht="20.25" customHeight="1" x14ac:dyDescent="0.3">
      <c r="C7458" s="59"/>
      <c r="D7458" s="69"/>
      <c r="E7458" s="69"/>
      <c r="F7458" s="17"/>
      <c r="G7458" s="59"/>
    </row>
    <row r="7459" spans="3:7" ht="20.25" customHeight="1" x14ac:dyDescent="0.3">
      <c r="C7459" s="59"/>
      <c r="D7459" s="69"/>
      <c r="E7459" s="69"/>
      <c r="F7459" s="17"/>
      <c r="G7459" s="59"/>
    </row>
    <row r="7460" spans="3:7" ht="20.25" customHeight="1" x14ac:dyDescent="0.3">
      <c r="C7460" s="59"/>
      <c r="D7460" s="69"/>
      <c r="E7460" s="69"/>
      <c r="F7460" s="17"/>
      <c r="G7460" s="59"/>
    </row>
    <row r="7461" spans="3:7" ht="20.25" customHeight="1" x14ac:dyDescent="0.3">
      <c r="C7461" s="59"/>
      <c r="D7461" s="69"/>
      <c r="E7461" s="69"/>
      <c r="F7461" s="17"/>
      <c r="G7461" s="59"/>
    </row>
    <row r="7462" spans="3:7" ht="20.25" customHeight="1" x14ac:dyDescent="0.3">
      <c r="C7462" s="59"/>
      <c r="D7462" s="69"/>
      <c r="E7462" s="69"/>
      <c r="F7462" s="17"/>
      <c r="G7462" s="59"/>
    </row>
    <row r="7463" spans="3:7" ht="20.25" customHeight="1" x14ac:dyDescent="0.3">
      <c r="C7463" s="59"/>
      <c r="D7463" s="69"/>
      <c r="E7463" s="69"/>
      <c r="F7463" s="17"/>
      <c r="G7463" s="59"/>
    </row>
    <row r="7464" spans="3:7" ht="20.25" customHeight="1" x14ac:dyDescent="0.3">
      <c r="C7464" s="59"/>
      <c r="D7464" s="69"/>
      <c r="E7464" s="69"/>
      <c r="F7464" s="17"/>
      <c r="G7464" s="59"/>
    </row>
    <row r="7465" spans="3:7" ht="20.25" customHeight="1" x14ac:dyDescent="0.3">
      <c r="C7465" s="59"/>
      <c r="D7465" s="69"/>
      <c r="E7465" s="69"/>
      <c r="F7465" s="17"/>
      <c r="G7465" s="59"/>
    </row>
    <row r="7466" spans="3:7" ht="20.25" customHeight="1" x14ac:dyDescent="0.3">
      <c r="C7466" s="59"/>
      <c r="D7466" s="69"/>
      <c r="E7466" s="69"/>
      <c r="F7466" s="17"/>
      <c r="G7466" s="59"/>
    </row>
    <row r="7467" spans="3:7" ht="20.25" customHeight="1" x14ac:dyDescent="0.3">
      <c r="C7467" s="59"/>
      <c r="D7467" s="69"/>
      <c r="E7467" s="69"/>
      <c r="F7467" s="17"/>
      <c r="G7467" s="59"/>
    </row>
    <row r="7468" spans="3:7" ht="20.25" customHeight="1" x14ac:dyDescent="0.3">
      <c r="C7468" s="59"/>
      <c r="D7468" s="69"/>
      <c r="E7468" s="69"/>
      <c r="F7468" s="17"/>
      <c r="G7468" s="59"/>
    </row>
    <row r="7469" spans="3:7" ht="20.25" customHeight="1" x14ac:dyDescent="0.3">
      <c r="C7469" s="59"/>
      <c r="D7469" s="69"/>
      <c r="E7469" s="69"/>
      <c r="F7469" s="17"/>
      <c r="G7469" s="59"/>
    </row>
    <row r="7470" spans="3:7" ht="20.25" customHeight="1" x14ac:dyDescent="0.3">
      <c r="C7470" s="59"/>
      <c r="D7470" s="69"/>
      <c r="E7470" s="69"/>
      <c r="F7470" s="17"/>
      <c r="G7470" s="59"/>
    </row>
    <row r="7471" spans="3:7" ht="20.25" customHeight="1" x14ac:dyDescent="0.3">
      <c r="C7471" s="59"/>
      <c r="D7471" s="69"/>
      <c r="E7471" s="69"/>
      <c r="F7471" s="17"/>
      <c r="G7471" s="59"/>
    </row>
    <row r="7472" spans="3:7" ht="20.25" customHeight="1" x14ac:dyDescent="0.3">
      <c r="C7472" s="59"/>
      <c r="D7472" s="69"/>
      <c r="E7472" s="69"/>
      <c r="F7472" s="17"/>
      <c r="G7472" s="59"/>
    </row>
    <row r="7473" spans="3:7" ht="20.25" customHeight="1" x14ac:dyDescent="0.3">
      <c r="C7473" s="59"/>
      <c r="D7473" s="69"/>
      <c r="E7473" s="69"/>
      <c r="F7473" s="17"/>
      <c r="G7473" s="59"/>
    </row>
    <row r="7474" spans="3:7" ht="20.25" customHeight="1" x14ac:dyDescent="0.3">
      <c r="C7474" s="59"/>
      <c r="D7474" s="69"/>
      <c r="E7474" s="69"/>
      <c r="F7474" s="17"/>
      <c r="G7474" s="59"/>
    </row>
    <row r="7475" spans="3:7" ht="20.25" customHeight="1" x14ac:dyDescent="0.3">
      <c r="C7475" s="59"/>
      <c r="D7475" s="69"/>
      <c r="E7475" s="69"/>
      <c r="F7475" s="17"/>
      <c r="G7475" s="59"/>
    </row>
    <row r="7476" spans="3:7" ht="20.25" customHeight="1" x14ac:dyDescent="0.3">
      <c r="C7476" s="59"/>
      <c r="D7476" s="69"/>
      <c r="E7476" s="69"/>
      <c r="F7476" s="17"/>
      <c r="G7476" s="59"/>
    </row>
    <row r="7477" spans="3:7" ht="20.25" customHeight="1" x14ac:dyDescent="0.3">
      <c r="C7477" s="59"/>
      <c r="D7477" s="69"/>
      <c r="E7477" s="69"/>
      <c r="F7477" s="17"/>
      <c r="G7477" s="59"/>
    </row>
    <row r="7478" spans="3:7" ht="20.25" customHeight="1" x14ac:dyDescent="0.3">
      <c r="C7478" s="59"/>
      <c r="D7478" s="69"/>
      <c r="E7478" s="69"/>
      <c r="F7478" s="17"/>
      <c r="G7478" s="59"/>
    </row>
    <row r="7479" spans="3:7" ht="20.25" customHeight="1" x14ac:dyDescent="0.3">
      <c r="C7479" s="59"/>
      <c r="D7479" s="69"/>
      <c r="E7479" s="69"/>
      <c r="F7479" s="17"/>
      <c r="G7479" s="59"/>
    </row>
    <row r="7480" spans="3:7" ht="20.25" customHeight="1" x14ac:dyDescent="0.3">
      <c r="C7480" s="59"/>
      <c r="D7480" s="69"/>
      <c r="E7480" s="69"/>
      <c r="F7480" s="17"/>
      <c r="G7480" s="59"/>
    </row>
    <row r="7481" spans="3:7" ht="20.25" customHeight="1" x14ac:dyDescent="0.3">
      <c r="C7481" s="59"/>
      <c r="D7481" s="69"/>
      <c r="E7481" s="69"/>
      <c r="F7481" s="17"/>
      <c r="G7481" s="59"/>
    </row>
    <row r="7482" spans="3:7" ht="20.25" customHeight="1" x14ac:dyDescent="0.3">
      <c r="C7482" s="59"/>
      <c r="D7482" s="69"/>
      <c r="E7482" s="69"/>
      <c r="F7482" s="17"/>
      <c r="G7482" s="59"/>
    </row>
    <row r="7483" spans="3:7" ht="20.25" customHeight="1" x14ac:dyDescent="0.3">
      <c r="C7483" s="59"/>
      <c r="D7483" s="69"/>
      <c r="E7483" s="69"/>
      <c r="F7483" s="17"/>
      <c r="G7483" s="59"/>
    </row>
    <row r="7484" spans="3:7" ht="20.25" customHeight="1" x14ac:dyDescent="0.3">
      <c r="C7484" s="59"/>
      <c r="D7484" s="69"/>
      <c r="E7484" s="69"/>
      <c r="F7484" s="17"/>
      <c r="G7484" s="59"/>
    </row>
    <row r="7485" spans="3:7" ht="20.25" customHeight="1" x14ac:dyDescent="0.3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5546875" style="3" customWidth="1"/>
    <col min="3" max="3" width="25.44140625" style="3" customWidth="1"/>
    <col min="4" max="4" width="24.44140625" style="3" customWidth="1"/>
    <col min="5" max="5" width="20.44140625" style="3" customWidth="1"/>
    <col min="6" max="6" width="25.5546875" style="31" bestFit="1" customWidth="1"/>
    <col min="7" max="7" width="26.33203125" style="31" customWidth="1"/>
    <col min="8" max="9" width="25.5546875" style="31" bestFit="1" customWidth="1"/>
    <col min="10" max="10" width="19.6640625" style="3" bestFit="1" customWidth="1"/>
    <col min="11" max="11" width="18.44140625" style="3" bestFit="1" customWidth="1"/>
    <col min="12" max="12" width="19.6640625" style="3" bestFit="1" customWidth="1"/>
    <col min="13" max="13" width="11.44140625" style="3"/>
    <col min="14" max="14" width="13" style="3" bestFit="1" customWidth="1"/>
    <col min="15" max="16384" width="11.44140625" style="3"/>
  </cols>
  <sheetData>
    <row r="1" spans="1:17" s="24" customFormat="1" ht="15" thickBot="1" x14ac:dyDescent="0.35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5">
      <c r="A2" s="334" t="s">
        <v>170</v>
      </c>
      <c r="B2" s="335"/>
      <c r="C2" s="335"/>
      <c r="D2" s="335"/>
      <c r="E2" s="335"/>
      <c r="F2" s="335"/>
      <c r="G2" s="335"/>
      <c r="H2" s="335"/>
      <c r="I2" s="336"/>
      <c r="L2" s="26"/>
      <c r="M2" s="26"/>
      <c r="N2" s="27"/>
      <c r="O2" s="41"/>
      <c r="P2" s="41"/>
    </row>
    <row r="3" spans="1:17" s="24" customFormat="1" ht="14.4" x14ac:dyDescent="0.3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3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3">
      <c r="A5" s="114" t="s">
        <v>16</v>
      </c>
      <c r="B5" s="112"/>
      <c r="C5" s="59"/>
      <c r="D5" s="59"/>
      <c r="E5" s="228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30"/>
      <c r="M5" s="26"/>
      <c r="N5" s="27"/>
      <c r="O5" s="41"/>
      <c r="P5" s="41"/>
    </row>
    <row r="6" spans="1:17" ht="20.25" customHeight="1" x14ac:dyDescent="0.3">
      <c r="A6" s="114" t="s">
        <v>49</v>
      </c>
      <c r="B6" s="37">
        <f>IFERROR(SUM(Tabla17[[Saldo ]]),"0")</f>
        <v>0</v>
      </c>
      <c r="C6" s="59"/>
      <c r="D6" s="59"/>
      <c r="E6" s="228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30"/>
      <c r="M6" s="26"/>
      <c r="N6" s="27"/>
      <c r="O6" s="41"/>
      <c r="P6" s="41"/>
    </row>
    <row r="7" spans="1:17" ht="20.25" customHeight="1" x14ac:dyDescent="0.3">
      <c r="A7" s="140"/>
      <c r="B7" s="59"/>
      <c r="C7" s="59"/>
      <c r="D7" s="134"/>
      <c r="E7" s="134"/>
      <c r="F7" s="83"/>
      <c r="G7" s="83"/>
      <c r="H7" s="83"/>
      <c r="I7" s="83"/>
      <c r="J7" s="59"/>
      <c r="K7" s="59"/>
      <c r="L7" s="230"/>
      <c r="M7" s="26"/>
      <c r="N7" s="27"/>
      <c r="O7" s="126"/>
      <c r="P7" s="126"/>
    </row>
    <row r="8" spans="1:17" ht="35.25" customHeight="1" x14ac:dyDescent="0.3">
      <c r="A8" s="345" t="s">
        <v>181</v>
      </c>
      <c r="B8" s="345"/>
      <c r="C8" s="345"/>
      <c r="D8" s="345"/>
      <c r="E8" s="345"/>
      <c r="F8" s="345"/>
      <c r="G8" s="345"/>
      <c r="H8" s="229"/>
      <c r="I8" s="229"/>
      <c r="J8" s="59"/>
      <c r="K8" s="59"/>
      <c r="L8" s="230"/>
      <c r="M8" s="26"/>
      <c r="N8" s="27"/>
      <c r="O8" s="41"/>
      <c r="P8" s="41"/>
      <c r="Q8" s="32"/>
    </row>
    <row r="9" spans="1:17" ht="35.4" customHeight="1" x14ac:dyDescent="0.3">
      <c r="A9" s="216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14" t="s">
        <v>133</v>
      </c>
      <c r="M9" s="26"/>
      <c r="N9" s="27"/>
      <c r="O9" s="41"/>
      <c r="P9" s="41"/>
      <c r="Q9" s="73"/>
    </row>
    <row r="10" spans="1:17" ht="20.25" customHeight="1" x14ac:dyDescent="0.3">
      <c r="A10" s="231"/>
      <c r="B10" s="232"/>
      <c r="C10" s="232"/>
      <c r="D10" s="233"/>
      <c r="E10" s="233"/>
      <c r="F10" s="234"/>
      <c r="G10" s="235"/>
      <c r="H10" s="236" t="str">
        <f>IF(D10="","",DAYS360($B$5,D10))</f>
        <v/>
      </c>
      <c r="I10" s="218">
        <f>+IF(H10&lt;=15,B10+C10,0)</f>
        <v>0</v>
      </c>
      <c r="J10" s="218">
        <f>+IF(AND(H10&gt;=16,H10&lt;=30),B10+C10,0)</f>
        <v>0</v>
      </c>
      <c r="K10" s="218">
        <f>+IF(AND(H10&gt;=31,H10&lt;=60),B10+C10,0)</f>
        <v>0</v>
      </c>
      <c r="L10" s="219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44140625" style="3" customWidth="1"/>
    <col min="3" max="3" width="25" style="3" customWidth="1"/>
    <col min="4" max="4" width="23.44140625" style="3" customWidth="1"/>
    <col min="5" max="5" width="19.6640625" style="3" customWidth="1"/>
    <col min="6" max="6" width="19.44140625" style="3" customWidth="1"/>
    <col min="7" max="7" width="25.88671875" style="3" customWidth="1"/>
    <col min="8" max="8" width="24.88671875" style="3" customWidth="1"/>
    <col min="9" max="9" width="25.6640625" style="31" bestFit="1" customWidth="1"/>
    <col min="10" max="10" width="24.33203125" style="31" bestFit="1" customWidth="1"/>
    <col min="11" max="12" width="25.6640625" style="31" bestFit="1" customWidth="1"/>
    <col min="13" max="16" width="11.44140625" style="3"/>
    <col min="17" max="17" width="13" style="3" bestFit="1" customWidth="1"/>
    <col min="18" max="16384" width="11.44140625" style="3"/>
  </cols>
  <sheetData>
    <row r="1" spans="1:20" s="24" customFormat="1" ht="15" thickBot="1" x14ac:dyDescent="0.35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5">
      <c r="A2" s="334" t="s">
        <v>77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6"/>
      <c r="O2" s="26"/>
      <c r="P2" s="26"/>
      <c r="Q2" s="27"/>
      <c r="R2" s="41"/>
      <c r="S2" s="41"/>
    </row>
    <row r="3" spans="1:20" s="24" customFormat="1" ht="14.4" x14ac:dyDescent="0.3">
      <c r="A3" s="59"/>
      <c r="B3" s="59"/>
      <c r="C3" s="59"/>
      <c r="D3" s="59"/>
      <c r="E3" s="59"/>
      <c r="F3" s="59"/>
      <c r="G3" s="59"/>
      <c r="H3" s="59"/>
      <c r="I3" s="229"/>
      <c r="J3" s="229"/>
      <c r="K3" s="229"/>
      <c r="L3" s="229"/>
      <c r="O3" s="26"/>
      <c r="P3" s="26"/>
      <c r="Q3" s="27"/>
      <c r="R3" s="41"/>
      <c r="S3" s="41"/>
    </row>
    <row r="4" spans="1:20" s="24" customFormat="1" ht="22.5" customHeight="1" x14ac:dyDescent="0.3">
      <c r="A4" s="59"/>
      <c r="B4" s="59"/>
      <c r="C4" s="59"/>
      <c r="D4" s="59"/>
      <c r="E4" s="59"/>
      <c r="F4" s="59"/>
      <c r="G4" s="59"/>
      <c r="H4" s="134"/>
      <c r="I4" s="196"/>
      <c r="J4" s="229"/>
      <c r="K4" s="229"/>
      <c r="L4" s="229"/>
      <c r="O4" s="26"/>
      <c r="P4" s="26"/>
      <c r="Q4" s="27"/>
      <c r="R4" s="41"/>
      <c r="S4" s="41"/>
    </row>
    <row r="5" spans="1:20" ht="26.25" customHeight="1" x14ac:dyDescent="0.3">
      <c r="A5" s="114" t="s">
        <v>16</v>
      </c>
      <c r="B5" s="120"/>
      <c r="C5" s="59"/>
      <c r="D5" s="59"/>
      <c r="E5" s="59"/>
      <c r="F5" s="59"/>
      <c r="G5" s="59"/>
      <c r="H5" s="228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3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28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3">
      <c r="A7" s="140"/>
      <c r="B7" s="139"/>
      <c r="C7" s="59"/>
      <c r="D7" s="59"/>
      <c r="E7" s="59"/>
      <c r="F7" s="59"/>
      <c r="G7" s="59"/>
      <c r="H7" s="134"/>
      <c r="I7" s="196"/>
      <c r="J7" s="196"/>
      <c r="K7" s="196"/>
      <c r="L7" s="196"/>
      <c r="O7" s="26"/>
      <c r="P7" s="26"/>
      <c r="Q7" s="27"/>
      <c r="R7" s="138"/>
      <c r="S7" s="138"/>
    </row>
    <row r="8" spans="1:20" ht="20.25" customHeight="1" x14ac:dyDescent="0.3">
      <c r="A8" s="353" t="s">
        <v>174</v>
      </c>
      <c r="B8" s="353"/>
      <c r="C8" s="353"/>
      <c r="D8" s="353"/>
      <c r="E8" s="353"/>
      <c r="F8" s="353"/>
      <c r="G8" s="353"/>
      <c r="H8" s="59"/>
      <c r="I8" s="229"/>
      <c r="J8" s="229"/>
      <c r="K8" s="229"/>
      <c r="L8" s="229"/>
      <c r="O8" s="26"/>
      <c r="P8" s="26"/>
      <c r="Q8" s="27"/>
      <c r="R8" s="41"/>
      <c r="S8" s="41"/>
      <c r="T8" s="32"/>
    </row>
    <row r="9" spans="1:20" ht="54" customHeight="1" x14ac:dyDescent="0.3">
      <c r="A9" s="216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14" t="s">
        <v>133</v>
      </c>
      <c r="O9" s="26"/>
      <c r="P9" s="26"/>
      <c r="Q9" s="27"/>
      <c r="R9" s="41"/>
      <c r="S9" s="41"/>
    </row>
    <row r="10" spans="1:20" ht="20.25" customHeight="1" x14ac:dyDescent="0.3">
      <c r="A10" s="231"/>
      <c r="B10" s="237"/>
      <c r="C10" s="224"/>
      <c r="D10" s="233"/>
      <c r="E10" s="233"/>
      <c r="F10" s="179"/>
      <c r="G10" s="179"/>
      <c r="H10" s="236" t="str">
        <f t="shared" ref="H10" si="0">IF(D10="","",DAYS360($B$5,D10))</f>
        <v/>
      </c>
      <c r="I10" s="218">
        <f t="shared" ref="I10" si="1">+IF(H10&lt;=15,B10+C10,0)</f>
        <v>0</v>
      </c>
      <c r="J10" s="218">
        <f t="shared" ref="J10" si="2">+IF(AND(H10&gt;=16,H10&lt;=30),B10+C10,0)</f>
        <v>0</v>
      </c>
      <c r="K10" s="218">
        <f t="shared" ref="K10" si="3">+IF(AND(H10&gt;=31,H10&lt;=60),B10+C10,0)</f>
        <v>0</v>
      </c>
      <c r="L10" s="219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3"/>
  <cols>
    <col min="1" max="1" width="23" style="59" customWidth="1"/>
    <col min="2" max="2" width="27.5546875" style="59" customWidth="1"/>
    <col min="3" max="3" width="23.44140625" style="59" customWidth="1"/>
    <col min="4" max="4" width="26" style="59" customWidth="1"/>
    <col min="5" max="5" width="17.33203125" style="59" customWidth="1"/>
    <col min="6" max="6" width="17.6640625" style="59" customWidth="1"/>
    <col min="7" max="7" width="25.44140625" style="59" customWidth="1"/>
    <col min="8" max="8" width="21.6640625" style="59" bestFit="1" customWidth="1"/>
    <col min="9" max="9" width="21.6640625" style="59" customWidth="1"/>
    <col min="10" max="10" width="24.88671875" style="59" customWidth="1"/>
    <col min="11" max="11" width="25.109375" style="59" bestFit="1" customWidth="1"/>
    <col min="12" max="12" width="22.88671875" style="59" bestFit="1" customWidth="1"/>
    <col min="13" max="14" width="25" style="59" bestFit="1" customWidth="1"/>
    <col min="15" max="252" width="11.44140625" style="59"/>
    <col min="253" max="253" width="18.44140625" style="59" bestFit="1" customWidth="1"/>
    <col min="254" max="254" width="14" style="59" bestFit="1" customWidth="1"/>
    <col min="255" max="255" width="12.5546875" style="59" bestFit="1" customWidth="1"/>
    <col min="256" max="256" width="12.5546875" style="59" customWidth="1"/>
    <col min="257" max="261" width="11.44140625" style="59"/>
    <col min="262" max="262" width="15.44140625" style="59" bestFit="1" customWidth="1"/>
    <col min="263" max="263" width="16.5546875" style="59" bestFit="1" customWidth="1"/>
    <col min="264" max="264" width="12.5546875" style="59" bestFit="1" customWidth="1"/>
    <col min="265" max="265" width="15.44140625" style="59" bestFit="1" customWidth="1"/>
    <col min="266" max="266" width="16.5546875" style="59" bestFit="1" customWidth="1"/>
    <col min="267" max="270" width="17.6640625" style="59" bestFit="1" customWidth="1"/>
    <col min="271" max="508" width="11.44140625" style="59"/>
    <col min="509" max="509" width="18.44140625" style="59" bestFit="1" customWidth="1"/>
    <col min="510" max="510" width="14" style="59" bestFit="1" customWidth="1"/>
    <col min="511" max="511" width="12.5546875" style="59" bestFit="1" customWidth="1"/>
    <col min="512" max="512" width="12.5546875" style="59" customWidth="1"/>
    <col min="513" max="517" width="11.44140625" style="59"/>
    <col min="518" max="518" width="15.44140625" style="59" bestFit="1" customWidth="1"/>
    <col min="519" max="519" width="16.5546875" style="59" bestFit="1" customWidth="1"/>
    <col min="520" max="520" width="12.5546875" style="59" bestFit="1" customWidth="1"/>
    <col min="521" max="521" width="15.44140625" style="59" bestFit="1" customWidth="1"/>
    <col min="522" max="522" width="16.5546875" style="59" bestFit="1" customWidth="1"/>
    <col min="523" max="526" width="17.6640625" style="59" bestFit="1" customWidth="1"/>
    <col min="527" max="764" width="11.44140625" style="59"/>
    <col min="765" max="765" width="18.44140625" style="59" bestFit="1" customWidth="1"/>
    <col min="766" max="766" width="14" style="59" bestFit="1" customWidth="1"/>
    <col min="767" max="767" width="12.5546875" style="59" bestFit="1" customWidth="1"/>
    <col min="768" max="768" width="12.5546875" style="59" customWidth="1"/>
    <col min="769" max="773" width="11.44140625" style="59"/>
    <col min="774" max="774" width="15.44140625" style="59" bestFit="1" customWidth="1"/>
    <col min="775" max="775" width="16.5546875" style="59" bestFit="1" customWidth="1"/>
    <col min="776" max="776" width="12.5546875" style="59" bestFit="1" customWidth="1"/>
    <col min="777" max="777" width="15.44140625" style="59" bestFit="1" customWidth="1"/>
    <col min="778" max="778" width="16.5546875" style="59" bestFit="1" customWidth="1"/>
    <col min="779" max="782" width="17.6640625" style="59" bestFit="1" customWidth="1"/>
    <col min="783" max="1020" width="11.44140625" style="59"/>
    <col min="1021" max="1021" width="18.44140625" style="59" bestFit="1" customWidth="1"/>
    <col min="1022" max="1022" width="14" style="59" bestFit="1" customWidth="1"/>
    <col min="1023" max="1023" width="12.5546875" style="59" bestFit="1" customWidth="1"/>
    <col min="1024" max="1024" width="12.5546875" style="59" customWidth="1"/>
    <col min="1025" max="1029" width="11.44140625" style="59"/>
    <col min="1030" max="1030" width="15.44140625" style="59" bestFit="1" customWidth="1"/>
    <col min="1031" max="1031" width="16.5546875" style="59" bestFit="1" customWidth="1"/>
    <col min="1032" max="1032" width="12.5546875" style="59" bestFit="1" customWidth="1"/>
    <col min="1033" max="1033" width="15.44140625" style="59" bestFit="1" customWidth="1"/>
    <col min="1034" max="1034" width="16.5546875" style="59" bestFit="1" customWidth="1"/>
    <col min="1035" max="1038" width="17.6640625" style="59" bestFit="1" customWidth="1"/>
    <col min="1039" max="1276" width="11.44140625" style="59"/>
    <col min="1277" max="1277" width="18.44140625" style="59" bestFit="1" customWidth="1"/>
    <col min="1278" max="1278" width="14" style="59" bestFit="1" customWidth="1"/>
    <col min="1279" max="1279" width="12.5546875" style="59" bestFit="1" customWidth="1"/>
    <col min="1280" max="1280" width="12.5546875" style="59" customWidth="1"/>
    <col min="1281" max="1285" width="11.44140625" style="59"/>
    <col min="1286" max="1286" width="15.44140625" style="59" bestFit="1" customWidth="1"/>
    <col min="1287" max="1287" width="16.5546875" style="59" bestFit="1" customWidth="1"/>
    <col min="1288" max="1288" width="12.5546875" style="59" bestFit="1" customWidth="1"/>
    <col min="1289" max="1289" width="15.44140625" style="59" bestFit="1" customWidth="1"/>
    <col min="1290" max="1290" width="16.5546875" style="59" bestFit="1" customWidth="1"/>
    <col min="1291" max="1294" width="17.6640625" style="59" bestFit="1" customWidth="1"/>
    <col min="1295" max="1532" width="11.44140625" style="59"/>
    <col min="1533" max="1533" width="18.44140625" style="59" bestFit="1" customWidth="1"/>
    <col min="1534" max="1534" width="14" style="59" bestFit="1" customWidth="1"/>
    <col min="1535" max="1535" width="12.5546875" style="59" bestFit="1" customWidth="1"/>
    <col min="1536" max="1536" width="12.5546875" style="59" customWidth="1"/>
    <col min="1537" max="1541" width="11.44140625" style="59"/>
    <col min="1542" max="1542" width="15.44140625" style="59" bestFit="1" customWidth="1"/>
    <col min="1543" max="1543" width="16.5546875" style="59" bestFit="1" customWidth="1"/>
    <col min="1544" max="1544" width="12.5546875" style="59" bestFit="1" customWidth="1"/>
    <col min="1545" max="1545" width="15.44140625" style="59" bestFit="1" customWidth="1"/>
    <col min="1546" max="1546" width="16.5546875" style="59" bestFit="1" customWidth="1"/>
    <col min="1547" max="1550" width="17.6640625" style="59" bestFit="1" customWidth="1"/>
    <col min="1551" max="1788" width="11.44140625" style="59"/>
    <col min="1789" max="1789" width="18.44140625" style="59" bestFit="1" customWidth="1"/>
    <col min="1790" max="1790" width="14" style="59" bestFit="1" customWidth="1"/>
    <col min="1791" max="1791" width="12.5546875" style="59" bestFit="1" customWidth="1"/>
    <col min="1792" max="1792" width="12.5546875" style="59" customWidth="1"/>
    <col min="1793" max="1797" width="11.44140625" style="59"/>
    <col min="1798" max="1798" width="15.44140625" style="59" bestFit="1" customWidth="1"/>
    <col min="1799" max="1799" width="16.5546875" style="59" bestFit="1" customWidth="1"/>
    <col min="1800" max="1800" width="12.5546875" style="59" bestFit="1" customWidth="1"/>
    <col min="1801" max="1801" width="15.44140625" style="59" bestFit="1" customWidth="1"/>
    <col min="1802" max="1802" width="16.5546875" style="59" bestFit="1" customWidth="1"/>
    <col min="1803" max="1806" width="17.6640625" style="59" bestFit="1" customWidth="1"/>
    <col min="1807" max="2044" width="11.44140625" style="59"/>
    <col min="2045" max="2045" width="18.44140625" style="59" bestFit="1" customWidth="1"/>
    <col min="2046" max="2046" width="14" style="59" bestFit="1" customWidth="1"/>
    <col min="2047" max="2047" width="12.5546875" style="59" bestFit="1" customWidth="1"/>
    <col min="2048" max="2048" width="12.5546875" style="59" customWidth="1"/>
    <col min="2049" max="2053" width="11.44140625" style="59"/>
    <col min="2054" max="2054" width="15.44140625" style="59" bestFit="1" customWidth="1"/>
    <col min="2055" max="2055" width="16.5546875" style="59" bestFit="1" customWidth="1"/>
    <col min="2056" max="2056" width="12.5546875" style="59" bestFit="1" customWidth="1"/>
    <col min="2057" max="2057" width="15.44140625" style="59" bestFit="1" customWidth="1"/>
    <col min="2058" max="2058" width="16.5546875" style="59" bestFit="1" customWidth="1"/>
    <col min="2059" max="2062" width="17.6640625" style="59" bestFit="1" customWidth="1"/>
    <col min="2063" max="2300" width="11.44140625" style="59"/>
    <col min="2301" max="2301" width="18.44140625" style="59" bestFit="1" customWidth="1"/>
    <col min="2302" max="2302" width="14" style="59" bestFit="1" customWidth="1"/>
    <col min="2303" max="2303" width="12.5546875" style="59" bestFit="1" customWidth="1"/>
    <col min="2304" max="2304" width="12.5546875" style="59" customWidth="1"/>
    <col min="2305" max="2309" width="11.44140625" style="59"/>
    <col min="2310" max="2310" width="15.44140625" style="59" bestFit="1" customWidth="1"/>
    <col min="2311" max="2311" width="16.5546875" style="59" bestFit="1" customWidth="1"/>
    <col min="2312" max="2312" width="12.5546875" style="59" bestFit="1" customWidth="1"/>
    <col min="2313" max="2313" width="15.44140625" style="59" bestFit="1" customWidth="1"/>
    <col min="2314" max="2314" width="16.5546875" style="59" bestFit="1" customWidth="1"/>
    <col min="2315" max="2318" width="17.6640625" style="59" bestFit="1" customWidth="1"/>
    <col min="2319" max="2556" width="11.44140625" style="59"/>
    <col min="2557" max="2557" width="18.44140625" style="59" bestFit="1" customWidth="1"/>
    <col min="2558" max="2558" width="14" style="59" bestFit="1" customWidth="1"/>
    <col min="2559" max="2559" width="12.5546875" style="59" bestFit="1" customWidth="1"/>
    <col min="2560" max="2560" width="12.5546875" style="59" customWidth="1"/>
    <col min="2561" max="2565" width="11.44140625" style="59"/>
    <col min="2566" max="2566" width="15.44140625" style="59" bestFit="1" customWidth="1"/>
    <col min="2567" max="2567" width="16.5546875" style="59" bestFit="1" customWidth="1"/>
    <col min="2568" max="2568" width="12.5546875" style="59" bestFit="1" customWidth="1"/>
    <col min="2569" max="2569" width="15.44140625" style="59" bestFit="1" customWidth="1"/>
    <col min="2570" max="2570" width="16.5546875" style="59" bestFit="1" customWidth="1"/>
    <col min="2571" max="2574" width="17.6640625" style="59" bestFit="1" customWidth="1"/>
    <col min="2575" max="2812" width="11.44140625" style="59"/>
    <col min="2813" max="2813" width="18.44140625" style="59" bestFit="1" customWidth="1"/>
    <col min="2814" max="2814" width="14" style="59" bestFit="1" customWidth="1"/>
    <col min="2815" max="2815" width="12.5546875" style="59" bestFit="1" customWidth="1"/>
    <col min="2816" max="2816" width="12.5546875" style="59" customWidth="1"/>
    <col min="2817" max="2821" width="11.44140625" style="59"/>
    <col min="2822" max="2822" width="15.44140625" style="59" bestFit="1" customWidth="1"/>
    <col min="2823" max="2823" width="16.5546875" style="59" bestFit="1" customWidth="1"/>
    <col min="2824" max="2824" width="12.5546875" style="59" bestFit="1" customWidth="1"/>
    <col min="2825" max="2825" width="15.44140625" style="59" bestFit="1" customWidth="1"/>
    <col min="2826" max="2826" width="16.5546875" style="59" bestFit="1" customWidth="1"/>
    <col min="2827" max="2830" width="17.6640625" style="59" bestFit="1" customWidth="1"/>
    <col min="2831" max="3068" width="11.44140625" style="59"/>
    <col min="3069" max="3069" width="18.44140625" style="59" bestFit="1" customWidth="1"/>
    <col min="3070" max="3070" width="14" style="59" bestFit="1" customWidth="1"/>
    <col min="3071" max="3071" width="12.5546875" style="59" bestFit="1" customWidth="1"/>
    <col min="3072" max="3072" width="12.5546875" style="59" customWidth="1"/>
    <col min="3073" max="3077" width="11.44140625" style="59"/>
    <col min="3078" max="3078" width="15.44140625" style="59" bestFit="1" customWidth="1"/>
    <col min="3079" max="3079" width="16.5546875" style="59" bestFit="1" customWidth="1"/>
    <col min="3080" max="3080" width="12.5546875" style="59" bestFit="1" customWidth="1"/>
    <col min="3081" max="3081" width="15.44140625" style="59" bestFit="1" customWidth="1"/>
    <col min="3082" max="3082" width="16.5546875" style="59" bestFit="1" customWidth="1"/>
    <col min="3083" max="3086" width="17.6640625" style="59" bestFit="1" customWidth="1"/>
    <col min="3087" max="3324" width="11.44140625" style="59"/>
    <col min="3325" max="3325" width="18.44140625" style="59" bestFit="1" customWidth="1"/>
    <col min="3326" max="3326" width="14" style="59" bestFit="1" customWidth="1"/>
    <col min="3327" max="3327" width="12.5546875" style="59" bestFit="1" customWidth="1"/>
    <col min="3328" max="3328" width="12.5546875" style="59" customWidth="1"/>
    <col min="3329" max="3333" width="11.44140625" style="59"/>
    <col min="3334" max="3334" width="15.44140625" style="59" bestFit="1" customWidth="1"/>
    <col min="3335" max="3335" width="16.5546875" style="59" bestFit="1" customWidth="1"/>
    <col min="3336" max="3336" width="12.5546875" style="59" bestFit="1" customWidth="1"/>
    <col min="3337" max="3337" width="15.44140625" style="59" bestFit="1" customWidth="1"/>
    <col min="3338" max="3338" width="16.5546875" style="59" bestFit="1" customWidth="1"/>
    <col min="3339" max="3342" width="17.6640625" style="59" bestFit="1" customWidth="1"/>
    <col min="3343" max="3580" width="11.44140625" style="59"/>
    <col min="3581" max="3581" width="18.44140625" style="59" bestFit="1" customWidth="1"/>
    <col min="3582" max="3582" width="14" style="59" bestFit="1" customWidth="1"/>
    <col min="3583" max="3583" width="12.5546875" style="59" bestFit="1" customWidth="1"/>
    <col min="3584" max="3584" width="12.5546875" style="59" customWidth="1"/>
    <col min="3585" max="3589" width="11.44140625" style="59"/>
    <col min="3590" max="3590" width="15.44140625" style="59" bestFit="1" customWidth="1"/>
    <col min="3591" max="3591" width="16.5546875" style="59" bestFit="1" customWidth="1"/>
    <col min="3592" max="3592" width="12.5546875" style="59" bestFit="1" customWidth="1"/>
    <col min="3593" max="3593" width="15.44140625" style="59" bestFit="1" customWidth="1"/>
    <col min="3594" max="3594" width="16.5546875" style="59" bestFit="1" customWidth="1"/>
    <col min="3595" max="3598" width="17.6640625" style="59" bestFit="1" customWidth="1"/>
    <col min="3599" max="3836" width="11.44140625" style="59"/>
    <col min="3837" max="3837" width="18.44140625" style="59" bestFit="1" customWidth="1"/>
    <col min="3838" max="3838" width="14" style="59" bestFit="1" customWidth="1"/>
    <col min="3839" max="3839" width="12.5546875" style="59" bestFit="1" customWidth="1"/>
    <col min="3840" max="3840" width="12.5546875" style="59" customWidth="1"/>
    <col min="3841" max="3845" width="11.44140625" style="59"/>
    <col min="3846" max="3846" width="15.44140625" style="59" bestFit="1" customWidth="1"/>
    <col min="3847" max="3847" width="16.5546875" style="59" bestFit="1" customWidth="1"/>
    <col min="3848" max="3848" width="12.5546875" style="59" bestFit="1" customWidth="1"/>
    <col min="3849" max="3849" width="15.44140625" style="59" bestFit="1" customWidth="1"/>
    <col min="3850" max="3850" width="16.5546875" style="59" bestFit="1" customWidth="1"/>
    <col min="3851" max="3854" width="17.6640625" style="59" bestFit="1" customWidth="1"/>
    <col min="3855" max="4092" width="11.44140625" style="59"/>
    <col min="4093" max="4093" width="18.44140625" style="59" bestFit="1" customWidth="1"/>
    <col min="4094" max="4094" width="14" style="59" bestFit="1" customWidth="1"/>
    <col min="4095" max="4095" width="12.5546875" style="59" bestFit="1" customWidth="1"/>
    <col min="4096" max="4096" width="12.5546875" style="59" customWidth="1"/>
    <col min="4097" max="4101" width="11.44140625" style="59"/>
    <col min="4102" max="4102" width="15.44140625" style="59" bestFit="1" customWidth="1"/>
    <col min="4103" max="4103" width="16.5546875" style="59" bestFit="1" customWidth="1"/>
    <col min="4104" max="4104" width="12.5546875" style="59" bestFit="1" customWidth="1"/>
    <col min="4105" max="4105" width="15.44140625" style="59" bestFit="1" customWidth="1"/>
    <col min="4106" max="4106" width="16.5546875" style="59" bestFit="1" customWidth="1"/>
    <col min="4107" max="4110" width="17.6640625" style="59" bestFit="1" customWidth="1"/>
    <col min="4111" max="4348" width="11.44140625" style="59"/>
    <col min="4349" max="4349" width="18.44140625" style="59" bestFit="1" customWidth="1"/>
    <col min="4350" max="4350" width="14" style="59" bestFit="1" customWidth="1"/>
    <col min="4351" max="4351" width="12.5546875" style="59" bestFit="1" customWidth="1"/>
    <col min="4352" max="4352" width="12.5546875" style="59" customWidth="1"/>
    <col min="4353" max="4357" width="11.44140625" style="59"/>
    <col min="4358" max="4358" width="15.44140625" style="59" bestFit="1" customWidth="1"/>
    <col min="4359" max="4359" width="16.5546875" style="59" bestFit="1" customWidth="1"/>
    <col min="4360" max="4360" width="12.5546875" style="59" bestFit="1" customWidth="1"/>
    <col min="4361" max="4361" width="15.44140625" style="59" bestFit="1" customWidth="1"/>
    <col min="4362" max="4362" width="16.5546875" style="59" bestFit="1" customWidth="1"/>
    <col min="4363" max="4366" width="17.6640625" style="59" bestFit="1" customWidth="1"/>
    <col min="4367" max="4604" width="11.44140625" style="59"/>
    <col min="4605" max="4605" width="18.44140625" style="59" bestFit="1" customWidth="1"/>
    <col min="4606" max="4606" width="14" style="59" bestFit="1" customWidth="1"/>
    <col min="4607" max="4607" width="12.5546875" style="59" bestFit="1" customWidth="1"/>
    <col min="4608" max="4608" width="12.5546875" style="59" customWidth="1"/>
    <col min="4609" max="4613" width="11.44140625" style="59"/>
    <col min="4614" max="4614" width="15.44140625" style="59" bestFit="1" customWidth="1"/>
    <col min="4615" max="4615" width="16.5546875" style="59" bestFit="1" customWidth="1"/>
    <col min="4616" max="4616" width="12.5546875" style="59" bestFit="1" customWidth="1"/>
    <col min="4617" max="4617" width="15.44140625" style="59" bestFit="1" customWidth="1"/>
    <col min="4618" max="4618" width="16.5546875" style="59" bestFit="1" customWidth="1"/>
    <col min="4619" max="4622" width="17.6640625" style="59" bestFit="1" customWidth="1"/>
    <col min="4623" max="4860" width="11.44140625" style="59"/>
    <col min="4861" max="4861" width="18.44140625" style="59" bestFit="1" customWidth="1"/>
    <col min="4862" max="4862" width="14" style="59" bestFit="1" customWidth="1"/>
    <col min="4863" max="4863" width="12.5546875" style="59" bestFit="1" customWidth="1"/>
    <col min="4864" max="4864" width="12.5546875" style="59" customWidth="1"/>
    <col min="4865" max="4869" width="11.44140625" style="59"/>
    <col min="4870" max="4870" width="15.44140625" style="59" bestFit="1" customWidth="1"/>
    <col min="4871" max="4871" width="16.5546875" style="59" bestFit="1" customWidth="1"/>
    <col min="4872" max="4872" width="12.5546875" style="59" bestFit="1" customWidth="1"/>
    <col min="4873" max="4873" width="15.44140625" style="59" bestFit="1" customWidth="1"/>
    <col min="4874" max="4874" width="16.5546875" style="59" bestFit="1" customWidth="1"/>
    <col min="4875" max="4878" width="17.6640625" style="59" bestFit="1" customWidth="1"/>
    <col min="4879" max="5116" width="11.44140625" style="59"/>
    <col min="5117" max="5117" width="18.44140625" style="59" bestFit="1" customWidth="1"/>
    <col min="5118" max="5118" width="14" style="59" bestFit="1" customWidth="1"/>
    <col min="5119" max="5119" width="12.5546875" style="59" bestFit="1" customWidth="1"/>
    <col min="5120" max="5120" width="12.5546875" style="59" customWidth="1"/>
    <col min="5121" max="5125" width="11.44140625" style="59"/>
    <col min="5126" max="5126" width="15.44140625" style="59" bestFit="1" customWidth="1"/>
    <col min="5127" max="5127" width="16.5546875" style="59" bestFit="1" customWidth="1"/>
    <col min="5128" max="5128" width="12.5546875" style="59" bestFit="1" customWidth="1"/>
    <col min="5129" max="5129" width="15.44140625" style="59" bestFit="1" customWidth="1"/>
    <col min="5130" max="5130" width="16.5546875" style="59" bestFit="1" customWidth="1"/>
    <col min="5131" max="5134" width="17.6640625" style="59" bestFit="1" customWidth="1"/>
    <col min="5135" max="5372" width="11.44140625" style="59"/>
    <col min="5373" max="5373" width="18.44140625" style="59" bestFit="1" customWidth="1"/>
    <col min="5374" max="5374" width="14" style="59" bestFit="1" customWidth="1"/>
    <col min="5375" max="5375" width="12.5546875" style="59" bestFit="1" customWidth="1"/>
    <col min="5376" max="5376" width="12.5546875" style="59" customWidth="1"/>
    <col min="5377" max="5381" width="11.44140625" style="59"/>
    <col min="5382" max="5382" width="15.44140625" style="59" bestFit="1" customWidth="1"/>
    <col min="5383" max="5383" width="16.5546875" style="59" bestFit="1" customWidth="1"/>
    <col min="5384" max="5384" width="12.5546875" style="59" bestFit="1" customWidth="1"/>
    <col min="5385" max="5385" width="15.44140625" style="59" bestFit="1" customWidth="1"/>
    <col min="5386" max="5386" width="16.5546875" style="59" bestFit="1" customWidth="1"/>
    <col min="5387" max="5390" width="17.6640625" style="59" bestFit="1" customWidth="1"/>
    <col min="5391" max="5628" width="11.44140625" style="59"/>
    <col min="5629" max="5629" width="18.44140625" style="59" bestFit="1" customWidth="1"/>
    <col min="5630" max="5630" width="14" style="59" bestFit="1" customWidth="1"/>
    <col min="5631" max="5631" width="12.5546875" style="59" bestFit="1" customWidth="1"/>
    <col min="5632" max="5632" width="12.5546875" style="59" customWidth="1"/>
    <col min="5633" max="5637" width="11.44140625" style="59"/>
    <col min="5638" max="5638" width="15.44140625" style="59" bestFit="1" customWidth="1"/>
    <col min="5639" max="5639" width="16.5546875" style="59" bestFit="1" customWidth="1"/>
    <col min="5640" max="5640" width="12.5546875" style="59" bestFit="1" customWidth="1"/>
    <col min="5641" max="5641" width="15.44140625" style="59" bestFit="1" customWidth="1"/>
    <col min="5642" max="5642" width="16.5546875" style="59" bestFit="1" customWidth="1"/>
    <col min="5643" max="5646" width="17.6640625" style="59" bestFit="1" customWidth="1"/>
    <col min="5647" max="5884" width="11.44140625" style="59"/>
    <col min="5885" max="5885" width="18.44140625" style="59" bestFit="1" customWidth="1"/>
    <col min="5886" max="5886" width="14" style="59" bestFit="1" customWidth="1"/>
    <col min="5887" max="5887" width="12.5546875" style="59" bestFit="1" customWidth="1"/>
    <col min="5888" max="5888" width="12.5546875" style="59" customWidth="1"/>
    <col min="5889" max="5893" width="11.44140625" style="59"/>
    <col min="5894" max="5894" width="15.44140625" style="59" bestFit="1" customWidth="1"/>
    <col min="5895" max="5895" width="16.5546875" style="59" bestFit="1" customWidth="1"/>
    <col min="5896" max="5896" width="12.5546875" style="59" bestFit="1" customWidth="1"/>
    <col min="5897" max="5897" width="15.44140625" style="59" bestFit="1" customWidth="1"/>
    <col min="5898" max="5898" width="16.5546875" style="59" bestFit="1" customWidth="1"/>
    <col min="5899" max="5902" width="17.6640625" style="59" bestFit="1" customWidth="1"/>
    <col min="5903" max="6140" width="11.44140625" style="59"/>
    <col min="6141" max="6141" width="18.44140625" style="59" bestFit="1" customWidth="1"/>
    <col min="6142" max="6142" width="14" style="59" bestFit="1" customWidth="1"/>
    <col min="6143" max="6143" width="12.5546875" style="59" bestFit="1" customWidth="1"/>
    <col min="6144" max="6144" width="12.5546875" style="59" customWidth="1"/>
    <col min="6145" max="6149" width="11.44140625" style="59"/>
    <col min="6150" max="6150" width="15.44140625" style="59" bestFit="1" customWidth="1"/>
    <col min="6151" max="6151" width="16.5546875" style="59" bestFit="1" customWidth="1"/>
    <col min="6152" max="6152" width="12.5546875" style="59" bestFit="1" customWidth="1"/>
    <col min="6153" max="6153" width="15.44140625" style="59" bestFit="1" customWidth="1"/>
    <col min="6154" max="6154" width="16.5546875" style="59" bestFit="1" customWidth="1"/>
    <col min="6155" max="6158" width="17.6640625" style="59" bestFit="1" customWidth="1"/>
    <col min="6159" max="6396" width="11.44140625" style="59"/>
    <col min="6397" max="6397" width="18.44140625" style="59" bestFit="1" customWidth="1"/>
    <col min="6398" max="6398" width="14" style="59" bestFit="1" customWidth="1"/>
    <col min="6399" max="6399" width="12.5546875" style="59" bestFit="1" customWidth="1"/>
    <col min="6400" max="6400" width="12.5546875" style="59" customWidth="1"/>
    <col min="6401" max="6405" width="11.44140625" style="59"/>
    <col min="6406" max="6406" width="15.44140625" style="59" bestFit="1" customWidth="1"/>
    <col min="6407" max="6407" width="16.5546875" style="59" bestFit="1" customWidth="1"/>
    <col min="6408" max="6408" width="12.5546875" style="59" bestFit="1" customWidth="1"/>
    <col min="6409" max="6409" width="15.44140625" style="59" bestFit="1" customWidth="1"/>
    <col min="6410" max="6410" width="16.5546875" style="59" bestFit="1" customWidth="1"/>
    <col min="6411" max="6414" width="17.6640625" style="59" bestFit="1" customWidth="1"/>
    <col min="6415" max="6652" width="11.44140625" style="59"/>
    <col min="6653" max="6653" width="18.44140625" style="59" bestFit="1" customWidth="1"/>
    <col min="6654" max="6654" width="14" style="59" bestFit="1" customWidth="1"/>
    <col min="6655" max="6655" width="12.5546875" style="59" bestFit="1" customWidth="1"/>
    <col min="6656" max="6656" width="12.5546875" style="59" customWidth="1"/>
    <col min="6657" max="6661" width="11.44140625" style="59"/>
    <col min="6662" max="6662" width="15.44140625" style="59" bestFit="1" customWidth="1"/>
    <col min="6663" max="6663" width="16.5546875" style="59" bestFit="1" customWidth="1"/>
    <col min="6664" max="6664" width="12.5546875" style="59" bestFit="1" customWidth="1"/>
    <col min="6665" max="6665" width="15.44140625" style="59" bestFit="1" customWidth="1"/>
    <col min="6666" max="6666" width="16.5546875" style="59" bestFit="1" customWidth="1"/>
    <col min="6667" max="6670" width="17.6640625" style="59" bestFit="1" customWidth="1"/>
    <col min="6671" max="6908" width="11.44140625" style="59"/>
    <col min="6909" max="6909" width="18.44140625" style="59" bestFit="1" customWidth="1"/>
    <col min="6910" max="6910" width="14" style="59" bestFit="1" customWidth="1"/>
    <col min="6911" max="6911" width="12.5546875" style="59" bestFit="1" customWidth="1"/>
    <col min="6912" max="6912" width="12.5546875" style="59" customWidth="1"/>
    <col min="6913" max="6917" width="11.44140625" style="59"/>
    <col min="6918" max="6918" width="15.44140625" style="59" bestFit="1" customWidth="1"/>
    <col min="6919" max="6919" width="16.5546875" style="59" bestFit="1" customWidth="1"/>
    <col min="6920" max="6920" width="12.5546875" style="59" bestFit="1" customWidth="1"/>
    <col min="6921" max="6921" width="15.44140625" style="59" bestFit="1" customWidth="1"/>
    <col min="6922" max="6922" width="16.5546875" style="59" bestFit="1" customWidth="1"/>
    <col min="6923" max="6926" width="17.6640625" style="59" bestFit="1" customWidth="1"/>
    <col min="6927" max="7164" width="11.44140625" style="59"/>
    <col min="7165" max="7165" width="18.44140625" style="59" bestFit="1" customWidth="1"/>
    <col min="7166" max="7166" width="14" style="59" bestFit="1" customWidth="1"/>
    <col min="7167" max="7167" width="12.5546875" style="59" bestFit="1" customWidth="1"/>
    <col min="7168" max="7168" width="12.5546875" style="59" customWidth="1"/>
    <col min="7169" max="7173" width="11.44140625" style="59"/>
    <col min="7174" max="7174" width="15.44140625" style="59" bestFit="1" customWidth="1"/>
    <col min="7175" max="7175" width="16.5546875" style="59" bestFit="1" customWidth="1"/>
    <col min="7176" max="7176" width="12.5546875" style="59" bestFit="1" customWidth="1"/>
    <col min="7177" max="7177" width="15.44140625" style="59" bestFit="1" customWidth="1"/>
    <col min="7178" max="7178" width="16.5546875" style="59" bestFit="1" customWidth="1"/>
    <col min="7179" max="7182" width="17.6640625" style="59" bestFit="1" customWidth="1"/>
    <col min="7183" max="7420" width="11.44140625" style="59"/>
    <col min="7421" max="7421" width="18.44140625" style="59" bestFit="1" customWidth="1"/>
    <col min="7422" max="7422" width="14" style="59" bestFit="1" customWidth="1"/>
    <col min="7423" max="7423" width="12.5546875" style="59" bestFit="1" customWidth="1"/>
    <col min="7424" max="7424" width="12.5546875" style="59" customWidth="1"/>
    <col min="7425" max="7429" width="11.44140625" style="59"/>
    <col min="7430" max="7430" width="15.44140625" style="59" bestFit="1" customWidth="1"/>
    <col min="7431" max="7431" width="16.5546875" style="59" bestFit="1" customWidth="1"/>
    <col min="7432" max="7432" width="12.5546875" style="59" bestFit="1" customWidth="1"/>
    <col min="7433" max="7433" width="15.44140625" style="59" bestFit="1" customWidth="1"/>
    <col min="7434" max="7434" width="16.5546875" style="59" bestFit="1" customWidth="1"/>
    <col min="7435" max="7438" width="17.6640625" style="59" bestFit="1" customWidth="1"/>
    <col min="7439" max="7676" width="11.44140625" style="59"/>
    <col min="7677" max="7677" width="18.44140625" style="59" bestFit="1" customWidth="1"/>
    <col min="7678" max="7678" width="14" style="59" bestFit="1" customWidth="1"/>
    <col min="7679" max="7679" width="12.5546875" style="59" bestFit="1" customWidth="1"/>
    <col min="7680" max="7680" width="12.5546875" style="59" customWidth="1"/>
    <col min="7681" max="7685" width="11.44140625" style="59"/>
    <col min="7686" max="7686" width="15.44140625" style="59" bestFit="1" customWidth="1"/>
    <col min="7687" max="7687" width="16.5546875" style="59" bestFit="1" customWidth="1"/>
    <col min="7688" max="7688" width="12.5546875" style="59" bestFit="1" customWidth="1"/>
    <col min="7689" max="7689" width="15.44140625" style="59" bestFit="1" customWidth="1"/>
    <col min="7690" max="7690" width="16.5546875" style="59" bestFit="1" customWidth="1"/>
    <col min="7691" max="7694" width="17.6640625" style="59" bestFit="1" customWidth="1"/>
    <col min="7695" max="7932" width="11.44140625" style="59"/>
    <col min="7933" max="7933" width="18.44140625" style="59" bestFit="1" customWidth="1"/>
    <col min="7934" max="7934" width="14" style="59" bestFit="1" customWidth="1"/>
    <col min="7935" max="7935" width="12.5546875" style="59" bestFit="1" customWidth="1"/>
    <col min="7936" max="7936" width="12.5546875" style="59" customWidth="1"/>
    <col min="7937" max="7941" width="11.44140625" style="59"/>
    <col min="7942" max="7942" width="15.44140625" style="59" bestFit="1" customWidth="1"/>
    <col min="7943" max="7943" width="16.5546875" style="59" bestFit="1" customWidth="1"/>
    <col min="7944" max="7944" width="12.5546875" style="59" bestFit="1" customWidth="1"/>
    <col min="7945" max="7945" width="15.44140625" style="59" bestFit="1" customWidth="1"/>
    <col min="7946" max="7946" width="16.5546875" style="59" bestFit="1" customWidth="1"/>
    <col min="7947" max="7950" width="17.6640625" style="59" bestFit="1" customWidth="1"/>
    <col min="7951" max="8188" width="11.44140625" style="59"/>
    <col min="8189" max="8189" width="18.44140625" style="59" bestFit="1" customWidth="1"/>
    <col min="8190" max="8190" width="14" style="59" bestFit="1" customWidth="1"/>
    <col min="8191" max="8191" width="12.5546875" style="59" bestFit="1" customWidth="1"/>
    <col min="8192" max="8192" width="12.5546875" style="59" customWidth="1"/>
    <col min="8193" max="8197" width="11.44140625" style="59"/>
    <col min="8198" max="8198" width="15.44140625" style="59" bestFit="1" customWidth="1"/>
    <col min="8199" max="8199" width="16.5546875" style="59" bestFit="1" customWidth="1"/>
    <col min="8200" max="8200" width="12.5546875" style="59" bestFit="1" customWidth="1"/>
    <col min="8201" max="8201" width="15.44140625" style="59" bestFit="1" customWidth="1"/>
    <col min="8202" max="8202" width="16.5546875" style="59" bestFit="1" customWidth="1"/>
    <col min="8203" max="8206" width="17.6640625" style="59" bestFit="1" customWidth="1"/>
    <col min="8207" max="8444" width="11.44140625" style="59"/>
    <col min="8445" max="8445" width="18.44140625" style="59" bestFit="1" customWidth="1"/>
    <col min="8446" max="8446" width="14" style="59" bestFit="1" customWidth="1"/>
    <col min="8447" max="8447" width="12.5546875" style="59" bestFit="1" customWidth="1"/>
    <col min="8448" max="8448" width="12.5546875" style="59" customWidth="1"/>
    <col min="8449" max="8453" width="11.44140625" style="59"/>
    <col min="8454" max="8454" width="15.44140625" style="59" bestFit="1" customWidth="1"/>
    <col min="8455" max="8455" width="16.5546875" style="59" bestFit="1" customWidth="1"/>
    <col min="8456" max="8456" width="12.5546875" style="59" bestFit="1" customWidth="1"/>
    <col min="8457" max="8457" width="15.44140625" style="59" bestFit="1" customWidth="1"/>
    <col min="8458" max="8458" width="16.5546875" style="59" bestFit="1" customWidth="1"/>
    <col min="8459" max="8462" width="17.6640625" style="59" bestFit="1" customWidth="1"/>
    <col min="8463" max="8700" width="11.44140625" style="59"/>
    <col min="8701" max="8701" width="18.44140625" style="59" bestFit="1" customWidth="1"/>
    <col min="8702" max="8702" width="14" style="59" bestFit="1" customWidth="1"/>
    <col min="8703" max="8703" width="12.5546875" style="59" bestFit="1" customWidth="1"/>
    <col min="8704" max="8704" width="12.5546875" style="59" customWidth="1"/>
    <col min="8705" max="8709" width="11.44140625" style="59"/>
    <col min="8710" max="8710" width="15.44140625" style="59" bestFit="1" customWidth="1"/>
    <col min="8711" max="8711" width="16.5546875" style="59" bestFit="1" customWidth="1"/>
    <col min="8712" max="8712" width="12.5546875" style="59" bestFit="1" customWidth="1"/>
    <col min="8713" max="8713" width="15.44140625" style="59" bestFit="1" customWidth="1"/>
    <col min="8714" max="8714" width="16.5546875" style="59" bestFit="1" customWidth="1"/>
    <col min="8715" max="8718" width="17.6640625" style="59" bestFit="1" customWidth="1"/>
    <col min="8719" max="8956" width="11.44140625" style="59"/>
    <col min="8957" max="8957" width="18.44140625" style="59" bestFit="1" customWidth="1"/>
    <col min="8958" max="8958" width="14" style="59" bestFit="1" customWidth="1"/>
    <col min="8959" max="8959" width="12.5546875" style="59" bestFit="1" customWidth="1"/>
    <col min="8960" max="8960" width="12.5546875" style="59" customWidth="1"/>
    <col min="8961" max="8965" width="11.44140625" style="59"/>
    <col min="8966" max="8966" width="15.44140625" style="59" bestFit="1" customWidth="1"/>
    <col min="8967" max="8967" width="16.5546875" style="59" bestFit="1" customWidth="1"/>
    <col min="8968" max="8968" width="12.5546875" style="59" bestFit="1" customWidth="1"/>
    <col min="8969" max="8969" width="15.44140625" style="59" bestFit="1" customWidth="1"/>
    <col min="8970" max="8970" width="16.5546875" style="59" bestFit="1" customWidth="1"/>
    <col min="8971" max="8974" width="17.6640625" style="59" bestFit="1" customWidth="1"/>
    <col min="8975" max="9212" width="11.44140625" style="59"/>
    <col min="9213" max="9213" width="18.44140625" style="59" bestFit="1" customWidth="1"/>
    <col min="9214" max="9214" width="14" style="59" bestFit="1" customWidth="1"/>
    <col min="9215" max="9215" width="12.5546875" style="59" bestFit="1" customWidth="1"/>
    <col min="9216" max="9216" width="12.5546875" style="59" customWidth="1"/>
    <col min="9217" max="9221" width="11.44140625" style="59"/>
    <col min="9222" max="9222" width="15.44140625" style="59" bestFit="1" customWidth="1"/>
    <col min="9223" max="9223" width="16.5546875" style="59" bestFit="1" customWidth="1"/>
    <col min="9224" max="9224" width="12.5546875" style="59" bestFit="1" customWidth="1"/>
    <col min="9225" max="9225" width="15.44140625" style="59" bestFit="1" customWidth="1"/>
    <col min="9226" max="9226" width="16.5546875" style="59" bestFit="1" customWidth="1"/>
    <col min="9227" max="9230" width="17.6640625" style="59" bestFit="1" customWidth="1"/>
    <col min="9231" max="9468" width="11.44140625" style="59"/>
    <col min="9469" max="9469" width="18.44140625" style="59" bestFit="1" customWidth="1"/>
    <col min="9470" max="9470" width="14" style="59" bestFit="1" customWidth="1"/>
    <col min="9471" max="9471" width="12.5546875" style="59" bestFit="1" customWidth="1"/>
    <col min="9472" max="9472" width="12.5546875" style="59" customWidth="1"/>
    <col min="9473" max="9477" width="11.44140625" style="59"/>
    <col min="9478" max="9478" width="15.44140625" style="59" bestFit="1" customWidth="1"/>
    <col min="9479" max="9479" width="16.5546875" style="59" bestFit="1" customWidth="1"/>
    <col min="9480" max="9480" width="12.5546875" style="59" bestFit="1" customWidth="1"/>
    <col min="9481" max="9481" width="15.44140625" style="59" bestFit="1" customWidth="1"/>
    <col min="9482" max="9482" width="16.5546875" style="59" bestFit="1" customWidth="1"/>
    <col min="9483" max="9486" width="17.6640625" style="59" bestFit="1" customWidth="1"/>
    <col min="9487" max="9724" width="11.44140625" style="59"/>
    <col min="9725" max="9725" width="18.44140625" style="59" bestFit="1" customWidth="1"/>
    <col min="9726" max="9726" width="14" style="59" bestFit="1" customWidth="1"/>
    <col min="9727" max="9727" width="12.5546875" style="59" bestFit="1" customWidth="1"/>
    <col min="9728" max="9728" width="12.5546875" style="59" customWidth="1"/>
    <col min="9729" max="9733" width="11.44140625" style="59"/>
    <col min="9734" max="9734" width="15.44140625" style="59" bestFit="1" customWidth="1"/>
    <col min="9735" max="9735" width="16.5546875" style="59" bestFit="1" customWidth="1"/>
    <col min="9736" max="9736" width="12.5546875" style="59" bestFit="1" customWidth="1"/>
    <col min="9737" max="9737" width="15.44140625" style="59" bestFit="1" customWidth="1"/>
    <col min="9738" max="9738" width="16.5546875" style="59" bestFit="1" customWidth="1"/>
    <col min="9739" max="9742" width="17.6640625" style="59" bestFit="1" customWidth="1"/>
    <col min="9743" max="9980" width="11.44140625" style="59"/>
    <col min="9981" max="9981" width="18.44140625" style="59" bestFit="1" customWidth="1"/>
    <col min="9982" max="9982" width="14" style="59" bestFit="1" customWidth="1"/>
    <col min="9983" max="9983" width="12.5546875" style="59" bestFit="1" customWidth="1"/>
    <col min="9984" max="9984" width="12.5546875" style="59" customWidth="1"/>
    <col min="9985" max="9989" width="11.44140625" style="59"/>
    <col min="9990" max="9990" width="15.44140625" style="59" bestFit="1" customWidth="1"/>
    <col min="9991" max="9991" width="16.5546875" style="59" bestFit="1" customWidth="1"/>
    <col min="9992" max="9992" width="12.5546875" style="59" bestFit="1" customWidth="1"/>
    <col min="9993" max="9993" width="15.44140625" style="59" bestFit="1" customWidth="1"/>
    <col min="9994" max="9994" width="16.5546875" style="59" bestFit="1" customWidth="1"/>
    <col min="9995" max="9998" width="17.6640625" style="59" bestFit="1" customWidth="1"/>
    <col min="9999" max="10236" width="11.44140625" style="59"/>
    <col min="10237" max="10237" width="18.44140625" style="59" bestFit="1" customWidth="1"/>
    <col min="10238" max="10238" width="14" style="59" bestFit="1" customWidth="1"/>
    <col min="10239" max="10239" width="12.5546875" style="59" bestFit="1" customWidth="1"/>
    <col min="10240" max="10240" width="12.5546875" style="59" customWidth="1"/>
    <col min="10241" max="10245" width="11.44140625" style="59"/>
    <col min="10246" max="10246" width="15.44140625" style="59" bestFit="1" customWidth="1"/>
    <col min="10247" max="10247" width="16.5546875" style="59" bestFit="1" customWidth="1"/>
    <col min="10248" max="10248" width="12.5546875" style="59" bestFit="1" customWidth="1"/>
    <col min="10249" max="10249" width="15.44140625" style="59" bestFit="1" customWidth="1"/>
    <col min="10250" max="10250" width="16.5546875" style="59" bestFit="1" customWidth="1"/>
    <col min="10251" max="10254" width="17.6640625" style="59" bestFit="1" customWidth="1"/>
    <col min="10255" max="10492" width="11.44140625" style="59"/>
    <col min="10493" max="10493" width="18.44140625" style="59" bestFit="1" customWidth="1"/>
    <col min="10494" max="10494" width="14" style="59" bestFit="1" customWidth="1"/>
    <col min="10495" max="10495" width="12.5546875" style="59" bestFit="1" customWidth="1"/>
    <col min="10496" max="10496" width="12.5546875" style="59" customWidth="1"/>
    <col min="10497" max="10501" width="11.44140625" style="59"/>
    <col min="10502" max="10502" width="15.44140625" style="59" bestFit="1" customWidth="1"/>
    <col min="10503" max="10503" width="16.5546875" style="59" bestFit="1" customWidth="1"/>
    <col min="10504" max="10504" width="12.5546875" style="59" bestFit="1" customWidth="1"/>
    <col min="10505" max="10505" width="15.44140625" style="59" bestFit="1" customWidth="1"/>
    <col min="10506" max="10506" width="16.5546875" style="59" bestFit="1" customWidth="1"/>
    <col min="10507" max="10510" width="17.6640625" style="59" bestFit="1" customWidth="1"/>
    <col min="10511" max="10748" width="11.44140625" style="59"/>
    <col min="10749" max="10749" width="18.44140625" style="59" bestFit="1" customWidth="1"/>
    <col min="10750" max="10750" width="14" style="59" bestFit="1" customWidth="1"/>
    <col min="10751" max="10751" width="12.5546875" style="59" bestFit="1" customWidth="1"/>
    <col min="10752" max="10752" width="12.5546875" style="59" customWidth="1"/>
    <col min="10753" max="10757" width="11.44140625" style="59"/>
    <col min="10758" max="10758" width="15.44140625" style="59" bestFit="1" customWidth="1"/>
    <col min="10759" max="10759" width="16.5546875" style="59" bestFit="1" customWidth="1"/>
    <col min="10760" max="10760" width="12.5546875" style="59" bestFit="1" customWidth="1"/>
    <col min="10761" max="10761" width="15.44140625" style="59" bestFit="1" customWidth="1"/>
    <col min="10762" max="10762" width="16.5546875" style="59" bestFit="1" customWidth="1"/>
    <col min="10763" max="10766" width="17.6640625" style="59" bestFit="1" customWidth="1"/>
    <col min="10767" max="11004" width="11.44140625" style="59"/>
    <col min="11005" max="11005" width="18.44140625" style="59" bestFit="1" customWidth="1"/>
    <col min="11006" max="11006" width="14" style="59" bestFit="1" customWidth="1"/>
    <col min="11007" max="11007" width="12.5546875" style="59" bestFit="1" customWidth="1"/>
    <col min="11008" max="11008" width="12.5546875" style="59" customWidth="1"/>
    <col min="11009" max="11013" width="11.44140625" style="59"/>
    <col min="11014" max="11014" width="15.44140625" style="59" bestFit="1" customWidth="1"/>
    <col min="11015" max="11015" width="16.5546875" style="59" bestFit="1" customWidth="1"/>
    <col min="11016" max="11016" width="12.5546875" style="59" bestFit="1" customWidth="1"/>
    <col min="11017" max="11017" width="15.44140625" style="59" bestFit="1" customWidth="1"/>
    <col min="11018" max="11018" width="16.5546875" style="59" bestFit="1" customWidth="1"/>
    <col min="11019" max="11022" width="17.6640625" style="59" bestFit="1" customWidth="1"/>
    <col min="11023" max="11260" width="11.44140625" style="59"/>
    <col min="11261" max="11261" width="18.44140625" style="59" bestFit="1" customWidth="1"/>
    <col min="11262" max="11262" width="14" style="59" bestFit="1" customWidth="1"/>
    <col min="11263" max="11263" width="12.5546875" style="59" bestFit="1" customWidth="1"/>
    <col min="11264" max="11264" width="12.5546875" style="59" customWidth="1"/>
    <col min="11265" max="11269" width="11.44140625" style="59"/>
    <col min="11270" max="11270" width="15.44140625" style="59" bestFit="1" customWidth="1"/>
    <col min="11271" max="11271" width="16.5546875" style="59" bestFit="1" customWidth="1"/>
    <col min="11272" max="11272" width="12.5546875" style="59" bestFit="1" customWidth="1"/>
    <col min="11273" max="11273" width="15.44140625" style="59" bestFit="1" customWidth="1"/>
    <col min="11274" max="11274" width="16.5546875" style="59" bestFit="1" customWidth="1"/>
    <col min="11275" max="11278" width="17.6640625" style="59" bestFit="1" customWidth="1"/>
    <col min="11279" max="11516" width="11.44140625" style="59"/>
    <col min="11517" max="11517" width="18.44140625" style="59" bestFit="1" customWidth="1"/>
    <col min="11518" max="11518" width="14" style="59" bestFit="1" customWidth="1"/>
    <col min="11519" max="11519" width="12.5546875" style="59" bestFit="1" customWidth="1"/>
    <col min="11520" max="11520" width="12.5546875" style="59" customWidth="1"/>
    <col min="11521" max="11525" width="11.44140625" style="59"/>
    <col min="11526" max="11526" width="15.44140625" style="59" bestFit="1" customWidth="1"/>
    <col min="11527" max="11527" width="16.5546875" style="59" bestFit="1" customWidth="1"/>
    <col min="11528" max="11528" width="12.5546875" style="59" bestFit="1" customWidth="1"/>
    <col min="11529" max="11529" width="15.44140625" style="59" bestFit="1" customWidth="1"/>
    <col min="11530" max="11530" width="16.5546875" style="59" bestFit="1" customWidth="1"/>
    <col min="11531" max="11534" width="17.6640625" style="59" bestFit="1" customWidth="1"/>
    <col min="11535" max="11772" width="11.44140625" style="59"/>
    <col min="11773" max="11773" width="18.44140625" style="59" bestFit="1" customWidth="1"/>
    <col min="11774" max="11774" width="14" style="59" bestFit="1" customWidth="1"/>
    <col min="11775" max="11775" width="12.5546875" style="59" bestFit="1" customWidth="1"/>
    <col min="11776" max="11776" width="12.5546875" style="59" customWidth="1"/>
    <col min="11777" max="11781" width="11.44140625" style="59"/>
    <col min="11782" max="11782" width="15.44140625" style="59" bestFit="1" customWidth="1"/>
    <col min="11783" max="11783" width="16.5546875" style="59" bestFit="1" customWidth="1"/>
    <col min="11784" max="11784" width="12.5546875" style="59" bestFit="1" customWidth="1"/>
    <col min="11785" max="11785" width="15.44140625" style="59" bestFit="1" customWidth="1"/>
    <col min="11786" max="11786" width="16.5546875" style="59" bestFit="1" customWidth="1"/>
    <col min="11787" max="11790" width="17.6640625" style="59" bestFit="1" customWidth="1"/>
    <col min="11791" max="12028" width="11.44140625" style="59"/>
    <col min="12029" max="12029" width="18.44140625" style="59" bestFit="1" customWidth="1"/>
    <col min="12030" max="12030" width="14" style="59" bestFit="1" customWidth="1"/>
    <col min="12031" max="12031" width="12.5546875" style="59" bestFit="1" customWidth="1"/>
    <col min="12032" max="12032" width="12.5546875" style="59" customWidth="1"/>
    <col min="12033" max="12037" width="11.44140625" style="59"/>
    <col min="12038" max="12038" width="15.44140625" style="59" bestFit="1" customWidth="1"/>
    <col min="12039" max="12039" width="16.5546875" style="59" bestFit="1" customWidth="1"/>
    <col min="12040" max="12040" width="12.5546875" style="59" bestFit="1" customWidth="1"/>
    <col min="12041" max="12041" width="15.44140625" style="59" bestFit="1" customWidth="1"/>
    <col min="12042" max="12042" width="16.5546875" style="59" bestFit="1" customWidth="1"/>
    <col min="12043" max="12046" width="17.6640625" style="59" bestFit="1" customWidth="1"/>
    <col min="12047" max="12284" width="11.44140625" style="59"/>
    <col min="12285" max="12285" width="18.44140625" style="59" bestFit="1" customWidth="1"/>
    <col min="12286" max="12286" width="14" style="59" bestFit="1" customWidth="1"/>
    <col min="12287" max="12287" width="12.5546875" style="59" bestFit="1" customWidth="1"/>
    <col min="12288" max="12288" width="12.5546875" style="59" customWidth="1"/>
    <col min="12289" max="12293" width="11.44140625" style="59"/>
    <col min="12294" max="12294" width="15.44140625" style="59" bestFit="1" customWidth="1"/>
    <col min="12295" max="12295" width="16.5546875" style="59" bestFit="1" customWidth="1"/>
    <col min="12296" max="12296" width="12.5546875" style="59" bestFit="1" customWidth="1"/>
    <col min="12297" max="12297" width="15.44140625" style="59" bestFit="1" customWidth="1"/>
    <col min="12298" max="12298" width="16.5546875" style="59" bestFit="1" customWidth="1"/>
    <col min="12299" max="12302" width="17.6640625" style="59" bestFit="1" customWidth="1"/>
    <col min="12303" max="12540" width="11.44140625" style="59"/>
    <col min="12541" max="12541" width="18.44140625" style="59" bestFit="1" customWidth="1"/>
    <col min="12542" max="12542" width="14" style="59" bestFit="1" customWidth="1"/>
    <col min="12543" max="12543" width="12.5546875" style="59" bestFit="1" customWidth="1"/>
    <col min="12544" max="12544" width="12.5546875" style="59" customWidth="1"/>
    <col min="12545" max="12549" width="11.44140625" style="59"/>
    <col min="12550" max="12550" width="15.44140625" style="59" bestFit="1" customWidth="1"/>
    <col min="12551" max="12551" width="16.5546875" style="59" bestFit="1" customWidth="1"/>
    <col min="12552" max="12552" width="12.5546875" style="59" bestFit="1" customWidth="1"/>
    <col min="12553" max="12553" width="15.44140625" style="59" bestFit="1" customWidth="1"/>
    <col min="12554" max="12554" width="16.5546875" style="59" bestFit="1" customWidth="1"/>
    <col min="12555" max="12558" width="17.6640625" style="59" bestFit="1" customWidth="1"/>
    <col min="12559" max="12796" width="11.44140625" style="59"/>
    <col min="12797" max="12797" width="18.44140625" style="59" bestFit="1" customWidth="1"/>
    <col min="12798" max="12798" width="14" style="59" bestFit="1" customWidth="1"/>
    <col min="12799" max="12799" width="12.5546875" style="59" bestFit="1" customWidth="1"/>
    <col min="12800" max="12800" width="12.5546875" style="59" customWidth="1"/>
    <col min="12801" max="12805" width="11.44140625" style="59"/>
    <col min="12806" max="12806" width="15.44140625" style="59" bestFit="1" customWidth="1"/>
    <col min="12807" max="12807" width="16.5546875" style="59" bestFit="1" customWidth="1"/>
    <col min="12808" max="12808" width="12.5546875" style="59" bestFit="1" customWidth="1"/>
    <col min="12809" max="12809" width="15.44140625" style="59" bestFit="1" customWidth="1"/>
    <col min="12810" max="12810" width="16.5546875" style="59" bestFit="1" customWidth="1"/>
    <col min="12811" max="12814" width="17.6640625" style="59" bestFit="1" customWidth="1"/>
    <col min="12815" max="13052" width="11.44140625" style="59"/>
    <col min="13053" max="13053" width="18.44140625" style="59" bestFit="1" customWidth="1"/>
    <col min="13054" max="13054" width="14" style="59" bestFit="1" customWidth="1"/>
    <col min="13055" max="13055" width="12.5546875" style="59" bestFit="1" customWidth="1"/>
    <col min="13056" max="13056" width="12.5546875" style="59" customWidth="1"/>
    <col min="13057" max="13061" width="11.44140625" style="59"/>
    <col min="13062" max="13062" width="15.44140625" style="59" bestFit="1" customWidth="1"/>
    <col min="13063" max="13063" width="16.5546875" style="59" bestFit="1" customWidth="1"/>
    <col min="13064" max="13064" width="12.5546875" style="59" bestFit="1" customWidth="1"/>
    <col min="13065" max="13065" width="15.44140625" style="59" bestFit="1" customWidth="1"/>
    <col min="13066" max="13066" width="16.5546875" style="59" bestFit="1" customWidth="1"/>
    <col min="13067" max="13070" width="17.6640625" style="59" bestFit="1" customWidth="1"/>
    <col min="13071" max="13308" width="11.44140625" style="59"/>
    <col min="13309" max="13309" width="18.44140625" style="59" bestFit="1" customWidth="1"/>
    <col min="13310" max="13310" width="14" style="59" bestFit="1" customWidth="1"/>
    <col min="13311" max="13311" width="12.5546875" style="59" bestFit="1" customWidth="1"/>
    <col min="13312" max="13312" width="12.5546875" style="59" customWidth="1"/>
    <col min="13313" max="13317" width="11.44140625" style="59"/>
    <col min="13318" max="13318" width="15.44140625" style="59" bestFit="1" customWidth="1"/>
    <col min="13319" max="13319" width="16.5546875" style="59" bestFit="1" customWidth="1"/>
    <col min="13320" max="13320" width="12.5546875" style="59" bestFit="1" customWidth="1"/>
    <col min="13321" max="13321" width="15.44140625" style="59" bestFit="1" customWidth="1"/>
    <col min="13322" max="13322" width="16.5546875" style="59" bestFit="1" customWidth="1"/>
    <col min="13323" max="13326" width="17.6640625" style="59" bestFit="1" customWidth="1"/>
    <col min="13327" max="13564" width="11.44140625" style="59"/>
    <col min="13565" max="13565" width="18.44140625" style="59" bestFit="1" customWidth="1"/>
    <col min="13566" max="13566" width="14" style="59" bestFit="1" customWidth="1"/>
    <col min="13567" max="13567" width="12.5546875" style="59" bestFit="1" customWidth="1"/>
    <col min="13568" max="13568" width="12.5546875" style="59" customWidth="1"/>
    <col min="13569" max="13573" width="11.44140625" style="59"/>
    <col min="13574" max="13574" width="15.44140625" style="59" bestFit="1" customWidth="1"/>
    <col min="13575" max="13575" width="16.5546875" style="59" bestFit="1" customWidth="1"/>
    <col min="13576" max="13576" width="12.5546875" style="59" bestFit="1" customWidth="1"/>
    <col min="13577" max="13577" width="15.44140625" style="59" bestFit="1" customWidth="1"/>
    <col min="13578" max="13578" width="16.5546875" style="59" bestFit="1" customWidth="1"/>
    <col min="13579" max="13582" width="17.6640625" style="59" bestFit="1" customWidth="1"/>
    <col min="13583" max="13820" width="11.44140625" style="59"/>
    <col min="13821" max="13821" width="18.44140625" style="59" bestFit="1" customWidth="1"/>
    <col min="13822" max="13822" width="14" style="59" bestFit="1" customWidth="1"/>
    <col min="13823" max="13823" width="12.5546875" style="59" bestFit="1" customWidth="1"/>
    <col min="13824" max="13824" width="12.5546875" style="59" customWidth="1"/>
    <col min="13825" max="13829" width="11.44140625" style="59"/>
    <col min="13830" max="13830" width="15.44140625" style="59" bestFit="1" customWidth="1"/>
    <col min="13831" max="13831" width="16.5546875" style="59" bestFit="1" customWidth="1"/>
    <col min="13832" max="13832" width="12.5546875" style="59" bestFit="1" customWidth="1"/>
    <col min="13833" max="13833" width="15.44140625" style="59" bestFit="1" customWidth="1"/>
    <col min="13834" max="13834" width="16.5546875" style="59" bestFit="1" customWidth="1"/>
    <col min="13835" max="13838" width="17.6640625" style="59" bestFit="1" customWidth="1"/>
    <col min="13839" max="14076" width="11.44140625" style="59"/>
    <col min="14077" max="14077" width="18.44140625" style="59" bestFit="1" customWidth="1"/>
    <col min="14078" max="14078" width="14" style="59" bestFit="1" customWidth="1"/>
    <col min="14079" max="14079" width="12.5546875" style="59" bestFit="1" customWidth="1"/>
    <col min="14080" max="14080" width="12.5546875" style="59" customWidth="1"/>
    <col min="14081" max="14085" width="11.44140625" style="59"/>
    <col min="14086" max="14086" width="15.44140625" style="59" bestFit="1" customWidth="1"/>
    <col min="14087" max="14087" width="16.5546875" style="59" bestFit="1" customWidth="1"/>
    <col min="14088" max="14088" width="12.5546875" style="59" bestFit="1" customWidth="1"/>
    <col min="14089" max="14089" width="15.44140625" style="59" bestFit="1" customWidth="1"/>
    <col min="14090" max="14090" width="16.5546875" style="59" bestFit="1" customWidth="1"/>
    <col min="14091" max="14094" width="17.6640625" style="59" bestFit="1" customWidth="1"/>
    <col min="14095" max="14332" width="11.44140625" style="59"/>
    <col min="14333" max="14333" width="18.44140625" style="59" bestFit="1" customWidth="1"/>
    <col min="14334" max="14334" width="14" style="59" bestFit="1" customWidth="1"/>
    <col min="14335" max="14335" width="12.5546875" style="59" bestFit="1" customWidth="1"/>
    <col min="14336" max="14336" width="12.5546875" style="59" customWidth="1"/>
    <col min="14337" max="14341" width="11.44140625" style="59"/>
    <col min="14342" max="14342" width="15.44140625" style="59" bestFit="1" customWidth="1"/>
    <col min="14343" max="14343" width="16.5546875" style="59" bestFit="1" customWidth="1"/>
    <col min="14344" max="14344" width="12.5546875" style="59" bestFit="1" customWidth="1"/>
    <col min="14345" max="14345" width="15.44140625" style="59" bestFit="1" customWidth="1"/>
    <col min="14346" max="14346" width="16.5546875" style="59" bestFit="1" customWidth="1"/>
    <col min="14347" max="14350" width="17.6640625" style="59" bestFit="1" customWidth="1"/>
    <col min="14351" max="14588" width="11.44140625" style="59"/>
    <col min="14589" max="14589" width="18.44140625" style="59" bestFit="1" customWidth="1"/>
    <col min="14590" max="14590" width="14" style="59" bestFit="1" customWidth="1"/>
    <col min="14591" max="14591" width="12.5546875" style="59" bestFit="1" customWidth="1"/>
    <col min="14592" max="14592" width="12.5546875" style="59" customWidth="1"/>
    <col min="14593" max="14597" width="11.44140625" style="59"/>
    <col min="14598" max="14598" width="15.44140625" style="59" bestFit="1" customWidth="1"/>
    <col min="14599" max="14599" width="16.5546875" style="59" bestFit="1" customWidth="1"/>
    <col min="14600" max="14600" width="12.5546875" style="59" bestFit="1" customWidth="1"/>
    <col min="14601" max="14601" width="15.44140625" style="59" bestFit="1" customWidth="1"/>
    <col min="14602" max="14602" width="16.5546875" style="59" bestFit="1" customWidth="1"/>
    <col min="14603" max="14606" width="17.6640625" style="59" bestFit="1" customWidth="1"/>
    <col min="14607" max="14844" width="11.44140625" style="59"/>
    <col min="14845" max="14845" width="18.44140625" style="59" bestFit="1" customWidth="1"/>
    <col min="14846" max="14846" width="14" style="59" bestFit="1" customWidth="1"/>
    <col min="14847" max="14847" width="12.5546875" style="59" bestFit="1" customWidth="1"/>
    <col min="14848" max="14848" width="12.5546875" style="59" customWidth="1"/>
    <col min="14849" max="14853" width="11.44140625" style="59"/>
    <col min="14854" max="14854" width="15.44140625" style="59" bestFit="1" customWidth="1"/>
    <col min="14855" max="14855" width="16.5546875" style="59" bestFit="1" customWidth="1"/>
    <col min="14856" max="14856" width="12.5546875" style="59" bestFit="1" customWidth="1"/>
    <col min="14857" max="14857" width="15.44140625" style="59" bestFit="1" customWidth="1"/>
    <col min="14858" max="14858" width="16.5546875" style="59" bestFit="1" customWidth="1"/>
    <col min="14859" max="14862" width="17.6640625" style="59" bestFit="1" customWidth="1"/>
    <col min="14863" max="15100" width="11.44140625" style="59"/>
    <col min="15101" max="15101" width="18.44140625" style="59" bestFit="1" customWidth="1"/>
    <col min="15102" max="15102" width="14" style="59" bestFit="1" customWidth="1"/>
    <col min="15103" max="15103" width="12.5546875" style="59" bestFit="1" customWidth="1"/>
    <col min="15104" max="15104" width="12.5546875" style="59" customWidth="1"/>
    <col min="15105" max="15109" width="11.44140625" style="59"/>
    <col min="15110" max="15110" width="15.44140625" style="59" bestFit="1" customWidth="1"/>
    <col min="15111" max="15111" width="16.5546875" style="59" bestFit="1" customWidth="1"/>
    <col min="15112" max="15112" width="12.5546875" style="59" bestFit="1" customWidth="1"/>
    <col min="15113" max="15113" width="15.44140625" style="59" bestFit="1" customWidth="1"/>
    <col min="15114" max="15114" width="16.5546875" style="59" bestFit="1" customWidth="1"/>
    <col min="15115" max="15118" width="17.6640625" style="59" bestFit="1" customWidth="1"/>
    <col min="15119" max="15356" width="11.44140625" style="59"/>
    <col min="15357" max="15357" width="18.44140625" style="59" bestFit="1" customWidth="1"/>
    <col min="15358" max="15358" width="14" style="59" bestFit="1" customWidth="1"/>
    <col min="15359" max="15359" width="12.5546875" style="59" bestFit="1" customWidth="1"/>
    <col min="15360" max="15360" width="12.5546875" style="59" customWidth="1"/>
    <col min="15361" max="15365" width="11.44140625" style="59"/>
    <col min="15366" max="15366" width="15.44140625" style="59" bestFit="1" customWidth="1"/>
    <col min="15367" max="15367" width="16.5546875" style="59" bestFit="1" customWidth="1"/>
    <col min="15368" max="15368" width="12.5546875" style="59" bestFit="1" customWidth="1"/>
    <col min="15369" max="15369" width="15.44140625" style="59" bestFit="1" customWidth="1"/>
    <col min="15370" max="15370" width="16.5546875" style="59" bestFit="1" customWidth="1"/>
    <col min="15371" max="15374" width="17.6640625" style="59" bestFit="1" customWidth="1"/>
    <col min="15375" max="15612" width="11.44140625" style="59"/>
    <col min="15613" max="15613" width="18.44140625" style="59" bestFit="1" customWidth="1"/>
    <col min="15614" max="15614" width="14" style="59" bestFit="1" customWidth="1"/>
    <col min="15615" max="15615" width="12.5546875" style="59" bestFit="1" customWidth="1"/>
    <col min="15616" max="15616" width="12.5546875" style="59" customWidth="1"/>
    <col min="15617" max="15621" width="11.44140625" style="59"/>
    <col min="15622" max="15622" width="15.44140625" style="59" bestFit="1" customWidth="1"/>
    <col min="15623" max="15623" width="16.5546875" style="59" bestFit="1" customWidth="1"/>
    <col min="15624" max="15624" width="12.5546875" style="59" bestFit="1" customWidth="1"/>
    <col min="15625" max="15625" width="15.44140625" style="59" bestFit="1" customWidth="1"/>
    <col min="15626" max="15626" width="16.5546875" style="59" bestFit="1" customWidth="1"/>
    <col min="15627" max="15630" width="17.6640625" style="59" bestFit="1" customWidth="1"/>
    <col min="15631" max="15868" width="11.44140625" style="59"/>
    <col min="15869" max="15869" width="18.44140625" style="59" bestFit="1" customWidth="1"/>
    <col min="15870" max="15870" width="14" style="59" bestFit="1" customWidth="1"/>
    <col min="15871" max="15871" width="12.5546875" style="59" bestFit="1" customWidth="1"/>
    <col min="15872" max="15872" width="12.5546875" style="59" customWidth="1"/>
    <col min="15873" max="15877" width="11.44140625" style="59"/>
    <col min="15878" max="15878" width="15.44140625" style="59" bestFit="1" customWidth="1"/>
    <col min="15879" max="15879" width="16.5546875" style="59" bestFit="1" customWidth="1"/>
    <col min="15880" max="15880" width="12.5546875" style="59" bestFit="1" customWidth="1"/>
    <col min="15881" max="15881" width="15.44140625" style="59" bestFit="1" customWidth="1"/>
    <col min="15882" max="15882" width="16.5546875" style="59" bestFit="1" customWidth="1"/>
    <col min="15883" max="15886" width="17.6640625" style="59" bestFit="1" customWidth="1"/>
    <col min="15887" max="16124" width="11.44140625" style="59"/>
    <col min="16125" max="16125" width="18.44140625" style="59" bestFit="1" customWidth="1"/>
    <col min="16126" max="16126" width="14" style="59" bestFit="1" customWidth="1"/>
    <col min="16127" max="16127" width="12.5546875" style="59" bestFit="1" customWidth="1"/>
    <col min="16128" max="16128" width="12.5546875" style="59" customWidth="1"/>
    <col min="16129" max="16133" width="11.44140625" style="59"/>
    <col min="16134" max="16134" width="15.44140625" style="59" bestFit="1" customWidth="1"/>
    <col min="16135" max="16135" width="16.5546875" style="59" bestFit="1" customWidth="1"/>
    <col min="16136" max="16136" width="12.5546875" style="59" bestFit="1" customWidth="1"/>
    <col min="16137" max="16137" width="15.44140625" style="59" bestFit="1" customWidth="1"/>
    <col min="16138" max="16138" width="16.5546875" style="59" bestFit="1" customWidth="1"/>
    <col min="16139" max="16142" width="17.6640625" style="59" bestFit="1" customWidth="1"/>
    <col min="16143" max="16379" width="11.44140625" style="59"/>
    <col min="16380" max="16384" width="11.44140625" style="59" customWidth="1"/>
  </cols>
  <sheetData>
    <row r="1" spans="1:17" s="24" customFormat="1" ht="14.4" thickBot="1" x14ac:dyDescent="0.3"/>
    <row r="2" spans="1:17" s="24" customFormat="1" ht="35.25" customHeight="1" thickBot="1" x14ac:dyDescent="0.3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</row>
    <row r="3" spans="1:17" s="24" customFormat="1" ht="13.8" x14ac:dyDescent="0.25"/>
    <row r="4" spans="1:17" ht="29.25" customHeight="1" x14ac:dyDescent="0.3">
      <c r="A4" s="151" t="s">
        <v>16</v>
      </c>
      <c r="B4" s="120"/>
      <c r="C4" s="169"/>
      <c r="D4" s="169"/>
      <c r="E4" s="169"/>
      <c r="F4" s="169"/>
      <c r="G4" s="169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7" customHeight="1" x14ac:dyDescent="0.3">
      <c r="A5" s="146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3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49"/>
      <c r="M6" s="149"/>
      <c r="N6" s="149"/>
      <c r="O6" s="149"/>
    </row>
    <row r="7" spans="1:17" ht="15.6" x14ac:dyDescent="0.3">
      <c r="A7" s="354" t="s">
        <v>192</v>
      </c>
      <c r="B7" s="354"/>
      <c r="C7" s="354"/>
      <c r="D7" s="354"/>
      <c r="E7" s="354"/>
      <c r="F7" s="354"/>
      <c r="G7" s="354"/>
      <c r="H7" s="354"/>
      <c r="I7" s="154"/>
      <c r="J7" s="170"/>
    </row>
    <row r="8" spans="1:17" ht="38.25" customHeight="1" x14ac:dyDescent="0.3">
      <c r="A8" s="217" t="s">
        <v>169</v>
      </c>
      <c r="B8" s="155" t="s">
        <v>187</v>
      </c>
      <c r="C8" s="155" t="s">
        <v>145</v>
      </c>
      <c r="D8" s="155" t="s">
        <v>188</v>
      </c>
      <c r="E8" s="155" t="s">
        <v>50</v>
      </c>
      <c r="F8" s="155" t="s">
        <v>150</v>
      </c>
      <c r="G8" s="155" t="s">
        <v>149</v>
      </c>
      <c r="H8" s="155" t="s">
        <v>142</v>
      </c>
      <c r="I8" s="33" t="s">
        <v>189</v>
      </c>
      <c r="J8" s="33" t="s">
        <v>71</v>
      </c>
      <c r="K8" s="35" t="s">
        <v>130</v>
      </c>
      <c r="L8" s="35" t="s">
        <v>131</v>
      </c>
      <c r="M8" s="35" t="s">
        <v>132</v>
      </c>
      <c r="N8" s="214" t="s">
        <v>133</v>
      </c>
    </row>
    <row r="9" spans="1:17" ht="20.25" customHeight="1" x14ac:dyDescent="0.3">
      <c r="A9" s="279"/>
      <c r="B9" s="233"/>
      <c r="C9" s="233"/>
      <c r="D9" s="181"/>
      <c r="E9" s="179"/>
      <c r="F9" s="179"/>
      <c r="G9" s="179"/>
      <c r="H9" s="181"/>
      <c r="I9" s="181" t="e">
        <f>-1*PMT(G9/100,E9,D9)</f>
        <v>#NUM!</v>
      </c>
      <c r="J9" s="280">
        <f t="shared" ref="J9" si="0">IF(C9="",0,DAYS360($B$4,C9))</f>
        <v>0</v>
      </c>
      <c r="K9" s="277">
        <f>IF(AND(F9=30,J9&gt;=15),I9/2,0)</f>
        <v>0</v>
      </c>
      <c r="L9" s="277">
        <f>IF(AND(F9=30,K9&gt;=15),I9/2,0)</f>
        <v>0</v>
      </c>
      <c r="M9" s="277">
        <f>IF(AND(F9=30,J9&gt;=30),I9,0)</f>
        <v>0</v>
      </c>
      <c r="N9" s="278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10" sqref="A10"/>
    </sheetView>
  </sheetViews>
  <sheetFormatPr baseColWidth="10" defaultColWidth="11.44140625" defaultRowHeight="13.8" x14ac:dyDescent="0.25"/>
  <cols>
    <col min="1" max="1" width="23.5546875" style="24" bestFit="1" customWidth="1"/>
    <col min="2" max="2" width="19.44140625" style="24" customWidth="1"/>
    <col min="3" max="3" width="25.5546875" style="59" bestFit="1" customWidth="1"/>
    <col min="4" max="4" width="25.5546875" style="59" customWidth="1"/>
    <col min="5" max="5" width="25.5546875" style="59" bestFit="1" customWidth="1"/>
    <col min="6" max="6" width="12.33203125" style="24" bestFit="1" customWidth="1"/>
    <col min="7" max="8" width="11.44140625" style="24"/>
    <col min="9" max="9" width="19.44140625" style="24" bestFit="1" customWidth="1"/>
    <col min="10" max="16384" width="11.44140625" style="24"/>
  </cols>
  <sheetData>
    <row r="1" spans="1:9" ht="14.4" thickBot="1" x14ac:dyDescent="0.3">
      <c r="B1" s="58"/>
      <c r="C1" s="24"/>
      <c r="D1" s="24"/>
      <c r="E1" s="24"/>
    </row>
    <row r="2" spans="1:9" ht="36" customHeight="1" thickBot="1" x14ac:dyDescent="0.3">
      <c r="A2" s="334" t="s">
        <v>80</v>
      </c>
      <c r="B2" s="335"/>
      <c r="C2" s="335"/>
      <c r="D2" s="335"/>
      <c r="E2" s="336"/>
    </row>
    <row r="3" spans="1:9" x14ac:dyDescent="0.25">
      <c r="B3" s="58"/>
      <c r="C3" s="24"/>
      <c r="D3" s="24"/>
      <c r="E3" s="24"/>
    </row>
    <row r="4" spans="1:9" ht="20.25" customHeight="1" x14ac:dyDescent="0.25">
      <c r="D4" s="90"/>
    </row>
    <row r="5" spans="1:9" ht="20.25" customHeight="1" x14ac:dyDescent="0.25">
      <c r="A5" s="114" t="s">
        <v>16</v>
      </c>
      <c r="B5" s="120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5">
      <c r="A6" s="114" t="s">
        <v>78</v>
      </c>
      <c r="B6" s="42" t="str">
        <f>IFERROR(VLOOKUP($B$5, Tabla19[], 2,FALSE),"0")</f>
        <v>0</v>
      </c>
      <c r="C6" s="40" t="s">
        <v>81</v>
      </c>
      <c r="D6" s="88">
        <f>D5*2</f>
        <v>0</v>
      </c>
      <c r="E6" s="88">
        <f>E5*2</f>
        <v>0</v>
      </c>
    </row>
    <row r="7" spans="1:9" ht="20.25" customHeight="1" x14ac:dyDescent="0.25">
      <c r="A7" s="140"/>
      <c r="B7" s="139"/>
      <c r="C7" s="90"/>
      <c r="D7" s="89"/>
      <c r="E7" s="89"/>
    </row>
    <row r="8" spans="1:9" ht="55.2" x14ac:dyDescent="0.25">
      <c r="B8" s="141" t="s">
        <v>175</v>
      </c>
      <c r="C8" s="24"/>
      <c r="D8" s="24"/>
      <c r="E8" s="24"/>
      <c r="I8" s="75"/>
    </row>
    <row r="9" spans="1:9" ht="30" customHeight="1" x14ac:dyDescent="0.25">
      <c r="A9" s="217" t="s">
        <v>16</v>
      </c>
      <c r="B9" s="281" t="s">
        <v>79</v>
      </c>
      <c r="C9" s="24"/>
      <c r="D9" s="24"/>
      <c r="E9" s="24"/>
      <c r="I9" s="75"/>
    </row>
    <row r="10" spans="1:9" ht="20.25" customHeight="1" x14ac:dyDescent="0.25">
      <c r="A10" s="282"/>
      <c r="B10" s="283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1"/>
  <sheetViews>
    <sheetView showGridLines="0" zoomScale="63" zoomScaleNormal="120" workbookViewId="0">
      <selection activeCell="E11" sqref="E11"/>
    </sheetView>
  </sheetViews>
  <sheetFormatPr baseColWidth="10" defaultColWidth="11.44140625" defaultRowHeight="13.8" x14ac:dyDescent="0.25"/>
  <cols>
    <col min="1" max="1" width="26.6640625" style="24" customWidth="1"/>
    <col min="2" max="2" width="42.33203125" style="24" customWidth="1"/>
    <col min="3" max="3" width="28.44140625" style="24" customWidth="1"/>
    <col min="4" max="4" width="35.44140625" style="24" customWidth="1"/>
    <col min="5" max="5" width="48.109375" style="24" customWidth="1"/>
    <col min="6" max="6" width="36" style="24" customWidth="1"/>
    <col min="7" max="7" width="27.5546875" style="24" customWidth="1"/>
    <col min="8" max="8" width="21.5546875" style="24" bestFit="1" customWidth="1"/>
    <col min="9" max="16384" width="11.44140625" style="24"/>
  </cols>
  <sheetData>
    <row r="1" spans="1:10" ht="14.4" thickBot="1" x14ac:dyDescent="0.3"/>
    <row r="2" spans="1:10" ht="40.5" customHeight="1" thickBot="1" x14ac:dyDescent="0.3">
      <c r="A2" s="334" t="s">
        <v>82</v>
      </c>
      <c r="B2" s="335"/>
      <c r="C2" s="335"/>
      <c r="D2" s="335"/>
      <c r="E2" s="335"/>
      <c r="F2" s="335"/>
      <c r="G2" s="335"/>
      <c r="H2" s="335"/>
      <c r="I2" s="335"/>
      <c r="J2" s="336"/>
    </row>
    <row r="3" spans="1:10" ht="17.25" customHeight="1" x14ac:dyDescent="0.25"/>
    <row r="4" spans="1:10" ht="17.25" customHeight="1" x14ac:dyDescent="0.25"/>
    <row r="5" spans="1:10" ht="24" customHeight="1" x14ac:dyDescent="0.25">
      <c r="A5" s="114" t="s">
        <v>134</v>
      </c>
      <c r="B5" s="112"/>
      <c r="C5" s="121" t="s">
        <v>74</v>
      </c>
      <c r="D5" s="48" t="str">
        <f>IFERROR((AVERAGEIF(Tabla21[Total Gastos administrativos mensuales],"&lt;&gt;0"))/2,"0")</f>
        <v>0</v>
      </c>
      <c r="E5" s="48" t="str">
        <f>+D5</f>
        <v>0</v>
      </c>
      <c r="F5" s="48" t="str">
        <f>IFERROR(AVERAGEIF(Tabla21[Total Gastos administrativos mensuales],"&lt;&gt;0"),"0")</f>
        <v>0</v>
      </c>
      <c r="G5" s="48" t="str">
        <f>IFERROR(AVERAGEIF(Tabla21[Total Gastos administrativos mensuales],"&lt;&gt;0"),"0")</f>
        <v>0</v>
      </c>
    </row>
    <row r="6" spans="1:10" s="59" customFormat="1" ht="25.2" customHeight="1" x14ac:dyDescent="0.3">
      <c r="A6" s="114" t="s">
        <v>135</v>
      </c>
      <c r="B6" s="52" t="str">
        <f>IFERROR(VLOOKUP($B$5,Tabla21[],4),"0")</f>
        <v>0</v>
      </c>
      <c r="C6" s="121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9" customFormat="1" ht="25.2" customHeight="1" x14ac:dyDescent="0.3">
      <c r="E7" s="57"/>
    </row>
    <row r="8" spans="1:10" s="59" customFormat="1" ht="17.25" customHeight="1" x14ac:dyDescent="0.3">
      <c r="A8" s="39"/>
      <c r="C8" s="57"/>
      <c r="D8" s="57"/>
      <c r="E8" s="57"/>
    </row>
    <row r="9" spans="1:10" s="59" customFormat="1" ht="41.4" x14ac:dyDescent="0.3">
      <c r="B9" s="142" t="s">
        <v>176</v>
      </c>
      <c r="C9" s="142" t="s">
        <v>177</v>
      </c>
    </row>
    <row r="10" spans="1:10" s="59" customFormat="1" ht="42" customHeight="1" x14ac:dyDescent="0.3">
      <c r="A10" s="205" t="s">
        <v>16</v>
      </c>
      <c r="B10" s="111" t="s">
        <v>83</v>
      </c>
      <c r="C10" s="111" t="s">
        <v>84</v>
      </c>
      <c r="D10" s="44" t="s">
        <v>85</v>
      </c>
      <c r="E10" s="44" t="s">
        <v>194</v>
      </c>
    </row>
    <row r="11" spans="1:10" s="59" customFormat="1" ht="25.2" customHeight="1" x14ac:dyDescent="0.3">
      <c r="A11" s="192"/>
      <c r="B11" s="284"/>
      <c r="C11" s="284"/>
      <c r="D11" s="243">
        <f t="shared" ref="D11" si="0">+B11+C11</f>
        <v>0</v>
      </c>
      <c r="E11" s="181">
        <f>+D11/6</f>
        <v>0</v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79" zoomScaleNormal="90" workbookViewId="0">
      <selection activeCell="F4" sqref="F4"/>
    </sheetView>
  </sheetViews>
  <sheetFormatPr baseColWidth="10" defaultColWidth="11.44140625" defaultRowHeight="13.8" x14ac:dyDescent="0.25"/>
  <cols>
    <col min="1" max="1" width="22.109375" style="24" customWidth="1"/>
    <col min="2" max="2" width="32.6640625" style="24" customWidth="1"/>
    <col min="3" max="3" width="33.88671875" style="24" customWidth="1"/>
    <col min="4" max="4" width="29.6640625" style="24" customWidth="1"/>
    <col min="5" max="5" width="31.6640625" style="24" customWidth="1"/>
    <col min="6" max="6" width="30.44140625" style="24" customWidth="1"/>
    <col min="7" max="7" width="29.44140625" style="24" customWidth="1"/>
    <col min="8" max="8" width="31.6640625" style="24" customWidth="1"/>
    <col min="9" max="16384" width="11.44140625" style="24"/>
  </cols>
  <sheetData>
    <row r="1" spans="1:10" ht="14.4" thickBot="1" x14ac:dyDescent="0.3"/>
    <row r="2" spans="1:10" ht="37.5" customHeight="1" thickBot="1" x14ac:dyDescent="0.3">
      <c r="A2" s="334" t="s">
        <v>86</v>
      </c>
      <c r="B2" s="335"/>
      <c r="C2" s="335"/>
      <c r="D2" s="335"/>
      <c r="E2" s="335"/>
      <c r="F2" s="335"/>
      <c r="G2" s="335"/>
      <c r="H2" s="335"/>
      <c r="I2" s="335"/>
      <c r="J2" s="336"/>
    </row>
    <row r="4" spans="1:10" s="59" customFormat="1" ht="41.4" x14ac:dyDescent="0.3">
      <c r="B4" s="142" t="s">
        <v>178</v>
      </c>
      <c r="C4" s="142" t="s">
        <v>179</v>
      </c>
    </row>
    <row r="5" spans="1:10" s="59" customFormat="1" ht="27.6" x14ac:dyDescent="0.3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3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4.4" x14ac:dyDescent="0.3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C8" sqref="C8"/>
    </sheetView>
  </sheetViews>
  <sheetFormatPr baseColWidth="10" defaultColWidth="11.44140625" defaultRowHeight="13.8" x14ac:dyDescent="0.25"/>
  <cols>
    <col min="1" max="1" width="13.44140625" style="24" bestFit="1" customWidth="1"/>
    <col min="2" max="2" width="25" style="24" bestFit="1" customWidth="1"/>
    <col min="3" max="4" width="25.44140625" style="24" customWidth="1"/>
    <col min="5" max="5" width="20" style="24" customWidth="1"/>
    <col min="6" max="9" width="25.5546875" style="24" customWidth="1"/>
    <col min="10" max="16384" width="11.44140625" style="24"/>
  </cols>
  <sheetData>
    <row r="1" spans="1:10" ht="19.8" x14ac:dyDescent="0.25">
      <c r="A1" s="156"/>
      <c r="B1" s="156"/>
      <c r="C1" s="156"/>
      <c r="D1" s="156"/>
      <c r="E1" s="156"/>
      <c r="F1" s="156"/>
      <c r="G1" s="156"/>
      <c r="H1" s="156"/>
      <c r="I1" s="156"/>
      <c r="J1" s="156"/>
    </row>
    <row r="2" spans="1:10" ht="13.5" hidden="1" customHeight="1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</row>
    <row r="3" spans="1:10" s="59" customFormat="1" ht="20.25" customHeight="1" x14ac:dyDescent="0.3"/>
    <row r="4" spans="1:10" s="59" customFormat="1" ht="20.25" customHeight="1" x14ac:dyDescent="0.3">
      <c r="A4" s="114" t="s">
        <v>16</v>
      </c>
      <c r="B4" s="120">
        <v>44377</v>
      </c>
      <c r="E4" s="28" t="s">
        <v>47</v>
      </c>
      <c r="F4" s="91">
        <f>IFERROR(SUM(F8:F30000),"0")</f>
        <v>0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3">
      <c r="A5" s="114" t="s">
        <v>79</v>
      </c>
      <c r="B5" s="86">
        <f>IFERROR(SUM(C8:C30000),"0")</f>
        <v>0</v>
      </c>
      <c r="E5" s="28" t="s">
        <v>48</v>
      </c>
      <c r="F5" s="91">
        <f>+F4</f>
        <v>0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7" customHeight="1" x14ac:dyDescent="0.25">
      <c r="C6" s="150" t="s">
        <v>185</v>
      </c>
      <c r="D6" s="171"/>
    </row>
    <row r="7" spans="1:10" s="59" customFormat="1" ht="30.75" customHeight="1" x14ac:dyDescent="0.3">
      <c r="A7" s="111" t="s">
        <v>169</v>
      </c>
      <c r="B7" s="111" t="s">
        <v>193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2" customHeight="1" x14ac:dyDescent="0.3">
      <c r="A8" s="120"/>
      <c r="B8" s="131"/>
      <c r="C8" s="172"/>
      <c r="D8" s="131"/>
      <c r="E8" s="36">
        <f>IF(B8="",0,DAYS360($B$4,B8))</f>
        <v>0</v>
      </c>
      <c r="F8" s="91">
        <f>+C8</f>
        <v>0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2" customHeight="1" x14ac:dyDescent="0.3">
      <c r="A9" s="148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2" customHeight="1" x14ac:dyDescent="0.3">
      <c r="A10" s="148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2" customHeight="1" x14ac:dyDescent="0.25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2" customHeight="1" x14ac:dyDescent="0.25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2" customHeight="1" x14ac:dyDescent="0.25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5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5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5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5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5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5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5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5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5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5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5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5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5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5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5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5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5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5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5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5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5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5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5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5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zoomScale="90" zoomScaleNormal="90" workbookViewId="0">
      <selection activeCell="F4" sqref="F4"/>
    </sheetView>
  </sheetViews>
  <sheetFormatPr baseColWidth="10" defaultColWidth="11.44140625" defaultRowHeight="13.8" x14ac:dyDescent="0.25"/>
  <cols>
    <col min="1" max="1" width="14.5546875" style="24" bestFit="1" customWidth="1"/>
    <col min="2" max="2" width="27.44140625" style="81" bestFit="1" customWidth="1"/>
    <col min="3" max="3" width="30.44140625" style="24" customWidth="1"/>
    <col min="4" max="4" width="11.44140625" style="24"/>
    <col min="5" max="5" width="30.33203125" style="24" customWidth="1"/>
    <col min="6" max="7" width="25.5546875" style="24" bestFit="1" customWidth="1"/>
    <col min="8" max="8" width="23.44140625" style="24" bestFit="1" customWidth="1"/>
    <col min="9" max="9" width="16" style="24" bestFit="1" customWidth="1"/>
    <col min="10" max="16384" width="11.44140625" style="24"/>
  </cols>
  <sheetData>
    <row r="1" spans="1:10" ht="14.4" thickBot="1" x14ac:dyDescent="0.3">
      <c r="B1" s="75"/>
    </row>
    <row r="2" spans="1:10" ht="36.75" customHeight="1" thickBot="1" x14ac:dyDescent="0.3">
      <c r="A2" s="334" t="s">
        <v>89</v>
      </c>
      <c r="B2" s="335"/>
      <c r="C2" s="335"/>
      <c r="D2" s="335"/>
      <c r="E2" s="335"/>
      <c r="F2" s="335"/>
      <c r="G2" s="336"/>
    </row>
    <row r="3" spans="1:10" ht="22.2" customHeight="1" x14ac:dyDescent="0.25">
      <c r="B3" s="75"/>
    </row>
    <row r="4" spans="1:10" ht="27" customHeight="1" x14ac:dyDescent="0.25">
      <c r="B4" s="75"/>
      <c r="E4" s="114" t="s">
        <v>134</v>
      </c>
      <c r="F4" s="309"/>
    </row>
    <row r="5" spans="1:10" ht="33" customHeight="1" x14ac:dyDescent="0.3">
      <c r="B5" s="161"/>
      <c r="E5" s="114" t="s">
        <v>78</v>
      </c>
      <c r="F5" s="125" t="str">
        <f>IFERROR(VLOOKUP(F4,Tabla23[],2,FALSE),"0")</f>
        <v>0</v>
      </c>
    </row>
    <row r="6" spans="1:10" ht="42" customHeight="1" x14ac:dyDescent="0.25">
      <c r="A6" s="289" t="s">
        <v>16</v>
      </c>
      <c r="B6" s="155" t="s">
        <v>90</v>
      </c>
      <c r="C6" s="212" t="s">
        <v>72</v>
      </c>
      <c r="H6" s="76"/>
      <c r="J6" s="122"/>
    </row>
    <row r="7" spans="1:10" ht="18.75" customHeight="1" x14ac:dyDescent="0.25">
      <c r="A7" s="291"/>
      <c r="B7" s="302"/>
      <c r="C7" s="292"/>
      <c r="E7" s="8"/>
      <c r="F7" s="40" t="s">
        <v>73</v>
      </c>
      <c r="G7" s="40" t="s">
        <v>56</v>
      </c>
      <c r="J7" s="122"/>
    </row>
    <row r="8" spans="1:10" ht="20.25" customHeight="1" x14ac:dyDescent="0.25">
      <c r="A8" s="291"/>
      <c r="B8" s="302"/>
      <c r="C8" s="293" t="str">
        <f>IFERROR((B8/B7),"")</f>
        <v/>
      </c>
      <c r="E8" s="36" t="s">
        <v>74</v>
      </c>
      <c r="F8" s="53" t="str">
        <f>IFERROR(AVERAGEIF(C8:C37,"&lt;&gt;0"),"0")</f>
        <v>0</v>
      </c>
      <c r="G8" s="36"/>
      <c r="J8" s="122"/>
    </row>
    <row r="9" spans="1:10" ht="20.25" customHeight="1" x14ac:dyDescent="0.25">
      <c r="A9" s="294"/>
      <c r="B9" s="303"/>
      <c r="C9" s="295" t="str">
        <f t="shared" ref="C9" si="0">IFERROR((B9/B8),"")</f>
        <v/>
      </c>
      <c r="E9" s="36" t="s">
        <v>75</v>
      </c>
      <c r="F9" s="79" t="str" cm="1">
        <f t="array" ref="F9">IFERROR(STDEV(IF(C8:C37&lt;&gt;0,C8:C37,"")),"0")</f>
        <v>0</v>
      </c>
      <c r="G9" s="79"/>
      <c r="J9" s="122"/>
    </row>
    <row r="10" spans="1:10" ht="20.25" customHeight="1" x14ac:dyDescent="0.25">
      <c r="A10" s="304"/>
      <c r="B10" s="305"/>
      <c r="C10" s="296"/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2"/>
    </row>
    <row r="11" spans="1:10" ht="20.25" customHeight="1" x14ac:dyDescent="0.25">
      <c r="A11" s="304"/>
      <c r="B11" s="305"/>
      <c r="C11" s="296"/>
      <c r="E11" s="36" t="s">
        <v>91</v>
      </c>
      <c r="F11" s="43" t="str">
        <f>IFERROR(VLOOKUP($F$4,$A$6:$C$30000,2)*F10*$F$9,"0")</f>
        <v>0</v>
      </c>
      <c r="G11" s="43" t="str">
        <f>IFERROR(VLOOKUP($F$4,$A$6:$C$30000,2)*G10*$F$9,"0")</f>
        <v>0</v>
      </c>
      <c r="J11" s="122"/>
    </row>
    <row r="12" spans="1:10" ht="20.25" customHeight="1" x14ac:dyDescent="0.25">
      <c r="A12" s="304"/>
      <c r="B12" s="305"/>
      <c r="C12" s="296"/>
      <c r="E12" s="36" t="s">
        <v>92</v>
      </c>
      <c r="F12" s="43">
        <f>IFERROR(F11*SQRT(30),"0")</f>
        <v>0</v>
      </c>
      <c r="G12" s="43">
        <f>IFERROR(G11*SQRT(30),"0")</f>
        <v>0</v>
      </c>
      <c r="H12" s="94"/>
      <c r="J12" s="122"/>
    </row>
    <row r="13" spans="1:10" ht="20.25" customHeight="1" x14ac:dyDescent="0.25">
      <c r="A13" s="304"/>
      <c r="B13" s="305"/>
      <c r="C13" s="296"/>
      <c r="H13" s="94"/>
      <c r="J13" s="122"/>
    </row>
    <row r="14" spans="1:10" ht="20.25" customHeight="1" x14ac:dyDescent="0.25">
      <c r="A14" s="304"/>
      <c r="B14" s="305"/>
      <c r="C14" s="296"/>
      <c r="E14" s="95"/>
      <c r="F14" s="95"/>
      <c r="G14" s="95"/>
      <c r="H14" s="94"/>
      <c r="J14" s="122"/>
    </row>
    <row r="15" spans="1:10" ht="20.25" customHeight="1" x14ac:dyDescent="0.25">
      <c r="A15" s="304"/>
      <c r="B15" s="305"/>
      <c r="C15" s="296"/>
      <c r="E15" s="96"/>
      <c r="F15" s="97"/>
      <c r="G15" s="97"/>
      <c r="H15" s="94"/>
      <c r="J15" s="122"/>
    </row>
    <row r="16" spans="1:10" ht="20.25" customHeight="1" x14ac:dyDescent="0.25">
      <c r="A16" s="304"/>
      <c r="B16" s="300"/>
      <c r="C16" s="301"/>
      <c r="D16" s="95"/>
      <c r="E16" s="94"/>
      <c r="G16" s="122"/>
    </row>
    <row r="17" spans="1:10" ht="20.25" customHeight="1" x14ac:dyDescent="0.25">
      <c r="A17" s="304"/>
      <c r="B17" s="300"/>
      <c r="C17" s="301"/>
      <c r="D17" s="97"/>
      <c r="E17" s="94"/>
      <c r="G17" s="122"/>
    </row>
    <row r="18" spans="1:10" ht="20.25" customHeight="1" x14ac:dyDescent="0.25">
      <c r="A18" s="304"/>
      <c r="B18" s="300"/>
      <c r="C18" s="301"/>
      <c r="D18" s="95"/>
      <c r="E18" s="94"/>
      <c r="G18" s="122"/>
    </row>
    <row r="19" spans="1:10" ht="20.25" customHeight="1" x14ac:dyDescent="0.25">
      <c r="A19" s="304"/>
      <c r="B19" s="306"/>
      <c r="C19" s="307"/>
      <c r="G19" s="122"/>
    </row>
    <row r="20" spans="1:10" ht="20.25" customHeight="1" x14ac:dyDescent="0.25">
      <c r="A20" s="304"/>
      <c r="B20" s="306"/>
      <c r="C20" s="307"/>
      <c r="G20" s="122"/>
    </row>
    <row r="21" spans="1:10" ht="20.25" customHeight="1" x14ac:dyDescent="0.25">
      <c r="A21" s="304"/>
      <c r="B21" s="306"/>
      <c r="C21" s="307"/>
      <c r="G21" s="122"/>
    </row>
    <row r="22" spans="1:10" ht="20.25" customHeight="1" x14ac:dyDescent="0.25">
      <c r="A22" s="304"/>
      <c r="B22" s="306"/>
      <c r="C22" s="307"/>
      <c r="G22" s="122"/>
    </row>
    <row r="23" spans="1:10" ht="20.25" customHeight="1" x14ac:dyDescent="0.25">
      <c r="A23" s="304"/>
      <c r="B23" s="306"/>
      <c r="C23" s="307"/>
      <c r="G23" s="122"/>
    </row>
    <row r="24" spans="1:10" ht="20.25" customHeight="1" x14ac:dyDescent="0.25">
      <c r="A24" s="304"/>
      <c r="B24" s="306"/>
      <c r="C24" s="307"/>
      <c r="G24" s="122"/>
    </row>
    <row r="25" spans="1:10" ht="20.25" customHeight="1" x14ac:dyDescent="0.25">
      <c r="A25" s="304"/>
      <c r="B25" s="306"/>
      <c r="C25" s="307"/>
      <c r="G25" s="122"/>
    </row>
    <row r="26" spans="1:10" ht="20.25" customHeight="1" x14ac:dyDescent="0.25">
      <c r="A26" s="304"/>
      <c r="B26" s="306"/>
      <c r="C26" s="307"/>
      <c r="G26" s="122"/>
    </row>
    <row r="27" spans="1:10" ht="20.25" customHeight="1" x14ac:dyDescent="0.25">
      <c r="A27" s="304"/>
      <c r="B27" s="305"/>
      <c r="C27" s="296"/>
      <c r="J27" s="122"/>
    </row>
    <row r="28" spans="1:10" ht="20.25" customHeight="1" x14ac:dyDescent="0.25">
      <c r="A28" s="304"/>
      <c r="B28" s="305"/>
      <c r="C28" s="296"/>
      <c r="J28" s="122"/>
    </row>
    <row r="29" spans="1:10" ht="20.25" customHeight="1" x14ac:dyDescent="0.25">
      <c r="A29" s="304"/>
      <c r="B29" s="305"/>
      <c r="C29" s="296"/>
      <c r="J29" s="122"/>
    </row>
    <row r="30" spans="1:10" ht="20.25" customHeight="1" x14ac:dyDescent="0.25">
      <c r="A30" s="304"/>
      <c r="B30" s="305"/>
      <c r="C30" s="296"/>
      <c r="J30" s="122"/>
    </row>
    <row r="31" spans="1:10" ht="20.25" customHeight="1" x14ac:dyDescent="0.25">
      <c r="A31" s="304"/>
      <c r="B31" s="305"/>
      <c r="C31" s="296"/>
      <c r="J31" s="122"/>
    </row>
    <row r="32" spans="1:10" ht="20.25" customHeight="1" x14ac:dyDescent="0.25">
      <c r="A32" s="304"/>
      <c r="B32" s="305"/>
      <c r="C32" s="296"/>
      <c r="J32" s="122"/>
    </row>
    <row r="33" spans="1:10" ht="20.25" customHeight="1" x14ac:dyDescent="0.25">
      <c r="A33" s="304"/>
      <c r="B33" s="305"/>
      <c r="C33" s="296"/>
      <c r="J33" s="122"/>
    </row>
    <row r="34" spans="1:10" ht="20.25" customHeight="1" x14ac:dyDescent="0.25">
      <c r="A34" s="304"/>
      <c r="B34" s="305"/>
      <c r="C34" s="296"/>
      <c r="J34" s="122"/>
    </row>
    <row r="35" spans="1:10" ht="20.25" customHeight="1" x14ac:dyDescent="0.25">
      <c r="A35" s="304"/>
      <c r="B35" s="305"/>
      <c r="C35" s="296"/>
      <c r="J35" s="122"/>
    </row>
    <row r="36" spans="1:10" ht="20.25" customHeight="1" x14ac:dyDescent="0.25">
      <c r="A36" s="304"/>
      <c r="B36" s="305"/>
      <c r="C36" s="296"/>
    </row>
    <row r="37" spans="1:10" ht="20.25" customHeight="1" x14ac:dyDescent="0.25">
      <c r="A37" s="304"/>
      <c r="B37" s="305"/>
      <c r="C37" s="296"/>
    </row>
    <row r="38" spans="1:10" ht="20.25" customHeight="1" x14ac:dyDescent="0.25">
      <c r="A38" s="304"/>
      <c r="B38" s="297"/>
      <c r="C38" s="296"/>
    </row>
    <row r="39" spans="1:10" ht="20.25" customHeight="1" x14ac:dyDescent="0.25">
      <c r="A39" s="304"/>
      <c r="B39" s="297"/>
      <c r="C39" s="296"/>
    </row>
    <row r="40" spans="1:10" ht="20.25" customHeight="1" x14ac:dyDescent="0.25">
      <c r="A40" s="304"/>
      <c r="B40" s="297"/>
      <c r="C40" s="296"/>
    </row>
    <row r="41" spans="1:10" ht="20.25" customHeight="1" x14ac:dyDescent="0.25">
      <c r="A41" s="308"/>
      <c r="B41" s="299"/>
      <c r="C41" s="296"/>
    </row>
    <row r="42" spans="1:10" ht="20.25" customHeight="1" x14ac:dyDescent="0.25">
      <c r="A42" s="308"/>
      <c r="B42" s="299"/>
      <c r="C42" s="296"/>
    </row>
    <row r="43" spans="1:10" ht="20.25" customHeight="1" x14ac:dyDescent="0.25">
      <c r="A43" s="308"/>
      <c r="B43" s="299"/>
      <c r="C43" s="296"/>
    </row>
    <row r="44" spans="1:10" ht="20.25" customHeight="1" x14ac:dyDescent="0.25">
      <c r="A44" s="308"/>
      <c r="B44" s="299"/>
      <c r="C44" s="296"/>
    </row>
    <row r="45" spans="1:10" ht="20.25" customHeight="1" x14ac:dyDescent="0.25">
      <c r="A45" s="308"/>
      <c r="B45" s="299"/>
      <c r="C45" s="296"/>
    </row>
    <row r="46" spans="1:10" ht="20.25" customHeight="1" x14ac:dyDescent="0.25">
      <c r="A46" s="308"/>
      <c r="B46" s="299"/>
      <c r="C46" s="296"/>
    </row>
    <row r="47" spans="1:10" ht="20.25" customHeight="1" x14ac:dyDescent="0.25">
      <c r="A47" s="308"/>
      <c r="B47" s="299"/>
      <c r="C47" s="296"/>
    </row>
    <row r="48" spans="1:10" ht="20.25" customHeight="1" x14ac:dyDescent="0.25">
      <c r="A48" s="308"/>
      <c r="B48" s="299"/>
      <c r="C48" s="296"/>
    </row>
    <row r="49" spans="1:3" ht="20.25" customHeight="1" x14ac:dyDescent="0.25">
      <c r="A49" s="308"/>
      <c r="B49" s="299"/>
      <c r="C49" s="296"/>
    </row>
    <row r="50" spans="1:3" ht="20.25" customHeight="1" x14ac:dyDescent="0.25">
      <c r="A50" s="308"/>
      <c r="B50" s="299"/>
      <c r="C50" s="296"/>
    </row>
    <row r="51" spans="1:3" ht="20.25" customHeight="1" x14ac:dyDescent="0.25">
      <c r="A51" s="308"/>
      <c r="B51" s="299"/>
      <c r="C51" s="296"/>
    </row>
    <row r="52" spans="1:3" ht="20.25" customHeight="1" x14ac:dyDescent="0.25">
      <c r="A52" s="308"/>
      <c r="B52" s="299"/>
      <c r="C52" s="296"/>
    </row>
    <row r="53" spans="1:3" ht="20.25" customHeight="1" x14ac:dyDescent="0.25">
      <c r="A53" s="308"/>
      <c r="B53" s="299"/>
      <c r="C53" s="296"/>
    </row>
    <row r="54" spans="1:3" ht="20.25" customHeight="1" x14ac:dyDescent="0.25">
      <c r="A54" s="308"/>
      <c r="B54" s="299"/>
      <c r="C54" s="296"/>
    </row>
    <row r="55" spans="1:3" ht="20.25" customHeight="1" x14ac:dyDescent="0.25">
      <c r="A55" s="308"/>
      <c r="B55" s="299"/>
      <c r="C55" s="296"/>
    </row>
    <row r="56" spans="1:3" ht="20.25" customHeight="1" x14ac:dyDescent="0.25">
      <c r="A56" s="308"/>
      <c r="B56" s="299"/>
      <c r="C56" s="296"/>
    </row>
    <row r="57" spans="1:3" ht="20.25" customHeight="1" x14ac:dyDescent="0.25">
      <c r="A57" s="308"/>
      <c r="B57" s="299"/>
      <c r="C57" s="296"/>
    </row>
    <row r="58" spans="1:3" ht="20.25" customHeight="1" x14ac:dyDescent="0.25">
      <c r="A58" s="308"/>
      <c r="B58" s="299"/>
      <c r="C58" s="296"/>
    </row>
    <row r="59" spans="1:3" ht="20.25" customHeight="1" x14ac:dyDescent="0.25">
      <c r="A59" s="308"/>
      <c r="B59" s="299"/>
      <c r="C59" s="296"/>
    </row>
    <row r="60" spans="1:3" ht="20.25" customHeight="1" x14ac:dyDescent="0.25">
      <c r="A60" s="308"/>
      <c r="B60" s="299"/>
      <c r="C60" s="296"/>
    </row>
    <row r="61" spans="1:3" ht="20.25" customHeight="1" x14ac:dyDescent="0.25">
      <c r="A61" s="308"/>
      <c r="B61" s="299"/>
      <c r="C61" s="296"/>
    </row>
    <row r="62" spans="1:3" ht="20.25" customHeight="1" x14ac:dyDescent="0.25">
      <c r="A62" s="308"/>
      <c r="B62" s="299"/>
      <c r="C62" s="296"/>
    </row>
    <row r="63" spans="1:3" ht="20.25" customHeight="1" x14ac:dyDescent="0.25">
      <c r="A63" s="308"/>
      <c r="B63" s="299"/>
      <c r="C63" s="296"/>
    </row>
    <row r="64" spans="1:3" ht="20.25" customHeight="1" x14ac:dyDescent="0.25">
      <c r="A64" s="308"/>
      <c r="B64" s="299"/>
      <c r="C64" s="296"/>
    </row>
    <row r="65" spans="1:3" ht="20.25" customHeight="1" x14ac:dyDescent="0.25">
      <c r="A65" s="308"/>
      <c r="B65" s="299"/>
      <c r="C65" s="296"/>
    </row>
    <row r="66" spans="1:3" ht="20.25" customHeight="1" x14ac:dyDescent="0.25">
      <c r="A66" s="308"/>
      <c r="B66" s="299"/>
      <c r="C66" s="296"/>
    </row>
    <row r="67" spans="1:3" ht="20.25" customHeight="1" x14ac:dyDescent="0.25">
      <c r="A67" s="308"/>
      <c r="B67" s="299"/>
      <c r="C67" s="296"/>
    </row>
    <row r="68" spans="1:3" ht="20.25" customHeight="1" x14ac:dyDescent="0.25">
      <c r="A68" s="308"/>
      <c r="B68" s="299"/>
      <c r="C68" s="296"/>
    </row>
    <row r="69" spans="1:3" ht="20.25" customHeight="1" x14ac:dyDescent="0.25">
      <c r="A69" s="308"/>
      <c r="B69" s="299"/>
      <c r="C69" s="296"/>
    </row>
    <row r="70" spans="1:3" ht="20.25" customHeight="1" x14ac:dyDescent="0.25">
      <c r="A70" s="308"/>
      <c r="B70" s="299"/>
      <c r="C70" s="296"/>
    </row>
    <row r="71" spans="1:3" ht="20.25" customHeight="1" x14ac:dyDescent="0.25">
      <c r="A71" s="308"/>
      <c r="B71" s="299"/>
      <c r="C71" s="296"/>
    </row>
    <row r="72" spans="1:3" ht="20.25" customHeight="1" x14ac:dyDescent="0.25">
      <c r="A72" s="308"/>
      <c r="B72" s="299"/>
      <c r="C72" s="296"/>
    </row>
    <row r="73" spans="1:3" ht="20.25" customHeight="1" x14ac:dyDescent="0.25">
      <c r="A73" s="308"/>
      <c r="B73" s="299"/>
      <c r="C73" s="296"/>
    </row>
    <row r="74" spans="1:3" ht="20.25" customHeight="1" x14ac:dyDescent="0.25">
      <c r="A74" s="308"/>
      <c r="B74" s="299"/>
      <c r="C74" s="296"/>
    </row>
    <row r="75" spans="1:3" ht="20.25" customHeight="1" x14ac:dyDescent="0.25">
      <c r="A75" s="308"/>
      <c r="B75" s="299"/>
      <c r="C75" s="296"/>
    </row>
    <row r="76" spans="1:3" ht="20.25" customHeight="1" x14ac:dyDescent="0.25">
      <c r="A76" s="308"/>
      <c r="B76" s="299"/>
      <c r="C76" s="296"/>
    </row>
    <row r="77" spans="1:3" ht="20.25" customHeight="1" x14ac:dyDescent="0.25">
      <c r="A77" s="308"/>
      <c r="B77" s="299"/>
      <c r="C77" s="296"/>
    </row>
    <row r="78" spans="1:3" ht="20.25" customHeight="1" x14ac:dyDescent="0.25">
      <c r="A78" s="308"/>
      <c r="B78" s="299"/>
      <c r="C78" s="296"/>
    </row>
    <row r="79" spans="1:3" ht="20.25" customHeight="1" x14ac:dyDescent="0.25">
      <c r="A79" s="308"/>
      <c r="B79" s="299"/>
      <c r="C79" s="296"/>
    </row>
    <row r="80" spans="1:3" ht="20.25" customHeight="1" x14ac:dyDescent="0.25">
      <c r="A80" s="308"/>
      <c r="B80" s="299"/>
      <c r="C80" s="296"/>
    </row>
    <row r="81" spans="1:3" ht="20.25" customHeight="1" x14ac:dyDescent="0.25">
      <c r="A81" s="308"/>
      <c r="B81" s="299"/>
      <c r="C81" s="296"/>
    </row>
    <row r="82" spans="1:3" ht="20.25" customHeight="1" x14ac:dyDescent="0.25">
      <c r="A82" s="308"/>
      <c r="B82" s="299"/>
      <c r="C82" s="296"/>
    </row>
    <row r="83" spans="1:3" ht="20.25" customHeight="1" x14ac:dyDescent="0.25">
      <c r="A83" s="308"/>
      <c r="B83" s="299"/>
      <c r="C83" s="296"/>
    </row>
    <row r="84" spans="1:3" ht="20.25" customHeight="1" x14ac:dyDescent="0.25">
      <c r="A84" s="308"/>
      <c r="B84" s="299"/>
      <c r="C84" s="296"/>
    </row>
    <row r="85" spans="1:3" ht="20.25" customHeight="1" x14ac:dyDescent="0.25">
      <c r="A85" s="308"/>
      <c r="B85" s="299"/>
      <c r="C85" s="296"/>
    </row>
    <row r="86" spans="1:3" ht="20.25" customHeight="1" x14ac:dyDescent="0.25">
      <c r="A86" s="308"/>
      <c r="B86" s="299"/>
      <c r="C86" s="296"/>
    </row>
    <row r="87" spans="1:3" ht="20.25" customHeight="1" x14ac:dyDescent="0.25">
      <c r="A87" s="308"/>
      <c r="B87" s="299"/>
      <c r="C87" s="296"/>
    </row>
    <row r="88" spans="1:3" ht="20.25" customHeight="1" x14ac:dyDescent="0.25">
      <c r="A88" s="308"/>
      <c r="B88" s="299"/>
      <c r="C88" s="296"/>
    </row>
    <row r="89" spans="1:3" ht="20.25" customHeight="1" x14ac:dyDescent="0.25">
      <c r="A89" s="308"/>
      <c r="B89" s="299"/>
      <c r="C89" s="296"/>
    </row>
    <row r="90" spans="1:3" ht="20.25" customHeight="1" x14ac:dyDescent="0.25">
      <c r="A90" s="308"/>
      <c r="B90" s="299"/>
      <c r="C90" s="296"/>
    </row>
    <row r="91" spans="1:3" ht="20.25" customHeight="1" x14ac:dyDescent="0.25">
      <c r="A91" s="308"/>
      <c r="B91" s="299"/>
      <c r="C91" s="296"/>
    </row>
    <row r="92" spans="1:3" ht="20.25" customHeight="1" x14ac:dyDescent="0.25">
      <c r="A92" s="308"/>
      <c r="B92" s="299"/>
      <c r="C92" s="296"/>
    </row>
    <row r="93" spans="1:3" ht="20.25" customHeight="1" x14ac:dyDescent="0.25">
      <c r="A93" s="308"/>
      <c r="B93" s="299"/>
      <c r="C93" s="296"/>
    </row>
    <row r="94" spans="1:3" ht="20.25" customHeight="1" x14ac:dyDescent="0.25">
      <c r="A94" s="308"/>
      <c r="B94" s="299"/>
      <c r="C94" s="296"/>
    </row>
    <row r="95" spans="1:3" ht="20.25" customHeight="1" x14ac:dyDescent="0.25">
      <c r="A95" s="308"/>
      <c r="B95" s="299"/>
      <c r="C95" s="296"/>
    </row>
    <row r="96" spans="1:3" ht="20.25" customHeight="1" x14ac:dyDescent="0.25">
      <c r="A96" s="308"/>
      <c r="B96" s="299"/>
      <c r="C96" s="296"/>
    </row>
    <row r="97" spans="1:3" ht="20.25" customHeight="1" x14ac:dyDescent="0.25">
      <c r="A97" s="308"/>
      <c r="B97" s="299"/>
      <c r="C97" s="296"/>
    </row>
    <row r="98" spans="1:3" ht="20.25" customHeight="1" x14ac:dyDescent="0.25">
      <c r="A98" s="308"/>
      <c r="B98" s="299"/>
      <c r="C98" s="296"/>
    </row>
    <row r="99" spans="1:3" ht="20.25" customHeight="1" x14ac:dyDescent="0.25">
      <c r="A99" s="308"/>
      <c r="B99" s="299"/>
      <c r="C99" s="296"/>
    </row>
    <row r="100" spans="1:3" ht="20.25" customHeight="1" x14ac:dyDescent="0.25">
      <c r="A100" s="308"/>
      <c r="B100" s="299"/>
      <c r="C100" s="296"/>
    </row>
    <row r="101" spans="1:3" ht="20.25" customHeight="1" x14ac:dyDescent="0.25">
      <c r="A101" s="298"/>
      <c r="B101" s="299"/>
      <c r="C101" s="296"/>
    </row>
    <row r="102" spans="1:3" ht="20.25" customHeight="1" x14ac:dyDescent="0.25">
      <c r="A102" s="298"/>
      <c r="B102" s="299"/>
      <c r="C102" s="296"/>
    </row>
    <row r="103" spans="1:3" ht="20.25" customHeight="1" x14ac:dyDescent="0.25">
      <c r="A103" s="298"/>
      <c r="B103" s="299"/>
      <c r="C103" s="296"/>
    </row>
    <row r="104" spans="1:3" ht="20.25" customHeight="1" x14ac:dyDescent="0.25">
      <c r="A104" s="298"/>
      <c r="B104" s="299"/>
      <c r="C104" s="296"/>
    </row>
    <row r="105" spans="1:3" ht="20.25" customHeight="1" x14ac:dyDescent="0.25">
      <c r="A105" s="298"/>
      <c r="B105" s="299"/>
      <c r="C105" s="296"/>
    </row>
    <row r="106" spans="1:3" ht="20.25" customHeight="1" x14ac:dyDescent="0.25">
      <c r="A106" s="298"/>
      <c r="B106" s="299"/>
      <c r="C106" s="296"/>
    </row>
    <row r="107" spans="1:3" ht="20.25" customHeight="1" x14ac:dyDescent="0.25">
      <c r="A107" s="298"/>
      <c r="B107" s="299"/>
      <c r="C107" s="296"/>
    </row>
    <row r="108" spans="1:3" ht="20.25" customHeight="1" x14ac:dyDescent="0.25">
      <c r="A108" s="298"/>
      <c r="B108" s="299"/>
      <c r="C108" s="296"/>
    </row>
    <row r="109" spans="1:3" ht="20.25" customHeight="1" x14ac:dyDescent="0.25">
      <c r="A109" s="298"/>
      <c r="B109" s="299"/>
      <c r="C109" s="296"/>
    </row>
    <row r="110" spans="1:3" ht="20.25" customHeight="1" x14ac:dyDescent="0.25">
      <c r="A110" s="298"/>
      <c r="B110" s="299"/>
      <c r="C110" s="296"/>
    </row>
    <row r="111" spans="1:3" ht="20.25" customHeight="1" x14ac:dyDescent="0.25">
      <c r="A111" s="298"/>
      <c r="B111" s="299"/>
      <c r="C111" s="296"/>
    </row>
    <row r="112" spans="1:3" ht="20.25" customHeight="1" x14ac:dyDescent="0.25">
      <c r="A112" s="298"/>
      <c r="B112" s="299"/>
      <c r="C112" s="296"/>
    </row>
    <row r="113" spans="1:3" ht="20.25" customHeight="1" x14ac:dyDescent="0.25">
      <c r="A113" s="298"/>
      <c r="B113" s="299"/>
      <c r="C113" s="296"/>
    </row>
    <row r="114" spans="1:3" ht="20.25" customHeight="1" x14ac:dyDescent="0.25">
      <c r="A114" s="82"/>
      <c r="B114" s="290"/>
      <c r="C114" s="80"/>
    </row>
    <row r="115" spans="1:3" ht="20.25" customHeight="1" x14ac:dyDescent="0.25">
      <c r="A115" s="82"/>
      <c r="B115" s="290"/>
      <c r="C115" s="80"/>
    </row>
    <row r="116" spans="1:3" ht="20.25" customHeight="1" x14ac:dyDescent="0.25">
      <c r="A116" s="82"/>
      <c r="B116" s="290"/>
      <c r="C116" s="80"/>
    </row>
    <row r="117" spans="1:3" ht="20.25" customHeight="1" x14ac:dyDescent="0.25">
      <c r="A117" s="82"/>
      <c r="B117" s="290"/>
      <c r="C117" s="80"/>
    </row>
    <row r="118" spans="1:3" ht="20.25" customHeight="1" x14ac:dyDescent="0.25">
      <c r="A118" s="82"/>
      <c r="B118" s="290"/>
      <c r="C118" s="80"/>
    </row>
    <row r="119" spans="1:3" ht="20.25" customHeight="1" x14ac:dyDescent="0.25">
      <c r="A119" s="82"/>
      <c r="B119" s="290"/>
      <c r="C119" s="80"/>
    </row>
    <row r="120" spans="1:3" ht="20.25" customHeight="1" x14ac:dyDescent="0.25">
      <c r="A120" s="82"/>
      <c r="B120" s="290"/>
      <c r="C120" s="80"/>
    </row>
    <row r="121" spans="1:3" ht="20.25" customHeight="1" x14ac:dyDescent="0.25">
      <c r="A121" s="82"/>
      <c r="B121" s="290"/>
      <c r="C121" s="80"/>
    </row>
    <row r="122" spans="1:3" ht="20.25" customHeight="1" x14ac:dyDescent="0.25">
      <c r="A122" s="82"/>
      <c r="B122" s="290"/>
      <c r="C122" s="80"/>
    </row>
    <row r="123" spans="1:3" ht="20.25" customHeight="1" x14ac:dyDescent="0.25">
      <c r="A123" s="82"/>
      <c r="B123" s="290"/>
      <c r="C123" s="80"/>
    </row>
    <row r="124" spans="1:3" ht="20.25" customHeight="1" x14ac:dyDescent="0.25">
      <c r="A124" s="82"/>
      <c r="B124" s="290"/>
      <c r="C124" s="80"/>
    </row>
    <row r="125" spans="1:3" ht="20.25" customHeight="1" x14ac:dyDescent="0.25">
      <c r="A125" s="82"/>
      <c r="B125" s="290"/>
      <c r="C125" s="80"/>
    </row>
    <row r="126" spans="1:3" ht="20.25" customHeight="1" x14ac:dyDescent="0.25">
      <c r="A126" s="82"/>
      <c r="B126" s="290"/>
      <c r="C126" s="80"/>
    </row>
    <row r="127" spans="1:3" ht="20.25" customHeight="1" x14ac:dyDescent="0.25">
      <c r="A127" s="82"/>
      <c r="B127" s="290"/>
      <c r="C127" s="80"/>
    </row>
    <row r="128" spans="1:3" ht="20.25" customHeight="1" x14ac:dyDescent="0.25">
      <c r="A128" s="82"/>
      <c r="B128" s="290"/>
      <c r="C128" s="80"/>
    </row>
    <row r="129" spans="1:3" ht="20.25" customHeight="1" x14ac:dyDescent="0.25">
      <c r="A129" s="82"/>
      <c r="B129" s="290"/>
      <c r="C129" s="80"/>
    </row>
    <row r="130" spans="1:3" ht="20.25" customHeight="1" x14ac:dyDescent="0.25">
      <c r="A130" s="82"/>
      <c r="B130" s="290"/>
      <c r="C130" s="80"/>
    </row>
    <row r="131" spans="1:3" ht="20.25" customHeight="1" x14ac:dyDescent="0.25">
      <c r="A131" s="82"/>
      <c r="B131" s="290"/>
      <c r="C131" s="80"/>
    </row>
    <row r="132" spans="1:3" ht="20.25" customHeight="1" x14ac:dyDescent="0.25">
      <c r="A132" s="82"/>
      <c r="B132" s="290"/>
      <c r="C132" s="80"/>
    </row>
    <row r="133" spans="1:3" ht="20.25" customHeight="1" x14ac:dyDescent="0.25">
      <c r="A133" s="82"/>
      <c r="B133" s="290"/>
      <c r="C133" s="80"/>
    </row>
    <row r="134" spans="1:3" ht="20.25" customHeight="1" x14ac:dyDescent="0.25">
      <c r="A134" s="82"/>
      <c r="B134" s="83"/>
      <c r="C134" s="80"/>
    </row>
    <row r="135" spans="1:3" ht="20.25" customHeight="1" x14ac:dyDescent="0.25">
      <c r="A135" s="82"/>
      <c r="B135" s="83"/>
      <c r="C135" s="80"/>
    </row>
    <row r="136" spans="1:3" ht="20.25" customHeight="1" x14ac:dyDescent="0.25">
      <c r="A136" s="82"/>
      <c r="B136" s="83"/>
      <c r="C136" s="80"/>
    </row>
    <row r="137" spans="1:3" ht="20.25" customHeight="1" x14ac:dyDescent="0.25">
      <c r="A137" s="82"/>
      <c r="B137" s="83"/>
      <c r="C137" s="80"/>
    </row>
    <row r="138" spans="1:3" ht="20.25" customHeight="1" x14ac:dyDescent="0.25">
      <c r="A138" s="82"/>
      <c r="B138" s="83"/>
      <c r="C138" s="80"/>
    </row>
    <row r="139" spans="1:3" ht="20.25" customHeight="1" x14ac:dyDescent="0.25">
      <c r="A139" s="82"/>
      <c r="B139" s="83"/>
      <c r="C139" s="80"/>
    </row>
    <row r="140" spans="1:3" ht="20.25" customHeight="1" x14ac:dyDescent="0.25">
      <c r="A140" s="82"/>
      <c r="B140" s="83"/>
      <c r="C140" s="80"/>
    </row>
    <row r="141" spans="1:3" ht="20.25" customHeight="1" x14ac:dyDescent="0.25">
      <c r="A141" s="82"/>
      <c r="B141" s="83"/>
      <c r="C141" s="80"/>
    </row>
    <row r="142" spans="1:3" ht="20.25" customHeight="1" x14ac:dyDescent="0.25">
      <c r="A142" s="82"/>
      <c r="B142" s="83"/>
      <c r="C142" s="80"/>
    </row>
    <row r="143" spans="1:3" ht="20.25" customHeight="1" x14ac:dyDescent="0.25">
      <c r="A143" s="82"/>
      <c r="B143" s="83"/>
      <c r="C143" s="80"/>
    </row>
    <row r="144" spans="1:3" ht="20.25" customHeight="1" x14ac:dyDescent="0.25">
      <c r="A144" s="82"/>
      <c r="B144" s="83"/>
      <c r="C144" s="80"/>
    </row>
    <row r="145" spans="1:3" ht="20.25" customHeight="1" x14ac:dyDescent="0.25">
      <c r="A145" s="82"/>
      <c r="B145" s="83"/>
      <c r="C145" s="80"/>
    </row>
    <row r="146" spans="1:3" ht="20.25" customHeight="1" x14ac:dyDescent="0.25">
      <c r="A146" s="82"/>
      <c r="B146" s="83"/>
      <c r="C146" s="80"/>
    </row>
    <row r="147" spans="1:3" ht="20.25" customHeight="1" x14ac:dyDescent="0.25">
      <c r="A147" s="82"/>
      <c r="B147" s="83"/>
      <c r="C147" s="80"/>
    </row>
    <row r="148" spans="1:3" ht="20.25" customHeight="1" x14ac:dyDescent="0.25">
      <c r="A148" s="82"/>
      <c r="B148" s="83"/>
      <c r="C148" s="80"/>
    </row>
    <row r="149" spans="1:3" ht="20.25" customHeight="1" x14ac:dyDescent="0.25">
      <c r="A149" s="82"/>
      <c r="B149" s="83"/>
      <c r="C149" s="80"/>
    </row>
    <row r="150" spans="1:3" ht="20.25" customHeight="1" x14ac:dyDescent="0.25">
      <c r="A150" s="82"/>
      <c r="B150" s="83"/>
      <c r="C150" s="80"/>
    </row>
    <row r="151" spans="1:3" ht="20.25" customHeight="1" x14ac:dyDescent="0.25">
      <c r="A151" s="82"/>
      <c r="B151" s="83"/>
      <c r="C151" s="80"/>
    </row>
    <row r="152" spans="1:3" ht="20.25" customHeight="1" x14ac:dyDescent="0.25">
      <c r="A152" s="82"/>
      <c r="B152" s="83"/>
      <c r="C152" s="80"/>
    </row>
    <row r="153" spans="1:3" ht="20.25" customHeight="1" x14ac:dyDescent="0.25">
      <c r="A153" s="82"/>
      <c r="B153" s="83"/>
      <c r="C153" s="80"/>
    </row>
    <row r="154" spans="1:3" ht="20.25" customHeight="1" x14ac:dyDescent="0.25">
      <c r="A154" s="82"/>
      <c r="B154" s="83"/>
      <c r="C154" s="80"/>
    </row>
    <row r="155" spans="1:3" ht="20.25" customHeight="1" x14ac:dyDescent="0.25">
      <c r="A155" s="82"/>
      <c r="B155" s="83"/>
      <c r="C155" s="80"/>
    </row>
    <row r="156" spans="1:3" ht="20.25" customHeight="1" x14ac:dyDescent="0.25">
      <c r="A156" s="82"/>
      <c r="B156" s="83"/>
      <c r="C156" s="80"/>
    </row>
    <row r="157" spans="1:3" ht="20.25" customHeight="1" x14ac:dyDescent="0.25">
      <c r="A157" s="82"/>
      <c r="B157" s="83"/>
      <c r="C157" s="80"/>
    </row>
    <row r="158" spans="1:3" ht="20.25" customHeight="1" x14ac:dyDescent="0.25">
      <c r="A158" s="82"/>
      <c r="B158" s="83"/>
      <c r="C158" s="80"/>
    </row>
    <row r="159" spans="1:3" ht="20.25" customHeight="1" x14ac:dyDescent="0.25">
      <c r="A159" s="82"/>
      <c r="B159" s="83"/>
      <c r="C159" s="80"/>
    </row>
    <row r="160" spans="1:3" ht="20.25" customHeight="1" x14ac:dyDescent="0.25">
      <c r="A160" s="82"/>
      <c r="B160" s="83"/>
      <c r="C160" s="80"/>
    </row>
    <row r="161" spans="1:3" ht="20.25" customHeight="1" x14ac:dyDescent="0.25">
      <c r="A161" s="82"/>
      <c r="B161" s="83"/>
      <c r="C161" s="80"/>
    </row>
    <row r="162" spans="1:3" ht="20.25" customHeight="1" x14ac:dyDescent="0.25">
      <c r="A162" s="82"/>
      <c r="B162" s="83"/>
      <c r="C162" s="80"/>
    </row>
    <row r="163" spans="1:3" ht="20.25" customHeight="1" x14ac:dyDescent="0.25">
      <c r="A163" s="82"/>
      <c r="B163" s="83"/>
      <c r="C163" s="80"/>
    </row>
    <row r="164" spans="1:3" ht="20.25" customHeight="1" x14ac:dyDescent="0.25">
      <c r="A164" s="82"/>
      <c r="B164" s="83"/>
      <c r="C164" s="80"/>
    </row>
    <row r="165" spans="1:3" ht="20.25" customHeight="1" x14ac:dyDescent="0.25">
      <c r="A165" s="82"/>
      <c r="B165" s="83"/>
      <c r="C165" s="80"/>
    </row>
    <row r="166" spans="1:3" ht="20.25" customHeight="1" x14ac:dyDescent="0.25">
      <c r="A166" s="82"/>
      <c r="B166" s="83"/>
      <c r="C166" s="80"/>
    </row>
    <row r="167" spans="1:3" ht="20.25" customHeight="1" x14ac:dyDescent="0.25">
      <c r="A167" s="82"/>
      <c r="B167" s="83"/>
      <c r="C167" s="80"/>
    </row>
    <row r="168" spans="1:3" ht="20.25" customHeight="1" x14ac:dyDescent="0.25">
      <c r="A168" s="82"/>
      <c r="B168" s="83"/>
      <c r="C168" s="80"/>
    </row>
    <row r="169" spans="1:3" ht="20.25" customHeight="1" x14ac:dyDescent="0.25">
      <c r="A169" s="82"/>
      <c r="B169" s="83"/>
      <c r="C169" s="80"/>
    </row>
    <row r="170" spans="1:3" ht="20.25" customHeight="1" x14ac:dyDescent="0.25">
      <c r="A170" s="82"/>
      <c r="B170" s="83"/>
      <c r="C170" s="80"/>
    </row>
    <row r="171" spans="1:3" ht="20.25" customHeight="1" x14ac:dyDescent="0.25">
      <c r="A171" s="82"/>
      <c r="B171" s="83"/>
      <c r="C171" s="80"/>
    </row>
    <row r="172" spans="1:3" ht="20.25" customHeight="1" x14ac:dyDescent="0.25">
      <c r="A172" s="82"/>
      <c r="B172" s="83"/>
      <c r="C172" s="80"/>
    </row>
    <row r="173" spans="1:3" ht="20.25" customHeight="1" x14ac:dyDescent="0.25">
      <c r="A173" s="82"/>
      <c r="B173" s="83"/>
      <c r="C173" s="80"/>
    </row>
    <row r="174" spans="1:3" ht="20.25" customHeight="1" x14ac:dyDescent="0.25">
      <c r="A174" s="82"/>
      <c r="B174" s="83"/>
      <c r="C174" s="80"/>
    </row>
    <row r="175" spans="1:3" ht="20.25" customHeight="1" x14ac:dyDescent="0.25">
      <c r="A175" s="82"/>
      <c r="B175" s="83"/>
      <c r="C175" s="80"/>
    </row>
    <row r="176" spans="1:3" ht="20.25" customHeight="1" x14ac:dyDescent="0.25">
      <c r="A176" s="82"/>
      <c r="B176" s="83"/>
      <c r="C176" s="80"/>
    </row>
    <row r="177" spans="1:3" ht="20.25" customHeight="1" x14ac:dyDescent="0.25">
      <c r="A177" s="82"/>
      <c r="B177" s="83"/>
      <c r="C177" s="80"/>
    </row>
    <row r="178" spans="1:3" ht="20.25" customHeight="1" x14ac:dyDescent="0.25">
      <c r="A178" s="82"/>
      <c r="B178" s="83"/>
      <c r="C178" s="80"/>
    </row>
    <row r="179" spans="1:3" ht="20.25" customHeight="1" x14ac:dyDescent="0.25">
      <c r="A179" s="82"/>
      <c r="B179" s="83"/>
      <c r="C179" s="80"/>
    </row>
    <row r="180" spans="1:3" ht="20.25" customHeight="1" x14ac:dyDescent="0.25">
      <c r="A180" s="82"/>
      <c r="B180" s="83"/>
      <c r="C180" s="80"/>
    </row>
    <row r="181" spans="1:3" ht="20.25" customHeight="1" x14ac:dyDescent="0.25">
      <c r="A181" s="82"/>
      <c r="B181" s="83"/>
      <c r="C181" s="80"/>
    </row>
    <row r="182" spans="1:3" ht="20.25" customHeight="1" x14ac:dyDescent="0.25">
      <c r="A182" s="82"/>
      <c r="B182" s="83"/>
      <c r="C182" s="80"/>
    </row>
    <row r="183" spans="1:3" ht="20.25" customHeight="1" x14ac:dyDescent="0.25">
      <c r="A183" s="82"/>
      <c r="B183" s="83"/>
      <c r="C183" s="80"/>
    </row>
    <row r="184" spans="1:3" ht="20.25" customHeight="1" x14ac:dyDescent="0.25">
      <c r="A184" s="82"/>
      <c r="B184" s="83"/>
      <c r="C184" s="80"/>
    </row>
    <row r="185" spans="1:3" ht="20.25" customHeight="1" x14ac:dyDescent="0.25">
      <c r="A185" s="82"/>
      <c r="B185" s="83"/>
      <c r="C185" s="80"/>
    </row>
    <row r="186" spans="1:3" ht="20.25" customHeight="1" x14ac:dyDescent="0.25">
      <c r="A186" s="82"/>
      <c r="B186" s="83"/>
      <c r="C186" s="80"/>
    </row>
    <row r="187" spans="1:3" ht="20.25" customHeight="1" x14ac:dyDescent="0.25">
      <c r="A187" s="82"/>
      <c r="B187" s="83"/>
      <c r="C187" s="80"/>
    </row>
    <row r="188" spans="1:3" ht="20.25" customHeight="1" x14ac:dyDescent="0.25">
      <c r="A188" s="82"/>
      <c r="B188" s="83"/>
      <c r="C188" s="80"/>
    </row>
    <row r="189" spans="1:3" ht="20.25" customHeight="1" x14ac:dyDescent="0.25">
      <c r="A189" s="82"/>
      <c r="B189" s="83"/>
      <c r="C189" s="80"/>
    </row>
    <row r="190" spans="1:3" ht="20.25" customHeight="1" x14ac:dyDescent="0.25">
      <c r="A190" s="82"/>
      <c r="B190" s="83"/>
      <c r="C190" s="80"/>
    </row>
    <row r="191" spans="1:3" ht="20.25" customHeight="1" x14ac:dyDescent="0.25">
      <c r="A191" s="82"/>
      <c r="B191" s="83"/>
      <c r="C191" s="80"/>
    </row>
    <row r="192" spans="1:3" ht="20.25" customHeight="1" x14ac:dyDescent="0.25">
      <c r="A192" s="82"/>
      <c r="B192" s="83"/>
      <c r="C192" s="80"/>
    </row>
    <row r="193" spans="1:3" ht="20.25" customHeight="1" x14ac:dyDescent="0.25">
      <c r="A193" s="82"/>
      <c r="B193" s="83"/>
      <c r="C193" s="80"/>
    </row>
    <row r="194" spans="1:3" ht="20.25" customHeight="1" x14ac:dyDescent="0.25">
      <c r="A194" s="82"/>
      <c r="B194" s="83"/>
      <c r="C194" s="80"/>
    </row>
    <row r="195" spans="1:3" ht="20.25" customHeight="1" x14ac:dyDescent="0.25">
      <c r="A195" s="82"/>
      <c r="B195" s="83"/>
      <c r="C195" s="80"/>
    </row>
    <row r="196" spans="1:3" ht="20.25" customHeight="1" x14ac:dyDescent="0.25">
      <c r="A196" s="82"/>
      <c r="B196" s="83"/>
      <c r="C196" s="80"/>
    </row>
    <row r="197" spans="1:3" ht="20.25" customHeight="1" x14ac:dyDescent="0.25">
      <c r="A197" s="82"/>
      <c r="B197" s="83"/>
      <c r="C197" s="80"/>
    </row>
    <row r="198" spans="1:3" ht="20.25" customHeight="1" x14ac:dyDescent="0.25">
      <c r="A198" s="82"/>
      <c r="B198" s="83"/>
      <c r="C198" s="80"/>
    </row>
    <row r="199" spans="1:3" ht="20.25" customHeight="1" x14ac:dyDescent="0.25">
      <c r="A199" s="82"/>
      <c r="B199" s="83"/>
      <c r="C199" s="80"/>
    </row>
    <row r="200" spans="1:3" ht="20.25" customHeight="1" x14ac:dyDescent="0.25">
      <c r="A200" s="82"/>
      <c r="B200" s="83"/>
      <c r="C200" s="80"/>
    </row>
    <row r="201" spans="1:3" ht="20.25" customHeight="1" x14ac:dyDescent="0.25">
      <c r="A201" s="82"/>
      <c r="B201" s="83"/>
      <c r="C201" s="80"/>
    </row>
    <row r="202" spans="1:3" ht="20.25" customHeight="1" x14ac:dyDescent="0.25">
      <c r="A202" s="82"/>
      <c r="B202" s="83"/>
      <c r="C202" s="80"/>
    </row>
    <row r="203" spans="1:3" ht="20.25" customHeight="1" x14ac:dyDescent="0.25">
      <c r="A203" s="82"/>
      <c r="B203" s="83"/>
      <c r="C203" s="80"/>
    </row>
    <row r="204" spans="1:3" ht="20.25" customHeight="1" x14ac:dyDescent="0.25">
      <c r="A204" s="82"/>
      <c r="B204" s="83"/>
      <c r="C204" s="80"/>
    </row>
    <row r="205" spans="1:3" ht="20.25" customHeight="1" x14ac:dyDescent="0.25">
      <c r="A205" s="82"/>
      <c r="B205" s="83"/>
      <c r="C205" s="80"/>
    </row>
    <row r="206" spans="1:3" ht="20.25" customHeight="1" x14ac:dyDescent="0.25">
      <c r="A206" s="82"/>
      <c r="B206" s="83"/>
      <c r="C206" s="80"/>
    </row>
    <row r="207" spans="1:3" ht="20.25" customHeight="1" x14ac:dyDescent="0.25">
      <c r="A207" s="82"/>
      <c r="B207" s="83"/>
      <c r="C207" s="80"/>
    </row>
    <row r="208" spans="1:3" ht="20.25" customHeight="1" x14ac:dyDescent="0.25">
      <c r="A208" s="82"/>
      <c r="B208" s="83"/>
      <c r="C208" s="80"/>
    </row>
    <row r="209" spans="1:3" ht="20.25" customHeight="1" x14ac:dyDescent="0.25">
      <c r="A209" s="82"/>
      <c r="B209" s="83"/>
      <c r="C209" s="80"/>
    </row>
    <row r="210" spans="1:3" ht="20.25" customHeight="1" x14ac:dyDescent="0.25">
      <c r="A210" s="82"/>
      <c r="B210" s="83"/>
      <c r="C210" s="80"/>
    </row>
    <row r="211" spans="1:3" ht="20.25" customHeight="1" x14ac:dyDescent="0.25">
      <c r="A211" s="82"/>
      <c r="B211" s="83"/>
      <c r="C211" s="80"/>
    </row>
    <row r="212" spans="1:3" ht="20.25" customHeight="1" x14ac:dyDescent="0.25">
      <c r="A212" s="82"/>
      <c r="B212" s="83"/>
      <c r="C212" s="80"/>
    </row>
    <row r="213" spans="1:3" ht="20.25" customHeight="1" x14ac:dyDescent="0.25">
      <c r="A213" s="82"/>
      <c r="B213" s="83"/>
      <c r="C213" s="80"/>
    </row>
    <row r="214" spans="1:3" ht="20.25" customHeight="1" x14ac:dyDescent="0.25">
      <c r="A214" s="82"/>
      <c r="B214" s="83"/>
      <c r="C214" s="80"/>
    </row>
    <row r="215" spans="1:3" ht="20.25" customHeight="1" x14ac:dyDescent="0.25">
      <c r="A215" s="82"/>
      <c r="B215" s="83"/>
      <c r="C215" s="80"/>
    </row>
    <row r="216" spans="1:3" ht="20.25" customHeight="1" x14ac:dyDescent="0.25">
      <c r="A216" s="82"/>
      <c r="B216" s="83"/>
      <c r="C216" s="80"/>
    </row>
    <row r="217" spans="1:3" ht="20.25" customHeight="1" x14ac:dyDescent="0.25">
      <c r="A217" s="82"/>
      <c r="B217" s="83"/>
      <c r="C217" s="80"/>
    </row>
    <row r="218" spans="1:3" ht="20.25" customHeight="1" x14ac:dyDescent="0.25">
      <c r="A218" s="82"/>
      <c r="B218" s="83"/>
      <c r="C218" s="80"/>
    </row>
    <row r="219" spans="1:3" ht="20.25" customHeight="1" x14ac:dyDescent="0.25">
      <c r="A219" s="82"/>
      <c r="B219" s="83"/>
      <c r="C219" s="80"/>
    </row>
    <row r="220" spans="1:3" ht="20.25" customHeight="1" x14ac:dyDescent="0.25">
      <c r="A220" s="82"/>
      <c r="B220" s="83"/>
      <c r="C220" s="80"/>
    </row>
    <row r="221" spans="1:3" ht="20.25" customHeight="1" x14ac:dyDescent="0.25">
      <c r="A221" s="82"/>
      <c r="B221" s="83"/>
      <c r="C221" s="80"/>
    </row>
    <row r="222" spans="1:3" ht="20.25" customHeight="1" x14ac:dyDescent="0.25">
      <c r="A222" s="82"/>
      <c r="B222" s="83"/>
      <c r="C222" s="80"/>
    </row>
    <row r="223" spans="1:3" ht="20.25" customHeight="1" x14ac:dyDescent="0.25">
      <c r="A223" s="82"/>
      <c r="B223" s="83"/>
      <c r="C223" s="80"/>
    </row>
    <row r="224" spans="1:3" ht="20.25" customHeight="1" x14ac:dyDescent="0.25">
      <c r="A224" s="82"/>
      <c r="B224" s="83"/>
      <c r="C224" s="80"/>
    </row>
    <row r="225" spans="1:3" ht="20.25" customHeight="1" x14ac:dyDescent="0.25">
      <c r="A225" s="82"/>
      <c r="B225" s="83"/>
      <c r="C225" s="80"/>
    </row>
    <row r="226" spans="1:3" ht="20.25" customHeight="1" x14ac:dyDescent="0.25">
      <c r="A226" s="82"/>
      <c r="B226" s="83"/>
      <c r="C226" s="80"/>
    </row>
    <row r="227" spans="1:3" ht="20.25" customHeight="1" x14ac:dyDescent="0.25">
      <c r="A227" s="82"/>
      <c r="B227" s="83"/>
      <c r="C227" s="80"/>
    </row>
    <row r="228" spans="1:3" ht="20.25" customHeight="1" x14ac:dyDescent="0.25">
      <c r="A228" s="82"/>
      <c r="B228" s="83"/>
      <c r="C228" s="80"/>
    </row>
    <row r="229" spans="1:3" ht="20.25" customHeight="1" x14ac:dyDescent="0.25">
      <c r="A229" s="82"/>
      <c r="B229" s="83"/>
      <c r="C229" s="80"/>
    </row>
    <row r="230" spans="1:3" ht="20.25" customHeight="1" x14ac:dyDescent="0.25">
      <c r="A230" s="82"/>
      <c r="B230" s="83"/>
      <c r="C230" s="80"/>
    </row>
    <row r="231" spans="1:3" ht="20.25" customHeight="1" x14ac:dyDescent="0.25">
      <c r="A231" s="82"/>
      <c r="B231" s="83"/>
      <c r="C231" s="80"/>
    </row>
    <row r="232" spans="1:3" ht="20.25" customHeight="1" x14ac:dyDescent="0.25">
      <c r="A232" s="82"/>
      <c r="B232" s="83"/>
      <c r="C232" s="80"/>
    </row>
    <row r="233" spans="1:3" ht="20.25" customHeight="1" x14ac:dyDescent="0.25">
      <c r="A233" s="82"/>
      <c r="B233" s="83"/>
      <c r="C233" s="80"/>
    </row>
    <row r="234" spans="1:3" ht="20.25" customHeight="1" x14ac:dyDescent="0.25">
      <c r="A234" s="82"/>
      <c r="B234" s="83"/>
      <c r="C234" s="80"/>
    </row>
    <row r="235" spans="1:3" ht="20.25" customHeight="1" x14ac:dyDescent="0.25">
      <c r="A235" s="82"/>
      <c r="B235" s="83"/>
      <c r="C235" s="80"/>
    </row>
    <row r="236" spans="1:3" ht="20.25" customHeight="1" x14ac:dyDescent="0.25">
      <c r="A236" s="82"/>
      <c r="B236" s="83"/>
      <c r="C236" s="80"/>
    </row>
    <row r="237" spans="1:3" ht="20.25" customHeight="1" x14ac:dyDescent="0.25">
      <c r="A237" s="82"/>
      <c r="B237" s="83"/>
      <c r="C237" s="80"/>
    </row>
    <row r="238" spans="1:3" ht="20.25" customHeight="1" x14ac:dyDescent="0.25">
      <c r="A238" s="82"/>
      <c r="B238" s="83"/>
      <c r="C238" s="80"/>
    </row>
    <row r="239" spans="1:3" ht="20.25" customHeight="1" x14ac:dyDescent="0.25">
      <c r="A239" s="82"/>
      <c r="B239" s="83"/>
      <c r="C239" s="80"/>
    </row>
    <row r="240" spans="1:3" ht="20.25" customHeight="1" x14ac:dyDescent="0.25">
      <c r="A240" s="82"/>
      <c r="B240" s="83"/>
      <c r="C240" s="80"/>
    </row>
    <row r="241" spans="1:3" ht="20.25" customHeight="1" x14ac:dyDescent="0.25">
      <c r="A241" s="82"/>
      <c r="B241" s="83"/>
      <c r="C241" s="80"/>
    </row>
    <row r="242" spans="1:3" ht="20.25" customHeight="1" x14ac:dyDescent="0.25">
      <c r="A242" s="82"/>
      <c r="B242" s="83"/>
      <c r="C242" s="80"/>
    </row>
    <row r="243" spans="1:3" ht="20.25" customHeight="1" x14ac:dyDescent="0.25">
      <c r="A243" s="82"/>
      <c r="B243" s="83"/>
      <c r="C243" s="80"/>
    </row>
    <row r="244" spans="1:3" ht="20.25" customHeight="1" x14ac:dyDescent="0.25">
      <c r="A244" s="82"/>
      <c r="B244" s="83"/>
      <c r="C244" s="80"/>
    </row>
    <row r="245" spans="1:3" ht="20.25" customHeight="1" x14ac:dyDescent="0.25">
      <c r="A245" s="82"/>
      <c r="B245" s="83"/>
      <c r="C245" s="80"/>
    </row>
    <row r="246" spans="1:3" ht="20.25" customHeight="1" x14ac:dyDescent="0.25">
      <c r="A246" s="82"/>
      <c r="B246" s="83"/>
      <c r="C246" s="80"/>
    </row>
    <row r="247" spans="1:3" ht="20.25" customHeight="1" x14ac:dyDescent="0.25">
      <c r="A247" s="82"/>
      <c r="B247" s="83"/>
      <c r="C247" s="80"/>
    </row>
    <row r="248" spans="1:3" ht="20.25" customHeight="1" x14ac:dyDescent="0.25">
      <c r="A248" s="82"/>
      <c r="B248" s="83"/>
      <c r="C248" s="80"/>
    </row>
    <row r="249" spans="1:3" ht="20.25" customHeight="1" x14ac:dyDescent="0.25">
      <c r="A249" s="82"/>
      <c r="B249" s="83"/>
      <c r="C249" s="80"/>
    </row>
    <row r="250" spans="1:3" ht="20.25" customHeight="1" x14ac:dyDescent="0.25">
      <c r="A250" s="82"/>
      <c r="B250" s="83"/>
      <c r="C250" s="80"/>
    </row>
    <row r="251" spans="1:3" ht="20.25" customHeight="1" x14ac:dyDescent="0.25">
      <c r="A251" s="82"/>
      <c r="B251" s="83"/>
      <c r="C251" s="80"/>
    </row>
    <row r="252" spans="1:3" ht="20.25" customHeight="1" x14ac:dyDescent="0.25">
      <c r="A252" s="82"/>
      <c r="B252" s="83"/>
      <c r="C252" s="80"/>
    </row>
    <row r="253" spans="1:3" ht="20.25" customHeight="1" x14ac:dyDescent="0.25">
      <c r="A253" s="82"/>
      <c r="B253" s="83"/>
      <c r="C253" s="80"/>
    </row>
    <row r="254" spans="1:3" ht="20.25" customHeight="1" x14ac:dyDescent="0.25">
      <c r="A254" s="82"/>
      <c r="B254" s="83"/>
      <c r="C254" s="80"/>
    </row>
    <row r="255" spans="1:3" ht="20.25" customHeight="1" x14ac:dyDescent="0.25">
      <c r="A255" s="82"/>
      <c r="B255" s="83"/>
      <c r="C255" s="80"/>
    </row>
    <row r="256" spans="1:3" ht="20.25" customHeight="1" x14ac:dyDescent="0.25">
      <c r="A256" s="82"/>
      <c r="B256" s="83"/>
      <c r="C256" s="80"/>
    </row>
    <row r="257" spans="1:3" ht="20.25" customHeight="1" x14ac:dyDescent="0.25">
      <c r="A257" s="82"/>
      <c r="B257" s="83"/>
      <c r="C257" s="80"/>
    </row>
    <row r="258" spans="1:3" ht="20.25" customHeight="1" x14ac:dyDescent="0.25">
      <c r="A258" s="82"/>
      <c r="B258" s="83"/>
      <c r="C258" s="80"/>
    </row>
    <row r="259" spans="1:3" ht="20.25" customHeight="1" x14ac:dyDescent="0.25">
      <c r="A259" s="82"/>
      <c r="B259" s="83"/>
      <c r="C259" s="80"/>
    </row>
    <row r="260" spans="1:3" ht="20.25" customHeight="1" x14ac:dyDescent="0.25">
      <c r="A260" s="82"/>
      <c r="B260" s="83"/>
      <c r="C260" s="80"/>
    </row>
    <row r="261" spans="1:3" ht="20.25" customHeight="1" x14ac:dyDescent="0.25">
      <c r="A261" s="82"/>
      <c r="B261" s="83"/>
      <c r="C261" s="80"/>
    </row>
    <row r="262" spans="1:3" ht="20.25" customHeight="1" x14ac:dyDescent="0.25">
      <c r="A262" s="82"/>
      <c r="B262" s="83"/>
      <c r="C262" s="80"/>
    </row>
    <row r="263" spans="1:3" ht="20.25" customHeight="1" x14ac:dyDescent="0.25">
      <c r="A263" s="82"/>
      <c r="B263" s="83"/>
      <c r="C263" s="80"/>
    </row>
    <row r="264" spans="1:3" ht="20.25" customHeight="1" x14ac:dyDescent="0.25">
      <c r="A264" s="82"/>
      <c r="B264" s="83"/>
      <c r="C264" s="80"/>
    </row>
    <row r="265" spans="1:3" ht="20.25" customHeight="1" x14ac:dyDescent="0.25">
      <c r="A265" s="82"/>
      <c r="B265" s="83"/>
      <c r="C265" s="80"/>
    </row>
    <row r="266" spans="1:3" ht="20.25" customHeight="1" x14ac:dyDescent="0.25">
      <c r="A266" s="82"/>
      <c r="B266" s="83"/>
      <c r="C266" s="80"/>
    </row>
    <row r="267" spans="1:3" ht="20.25" customHeight="1" x14ac:dyDescent="0.25">
      <c r="A267" s="82"/>
      <c r="B267" s="83"/>
      <c r="C267" s="80"/>
    </row>
    <row r="268" spans="1:3" ht="20.25" customHeight="1" x14ac:dyDescent="0.25">
      <c r="A268" s="82"/>
      <c r="B268" s="83"/>
      <c r="C268" s="80"/>
    </row>
    <row r="269" spans="1:3" ht="20.25" customHeight="1" x14ac:dyDescent="0.25">
      <c r="A269" s="82"/>
      <c r="B269" s="83"/>
      <c r="C269" s="80"/>
    </row>
    <row r="270" spans="1:3" ht="20.25" customHeight="1" x14ac:dyDescent="0.25">
      <c r="A270" s="82"/>
      <c r="B270" s="83"/>
      <c r="C270" s="80"/>
    </row>
    <row r="271" spans="1:3" ht="20.25" customHeight="1" x14ac:dyDescent="0.25">
      <c r="A271" s="82"/>
      <c r="B271" s="83"/>
      <c r="C271" s="80"/>
    </row>
    <row r="272" spans="1:3" ht="20.25" customHeight="1" x14ac:dyDescent="0.25">
      <c r="A272" s="82"/>
      <c r="B272" s="83"/>
      <c r="C272" s="80"/>
    </row>
    <row r="273" spans="1:3" ht="20.25" customHeight="1" x14ac:dyDescent="0.25">
      <c r="A273" s="82"/>
      <c r="B273" s="83"/>
      <c r="C273" s="80"/>
    </row>
    <row r="274" spans="1:3" ht="20.25" customHeight="1" x14ac:dyDescent="0.25">
      <c r="A274" s="82"/>
      <c r="B274" s="83"/>
      <c r="C274" s="80"/>
    </row>
    <row r="275" spans="1:3" ht="20.25" customHeight="1" x14ac:dyDescent="0.25">
      <c r="A275" s="82"/>
      <c r="B275" s="83"/>
      <c r="C275" s="80"/>
    </row>
    <row r="276" spans="1:3" ht="20.25" customHeight="1" x14ac:dyDescent="0.25">
      <c r="A276" s="82"/>
      <c r="B276" s="83"/>
      <c r="C276" s="80"/>
    </row>
    <row r="277" spans="1:3" ht="20.25" customHeight="1" x14ac:dyDescent="0.25">
      <c r="A277" s="82"/>
      <c r="B277" s="83"/>
      <c r="C277" s="80"/>
    </row>
    <row r="278" spans="1:3" ht="20.25" customHeight="1" x14ac:dyDescent="0.25">
      <c r="A278" s="82"/>
      <c r="B278" s="83"/>
      <c r="C278" s="80"/>
    </row>
    <row r="279" spans="1:3" ht="20.25" customHeight="1" x14ac:dyDescent="0.25">
      <c r="A279" s="82"/>
      <c r="B279" s="83"/>
      <c r="C279" s="80"/>
    </row>
    <row r="280" spans="1:3" ht="20.25" customHeight="1" x14ac:dyDescent="0.25">
      <c r="A280" s="82"/>
      <c r="B280" s="83"/>
      <c r="C280" s="80"/>
    </row>
    <row r="281" spans="1:3" ht="20.25" customHeight="1" x14ac:dyDescent="0.25">
      <c r="A281" s="82"/>
      <c r="B281" s="83"/>
      <c r="C281" s="80"/>
    </row>
    <row r="282" spans="1:3" ht="20.25" customHeight="1" x14ac:dyDescent="0.25">
      <c r="A282" s="82"/>
      <c r="B282" s="83"/>
      <c r="C282" s="80"/>
    </row>
    <row r="283" spans="1:3" ht="20.25" customHeight="1" x14ac:dyDescent="0.25">
      <c r="A283" s="82"/>
      <c r="B283" s="83"/>
      <c r="C283" s="80"/>
    </row>
    <row r="284" spans="1:3" ht="20.25" customHeight="1" x14ac:dyDescent="0.25">
      <c r="A284" s="82"/>
      <c r="B284" s="83"/>
      <c r="C284" s="80"/>
    </row>
    <row r="285" spans="1:3" ht="20.25" customHeight="1" x14ac:dyDescent="0.25">
      <c r="A285" s="82"/>
      <c r="B285" s="83"/>
      <c r="C285" s="80"/>
    </row>
    <row r="286" spans="1:3" ht="20.25" customHeight="1" x14ac:dyDescent="0.25">
      <c r="A286" s="82"/>
      <c r="B286" s="83"/>
      <c r="C286" s="80"/>
    </row>
    <row r="287" spans="1:3" ht="20.25" customHeight="1" x14ac:dyDescent="0.25">
      <c r="A287" s="82"/>
      <c r="B287" s="83"/>
      <c r="C287" s="80"/>
    </row>
    <row r="288" spans="1:3" ht="20.25" customHeight="1" x14ac:dyDescent="0.25">
      <c r="A288" s="82"/>
      <c r="B288" s="83"/>
      <c r="C288" s="80"/>
    </row>
    <row r="289" spans="1:3" ht="20.25" customHeight="1" x14ac:dyDescent="0.25">
      <c r="A289" s="82"/>
      <c r="B289" s="83"/>
      <c r="C289" s="80"/>
    </row>
    <row r="290" spans="1:3" ht="20.25" customHeight="1" x14ac:dyDescent="0.25">
      <c r="A290" s="82"/>
      <c r="B290" s="83"/>
      <c r="C290" s="80"/>
    </row>
    <row r="291" spans="1:3" ht="20.25" customHeight="1" x14ac:dyDescent="0.25">
      <c r="A291" s="82"/>
      <c r="B291" s="83"/>
      <c r="C291" s="80"/>
    </row>
    <row r="292" spans="1:3" ht="20.25" customHeight="1" x14ac:dyDescent="0.25">
      <c r="A292" s="82"/>
      <c r="B292" s="83"/>
      <c r="C292" s="80"/>
    </row>
    <row r="293" spans="1:3" ht="20.25" customHeight="1" x14ac:dyDescent="0.25">
      <c r="A293" s="82"/>
      <c r="B293" s="83"/>
      <c r="C293" s="80"/>
    </row>
    <row r="294" spans="1:3" ht="20.25" customHeight="1" x14ac:dyDescent="0.25">
      <c r="A294" s="82"/>
      <c r="B294" s="83"/>
      <c r="C294" s="80"/>
    </row>
    <row r="295" spans="1:3" ht="20.25" customHeight="1" x14ac:dyDescent="0.25">
      <c r="A295" s="82"/>
      <c r="B295" s="83"/>
      <c r="C295" s="80"/>
    </row>
    <row r="296" spans="1:3" ht="20.25" customHeight="1" x14ac:dyDescent="0.25">
      <c r="A296" s="82"/>
      <c r="B296" s="83"/>
      <c r="C296" s="80"/>
    </row>
    <row r="297" spans="1:3" ht="20.25" customHeight="1" x14ac:dyDescent="0.25">
      <c r="A297" s="82"/>
      <c r="B297" s="83"/>
      <c r="C297" s="80"/>
    </row>
    <row r="298" spans="1:3" ht="20.25" customHeight="1" x14ac:dyDescent="0.25">
      <c r="A298" s="82"/>
      <c r="B298" s="83"/>
      <c r="C298" s="80"/>
    </row>
    <row r="299" spans="1:3" ht="20.25" customHeight="1" x14ac:dyDescent="0.25">
      <c r="A299" s="82"/>
      <c r="B299" s="83"/>
      <c r="C299" s="80"/>
    </row>
    <row r="300" spans="1:3" ht="20.25" customHeight="1" x14ac:dyDescent="0.25">
      <c r="A300" s="82"/>
      <c r="B300" s="83"/>
      <c r="C300" s="80"/>
    </row>
    <row r="301" spans="1:3" ht="20.25" customHeight="1" x14ac:dyDescent="0.25">
      <c r="A301" s="82"/>
      <c r="B301" s="83"/>
      <c r="C301" s="80"/>
    </row>
    <row r="302" spans="1:3" ht="20.25" customHeight="1" x14ac:dyDescent="0.25">
      <c r="A302" s="82"/>
      <c r="B302" s="83"/>
      <c r="C302" s="80"/>
    </row>
    <row r="303" spans="1:3" ht="20.25" customHeight="1" x14ac:dyDescent="0.25">
      <c r="A303" s="82"/>
      <c r="B303" s="83"/>
      <c r="C303" s="80"/>
    </row>
    <row r="304" spans="1:3" ht="20.25" customHeight="1" x14ac:dyDescent="0.25">
      <c r="A304" s="82"/>
      <c r="B304" s="83"/>
      <c r="C304" s="80"/>
    </row>
    <row r="305" spans="1:3" ht="20.25" customHeight="1" x14ac:dyDescent="0.25">
      <c r="A305" s="82"/>
      <c r="B305" s="83"/>
      <c r="C305" s="80"/>
    </row>
    <row r="306" spans="1:3" ht="20.25" customHeight="1" x14ac:dyDescent="0.25">
      <c r="A306" s="82"/>
      <c r="B306" s="83"/>
      <c r="C306" s="80"/>
    </row>
    <row r="307" spans="1:3" ht="20.25" customHeight="1" x14ac:dyDescent="0.25">
      <c r="A307" s="82"/>
      <c r="B307" s="83"/>
      <c r="C307" s="80"/>
    </row>
    <row r="308" spans="1:3" ht="20.25" customHeight="1" x14ac:dyDescent="0.25">
      <c r="A308" s="82"/>
      <c r="B308" s="83"/>
      <c r="C308" s="80"/>
    </row>
    <row r="309" spans="1:3" ht="20.25" customHeight="1" x14ac:dyDescent="0.25">
      <c r="A309" s="82"/>
      <c r="B309" s="83"/>
      <c r="C309" s="80"/>
    </row>
    <row r="310" spans="1:3" ht="20.25" customHeight="1" x14ac:dyDescent="0.25">
      <c r="A310" s="82"/>
      <c r="B310" s="83"/>
      <c r="C310" s="80"/>
    </row>
    <row r="311" spans="1:3" ht="20.25" customHeight="1" x14ac:dyDescent="0.25">
      <c r="A311" s="82"/>
      <c r="B311" s="83"/>
      <c r="C311" s="80"/>
    </row>
    <row r="312" spans="1:3" ht="20.25" customHeight="1" x14ac:dyDescent="0.25">
      <c r="A312" s="82"/>
      <c r="B312" s="83"/>
      <c r="C312" s="80"/>
    </row>
    <row r="313" spans="1:3" ht="20.25" customHeight="1" x14ac:dyDescent="0.25">
      <c r="A313" s="82"/>
      <c r="B313" s="83"/>
      <c r="C313" s="80"/>
    </row>
    <row r="314" spans="1:3" ht="20.25" customHeight="1" x14ac:dyDescent="0.25">
      <c r="A314" s="82"/>
      <c r="B314" s="83"/>
      <c r="C314" s="80"/>
    </row>
    <row r="315" spans="1:3" ht="20.25" customHeight="1" x14ac:dyDescent="0.25">
      <c r="A315" s="82"/>
      <c r="B315" s="83"/>
      <c r="C315" s="80"/>
    </row>
    <row r="316" spans="1:3" ht="20.25" customHeight="1" x14ac:dyDescent="0.25">
      <c r="A316" s="82"/>
      <c r="B316" s="83"/>
      <c r="C316" s="80"/>
    </row>
    <row r="317" spans="1:3" ht="20.25" customHeight="1" x14ac:dyDescent="0.25">
      <c r="A317" s="82"/>
      <c r="B317" s="83"/>
      <c r="C317" s="80"/>
    </row>
    <row r="318" spans="1:3" ht="20.25" customHeight="1" x14ac:dyDescent="0.25">
      <c r="A318" s="82"/>
      <c r="B318" s="83"/>
      <c r="C318" s="80"/>
    </row>
    <row r="319" spans="1:3" ht="20.25" customHeight="1" x14ac:dyDescent="0.25">
      <c r="A319" s="82"/>
      <c r="B319" s="83"/>
      <c r="C319" s="80"/>
    </row>
    <row r="320" spans="1:3" ht="20.25" customHeight="1" x14ac:dyDescent="0.25">
      <c r="A320" s="82"/>
      <c r="B320" s="83"/>
      <c r="C320" s="80"/>
    </row>
    <row r="321" spans="1:3" ht="20.25" customHeight="1" x14ac:dyDescent="0.25">
      <c r="A321" s="82"/>
      <c r="B321" s="83"/>
      <c r="C321" s="80"/>
    </row>
    <row r="322" spans="1:3" ht="20.25" customHeight="1" x14ac:dyDescent="0.25">
      <c r="A322" s="82"/>
      <c r="B322" s="83"/>
      <c r="C322" s="80"/>
    </row>
    <row r="323" spans="1:3" ht="20.25" customHeight="1" x14ac:dyDescent="0.25">
      <c r="A323" s="82"/>
      <c r="B323" s="83"/>
      <c r="C323" s="80"/>
    </row>
    <row r="324" spans="1:3" ht="20.25" customHeight="1" x14ac:dyDescent="0.25">
      <c r="A324" s="82"/>
      <c r="B324" s="83"/>
      <c r="C324" s="80"/>
    </row>
    <row r="325" spans="1:3" ht="20.25" customHeight="1" x14ac:dyDescent="0.25">
      <c r="A325" s="82"/>
      <c r="B325" s="83"/>
      <c r="C325" s="80"/>
    </row>
    <row r="326" spans="1:3" ht="20.25" customHeight="1" x14ac:dyDescent="0.25">
      <c r="A326" s="82"/>
      <c r="B326" s="83"/>
      <c r="C326" s="80"/>
    </row>
    <row r="327" spans="1:3" ht="20.25" customHeight="1" x14ac:dyDescent="0.25">
      <c r="A327" s="82"/>
      <c r="B327" s="83"/>
      <c r="C327" s="80"/>
    </row>
    <row r="328" spans="1:3" ht="20.25" customHeight="1" x14ac:dyDescent="0.25">
      <c r="A328" s="82"/>
      <c r="B328" s="83"/>
      <c r="C328" s="80"/>
    </row>
    <row r="329" spans="1:3" ht="20.25" customHeight="1" x14ac:dyDescent="0.25">
      <c r="A329" s="82"/>
      <c r="B329" s="83"/>
      <c r="C329" s="80"/>
    </row>
    <row r="330" spans="1:3" ht="20.25" customHeight="1" x14ac:dyDescent="0.25">
      <c r="A330" s="82"/>
      <c r="B330" s="83"/>
      <c r="C330" s="80"/>
    </row>
    <row r="331" spans="1:3" ht="20.25" customHeight="1" x14ac:dyDescent="0.25">
      <c r="A331" s="82"/>
      <c r="B331" s="83"/>
      <c r="C331" s="80"/>
    </row>
    <row r="332" spans="1:3" ht="20.25" customHeight="1" x14ac:dyDescent="0.25">
      <c r="A332" s="82"/>
      <c r="B332" s="83"/>
      <c r="C332" s="80"/>
    </row>
    <row r="333" spans="1:3" ht="20.25" customHeight="1" x14ac:dyDescent="0.25">
      <c r="A333" s="82"/>
      <c r="B333" s="83"/>
      <c r="C333" s="80"/>
    </row>
    <row r="334" spans="1:3" ht="20.25" customHeight="1" x14ac:dyDescent="0.25">
      <c r="A334" s="82"/>
      <c r="B334" s="83"/>
      <c r="C334" s="80"/>
    </row>
    <row r="335" spans="1:3" ht="20.25" customHeight="1" x14ac:dyDescent="0.25">
      <c r="A335" s="82"/>
      <c r="B335" s="83"/>
      <c r="C335" s="80"/>
    </row>
    <row r="336" spans="1:3" ht="20.25" customHeight="1" x14ac:dyDescent="0.25">
      <c r="A336" s="82"/>
      <c r="B336" s="83"/>
      <c r="C336" s="80"/>
    </row>
    <row r="337" spans="1:3" ht="20.25" customHeight="1" x14ac:dyDescent="0.25">
      <c r="A337" s="82"/>
      <c r="B337" s="83"/>
      <c r="C337" s="80"/>
    </row>
    <row r="338" spans="1:3" ht="20.25" customHeight="1" x14ac:dyDescent="0.25">
      <c r="A338" s="82"/>
      <c r="B338" s="83"/>
      <c r="C338" s="80"/>
    </row>
    <row r="339" spans="1:3" ht="20.25" customHeight="1" x14ac:dyDescent="0.25">
      <c r="A339" s="82"/>
      <c r="B339" s="83"/>
      <c r="C339" s="80"/>
    </row>
    <row r="340" spans="1:3" ht="20.25" customHeight="1" x14ac:dyDescent="0.25">
      <c r="A340" s="82"/>
      <c r="B340" s="83"/>
      <c r="C340" s="80"/>
    </row>
    <row r="341" spans="1:3" ht="20.25" customHeight="1" x14ac:dyDescent="0.25">
      <c r="A341" s="82"/>
      <c r="B341" s="83"/>
      <c r="C341" s="80"/>
    </row>
    <row r="342" spans="1:3" ht="20.25" customHeight="1" x14ac:dyDescent="0.25">
      <c r="A342" s="82"/>
      <c r="B342" s="83"/>
      <c r="C342" s="80"/>
    </row>
    <row r="343" spans="1:3" ht="20.25" customHeight="1" x14ac:dyDescent="0.25">
      <c r="A343" s="82"/>
      <c r="B343" s="83"/>
      <c r="C343" s="80"/>
    </row>
    <row r="344" spans="1:3" ht="20.25" customHeight="1" x14ac:dyDescent="0.25">
      <c r="A344" s="82"/>
      <c r="B344" s="83"/>
      <c r="C344" s="80"/>
    </row>
    <row r="345" spans="1:3" ht="20.25" customHeight="1" x14ac:dyDescent="0.25">
      <c r="A345" s="82"/>
      <c r="B345" s="83"/>
      <c r="C345" s="80"/>
    </row>
    <row r="346" spans="1:3" ht="20.25" customHeight="1" x14ac:dyDescent="0.25">
      <c r="A346" s="82"/>
      <c r="B346" s="83"/>
      <c r="C346" s="80"/>
    </row>
    <row r="347" spans="1:3" ht="20.25" customHeight="1" x14ac:dyDescent="0.25">
      <c r="A347" s="82"/>
      <c r="B347" s="83"/>
      <c r="C347" s="80"/>
    </row>
    <row r="348" spans="1:3" ht="20.25" customHeight="1" x14ac:dyDescent="0.25">
      <c r="A348" s="82"/>
      <c r="B348" s="83"/>
      <c r="C348" s="80"/>
    </row>
    <row r="349" spans="1:3" ht="20.25" customHeight="1" x14ac:dyDescent="0.25">
      <c r="A349" s="82"/>
      <c r="B349" s="83"/>
      <c r="C349" s="80"/>
    </row>
    <row r="350" spans="1:3" ht="20.25" customHeight="1" x14ac:dyDescent="0.25">
      <c r="A350" s="82"/>
      <c r="B350" s="83"/>
      <c r="C350" s="80"/>
    </row>
    <row r="351" spans="1:3" ht="20.25" customHeight="1" x14ac:dyDescent="0.25">
      <c r="A351" s="82"/>
      <c r="B351" s="83"/>
      <c r="C351" s="80"/>
    </row>
    <row r="352" spans="1:3" ht="20.25" customHeight="1" x14ac:dyDescent="0.25">
      <c r="A352" s="82"/>
      <c r="B352" s="83"/>
      <c r="C352" s="80"/>
    </row>
    <row r="353" spans="1:3" ht="20.25" customHeight="1" x14ac:dyDescent="0.25">
      <c r="A353" s="82"/>
      <c r="B353" s="83"/>
      <c r="C353" s="80"/>
    </row>
    <row r="354" spans="1:3" ht="20.25" customHeight="1" x14ac:dyDescent="0.25">
      <c r="A354" s="82"/>
      <c r="B354" s="83"/>
      <c r="C354" s="80"/>
    </row>
    <row r="355" spans="1:3" ht="20.25" customHeight="1" x14ac:dyDescent="0.25">
      <c r="A355" s="82"/>
      <c r="B355" s="83"/>
      <c r="C355" s="80"/>
    </row>
    <row r="356" spans="1:3" ht="20.25" customHeight="1" x14ac:dyDescent="0.25">
      <c r="A356" s="82"/>
      <c r="B356" s="83"/>
      <c r="C356" s="80"/>
    </row>
    <row r="357" spans="1:3" ht="20.25" customHeight="1" x14ac:dyDescent="0.25">
      <c r="A357" s="82"/>
      <c r="B357" s="83"/>
      <c r="C357" s="80"/>
    </row>
    <row r="358" spans="1:3" ht="20.25" customHeight="1" x14ac:dyDescent="0.25">
      <c r="A358" s="82"/>
      <c r="B358" s="83"/>
      <c r="C358" s="80"/>
    </row>
    <row r="359" spans="1:3" ht="20.25" customHeight="1" x14ac:dyDescent="0.25">
      <c r="A359" s="82"/>
      <c r="B359" s="83"/>
      <c r="C359" s="80"/>
    </row>
    <row r="360" spans="1:3" ht="20.25" customHeight="1" x14ac:dyDescent="0.25">
      <c r="A360" s="82"/>
      <c r="B360" s="83"/>
      <c r="C360" s="80"/>
    </row>
    <row r="361" spans="1:3" ht="20.25" customHeight="1" x14ac:dyDescent="0.25">
      <c r="A361" s="82"/>
      <c r="B361" s="83"/>
      <c r="C361" s="80"/>
    </row>
    <row r="362" spans="1:3" ht="20.25" customHeight="1" x14ac:dyDescent="0.25">
      <c r="A362" s="82"/>
      <c r="B362" s="83"/>
      <c r="C362" s="80"/>
    </row>
    <row r="363" spans="1:3" ht="20.25" customHeight="1" x14ac:dyDescent="0.25">
      <c r="A363" s="82"/>
      <c r="B363" s="83"/>
      <c r="C363" s="80"/>
    </row>
    <row r="364" spans="1:3" ht="20.25" customHeight="1" x14ac:dyDescent="0.25">
      <c r="A364" s="82"/>
      <c r="B364" s="83"/>
      <c r="C364" s="80"/>
    </row>
    <row r="365" spans="1:3" ht="20.25" customHeight="1" x14ac:dyDescent="0.25">
      <c r="A365" s="82"/>
      <c r="B365" s="83"/>
      <c r="C365" s="80"/>
    </row>
    <row r="366" spans="1:3" ht="20.25" customHeight="1" x14ac:dyDescent="0.25">
      <c r="A366" s="82"/>
      <c r="B366" s="83"/>
      <c r="C366" s="80"/>
    </row>
    <row r="367" spans="1:3" ht="20.25" customHeight="1" x14ac:dyDescent="0.25">
      <c r="A367" s="82"/>
      <c r="B367" s="83"/>
      <c r="C367" s="80"/>
    </row>
    <row r="368" spans="1:3" ht="20.25" customHeight="1" x14ac:dyDescent="0.25">
      <c r="A368" s="82"/>
      <c r="B368" s="83"/>
      <c r="C368" s="80"/>
    </row>
    <row r="369" spans="1:3" ht="20.25" customHeight="1" x14ac:dyDescent="0.25">
      <c r="A369" s="82"/>
      <c r="B369" s="83"/>
      <c r="C369" s="80"/>
    </row>
    <row r="370" spans="1:3" ht="20.25" customHeight="1" x14ac:dyDescent="0.25">
      <c r="A370" s="82"/>
      <c r="B370" s="83"/>
      <c r="C370" s="80"/>
    </row>
    <row r="371" spans="1:3" ht="20.25" customHeight="1" x14ac:dyDescent="0.25">
      <c r="A371" s="82"/>
      <c r="B371" s="83"/>
      <c r="C371" s="80"/>
    </row>
    <row r="372" spans="1:3" ht="20.25" customHeight="1" x14ac:dyDescent="0.25">
      <c r="A372" s="82"/>
      <c r="B372" s="83"/>
      <c r="C372" s="80"/>
    </row>
    <row r="373" spans="1:3" ht="20.25" customHeight="1" x14ac:dyDescent="0.25">
      <c r="A373" s="82"/>
      <c r="B373" s="83"/>
      <c r="C373" s="80"/>
    </row>
    <row r="374" spans="1:3" ht="20.25" customHeight="1" x14ac:dyDescent="0.25">
      <c r="A374" s="82"/>
      <c r="B374" s="83"/>
      <c r="C374" s="80"/>
    </row>
    <row r="375" spans="1:3" ht="20.25" customHeight="1" x14ac:dyDescent="0.25">
      <c r="A375" s="82"/>
      <c r="B375" s="83"/>
      <c r="C375" s="80"/>
    </row>
    <row r="376" spans="1:3" ht="20.25" customHeight="1" x14ac:dyDescent="0.25">
      <c r="A376" s="82"/>
      <c r="B376" s="83"/>
      <c r="C376" s="80"/>
    </row>
    <row r="377" spans="1:3" ht="20.25" customHeight="1" x14ac:dyDescent="0.25">
      <c r="A377" s="82"/>
      <c r="B377" s="83"/>
      <c r="C377" s="80"/>
    </row>
    <row r="378" spans="1:3" ht="20.25" customHeight="1" x14ac:dyDescent="0.25">
      <c r="A378" s="82"/>
      <c r="B378" s="83"/>
      <c r="C378" s="80"/>
    </row>
    <row r="379" spans="1:3" ht="20.25" customHeight="1" x14ac:dyDescent="0.25">
      <c r="A379" s="82"/>
      <c r="B379" s="83"/>
      <c r="C379" s="80"/>
    </row>
    <row r="380" spans="1:3" ht="20.25" customHeight="1" x14ac:dyDescent="0.25">
      <c r="A380" s="82"/>
      <c r="B380" s="83"/>
      <c r="C380" s="80"/>
    </row>
    <row r="381" spans="1:3" ht="20.25" customHeight="1" x14ac:dyDescent="0.25">
      <c r="A381" s="82"/>
      <c r="B381" s="83"/>
      <c r="C381" s="80"/>
    </row>
    <row r="382" spans="1:3" ht="20.25" customHeight="1" x14ac:dyDescent="0.25">
      <c r="A382" s="82"/>
      <c r="B382" s="83"/>
      <c r="C382" s="80"/>
    </row>
    <row r="383" spans="1:3" ht="20.25" customHeight="1" x14ac:dyDescent="0.25">
      <c r="A383" s="82"/>
      <c r="B383" s="83"/>
      <c r="C383" s="80"/>
    </row>
    <row r="384" spans="1:3" ht="20.25" customHeight="1" x14ac:dyDescent="0.25">
      <c r="A384" s="82"/>
      <c r="B384" s="83"/>
      <c r="C384" s="80"/>
    </row>
    <row r="385" spans="1:3" ht="20.25" customHeight="1" x14ac:dyDescent="0.25">
      <c r="A385" s="82"/>
      <c r="B385" s="83"/>
      <c r="C385" s="80"/>
    </row>
    <row r="386" spans="1:3" ht="20.25" customHeight="1" x14ac:dyDescent="0.25">
      <c r="A386" s="82"/>
      <c r="B386" s="83"/>
      <c r="C386" s="80"/>
    </row>
    <row r="387" spans="1:3" ht="20.25" customHeight="1" x14ac:dyDescent="0.25">
      <c r="A387" s="82"/>
      <c r="B387" s="83"/>
      <c r="C387" s="80"/>
    </row>
    <row r="388" spans="1:3" ht="20.25" customHeight="1" x14ac:dyDescent="0.25">
      <c r="A388" s="82"/>
      <c r="B388" s="83"/>
      <c r="C388" s="80"/>
    </row>
    <row r="389" spans="1:3" ht="20.25" customHeight="1" x14ac:dyDescent="0.25">
      <c r="A389" s="82"/>
      <c r="B389" s="83"/>
      <c r="C389" s="80"/>
    </row>
    <row r="390" spans="1:3" ht="20.25" customHeight="1" x14ac:dyDescent="0.25">
      <c r="A390" s="82"/>
      <c r="B390" s="83"/>
      <c r="C390" s="80"/>
    </row>
    <row r="391" spans="1:3" ht="20.25" customHeight="1" x14ac:dyDescent="0.25">
      <c r="A391" s="82"/>
      <c r="B391" s="83"/>
      <c r="C391" s="80"/>
    </row>
    <row r="392" spans="1:3" ht="20.25" customHeight="1" x14ac:dyDescent="0.25">
      <c r="A392" s="82"/>
      <c r="B392" s="83"/>
      <c r="C392" s="80"/>
    </row>
    <row r="393" spans="1:3" ht="20.25" customHeight="1" x14ac:dyDescent="0.25">
      <c r="A393" s="82"/>
      <c r="B393" s="83"/>
      <c r="C393" s="80"/>
    </row>
    <row r="394" spans="1:3" ht="20.25" customHeight="1" x14ac:dyDescent="0.25">
      <c r="A394" s="82"/>
      <c r="B394" s="83"/>
      <c r="C394" s="80"/>
    </row>
    <row r="395" spans="1:3" ht="20.25" customHeight="1" x14ac:dyDescent="0.25">
      <c r="A395" s="82"/>
      <c r="B395" s="83"/>
      <c r="C395" s="80"/>
    </row>
    <row r="396" spans="1:3" ht="20.25" customHeight="1" x14ac:dyDescent="0.25">
      <c r="A396" s="82"/>
      <c r="B396" s="83"/>
      <c r="C396" s="80"/>
    </row>
    <row r="397" spans="1:3" ht="20.25" customHeight="1" x14ac:dyDescent="0.25">
      <c r="A397" s="82"/>
      <c r="B397" s="83"/>
      <c r="C397" s="80"/>
    </row>
    <row r="398" spans="1:3" ht="20.25" customHeight="1" x14ac:dyDescent="0.25">
      <c r="A398" s="82"/>
      <c r="B398" s="83"/>
      <c r="C398" s="80"/>
    </row>
    <row r="399" spans="1:3" ht="20.25" customHeight="1" x14ac:dyDescent="0.25">
      <c r="A399" s="82"/>
      <c r="B399" s="83"/>
      <c r="C399" s="80"/>
    </row>
    <row r="400" spans="1:3" ht="20.25" customHeight="1" x14ac:dyDescent="0.25">
      <c r="A400" s="82"/>
      <c r="B400" s="83"/>
      <c r="C400" s="80"/>
    </row>
    <row r="401" spans="1:3" ht="20.25" customHeight="1" x14ac:dyDescent="0.25">
      <c r="A401" s="82"/>
      <c r="B401" s="83"/>
      <c r="C401" s="80"/>
    </row>
    <row r="402" spans="1:3" ht="20.25" customHeight="1" x14ac:dyDescent="0.25">
      <c r="A402" s="82"/>
      <c r="B402" s="83"/>
      <c r="C402" s="80"/>
    </row>
    <row r="403" spans="1:3" ht="20.25" customHeight="1" x14ac:dyDescent="0.25">
      <c r="A403" s="82"/>
      <c r="B403" s="83"/>
      <c r="C403" s="80"/>
    </row>
    <row r="404" spans="1:3" ht="20.25" customHeight="1" x14ac:dyDescent="0.25">
      <c r="A404" s="82"/>
      <c r="B404" s="83"/>
      <c r="C404" s="80"/>
    </row>
    <row r="405" spans="1:3" ht="20.25" customHeight="1" x14ac:dyDescent="0.25">
      <c r="A405" s="82"/>
      <c r="B405" s="83"/>
      <c r="C405" s="80"/>
    </row>
    <row r="406" spans="1:3" ht="20.25" customHeight="1" x14ac:dyDescent="0.25">
      <c r="A406" s="82"/>
      <c r="B406" s="83"/>
      <c r="C406" s="80"/>
    </row>
    <row r="407" spans="1:3" ht="20.25" customHeight="1" x14ac:dyDescent="0.25">
      <c r="A407" s="82"/>
      <c r="B407" s="83"/>
      <c r="C407" s="80"/>
    </row>
    <row r="408" spans="1:3" ht="20.25" customHeight="1" x14ac:dyDescent="0.25">
      <c r="A408" s="82"/>
      <c r="B408" s="83"/>
      <c r="C408" s="80"/>
    </row>
    <row r="409" spans="1:3" ht="20.25" customHeight="1" x14ac:dyDescent="0.25">
      <c r="A409" s="82"/>
      <c r="B409" s="83"/>
      <c r="C409" s="80"/>
    </row>
    <row r="410" spans="1:3" ht="20.25" customHeight="1" x14ac:dyDescent="0.25">
      <c r="A410" s="82"/>
      <c r="B410" s="83"/>
      <c r="C410" s="80"/>
    </row>
    <row r="411" spans="1:3" ht="20.25" customHeight="1" x14ac:dyDescent="0.25">
      <c r="A411" s="82"/>
      <c r="B411" s="83"/>
      <c r="C411" s="80"/>
    </row>
    <row r="412" spans="1:3" ht="20.25" customHeight="1" x14ac:dyDescent="0.25">
      <c r="A412" s="82"/>
      <c r="B412" s="83"/>
      <c r="C412" s="80"/>
    </row>
    <row r="413" spans="1:3" ht="20.25" customHeight="1" x14ac:dyDescent="0.25">
      <c r="A413" s="82"/>
      <c r="B413" s="83"/>
      <c r="C413" s="80"/>
    </row>
    <row r="414" spans="1:3" ht="20.25" customHeight="1" x14ac:dyDescent="0.25">
      <c r="A414" s="82"/>
      <c r="B414" s="83"/>
      <c r="C414" s="80"/>
    </row>
    <row r="415" spans="1:3" ht="20.25" customHeight="1" x14ac:dyDescent="0.25">
      <c r="A415" s="82"/>
      <c r="B415" s="83"/>
      <c r="C415" s="80"/>
    </row>
    <row r="416" spans="1:3" ht="20.25" customHeight="1" x14ac:dyDescent="0.25">
      <c r="A416" s="82"/>
      <c r="B416" s="83"/>
      <c r="C416" s="80"/>
    </row>
    <row r="417" spans="1:3" ht="20.25" customHeight="1" x14ac:dyDescent="0.25">
      <c r="A417" s="82"/>
      <c r="B417" s="83"/>
      <c r="C417" s="80"/>
    </row>
    <row r="418" spans="1:3" ht="20.25" customHeight="1" x14ac:dyDescent="0.25">
      <c r="A418" s="82"/>
      <c r="B418" s="83"/>
      <c r="C418" s="80"/>
    </row>
    <row r="419" spans="1:3" ht="20.25" customHeight="1" x14ac:dyDescent="0.25">
      <c r="A419" s="82"/>
      <c r="B419" s="83"/>
      <c r="C419" s="80"/>
    </row>
    <row r="420" spans="1:3" ht="20.25" customHeight="1" x14ac:dyDescent="0.25">
      <c r="A420" s="82"/>
      <c r="B420" s="83"/>
      <c r="C420" s="80"/>
    </row>
    <row r="421" spans="1:3" ht="20.25" customHeight="1" x14ac:dyDescent="0.25">
      <c r="A421" s="82"/>
      <c r="B421" s="83"/>
      <c r="C421" s="80"/>
    </row>
    <row r="422" spans="1:3" ht="20.25" customHeight="1" x14ac:dyDescent="0.25">
      <c r="A422" s="82"/>
      <c r="B422" s="83"/>
      <c r="C422" s="80"/>
    </row>
    <row r="423" spans="1:3" ht="20.25" customHeight="1" x14ac:dyDescent="0.25">
      <c r="A423" s="82"/>
      <c r="B423" s="83"/>
      <c r="C423" s="80"/>
    </row>
    <row r="424" spans="1:3" ht="20.25" customHeight="1" x14ac:dyDescent="0.25">
      <c r="A424" s="82"/>
      <c r="B424" s="83"/>
      <c r="C424" s="80"/>
    </row>
    <row r="425" spans="1:3" ht="20.25" customHeight="1" x14ac:dyDescent="0.25">
      <c r="A425" s="82"/>
      <c r="B425" s="83"/>
      <c r="C425" s="80"/>
    </row>
    <row r="426" spans="1:3" ht="20.25" customHeight="1" x14ac:dyDescent="0.25">
      <c r="A426" s="82"/>
      <c r="B426" s="83"/>
      <c r="C426" s="80"/>
    </row>
    <row r="427" spans="1:3" ht="20.25" customHeight="1" x14ac:dyDescent="0.25">
      <c r="A427" s="82"/>
      <c r="B427" s="83"/>
      <c r="C427" s="80"/>
    </row>
    <row r="428" spans="1:3" ht="20.25" customHeight="1" x14ac:dyDescent="0.25">
      <c r="A428" s="82"/>
      <c r="B428" s="83"/>
      <c r="C428" s="80"/>
    </row>
    <row r="429" spans="1:3" ht="20.25" customHeight="1" x14ac:dyDescent="0.25">
      <c r="A429" s="82"/>
      <c r="B429" s="83"/>
      <c r="C429" s="80"/>
    </row>
    <row r="430" spans="1:3" ht="20.25" customHeight="1" x14ac:dyDescent="0.25">
      <c r="A430" s="82"/>
      <c r="B430" s="83"/>
      <c r="C430" s="80"/>
    </row>
    <row r="431" spans="1:3" ht="20.25" customHeight="1" x14ac:dyDescent="0.25">
      <c r="A431" s="82"/>
      <c r="B431" s="83"/>
      <c r="C431" s="80"/>
    </row>
    <row r="432" spans="1:3" ht="20.25" customHeight="1" x14ac:dyDescent="0.25">
      <c r="A432" s="82"/>
      <c r="B432" s="83"/>
      <c r="C432" s="80"/>
    </row>
    <row r="433" spans="1:3" ht="20.25" customHeight="1" x14ac:dyDescent="0.25">
      <c r="A433" s="82"/>
      <c r="B433" s="83"/>
      <c r="C433" s="80"/>
    </row>
    <row r="434" spans="1:3" ht="20.25" customHeight="1" x14ac:dyDescent="0.25">
      <c r="A434" s="82"/>
      <c r="B434" s="83"/>
      <c r="C434" s="80"/>
    </row>
    <row r="435" spans="1:3" ht="20.25" customHeight="1" x14ac:dyDescent="0.25">
      <c r="A435" s="82"/>
      <c r="B435" s="83"/>
      <c r="C435" s="80"/>
    </row>
    <row r="436" spans="1:3" ht="20.25" customHeight="1" x14ac:dyDescent="0.25">
      <c r="A436" s="82"/>
      <c r="B436" s="83"/>
      <c r="C436" s="80"/>
    </row>
    <row r="437" spans="1:3" ht="20.25" customHeight="1" x14ac:dyDescent="0.25">
      <c r="A437" s="82"/>
      <c r="B437" s="83"/>
      <c r="C437" s="80"/>
    </row>
    <row r="438" spans="1:3" ht="20.25" customHeight="1" x14ac:dyDescent="0.25">
      <c r="A438" s="82"/>
      <c r="B438" s="83"/>
      <c r="C438" s="80"/>
    </row>
    <row r="439" spans="1:3" ht="20.25" customHeight="1" x14ac:dyDescent="0.25">
      <c r="A439" s="82"/>
      <c r="B439" s="83"/>
      <c r="C439" s="80"/>
    </row>
    <row r="440" spans="1:3" ht="20.25" customHeight="1" x14ac:dyDescent="0.25">
      <c r="A440" s="82"/>
      <c r="B440" s="83"/>
      <c r="C440" s="80"/>
    </row>
    <row r="441" spans="1:3" ht="20.25" customHeight="1" x14ac:dyDescent="0.25">
      <c r="A441" s="82"/>
      <c r="B441" s="83"/>
      <c r="C441" s="80"/>
    </row>
    <row r="442" spans="1:3" ht="20.25" customHeight="1" x14ac:dyDescent="0.25">
      <c r="A442" s="82"/>
      <c r="B442" s="83"/>
      <c r="C442" s="80"/>
    </row>
    <row r="443" spans="1:3" ht="20.25" customHeight="1" x14ac:dyDescent="0.25">
      <c r="A443" s="82"/>
      <c r="B443" s="83"/>
      <c r="C443" s="80"/>
    </row>
    <row r="444" spans="1:3" ht="20.25" customHeight="1" x14ac:dyDescent="0.25">
      <c r="A444" s="82"/>
      <c r="B444" s="83"/>
      <c r="C444" s="80"/>
    </row>
    <row r="445" spans="1:3" ht="20.25" customHeight="1" x14ac:dyDescent="0.25">
      <c r="A445" s="82"/>
      <c r="B445" s="83"/>
      <c r="C445" s="80"/>
    </row>
    <row r="446" spans="1:3" ht="20.25" customHeight="1" x14ac:dyDescent="0.25">
      <c r="A446" s="82"/>
      <c r="B446" s="83"/>
      <c r="C446" s="80"/>
    </row>
    <row r="447" spans="1:3" ht="20.25" customHeight="1" x14ac:dyDescent="0.25">
      <c r="A447" s="82"/>
      <c r="B447" s="83"/>
      <c r="C447" s="80"/>
    </row>
    <row r="448" spans="1:3" ht="20.25" customHeight="1" x14ac:dyDescent="0.25">
      <c r="A448" s="82"/>
      <c r="B448" s="83"/>
      <c r="C448" s="80"/>
    </row>
    <row r="449" spans="1:3" ht="20.25" customHeight="1" x14ac:dyDescent="0.25">
      <c r="A449" s="82"/>
      <c r="B449" s="83"/>
      <c r="C449" s="80"/>
    </row>
    <row r="450" spans="1:3" ht="20.25" customHeight="1" x14ac:dyDescent="0.25">
      <c r="A450" s="82"/>
      <c r="B450" s="83"/>
      <c r="C450" s="80"/>
    </row>
    <row r="451" spans="1:3" ht="20.25" customHeight="1" x14ac:dyDescent="0.25">
      <c r="A451" s="82"/>
      <c r="B451" s="83"/>
      <c r="C451" s="80"/>
    </row>
    <row r="452" spans="1:3" ht="20.25" customHeight="1" x14ac:dyDescent="0.25">
      <c r="A452" s="82"/>
      <c r="B452" s="83"/>
      <c r="C452" s="80"/>
    </row>
    <row r="453" spans="1:3" ht="20.25" customHeight="1" x14ac:dyDescent="0.25">
      <c r="A453" s="82"/>
      <c r="B453" s="83"/>
      <c r="C453" s="80"/>
    </row>
    <row r="454" spans="1:3" ht="20.25" customHeight="1" x14ac:dyDescent="0.25">
      <c r="A454" s="82"/>
      <c r="B454" s="83"/>
      <c r="C454" s="80"/>
    </row>
    <row r="455" spans="1:3" ht="20.25" customHeight="1" x14ac:dyDescent="0.25">
      <c r="A455" s="82"/>
      <c r="B455" s="83"/>
      <c r="C455" s="80"/>
    </row>
    <row r="456" spans="1:3" ht="20.25" customHeight="1" x14ac:dyDescent="0.25">
      <c r="A456" s="82"/>
      <c r="B456" s="83"/>
      <c r="C456" s="80"/>
    </row>
    <row r="457" spans="1:3" ht="20.25" customHeight="1" x14ac:dyDescent="0.25">
      <c r="A457" s="82"/>
      <c r="B457" s="83"/>
      <c r="C457" s="80"/>
    </row>
    <row r="458" spans="1:3" ht="20.25" customHeight="1" x14ac:dyDescent="0.25">
      <c r="A458" s="82"/>
      <c r="B458" s="83"/>
      <c r="C458" s="80"/>
    </row>
    <row r="459" spans="1:3" ht="20.25" customHeight="1" x14ac:dyDescent="0.25">
      <c r="A459" s="82"/>
      <c r="B459" s="83"/>
      <c r="C459" s="80"/>
    </row>
    <row r="460" spans="1:3" ht="20.25" customHeight="1" x14ac:dyDescent="0.25">
      <c r="A460" s="82"/>
      <c r="B460" s="83"/>
      <c r="C460" s="80"/>
    </row>
    <row r="461" spans="1:3" ht="20.25" customHeight="1" x14ac:dyDescent="0.25">
      <c r="A461" s="82"/>
      <c r="B461" s="83"/>
      <c r="C461" s="80"/>
    </row>
    <row r="462" spans="1:3" ht="20.25" customHeight="1" x14ac:dyDescent="0.25">
      <c r="A462" s="82"/>
      <c r="B462" s="83"/>
      <c r="C462" s="80"/>
    </row>
    <row r="463" spans="1:3" ht="20.25" customHeight="1" x14ac:dyDescent="0.25">
      <c r="A463" s="82"/>
      <c r="B463" s="83"/>
      <c r="C463" s="80"/>
    </row>
    <row r="464" spans="1:3" ht="20.25" customHeight="1" x14ac:dyDescent="0.25">
      <c r="A464" s="82"/>
      <c r="B464" s="83"/>
      <c r="C464" s="80"/>
    </row>
    <row r="465" spans="1:3" ht="20.25" customHeight="1" x14ac:dyDescent="0.25">
      <c r="A465" s="82"/>
      <c r="B465" s="83"/>
      <c r="C465" s="80"/>
    </row>
    <row r="466" spans="1:3" ht="20.25" customHeight="1" x14ac:dyDescent="0.25">
      <c r="A466" s="82"/>
      <c r="B466" s="83"/>
      <c r="C466" s="80"/>
    </row>
    <row r="467" spans="1:3" ht="20.25" customHeight="1" x14ac:dyDescent="0.25">
      <c r="A467" s="82"/>
      <c r="B467" s="83"/>
      <c r="C467" s="80"/>
    </row>
    <row r="468" spans="1:3" ht="20.25" customHeight="1" x14ac:dyDescent="0.25">
      <c r="A468" s="82"/>
      <c r="B468" s="83"/>
      <c r="C468" s="80"/>
    </row>
    <row r="469" spans="1:3" ht="20.25" customHeight="1" x14ac:dyDescent="0.25">
      <c r="A469" s="82"/>
      <c r="B469" s="83"/>
      <c r="C469" s="80"/>
    </row>
    <row r="470" spans="1:3" ht="20.25" customHeight="1" x14ac:dyDescent="0.25">
      <c r="A470" s="82"/>
      <c r="B470" s="83"/>
      <c r="C470" s="80"/>
    </row>
    <row r="471" spans="1:3" ht="20.25" customHeight="1" x14ac:dyDescent="0.25">
      <c r="A471" s="82"/>
      <c r="B471" s="83"/>
      <c r="C471" s="80"/>
    </row>
    <row r="472" spans="1:3" ht="20.25" customHeight="1" x14ac:dyDescent="0.25">
      <c r="A472" s="82"/>
      <c r="B472" s="83"/>
      <c r="C472" s="80"/>
    </row>
    <row r="473" spans="1:3" ht="20.25" customHeight="1" x14ac:dyDescent="0.25">
      <c r="A473" s="82"/>
      <c r="B473" s="83"/>
      <c r="C473" s="80"/>
    </row>
    <row r="474" spans="1:3" ht="20.25" customHeight="1" x14ac:dyDescent="0.25">
      <c r="A474" s="82"/>
      <c r="B474" s="83"/>
      <c r="C474" s="80"/>
    </row>
    <row r="475" spans="1:3" ht="20.25" customHeight="1" x14ac:dyDescent="0.25">
      <c r="A475" s="82"/>
      <c r="B475" s="83"/>
      <c r="C475" s="80"/>
    </row>
    <row r="476" spans="1:3" ht="20.25" customHeight="1" x14ac:dyDescent="0.25">
      <c r="A476" s="82"/>
      <c r="B476" s="83"/>
      <c r="C476" s="80"/>
    </row>
    <row r="477" spans="1:3" ht="20.25" customHeight="1" x14ac:dyDescent="0.25">
      <c r="A477" s="82"/>
      <c r="B477" s="83"/>
      <c r="C477" s="80"/>
    </row>
    <row r="478" spans="1:3" ht="20.25" customHeight="1" x14ac:dyDescent="0.25">
      <c r="A478" s="82"/>
      <c r="B478" s="83"/>
      <c r="C478" s="80"/>
    </row>
    <row r="479" spans="1:3" ht="20.25" customHeight="1" x14ac:dyDescent="0.25">
      <c r="A479" s="82"/>
      <c r="B479" s="83"/>
      <c r="C479" s="80"/>
    </row>
    <row r="480" spans="1:3" ht="20.25" customHeight="1" x14ac:dyDescent="0.25">
      <c r="A480" s="82"/>
      <c r="B480" s="83"/>
      <c r="C480" s="80"/>
    </row>
    <row r="481" spans="1:3" ht="20.25" customHeight="1" x14ac:dyDescent="0.25">
      <c r="A481" s="82"/>
      <c r="B481" s="83"/>
      <c r="C481" s="80"/>
    </row>
    <row r="482" spans="1:3" ht="20.25" customHeight="1" x14ac:dyDescent="0.25">
      <c r="A482" s="82"/>
      <c r="B482" s="83"/>
      <c r="C482" s="80"/>
    </row>
    <row r="483" spans="1:3" ht="20.25" customHeight="1" x14ac:dyDescent="0.25">
      <c r="A483" s="82"/>
      <c r="B483" s="83"/>
      <c r="C483" s="80"/>
    </row>
    <row r="484" spans="1:3" ht="20.25" customHeight="1" x14ac:dyDescent="0.25">
      <c r="A484" s="82"/>
      <c r="B484" s="83"/>
      <c r="C484" s="80"/>
    </row>
    <row r="485" spans="1:3" ht="20.25" customHeight="1" x14ac:dyDescent="0.25">
      <c r="A485" s="82"/>
      <c r="B485" s="83"/>
      <c r="C485" s="80"/>
    </row>
    <row r="486" spans="1:3" ht="20.25" customHeight="1" x14ac:dyDescent="0.25">
      <c r="A486" s="82"/>
      <c r="B486" s="83"/>
      <c r="C486" s="80"/>
    </row>
    <row r="487" spans="1:3" ht="20.25" customHeight="1" x14ac:dyDescent="0.25">
      <c r="A487" s="82"/>
      <c r="B487" s="83"/>
      <c r="C487" s="80"/>
    </row>
    <row r="488" spans="1:3" ht="20.25" customHeight="1" x14ac:dyDescent="0.25">
      <c r="A488" s="82"/>
      <c r="B488" s="83"/>
      <c r="C488" s="80"/>
    </row>
    <row r="489" spans="1:3" ht="20.25" customHeight="1" x14ac:dyDescent="0.25">
      <c r="A489" s="82"/>
      <c r="B489" s="83"/>
      <c r="C489" s="80"/>
    </row>
    <row r="490" spans="1:3" ht="20.25" customHeight="1" x14ac:dyDescent="0.25">
      <c r="A490" s="82"/>
      <c r="B490" s="83"/>
      <c r="C490" s="80"/>
    </row>
    <row r="491" spans="1:3" ht="20.25" customHeight="1" x14ac:dyDescent="0.25">
      <c r="A491" s="82"/>
      <c r="B491" s="83"/>
      <c r="C491" s="80"/>
    </row>
    <row r="492" spans="1:3" ht="20.25" customHeight="1" x14ac:dyDescent="0.25">
      <c r="A492" s="82"/>
      <c r="B492" s="83"/>
      <c r="C492" s="80"/>
    </row>
    <row r="493" spans="1:3" ht="20.25" customHeight="1" x14ac:dyDescent="0.25">
      <c r="A493" s="82"/>
      <c r="B493" s="83"/>
      <c r="C493" s="80"/>
    </row>
    <row r="494" spans="1:3" ht="20.25" customHeight="1" x14ac:dyDescent="0.25">
      <c r="A494" s="82"/>
      <c r="B494" s="83"/>
      <c r="C494" s="80"/>
    </row>
    <row r="495" spans="1:3" ht="20.25" customHeight="1" x14ac:dyDescent="0.25">
      <c r="A495" s="82"/>
      <c r="B495" s="83"/>
      <c r="C495" s="80"/>
    </row>
    <row r="496" spans="1:3" ht="20.25" customHeight="1" x14ac:dyDescent="0.25">
      <c r="A496" s="82"/>
      <c r="B496" s="83"/>
      <c r="C496" s="80"/>
    </row>
    <row r="497" spans="1:3" ht="20.25" customHeight="1" x14ac:dyDescent="0.25">
      <c r="A497" s="82"/>
      <c r="B497" s="83"/>
      <c r="C497" s="80"/>
    </row>
    <row r="498" spans="1:3" ht="20.25" customHeight="1" x14ac:dyDescent="0.25">
      <c r="A498" s="82"/>
      <c r="B498" s="83"/>
      <c r="C498" s="80"/>
    </row>
    <row r="499" spans="1:3" ht="20.25" customHeight="1" x14ac:dyDescent="0.25">
      <c r="A499" s="82"/>
      <c r="B499" s="83"/>
      <c r="C499" s="80"/>
    </row>
    <row r="500" spans="1:3" ht="20.25" customHeight="1" x14ac:dyDescent="0.25">
      <c r="A500" s="82"/>
      <c r="B500" s="83"/>
      <c r="C500" s="80"/>
    </row>
    <row r="501" spans="1:3" ht="20.25" customHeight="1" x14ac:dyDescent="0.25">
      <c r="A501" s="82"/>
      <c r="B501" s="83"/>
      <c r="C501" s="80"/>
    </row>
    <row r="502" spans="1:3" ht="20.25" customHeight="1" x14ac:dyDescent="0.25">
      <c r="A502" s="82"/>
      <c r="B502" s="83"/>
      <c r="C502" s="80"/>
    </row>
    <row r="503" spans="1:3" ht="20.25" customHeight="1" x14ac:dyDescent="0.25">
      <c r="A503" s="82"/>
      <c r="B503" s="83"/>
      <c r="C503" s="80"/>
    </row>
    <row r="504" spans="1:3" ht="20.25" customHeight="1" x14ac:dyDescent="0.25">
      <c r="A504" s="82"/>
      <c r="B504" s="83"/>
      <c r="C504" s="80"/>
    </row>
    <row r="505" spans="1:3" ht="20.25" customHeight="1" x14ac:dyDescent="0.25">
      <c r="A505" s="82"/>
      <c r="B505" s="83"/>
      <c r="C505" s="80"/>
    </row>
    <row r="506" spans="1:3" ht="20.25" customHeight="1" x14ac:dyDescent="0.25">
      <c r="A506" s="82"/>
      <c r="B506" s="83"/>
      <c r="C506" s="80"/>
    </row>
    <row r="507" spans="1:3" ht="20.25" customHeight="1" x14ac:dyDescent="0.25">
      <c r="A507" s="82"/>
      <c r="B507" s="83"/>
      <c r="C507" s="80"/>
    </row>
    <row r="508" spans="1:3" ht="20.25" customHeight="1" x14ac:dyDescent="0.25">
      <c r="A508" s="82"/>
      <c r="B508" s="83"/>
      <c r="C508" s="80"/>
    </row>
    <row r="509" spans="1:3" ht="20.25" customHeight="1" x14ac:dyDescent="0.25">
      <c r="A509" s="82"/>
      <c r="B509" s="83"/>
      <c r="C509" s="80"/>
    </row>
    <row r="510" spans="1:3" ht="20.25" customHeight="1" x14ac:dyDescent="0.25">
      <c r="A510" s="82"/>
      <c r="B510" s="83"/>
      <c r="C510" s="80"/>
    </row>
    <row r="511" spans="1:3" ht="20.25" customHeight="1" x14ac:dyDescent="0.25">
      <c r="A511" s="82"/>
      <c r="B511" s="83"/>
      <c r="C511" s="80"/>
    </row>
    <row r="512" spans="1:3" ht="20.25" customHeight="1" x14ac:dyDescent="0.25">
      <c r="A512" s="82"/>
      <c r="B512" s="83"/>
      <c r="C512" s="80"/>
    </row>
    <row r="513" spans="1:3" ht="20.25" customHeight="1" x14ac:dyDescent="0.25">
      <c r="A513" s="82"/>
      <c r="B513" s="83"/>
      <c r="C513" s="80"/>
    </row>
    <row r="514" spans="1:3" ht="20.25" customHeight="1" x14ac:dyDescent="0.25">
      <c r="A514" s="82"/>
      <c r="B514" s="83"/>
      <c r="C514" s="80"/>
    </row>
    <row r="515" spans="1:3" ht="20.25" customHeight="1" x14ac:dyDescent="0.25">
      <c r="A515" s="82"/>
      <c r="B515" s="83"/>
      <c r="C515" s="80"/>
    </row>
    <row r="516" spans="1:3" ht="20.25" customHeight="1" x14ac:dyDescent="0.25">
      <c r="A516" s="82"/>
      <c r="B516" s="83"/>
      <c r="C516" s="80"/>
    </row>
    <row r="517" spans="1:3" ht="20.25" customHeight="1" x14ac:dyDescent="0.25">
      <c r="A517" s="82"/>
      <c r="B517" s="83"/>
      <c r="C517" s="80"/>
    </row>
    <row r="518" spans="1:3" ht="20.25" customHeight="1" x14ac:dyDescent="0.25">
      <c r="A518" s="82"/>
      <c r="B518" s="83"/>
      <c r="C518" s="80"/>
    </row>
    <row r="519" spans="1:3" ht="20.25" customHeight="1" x14ac:dyDescent="0.25">
      <c r="A519" s="82"/>
      <c r="B519" s="83"/>
      <c r="C519" s="80"/>
    </row>
    <row r="520" spans="1:3" ht="20.25" customHeight="1" x14ac:dyDescent="0.25">
      <c r="A520" s="82"/>
      <c r="B520" s="83"/>
      <c r="C520" s="80"/>
    </row>
    <row r="521" spans="1:3" ht="20.25" customHeight="1" x14ac:dyDescent="0.25">
      <c r="A521" s="82"/>
      <c r="B521" s="83"/>
      <c r="C521" s="80"/>
    </row>
    <row r="522" spans="1:3" ht="20.25" customHeight="1" x14ac:dyDescent="0.25">
      <c r="A522" s="82"/>
      <c r="B522" s="83"/>
      <c r="C522" s="80"/>
    </row>
    <row r="523" spans="1:3" ht="20.25" customHeight="1" x14ac:dyDescent="0.25">
      <c r="A523" s="82"/>
      <c r="B523" s="83"/>
      <c r="C523" s="80"/>
    </row>
    <row r="524" spans="1:3" ht="20.25" customHeight="1" x14ac:dyDescent="0.25">
      <c r="A524" s="82"/>
      <c r="B524" s="83"/>
      <c r="C524" s="80"/>
    </row>
    <row r="525" spans="1:3" ht="20.25" customHeight="1" x14ac:dyDescent="0.25">
      <c r="A525" s="82"/>
      <c r="B525" s="83"/>
      <c r="C525" s="80"/>
    </row>
    <row r="526" spans="1:3" ht="20.25" customHeight="1" x14ac:dyDescent="0.25">
      <c r="A526" s="82"/>
      <c r="B526" s="83"/>
      <c r="C526" s="80"/>
    </row>
    <row r="527" spans="1:3" ht="20.25" customHeight="1" x14ac:dyDescent="0.25">
      <c r="A527" s="82"/>
      <c r="B527" s="83"/>
      <c r="C527" s="80"/>
    </row>
    <row r="528" spans="1:3" ht="20.25" customHeight="1" x14ac:dyDescent="0.25">
      <c r="A528" s="82"/>
      <c r="B528" s="83"/>
      <c r="C528" s="80"/>
    </row>
    <row r="529" spans="1:3" ht="20.25" customHeight="1" x14ac:dyDescent="0.25">
      <c r="A529" s="82"/>
      <c r="B529" s="83"/>
      <c r="C529" s="80"/>
    </row>
    <row r="530" spans="1:3" ht="20.25" customHeight="1" x14ac:dyDescent="0.25">
      <c r="A530" s="82"/>
      <c r="B530" s="83"/>
      <c r="C530" s="80"/>
    </row>
    <row r="531" spans="1:3" ht="20.25" customHeight="1" x14ac:dyDescent="0.25">
      <c r="A531" s="82"/>
      <c r="B531" s="83"/>
      <c r="C531" s="80"/>
    </row>
    <row r="532" spans="1:3" ht="20.25" customHeight="1" x14ac:dyDescent="0.25">
      <c r="A532" s="82"/>
      <c r="B532" s="83"/>
      <c r="C532" s="80"/>
    </row>
    <row r="533" spans="1:3" ht="20.25" customHeight="1" x14ac:dyDescent="0.25">
      <c r="A533" s="82"/>
      <c r="B533" s="83"/>
      <c r="C533" s="80"/>
    </row>
    <row r="534" spans="1:3" ht="20.25" customHeight="1" x14ac:dyDescent="0.25">
      <c r="A534" s="82"/>
      <c r="B534" s="83"/>
      <c r="C534" s="80"/>
    </row>
    <row r="535" spans="1:3" ht="20.25" customHeight="1" x14ac:dyDescent="0.25">
      <c r="A535" s="82"/>
      <c r="B535" s="83"/>
      <c r="C535" s="80"/>
    </row>
    <row r="536" spans="1:3" ht="20.25" customHeight="1" x14ac:dyDescent="0.25">
      <c r="A536" s="82"/>
      <c r="B536" s="83"/>
      <c r="C536" s="80"/>
    </row>
    <row r="537" spans="1:3" ht="20.25" customHeight="1" x14ac:dyDescent="0.25">
      <c r="A537" s="82"/>
      <c r="B537" s="83"/>
      <c r="C537" s="80"/>
    </row>
    <row r="538" spans="1:3" ht="20.25" customHeight="1" x14ac:dyDescent="0.25">
      <c r="A538" s="82"/>
      <c r="B538" s="83"/>
      <c r="C538" s="80"/>
    </row>
    <row r="539" spans="1:3" ht="20.25" customHeight="1" x14ac:dyDescent="0.25">
      <c r="A539" s="82"/>
      <c r="B539" s="83"/>
      <c r="C539" s="80"/>
    </row>
    <row r="540" spans="1:3" ht="20.25" customHeight="1" x14ac:dyDescent="0.25">
      <c r="A540" s="82"/>
      <c r="B540" s="83"/>
      <c r="C540" s="80"/>
    </row>
    <row r="541" spans="1:3" ht="20.25" customHeight="1" x14ac:dyDescent="0.25">
      <c r="A541" s="82"/>
      <c r="B541" s="83"/>
      <c r="C541" s="80"/>
    </row>
    <row r="542" spans="1:3" ht="20.25" customHeight="1" x14ac:dyDescent="0.25">
      <c r="A542" s="82"/>
      <c r="B542" s="83"/>
      <c r="C542" s="80"/>
    </row>
    <row r="543" spans="1:3" ht="20.25" customHeight="1" x14ac:dyDescent="0.25">
      <c r="A543" s="82"/>
      <c r="B543" s="83"/>
      <c r="C543" s="80"/>
    </row>
    <row r="544" spans="1:3" ht="20.25" customHeight="1" x14ac:dyDescent="0.25">
      <c r="A544" s="82"/>
      <c r="B544" s="83"/>
      <c r="C544" s="80"/>
    </row>
    <row r="545" spans="1:3" ht="20.25" customHeight="1" x14ac:dyDescent="0.25">
      <c r="A545" s="82"/>
      <c r="B545" s="83"/>
      <c r="C545" s="80"/>
    </row>
    <row r="546" spans="1:3" ht="20.25" customHeight="1" x14ac:dyDescent="0.25">
      <c r="A546" s="82"/>
      <c r="B546" s="83"/>
      <c r="C546" s="80"/>
    </row>
    <row r="547" spans="1:3" ht="20.25" customHeight="1" x14ac:dyDescent="0.25">
      <c r="A547" s="82"/>
      <c r="B547" s="83"/>
      <c r="C547" s="80"/>
    </row>
    <row r="548" spans="1:3" ht="20.25" customHeight="1" x14ac:dyDescent="0.25">
      <c r="A548" s="82"/>
      <c r="B548" s="83"/>
      <c r="C548" s="80"/>
    </row>
    <row r="549" spans="1:3" ht="20.25" customHeight="1" x14ac:dyDescent="0.25">
      <c r="A549" s="82"/>
      <c r="B549" s="83"/>
      <c r="C549" s="80"/>
    </row>
    <row r="550" spans="1:3" ht="20.25" customHeight="1" x14ac:dyDescent="0.25">
      <c r="A550" s="82"/>
      <c r="B550" s="83"/>
      <c r="C550" s="80"/>
    </row>
    <row r="551" spans="1:3" ht="20.25" customHeight="1" x14ac:dyDescent="0.25">
      <c r="A551" s="82"/>
      <c r="B551" s="83"/>
      <c r="C551" s="80"/>
    </row>
    <row r="552" spans="1:3" ht="20.25" customHeight="1" x14ac:dyDescent="0.25">
      <c r="A552" s="82"/>
      <c r="B552" s="83"/>
      <c r="C552" s="80"/>
    </row>
    <row r="553" spans="1:3" ht="20.25" customHeight="1" x14ac:dyDescent="0.25">
      <c r="A553" s="82"/>
      <c r="B553" s="83"/>
      <c r="C553" s="80"/>
    </row>
    <row r="554" spans="1:3" ht="20.25" customHeight="1" x14ac:dyDescent="0.25">
      <c r="A554" s="82"/>
      <c r="B554" s="83"/>
      <c r="C554" s="80"/>
    </row>
    <row r="555" spans="1:3" ht="20.25" customHeight="1" x14ac:dyDescent="0.25">
      <c r="A555" s="82"/>
      <c r="B555" s="83"/>
      <c r="C555" s="80"/>
    </row>
    <row r="556" spans="1:3" ht="20.25" customHeight="1" x14ac:dyDescent="0.25">
      <c r="A556" s="82"/>
      <c r="B556" s="83"/>
      <c r="C556" s="80"/>
    </row>
    <row r="557" spans="1:3" ht="20.25" customHeight="1" x14ac:dyDescent="0.25">
      <c r="A557" s="82"/>
      <c r="B557" s="83"/>
      <c r="C557" s="80"/>
    </row>
    <row r="558" spans="1:3" ht="20.25" customHeight="1" x14ac:dyDescent="0.25">
      <c r="A558" s="82"/>
      <c r="B558" s="83"/>
      <c r="C558" s="80"/>
    </row>
    <row r="559" spans="1:3" ht="20.25" customHeight="1" x14ac:dyDescent="0.25">
      <c r="A559" s="82"/>
      <c r="B559" s="83"/>
      <c r="C559" s="80"/>
    </row>
    <row r="560" spans="1:3" ht="20.25" customHeight="1" x14ac:dyDescent="0.25">
      <c r="A560" s="82"/>
      <c r="B560" s="83"/>
      <c r="C560" s="80"/>
    </row>
    <row r="561" spans="1:3" ht="20.25" customHeight="1" x14ac:dyDescent="0.25">
      <c r="A561" s="82"/>
      <c r="B561" s="83"/>
      <c r="C561" s="80"/>
    </row>
    <row r="562" spans="1:3" ht="20.25" customHeight="1" x14ac:dyDescent="0.25">
      <c r="A562" s="82"/>
      <c r="B562" s="83"/>
      <c r="C562" s="80"/>
    </row>
    <row r="563" spans="1:3" ht="20.25" customHeight="1" x14ac:dyDescent="0.25">
      <c r="A563" s="82"/>
      <c r="B563" s="83"/>
      <c r="C563" s="80"/>
    </row>
    <row r="564" spans="1:3" ht="20.25" customHeight="1" x14ac:dyDescent="0.25">
      <c r="A564" s="82"/>
      <c r="B564" s="83"/>
      <c r="C564" s="80"/>
    </row>
    <row r="565" spans="1:3" ht="20.25" customHeight="1" x14ac:dyDescent="0.25">
      <c r="A565" s="82"/>
      <c r="B565" s="83"/>
      <c r="C565" s="80"/>
    </row>
    <row r="566" spans="1:3" ht="20.25" customHeight="1" x14ac:dyDescent="0.25">
      <c r="A566" s="82"/>
      <c r="B566" s="83"/>
      <c r="C566" s="80"/>
    </row>
    <row r="567" spans="1:3" ht="20.25" customHeight="1" x14ac:dyDescent="0.25">
      <c r="A567" s="82"/>
      <c r="B567" s="83"/>
      <c r="C567" s="80"/>
    </row>
    <row r="568" spans="1:3" ht="20.25" customHeight="1" x14ac:dyDescent="0.25">
      <c r="A568" s="82"/>
      <c r="B568" s="83"/>
      <c r="C568" s="80"/>
    </row>
    <row r="569" spans="1:3" ht="20.25" customHeight="1" x14ac:dyDescent="0.25">
      <c r="A569" s="82"/>
      <c r="B569" s="83"/>
      <c r="C569" s="80"/>
    </row>
    <row r="570" spans="1:3" ht="20.25" customHeight="1" x14ac:dyDescent="0.25">
      <c r="A570" s="82"/>
      <c r="B570" s="83"/>
      <c r="C570" s="80"/>
    </row>
    <row r="571" spans="1:3" ht="20.25" customHeight="1" x14ac:dyDescent="0.25">
      <c r="A571" s="82"/>
      <c r="B571" s="83"/>
      <c r="C571" s="80"/>
    </row>
    <row r="572" spans="1:3" ht="20.25" customHeight="1" x14ac:dyDescent="0.25">
      <c r="A572" s="82"/>
      <c r="B572" s="83"/>
      <c r="C572" s="80"/>
    </row>
    <row r="573" spans="1:3" ht="20.25" customHeight="1" x14ac:dyDescent="0.25">
      <c r="A573" s="82"/>
      <c r="B573" s="83"/>
      <c r="C573" s="80"/>
    </row>
    <row r="574" spans="1:3" ht="20.25" customHeight="1" x14ac:dyDescent="0.25">
      <c r="A574" s="82"/>
      <c r="B574" s="83"/>
      <c r="C574" s="80"/>
    </row>
    <row r="575" spans="1:3" ht="20.25" customHeight="1" x14ac:dyDescent="0.25">
      <c r="A575" s="82"/>
      <c r="B575" s="83"/>
      <c r="C575" s="80"/>
    </row>
    <row r="576" spans="1:3" ht="20.25" customHeight="1" x14ac:dyDescent="0.25">
      <c r="A576" s="82"/>
      <c r="B576" s="83"/>
      <c r="C576" s="80"/>
    </row>
    <row r="577" spans="1:3" ht="20.25" customHeight="1" x14ac:dyDescent="0.25">
      <c r="A577" s="82"/>
      <c r="B577" s="83"/>
      <c r="C577" s="80"/>
    </row>
    <row r="578" spans="1:3" ht="20.25" customHeight="1" x14ac:dyDescent="0.25">
      <c r="A578" s="82"/>
      <c r="B578" s="83"/>
      <c r="C578" s="80"/>
    </row>
    <row r="579" spans="1:3" ht="20.25" customHeight="1" x14ac:dyDescent="0.25">
      <c r="A579" s="82"/>
      <c r="B579" s="83"/>
      <c r="C579" s="80"/>
    </row>
    <row r="580" spans="1:3" ht="20.25" customHeight="1" x14ac:dyDescent="0.25">
      <c r="A580" s="82"/>
      <c r="B580" s="83"/>
      <c r="C580" s="80"/>
    </row>
    <row r="581" spans="1:3" ht="20.25" customHeight="1" x14ac:dyDescent="0.25">
      <c r="A581" s="82"/>
      <c r="B581" s="83"/>
      <c r="C581" s="80"/>
    </row>
    <row r="582" spans="1:3" ht="20.25" customHeight="1" x14ac:dyDescent="0.25">
      <c r="A582" s="82"/>
      <c r="B582" s="83"/>
      <c r="C582" s="80"/>
    </row>
    <row r="583" spans="1:3" ht="20.25" customHeight="1" x14ac:dyDescent="0.25">
      <c r="A583" s="82"/>
      <c r="B583" s="83"/>
      <c r="C583" s="80"/>
    </row>
    <row r="584" spans="1:3" ht="20.25" customHeight="1" x14ac:dyDescent="0.25">
      <c r="A584" s="82"/>
      <c r="B584" s="83"/>
      <c r="C584" s="80"/>
    </row>
    <row r="585" spans="1:3" ht="20.25" customHeight="1" x14ac:dyDescent="0.25">
      <c r="A585" s="82"/>
      <c r="B585" s="83"/>
      <c r="C585" s="80"/>
    </row>
    <row r="586" spans="1:3" ht="20.25" customHeight="1" x14ac:dyDescent="0.25">
      <c r="A586" s="82"/>
      <c r="B586" s="83"/>
      <c r="C586" s="80"/>
    </row>
    <row r="587" spans="1:3" ht="20.25" customHeight="1" x14ac:dyDescent="0.25">
      <c r="A587" s="82"/>
      <c r="B587" s="83"/>
      <c r="C587" s="80"/>
    </row>
    <row r="588" spans="1:3" ht="20.25" customHeight="1" x14ac:dyDescent="0.25">
      <c r="A588" s="82"/>
      <c r="B588" s="83"/>
      <c r="C588" s="80"/>
    </row>
    <row r="589" spans="1:3" ht="20.25" customHeight="1" x14ac:dyDescent="0.25">
      <c r="A589" s="82"/>
      <c r="B589" s="83"/>
      <c r="C589" s="80"/>
    </row>
    <row r="590" spans="1:3" ht="20.25" customHeight="1" x14ac:dyDescent="0.25">
      <c r="A590" s="82"/>
      <c r="B590" s="83"/>
      <c r="C590" s="80"/>
    </row>
    <row r="591" spans="1:3" ht="20.25" customHeight="1" x14ac:dyDescent="0.25">
      <c r="A591" s="82"/>
      <c r="B591" s="83"/>
      <c r="C591" s="80"/>
    </row>
    <row r="592" spans="1:3" ht="20.25" customHeight="1" x14ac:dyDescent="0.25">
      <c r="A592" s="82"/>
      <c r="B592" s="83"/>
      <c r="C592" s="80"/>
    </row>
    <row r="593" spans="1:3" ht="20.25" customHeight="1" x14ac:dyDescent="0.25">
      <c r="A593" s="82"/>
      <c r="B593" s="83"/>
      <c r="C593" s="80"/>
    </row>
    <row r="594" spans="1:3" ht="20.25" customHeight="1" x14ac:dyDescent="0.25">
      <c r="A594" s="82"/>
      <c r="B594" s="83"/>
      <c r="C594" s="80"/>
    </row>
    <row r="595" spans="1:3" ht="20.25" customHeight="1" x14ac:dyDescent="0.25">
      <c r="A595" s="82"/>
      <c r="B595" s="83"/>
      <c r="C595" s="80"/>
    </row>
    <row r="596" spans="1:3" ht="20.25" customHeight="1" x14ac:dyDescent="0.25">
      <c r="A596" s="82"/>
      <c r="B596" s="83"/>
      <c r="C596" s="80"/>
    </row>
    <row r="597" spans="1:3" ht="20.25" customHeight="1" x14ac:dyDescent="0.25">
      <c r="A597" s="82"/>
      <c r="B597" s="83"/>
      <c r="C597" s="80"/>
    </row>
    <row r="598" spans="1:3" ht="20.25" customHeight="1" x14ac:dyDescent="0.25">
      <c r="A598" s="82"/>
      <c r="B598" s="83"/>
      <c r="C598" s="80"/>
    </row>
    <row r="599" spans="1:3" ht="20.25" customHeight="1" x14ac:dyDescent="0.25">
      <c r="A599" s="82"/>
      <c r="B599" s="83"/>
      <c r="C599" s="80"/>
    </row>
    <row r="600" spans="1:3" ht="20.25" customHeight="1" x14ac:dyDescent="0.25">
      <c r="A600" s="82"/>
      <c r="B600" s="83"/>
      <c r="C600" s="80"/>
    </row>
    <row r="601" spans="1:3" ht="20.25" customHeight="1" x14ac:dyDescent="0.25">
      <c r="A601" s="82"/>
      <c r="B601" s="83"/>
      <c r="C601" s="80"/>
    </row>
    <row r="602" spans="1:3" ht="20.25" customHeight="1" x14ac:dyDescent="0.25">
      <c r="A602" s="82"/>
      <c r="B602" s="83"/>
      <c r="C602" s="80"/>
    </row>
    <row r="603" spans="1:3" ht="20.25" customHeight="1" x14ac:dyDescent="0.25">
      <c r="A603" s="82"/>
      <c r="B603" s="83"/>
      <c r="C603" s="80"/>
    </row>
    <row r="604" spans="1:3" ht="20.25" customHeight="1" x14ac:dyDescent="0.25">
      <c r="A604" s="82"/>
      <c r="B604" s="83"/>
      <c r="C604" s="80"/>
    </row>
    <row r="605" spans="1:3" ht="20.25" customHeight="1" x14ac:dyDescent="0.25">
      <c r="A605" s="82"/>
      <c r="B605" s="83"/>
      <c r="C605" s="80"/>
    </row>
    <row r="606" spans="1:3" ht="20.25" customHeight="1" x14ac:dyDescent="0.25">
      <c r="A606" s="82"/>
      <c r="B606" s="83"/>
      <c r="C606" s="80"/>
    </row>
    <row r="607" spans="1:3" ht="20.25" customHeight="1" x14ac:dyDescent="0.25">
      <c r="A607" s="82"/>
      <c r="B607" s="83"/>
      <c r="C607" s="80"/>
    </row>
    <row r="608" spans="1:3" ht="20.25" customHeight="1" x14ac:dyDescent="0.25">
      <c r="A608" s="82"/>
      <c r="B608" s="83"/>
      <c r="C608" s="80"/>
    </row>
    <row r="609" spans="1:3" ht="20.25" customHeight="1" x14ac:dyDescent="0.25">
      <c r="A609" s="82"/>
      <c r="B609" s="83"/>
      <c r="C609" s="80"/>
    </row>
    <row r="610" spans="1:3" ht="20.25" customHeight="1" x14ac:dyDescent="0.25">
      <c r="A610" s="82"/>
      <c r="B610" s="83"/>
      <c r="C610" s="80"/>
    </row>
    <row r="611" spans="1:3" ht="20.25" customHeight="1" x14ac:dyDescent="0.25">
      <c r="A611" s="82"/>
      <c r="B611" s="83"/>
      <c r="C611" s="80"/>
    </row>
    <row r="612" spans="1:3" ht="20.25" customHeight="1" x14ac:dyDescent="0.25">
      <c r="A612" s="82"/>
      <c r="B612" s="83"/>
      <c r="C612" s="80"/>
    </row>
    <row r="613" spans="1:3" ht="20.25" customHeight="1" x14ac:dyDescent="0.25">
      <c r="A613" s="82"/>
      <c r="B613" s="83"/>
      <c r="C613" s="80"/>
    </row>
    <row r="614" spans="1:3" ht="20.25" customHeight="1" x14ac:dyDescent="0.25">
      <c r="A614" s="82"/>
      <c r="B614" s="83"/>
      <c r="C614" s="80"/>
    </row>
    <row r="615" spans="1:3" ht="20.25" customHeight="1" x14ac:dyDescent="0.25">
      <c r="A615" s="82"/>
      <c r="B615" s="83"/>
      <c r="C615" s="80"/>
    </row>
    <row r="616" spans="1:3" ht="20.25" customHeight="1" x14ac:dyDescent="0.25">
      <c r="A616" s="82"/>
      <c r="B616" s="83"/>
      <c r="C616" s="80"/>
    </row>
    <row r="617" spans="1:3" ht="20.25" customHeight="1" x14ac:dyDescent="0.25">
      <c r="A617" s="82"/>
      <c r="B617" s="83"/>
      <c r="C617" s="80"/>
    </row>
    <row r="618" spans="1:3" ht="20.25" customHeight="1" x14ac:dyDescent="0.25">
      <c r="A618" s="82"/>
      <c r="B618" s="83"/>
      <c r="C618" s="80"/>
    </row>
    <row r="619" spans="1:3" ht="20.25" customHeight="1" x14ac:dyDescent="0.25">
      <c r="A619" s="82"/>
      <c r="B619" s="83"/>
      <c r="C619" s="80"/>
    </row>
    <row r="620" spans="1:3" ht="20.25" customHeight="1" x14ac:dyDescent="0.25">
      <c r="A620" s="82"/>
      <c r="B620" s="83"/>
      <c r="C620" s="80"/>
    </row>
    <row r="621" spans="1:3" ht="20.25" customHeight="1" x14ac:dyDescent="0.25">
      <c r="A621" s="82"/>
      <c r="B621" s="83"/>
      <c r="C621" s="80"/>
    </row>
    <row r="622" spans="1:3" ht="20.25" customHeight="1" x14ac:dyDescent="0.25">
      <c r="A622" s="82"/>
      <c r="B622" s="83"/>
      <c r="C622" s="80"/>
    </row>
    <row r="623" spans="1:3" ht="20.25" customHeight="1" x14ac:dyDescent="0.25">
      <c r="A623" s="82"/>
      <c r="B623" s="83"/>
      <c r="C623" s="80"/>
    </row>
    <row r="624" spans="1:3" ht="20.25" customHeight="1" x14ac:dyDescent="0.25">
      <c r="A624" s="82"/>
      <c r="B624" s="83"/>
      <c r="C624" s="80"/>
    </row>
    <row r="625" spans="1:3" ht="20.25" customHeight="1" x14ac:dyDescent="0.25">
      <c r="A625" s="82"/>
      <c r="B625" s="83"/>
      <c r="C625" s="80"/>
    </row>
    <row r="626" spans="1:3" ht="20.25" customHeight="1" x14ac:dyDescent="0.25">
      <c r="A626" s="82"/>
      <c r="B626" s="83"/>
      <c r="C626" s="80"/>
    </row>
    <row r="627" spans="1:3" ht="20.25" customHeight="1" x14ac:dyDescent="0.25">
      <c r="A627" s="82"/>
      <c r="B627" s="83"/>
      <c r="C627" s="80"/>
    </row>
    <row r="628" spans="1:3" ht="20.25" customHeight="1" x14ac:dyDescent="0.25">
      <c r="A628" s="82"/>
      <c r="B628" s="83"/>
      <c r="C628" s="80"/>
    </row>
    <row r="629" spans="1:3" ht="20.25" customHeight="1" x14ac:dyDescent="0.25">
      <c r="A629" s="82"/>
      <c r="B629" s="83"/>
      <c r="C629" s="80"/>
    </row>
    <row r="630" spans="1:3" ht="20.25" customHeight="1" x14ac:dyDescent="0.25">
      <c r="A630" s="82"/>
      <c r="B630" s="83"/>
      <c r="C630" s="80"/>
    </row>
    <row r="631" spans="1:3" ht="20.25" customHeight="1" x14ac:dyDescent="0.25">
      <c r="A631" s="82"/>
      <c r="B631" s="83"/>
      <c r="C631" s="80"/>
    </row>
    <row r="632" spans="1:3" ht="20.25" customHeight="1" x14ac:dyDescent="0.25">
      <c r="A632" s="82"/>
      <c r="B632" s="83"/>
      <c r="C632" s="80"/>
    </row>
    <row r="633" spans="1:3" ht="20.25" customHeight="1" x14ac:dyDescent="0.25">
      <c r="A633" s="82"/>
      <c r="B633" s="83"/>
      <c r="C633" s="80"/>
    </row>
    <row r="634" spans="1:3" ht="20.25" customHeight="1" x14ac:dyDescent="0.25">
      <c r="A634" s="82"/>
      <c r="B634" s="83"/>
      <c r="C634" s="80"/>
    </row>
    <row r="635" spans="1:3" ht="20.25" customHeight="1" x14ac:dyDescent="0.25">
      <c r="A635" s="82"/>
      <c r="B635" s="83"/>
      <c r="C635" s="80"/>
    </row>
    <row r="636" spans="1:3" ht="20.25" customHeight="1" x14ac:dyDescent="0.25">
      <c r="A636" s="82"/>
      <c r="B636" s="83"/>
      <c r="C636" s="80"/>
    </row>
    <row r="637" spans="1:3" ht="20.25" customHeight="1" x14ac:dyDescent="0.25">
      <c r="A637" s="82"/>
      <c r="B637" s="83"/>
      <c r="C637" s="80"/>
    </row>
    <row r="638" spans="1:3" ht="20.25" customHeight="1" x14ac:dyDescent="0.25">
      <c r="A638" s="82"/>
      <c r="B638" s="83"/>
      <c r="C638" s="80"/>
    </row>
    <row r="639" spans="1:3" ht="20.25" customHeight="1" x14ac:dyDescent="0.25">
      <c r="A639" s="82"/>
      <c r="B639" s="83"/>
      <c r="C639" s="80"/>
    </row>
    <row r="640" spans="1:3" ht="20.25" customHeight="1" x14ac:dyDescent="0.25">
      <c r="A640" s="82"/>
      <c r="B640" s="83"/>
      <c r="C640" s="80"/>
    </row>
    <row r="641" spans="1:3" ht="20.25" customHeight="1" x14ac:dyDescent="0.25">
      <c r="A641" s="82"/>
      <c r="B641" s="83"/>
      <c r="C641" s="80"/>
    </row>
    <row r="642" spans="1:3" ht="20.25" customHeight="1" x14ac:dyDescent="0.25">
      <c r="A642" s="82"/>
      <c r="B642" s="83"/>
      <c r="C642" s="80"/>
    </row>
    <row r="643" spans="1:3" ht="20.25" customHeight="1" x14ac:dyDescent="0.25">
      <c r="A643" s="82"/>
      <c r="B643" s="83"/>
      <c r="C643" s="80"/>
    </row>
    <row r="644" spans="1:3" ht="20.25" customHeight="1" x14ac:dyDescent="0.25">
      <c r="A644" s="82"/>
      <c r="B644" s="83"/>
      <c r="C644" s="80"/>
    </row>
    <row r="645" spans="1:3" ht="20.25" customHeight="1" x14ac:dyDescent="0.25">
      <c r="A645" s="82"/>
      <c r="B645" s="83"/>
      <c r="C645" s="80"/>
    </row>
    <row r="646" spans="1:3" ht="20.25" customHeight="1" x14ac:dyDescent="0.25">
      <c r="A646" s="82"/>
      <c r="B646" s="83"/>
      <c r="C646" s="80"/>
    </row>
    <row r="647" spans="1:3" ht="20.25" customHeight="1" x14ac:dyDescent="0.25">
      <c r="A647" s="82"/>
      <c r="B647" s="83"/>
      <c r="C647" s="80"/>
    </row>
    <row r="648" spans="1:3" ht="20.25" customHeight="1" x14ac:dyDescent="0.25">
      <c r="A648" s="82"/>
      <c r="B648" s="83"/>
      <c r="C648" s="80"/>
    </row>
    <row r="649" spans="1:3" ht="20.25" customHeight="1" x14ac:dyDescent="0.25">
      <c r="A649" s="82"/>
      <c r="B649" s="83"/>
      <c r="C649" s="80"/>
    </row>
    <row r="650" spans="1:3" ht="20.25" customHeight="1" x14ac:dyDescent="0.25">
      <c r="A650" s="82"/>
      <c r="B650" s="83"/>
      <c r="C650" s="80"/>
    </row>
    <row r="651" spans="1:3" ht="20.25" customHeight="1" x14ac:dyDescent="0.25">
      <c r="A651" s="82"/>
      <c r="B651" s="83"/>
      <c r="C651" s="80"/>
    </row>
    <row r="652" spans="1:3" ht="20.25" customHeight="1" x14ac:dyDescent="0.25">
      <c r="A652" s="82"/>
      <c r="B652" s="83"/>
      <c r="C652" s="80"/>
    </row>
    <row r="653" spans="1:3" ht="20.25" customHeight="1" x14ac:dyDescent="0.25">
      <c r="A653" s="82"/>
      <c r="B653" s="83"/>
      <c r="C653" s="80"/>
    </row>
    <row r="654" spans="1:3" ht="20.25" customHeight="1" x14ac:dyDescent="0.25">
      <c r="A654" s="82"/>
      <c r="B654" s="83"/>
      <c r="C654" s="80"/>
    </row>
    <row r="655" spans="1:3" ht="20.25" customHeight="1" x14ac:dyDescent="0.25">
      <c r="A655" s="82"/>
      <c r="B655" s="83"/>
      <c r="C655" s="80"/>
    </row>
    <row r="656" spans="1:3" ht="20.25" customHeight="1" x14ac:dyDescent="0.25">
      <c r="A656" s="82"/>
      <c r="B656" s="83"/>
      <c r="C656" s="80"/>
    </row>
    <row r="657" spans="1:3" ht="20.25" customHeight="1" x14ac:dyDescent="0.25">
      <c r="A657" s="82"/>
      <c r="B657" s="83"/>
      <c r="C657" s="80"/>
    </row>
    <row r="658" spans="1:3" ht="20.25" customHeight="1" x14ac:dyDescent="0.25">
      <c r="A658" s="82"/>
      <c r="B658" s="83"/>
      <c r="C658" s="80"/>
    </row>
    <row r="659" spans="1:3" ht="20.25" customHeight="1" x14ac:dyDescent="0.25">
      <c r="A659" s="82"/>
      <c r="B659" s="83"/>
      <c r="C659" s="80"/>
    </row>
    <row r="660" spans="1:3" ht="20.25" customHeight="1" x14ac:dyDescent="0.25">
      <c r="A660" s="82"/>
      <c r="B660" s="83"/>
      <c r="C660" s="80"/>
    </row>
    <row r="661" spans="1:3" ht="20.25" customHeight="1" x14ac:dyDescent="0.25">
      <c r="A661" s="82"/>
      <c r="B661" s="83"/>
      <c r="C661" s="80"/>
    </row>
    <row r="662" spans="1:3" ht="20.25" customHeight="1" x14ac:dyDescent="0.25">
      <c r="A662" s="82"/>
      <c r="B662" s="83"/>
      <c r="C662" s="80"/>
    </row>
    <row r="663" spans="1:3" ht="20.25" customHeight="1" x14ac:dyDescent="0.25">
      <c r="A663" s="82"/>
      <c r="B663" s="83"/>
      <c r="C663" s="80"/>
    </row>
    <row r="664" spans="1:3" ht="20.25" customHeight="1" x14ac:dyDescent="0.25">
      <c r="A664" s="82"/>
      <c r="B664" s="83"/>
      <c r="C664" s="80"/>
    </row>
    <row r="665" spans="1:3" ht="20.25" customHeight="1" x14ac:dyDescent="0.25">
      <c r="A665" s="82"/>
      <c r="B665" s="83"/>
      <c r="C665" s="80"/>
    </row>
    <row r="666" spans="1:3" ht="20.25" customHeight="1" x14ac:dyDescent="0.25">
      <c r="A666" s="82"/>
      <c r="B666" s="83"/>
      <c r="C666" s="80"/>
    </row>
    <row r="667" spans="1:3" ht="20.25" customHeight="1" x14ac:dyDescent="0.25">
      <c r="A667" s="82"/>
      <c r="B667" s="83"/>
      <c r="C667" s="80"/>
    </row>
    <row r="668" spans="1:3" ht="20.25" customHeight="1" x14ac:dyDescent="0.25">
      <c r="A668" s="82"/>
      <c r="B668" s="83"/>
      <c r="C668" s="80"/>
    </row>
    <row r="669" spans="1:3" ht="20.25" customHeight="1" x14ac:dyDescent="0.25">
      <c r="A669" s="82"/>
      <c r="B669" s="83"/>
      <c r="C669" s="80"/>
    </row>
    <row r="670" spans="1:3" ht="20.25" customHeight="1" x14ac:dyDescent="0.25">
      <c r="A670" s="82"/>
      <c r="B670" s="83"/>
      <c r="C670" s="80"/>
    </row>
    <row r="671" spans="1:3" ht="20.25" customHeight="1" x14ac:dyDescent="0.25">
      <c r="A671" s="82"/>
      <c r="B671" s="83"/>
      <c r="C671" s="80"/>
    </row>
    <row r="672" spans="1:3" ht="20.25" customHeight="1" x14ac:dyDescent="0.25">
      <c r="A672" s="82"/>
      <c r="B672" s="83"/>
      <c r="C672" s="80"/>
    </row>
    <row r="673" spans="1:3" ht="20.25" customHeight="1" x14ac:dyDescent="0.25">
      <c r="A673" s="82"/>
      <c r="B673" s="83"/>
      <c r="C673" s="80"/>
    </row>
    <row r="674" spans="1:3" ht="20.25" customHeight="1" x14ac:dyDescent="0.25">
      <c r="A674" s="82"/>
      <c r="B674" s="83"/>
      <c r="C674" s="80"/>
    </row>
    <row r="675" spans="1:3" ht="20.25" customHeight="1" x14ac:dyDescent="0.25">
      <c r="A675" s="82"/>
      <c r="B675" s="83"/>
      <c r="C675" s="80"/>
    </row>
    <row r="676" spans="1:3" ht="20.25" customHeight="1" x14ac:dyDescent="0.25">
      <c r="A676" s="82"/>
      <c r="B676" s="83"/>
      <c r="C676" s="80"/>
    </row>
    <row r="677" spans="1:3" ht="20.25" customHeight="1" x14ac:dyDescent="0.25">
      <c r="A677" s="82"/>
      <c r="B677" s="83"/>
      <c r="C677" s="80"/>
    </row>
    <row r="678" spans="1:3" ht="20.25" customHeight="1" x14ac:dyDescent="0.25">
      <c r="A678" s="82"/>
      <c r="B678" s="83"/>
      <c r="C678" s="80"/>
    </row>
    <row r="679" spans="1:3" ht="20.25" customHeight="1" x14ac:dyDescent="0.25">
      <c r="A679" s="82"/>
      <c r="B679" s="83"/>
      <c r="C679" s="80"/>
    </row>
    <row r="680" spans="1:3" ht="20.25" customHeight="1" x14ac:dyDescent="0.25">
      <c r="A680" s="82"/>
      <c r="B680" s="83"/>
      <c r="C680" s="80"/>
    </row>
    <row r="681" spans="1:3" ht="20.25" customHeight="1" x14ac:dyDescent="0.25">
      <c r="A681" s="82"/>
      <c r="B681" s="83"/>
      <c r="C681" s="80"/>
    </row>
    <row r="682" spans="1:3" ht="20.25" customHeight="1" x14ac:dyDescent="0.25">
      <c r="A682" s="82"/>
      <c r="B682" s="83"/>
      <c r="C682" s="80"/>
    </row>
    <row r="683" spans="1:3" ht="20.25" customHeight="1" x14ac:dyDescent="0.25">
      <c r="A683" s="82"/>
      <c r="B683" s="83"/>
      <c r="C683" s="80"/>
    </row>
    <row r="684" spans="1:3" ht="20.25" customHeight="1" x14ac:dyDescent="0.25">
      <c r="A684" s="82"/>
      <c r="B684" s="83"/>
      <c r="C684" s="80"/>
    </row>
    <row r="685" spans="1:3" ht="20.25" customHeight="1" x14ac:dyDescent="0.25">
      <c r="A685" s="82"/>
      <c r="B685" s="83"/>
      <c r="C685" s="80"/>
    </row>
    <row r="686" spans="1:3" ht="20.25" customHeight="1" x14ac:dyDescent="0.25">
      <c r="A686" s="82"/>
      <c r="B686" s="83"/>
      <c r="C686" s="80"/>
    </row>
    <row r="687" spans="1:3" ht="20.25" customHeight="1" x14ac:dyDescent="0.25">
      <c r="A687" s="82"/>
      <c r="B687" s="83"/>
      <c r="C687" s="80"/>
    </row>
    <row r="688" spans="1:3" ht="20.25" customHeight="1" x14ac:dyDescent="0.25">
      <c r="A688" s="82"/>
      <c r="B688" s="83"/>
      <c r="C688" s="80"/>
    </row>
    <row r="689" spans="1:3" ht="20.25" customHeight="1" x14ac:dyDescent="0.25">
      <c r="A689" s="82"/>
      <c r="B689" s="83"/>
      <c r="C689" s="80"/>
    </row>
    <row r="690" spans="1:3" ht="20.25" customHeight="1" x14ac:dyDescent="0.25">
      <c r="A690" s="82"/>
      <c r="B690" s="83"/>
      <c r="C690" s="80"/>
    </row>
    <row r="691" spans="1:3" ht="20.25" customHeight="1" x14ac:dyDescent="0.25">
      <c r="A691" s="82"/>
      <c r="B691" s="83"/>
      <c r="C691" s="80"/>
    </row>
    <row r="692" spans="1:3" ht="20.25" customHeight="1" x14ac:dyDescent="0.25">
      <c r="A692" s="82"/>
      <c r="B692" s="83"/>
      <c r="C692" s="80"/>
    </row>
    <row r="693" spans="1:3" ht="20.25" customHeight="1" x14ac:dyDescent="0.25">
      <c r="A693" s="82"/>
      <c r="B693" s="83"/>
      <c r="C693" s="80"/>
    </row>
    <row r="694" spans="1:3" ht="20.25" customHeight="1" x14ac:dyDescent="0.25">
      <c r="A694" s="82"/>
      <c r="B694" s="83"/>
      <c r="C694" s="80"/>
    </row>
    <row r="695" spans="1:3" ht="20.25" customHeight="1" x14ac:dyDescent="0.25">
      <c r="A695" s="82"/>
      <c r="B695" s="83"/>
      <c r="C695" s="80"/>
    </row>
    <row r="696" spans="1:3" ht="20.25" customHeight="1" x14ac:dyDescent="0.25">
      <c r="A696" s="82"/>
      <c r="B696" s="83"/>
      <c r="C696" s="80"/>
    </row>
    <row r="697" spans="1:3" ht="20.25" customHeight="1" x14ac:dyDescent="0.25">
      <c r="A697" s="82"/>
      <c r="B697" s="83"/>
      <c r="C697" s="80"/>
    </row>
    <row r="698" spans="1:3" ht="20.25" customHeight="1" x14ac:dyDescent="0.25">
      <c r="A698" s="82"/>
      <c r="B698" s="83"/>
      <c r="C698" s="80"/>
    </row>
    <row r="699" spans="1:3" ht="20.25" customHeight="1" x14ac:dyDescent="0.25">
      <c r="A699" s="82"/>
      <c r="B699" s="83"/>
      <c r="C699" s="80"/>
    </row>
    <row r="700" spans="1:3" ht="20.25" customHeight="1" x14ac:dyDescent="0.25">
      <c r="A700" s="82"/>
      <c r="B700" s="83"/>
      <c r="C700" s="80"/>
    </row>
    <row r="701" spans="1:3" ht="20.25" customHeight="1" x14ac:dyDescent="0.25">
      <c r="A701" s="82"/>
      <c r="B701" s="83"/>
      <c r="C701" s="80"/>
    </row>
    <row r="702" spans="1:3" ht="20.25" customHeight="1" x14ac:dyDescent="0.25">
      <c r="A702" s="82"/>
      <c r="B702" s="83"/>
      <c r="C702" s="80"/>
    </row>
    <row r="703" spans="1:3" ht="20.25" customHeight="1" x14ac:dyDescent="0.25">
      <c r="A703" s="82"/>
      <c r="B703" s="83"/>
      <c r="C703" s="80"/>
    </row>
    <row r="704" spans="1:3" ht="20.25" customHeight="1" x14ac:dyDescent="0.25">
      <c r="A704" s="82"/>
      <c r="B704" s="83"/>
      <c r="C704" s="80"/>
    </row>
    <row r="705" spans="1:3" ht="20.25" customHeight="1" x14ac:dyDescent="0.25">
      <c r="A705" s="82"/>
      <c r="B705" s="83"/>
      <c r="C705" s="80"/>
    </row>
    <row r="706" spans="1:3" ht="20.25" customHeight="1" x14ac:dyDescent="0.25">
      <c r="A706" s="82"/>
      <c r="B706" s="83"/>
      <c r="C706" s="80"/>
    </row>
    <row r="707" spans="1:3" ht="20.25" customHeight="1" x14ac:dyDescent="0.25">
      <c r="A707" s="82"/>
      <c r="B707" s="83"/>
      <c r="C707" s="80"/>
    </row>
    <row r="708" spans="1:3" ht="20.25" customHeight="1" x14ac:dyDescent="0.25">
      <c r="A708" s="82"/>
      <c r="B708" s="83"/>
      <c r="C708" s="80"/>
    </row>
    <row r="709" spans="1:3" ht="20.25" customHeight="1" x14ac:dyDescent="0.25">
      <c r="A709" s="82"/>
      <c r="B709" s="83"/>
      <c r="C709" s="80"/>
    </row>
    <row r="710" spans="1:3" ht="20.25" customHeight="1" x14ac:dyDescent="0.25">
      <c r="A710" s="82"/>
      <c r="B710" s="83"/>
      <c r="C710" s="80"/>
    </row>
    <row r="711" spans="1:3" ht="20.25" customHeight="1" x14ac:dyDescent="0.25">
      <c r="A711" s="82"/>
      <c r="B711" s="83"/>
      <c r="C711" s="80"/>
    </row>
    <row r="712" spans="1:3" ht="20.25" customHeight="1" x14ac:dyDescent="0.25">
      <c r="A712" s="82"/>
      <c r="B712" s="83"/>
      <c r="C712" s="80"/>
    </row>
    <row r="713" spans="1:3" ht="20.25" customHeight="1" x14ac:dyDescent="0.25">
      <c r="A713" s="82"/>
      <c r="B713" s="83"/>
      <c r="C713" s="80"/>
    </row>
    <row r="714" spans="1:3" ht="20.25" customHeight="1" x14ac:dyDescent="0.25">
      <c r="A714" s="82"/>
      <c r="B714" s="83"/>
      <c r="C714" s="80"/>
    </row>
    <row r="715" spans="1:3" ht="20.25" customHeight="1" x14ac:dyDescent="0.25">
      <c r="A715" s="82"/>
      <c r="B715" s="83"/>
      <c r="C715" s="80"/>
    </row>
    <row r="716" spans="1:3" ht="20.25" customHeight="1" x14ac:dyDescent="0.25">
      <c r="A716" s="82"/>
      <c r="B716" s="83"/>
      <c r="C716" s="80"/>
    </row>
    <row r="717" spans="1:3" ht="20.25" customHeight="1" x14ac:dyDescent="0.25">
      <c r="A717" s="82"/>
      <c r="B717" s="83"/>
      <c r="C717" s="80"/>
    </row>
    <row r="718" spans="1:3" ht="20.25" customHeight="1" x14ac:dyDescent="0.25">
      <c r="A718" s="82"/>
      <c r="B718" s="83"/>
      <c r="C718" s="80"/>
    </row>
    <row r="719" spans="1:3" ht="20.25" customHeight="1" x14ac:dyDescent="0.25">
      <c r="A719" s="82"/>
      <c r="B719" s="83"/>
      <c r="C719" s="80"/>
    </row>
    <row r="720" spans="1:3" ht="20.25" customHeight="1" x14ac:dyDescent="0.25">
      <c r="A720" s="82"/>
      <c r="B720" s="83"/>
      <c r="C720" s="80"/>
    </row>
    <row r="721" spans="1:3" ht="20.25" customHeight="1" x14ac:dyDescent="0.25">
      <c r="A721" s="82"/>
      <c r="B721" s="83"/>
      <c r="C721" s="80"/>
    </row>
    <row r="722" spans="1:3" ht="20.25" customHeight="1" x14ac:dyDescent="0.25">
      <c r="A722" s="82"/>
      <c r="B722" s="83"/>
      <c r="C722" s="80"/>
    </row>
    <row r="723" spans="1:3" ht="20.25" customHeight="1" x14ac:dyDescent="0.25">
      <c r="A723" s="82"/>
      <c r="B723" s="83"/>
      <c r="C723" s="80"/>
    </row>
    <row r="724" spans="1:3" ht="20.25" customHeight="1" x14ac:dyDescent="0.25">
      <c r="A724" s="82"/>
      <c r="B724" s="83"/>
      <c r="C724" s="80"/>
    </row>
    <row r="725" spans="1:3" ht="20.25" customHeight="1" x14ac:dyDescent="0.25">
      <c r="A725" s="82"/>
      <c r="B725" s="83"/>
      <c r="C725" s="80"/>
    </row>
    <row r="726" spans="1:3" ht="20.25" customHeight="1" x14ac:dyDescent="0.25">
      <c r="A726" s="82"/>
      <c r="B726" s="83"/>
      <c r="C726" s="80"/>
    </row>
    <row r="727" spans="1:3" ht="20.25" customHeight="1" x14ac:dyDescent="0.25">
      <c r="A727" s="82"/>
      <c r="B727" s="83"/>
      <c r="C727" s="80"/>
    </row>
    <row r="728" spans="1:3" ht="20.25" customHeight="1" x14ac:dyDescent="0.25">
      <c r="A728" s="82"/>
      <c r="B728" s="83"/>
      <c r="C728" s="80"/>
    </row>
    <row r="729" spans="1:3" ht="20.25" customHeight="1" x14ac:dyDescent="0.25">
      <c r="A729" s="82"/>
      <c r="B729" s="83"/>
      <c r="C729" s="80"/>
    </row>
    <row r="730" spans="1:3" ht="20.25" customHeight="1" x14ac:dyDescent="0.25">
      <c r="A730" s="82"/>
      <c r="B730" s="83"/>
      <c r="C730" s="80"/>
    </row>
    <row r="731" spans="1:3" ht="20.25" customHeight="1" x14ac:dyDescent="0.25">
      <c r="A731" s="82"/>
      <c r="B731" s="83"/>
      <c r="C731" s="80"/>
    </row>
    <row r="732" spans="1:3" ht="20.25" customHeight="1" x14ac:dyDescent="0.25">
      <c r="A732" s="82"/>
      <c r="B732" s="83"/>
      <c r="C732" s="80"/>
    </row>
    <row r="733" spans="1:3" ht="20.25" customHeight="1" x14ac:dyDescent="0.25">
      <c r="A733" s="82"/>
      <c r="B733" s="83"/>
      <c r="C733" s="80"/>
    </row>
    <row r="734" spans="1:3" ht="20.25" customHeight="1" x14ac:dyDescent="0.25">
      <c r="A734" s="82"/>
      <c r="B734" s="83"/>
      <c r="C734" s="80"/>
    </row>
    <row r="735" spans="1:3" ht="20.25" customHeight="1" x14ac:dyDescent="0.25">
      <c r="A735" s="82"/>
      <c r="B735" s="83"/>
      <c r="C735" s="80"/>
    </row>
    <row r="736" spans="1:3" ht="20.25" customHeight="1" x14ac:dyDescent="0.25">
      <c r="A736" s="82"/>
      <c r="B736" s="83"/>
      <c r="C736" s="80"/>
    </row>
    <row r="737" spans="1:3" ht="20.25" customHeight="1" x14ac:dyDescent="0.25">
      <c r="A737" s="82"/>
      <c r="B737" s="83"/>
      <c r="C737" s="80"/>
    </row>
    <row r="738" spans="1:3" ht="20.25" customHeight="1" x14ac:dyDescent="0.25">
      <c r="A738" s="82"/>
      <c r="B738" s="83"/>
      <c r="C738" s="80"/>
    </row>
    <row r="739" spans="1:3" ht="20.25" customHeight="1" x14ac:dyDescent="0.25">
      <c r="A739" s="82"/>
      <c r="B739" s="83"/>
      <c r="C739" s="80"/>
    </row>
    <row r="740" spans="1:3" ht="20.25" customHeight="1" x14ac:dyDescent="0.25">
      <c r="A740" s="82"/>
      <c r="B740" s="83"/>
      <c r="C740" s="80"/>
    </row>
    <row r="741" spans="1:3" ht="20.25" customHeight="1" x14ac:dyDescent="0.25">
      <c r="A741" s="82"/>
      <c r="B741" s="83"/>
      <c r="C741" s="80"/>
    </row>
    <row r="742" spans="1:3" ht="20.25" customHeight="1" x14ac:dyDescent="0.25">
      <c r="A742" s="82"/>
      <c r="B742" s="83"/>
      <c r="C742" s="80"/>
    </row>
    <row r="743" spans="1:3" ht="20.25" customHeight="1" x14ac:dyDescent="0.25">
      <c r="A743" s="82"/>
      <c r="B743" s="83"/>
      <c r="C743" s="80"/>
    </row>
    <row r="744" spans="1:3" ht="20.25" customHeight="1" x14ac:dyDescent="0.25">
      <c r="A744" s="82"/>
      <c r="B744" s="83"/>
      <c r="C744" s="80"/>
    </row>
    <row r="745" spans="1:3" ht="20.25" customHeight="1" x14ac:dyDescent="0.25">
      <c r="A745" s="82"/>
      <c r="B745" s="83"/>
      <c r="C745" s="80"/>
    </row>
    <row r="746" spans="1:3" ht="20.25" customHeight="1" x14ac:dyDescent="0.25">
      <c r="A746" s="82"/>
      <c r="B746" s="83"/>
      <c r="C746" s="80"/>
    </row>
    <row r="747" spans="1:3" ht="20.25" customHeight="1" x14ac:dyDescent="0.25">
      <c r="A747" s="82"/>
      <c r="B747" s="83"/>
      <c r="C747" s="80"/>
    </row>
    <row r="748" spans="1:3" ht="20.25" customHeight="1" x14ac:dyDescent="0.25">
      <c r="A748" s="82"/>
      <c r="B748" s="83"/>
      <c r="C748" s="80"/>
    </row>
    <row r="749" spans="1:3" ht="20.25" customHeight="1" x14ac:dyDescent="0.25">
      <c r="A749" s="82"/>
      <c r="B749" s="83"/>
      <c r="C749" s="80"/>
    </row>
    <row r="750" spans="1:3" ht="20.25" customHeight="1" x14ac:dyDescent="0.25">
      <c r="A750" s="82"/>
      <c r="B750" s="83"/>
      <c r="C750" s="80"/>
    </row>
    <row r="751" spans="1:3" ht="20.25" customHeight="1" x14ac:dyDescent="0.25">
      <c r="A751" s="82"/>
      <c r="B751" s="83"/>
      <c r="C751" s="80"/>
    </row>
    <row r="752" spans="1:3" ht="20.25" customHeight="1" x14ac:dyDescent="0.25">
      <c r="A752" s="82"/>
      <c r="B752" s="83"/>
      <c r="C752" s="80"/>
    </row>
    <row r="753" spans="1:3" ht="20.25" customHeight="1" x14ac:dyDescent="0.25">
      <c r="A753" s="82"/>
      <c r="B753" s="83"/>
      <c r="C753" s="80"/>
    </row>
    <row r="754" spans="1:3" ht="20.25" customHeight="1" x14ac:dyDescent="0.25">
      <c r="A754" s="82"/>
      <c r="B754" s="83"/>
      <c r="C754" s="80"/>
    </row>
    <row r="755" spans="1:3" ht="20.25" customHeight="1" x14ac:dyDescent="0.25">
      <c r="A755" s="82"/>
      <c r="B755" s="83"/>
      <c r="C755" s="80"/>
    </row>
    <row r="756" spans="1:3" ht="20.25" customHeight="1" x14ac:dyDescent="0.25">
      <c r="A756" s="82"/>
      <c r="B756" s="83"/>
      <c r="C756" s="80"/>
    </row>
    <row r="757" spans="1:3" ht="20.25" customHeight="1" x14ac:dyDescent="0.25">
      <c r="A757" s="82"/>
      <c r="B757" s="83"/>
      <c r="C757" s="80"/>
    </row>
    <row r="758" spans="1:3" ht="20.25" customHeight="1" x14ac:dyDescent="0.25">
      <c r="A758" s="82"/>
      <c r="B758" s="83"/>
      <c r="C758" s="80"/>
    </row>
    <row r="759" spans="1:3" ht="20.25" customHeight="1" x14ac:dyDescent="0.25">
      <c r="A759" s="82"/>
      <c r="B759" s="83"/>
      <c r="C759" s="80"/>
    </row>
    <row r="760" spans="1:3" ht="20.25" customHeight="1" x14ac:dyDescent="0.25">
      <c r="A760" s="82"/>
      <c r="B760" s="83"/>
      <c r="C760" s="80"/>
    </row>
    <row r="761" spans="1:3" ht="20.25" customHeight="1" x14ac:dyDescent="0.25">
      <c r="A761" s="82"/>
      <c r="B761" s="83"/>
      <c r="C761" s="80"/>
    </row>
    <row r="762" spans="1:3" ht="20.25" customHeight="1" x14ac:dyDescent="0.25">
      <c r="A762" s="82"/>
      <c r="B762" s="83"/>
      <c r="C762" s="80"/>
    </row>
    <row r="763" spans="1:3" ht="20.25" customHeight="1" x14ac:dyDescent="0.25">
      <c r="A763" s="82"/>
      <c r="B763" s="83"/>
      <c r="C763" s="80"/>
    </row>
    <row r="764" spans="1:3" ht="20.25" customHeight="1" x14ac:dyDescent="0.25">
      <c r="A764" s="82"/>
      <c r="B764" s="83"/>
      <c r="C764" s="80"/>
    </row>
    <row r="765" spans="1:3" ht="20.25" customHeight="1" x14ac:dyDescent="0.25">
      <c r="A765" s="82"/>
      <c r="B765" s="83"/>
      <c r="C765" s="80"/>
    </row>
    <row r="766" spans="1:3" ht="20.25" customHeight="1" x14ac:dyDescent="0.25">
      <c r="A766" s="82"/>
      <c r="B766" s="83"/>
      <c r="C766" s="80"/>
    </row>
    <row r="767" spans="1:3" ht="20.25" customHeight="1" x14ac:dyDescent="0.25">
      <c r="A767" s="82"/>
      <c r="B767" s="83"/>
      <c r="C767" s="80"/>
    </row>
    <row r="768" spans="1:3" ht="20.25" customHeight="1" x14ac:dyDescent="0.25">
      <c r="A768" s="82"/>
      <c r="B768" s="83"/>
      <c r="C768" s="80"/>
    </row>
    <row r="769" spans="1:3" ht="20.25" customHeight="1" x14ac:dyDescent="0.25">
      <c r="A769" s="82"/>
      <c r="B769" s="83"/>
      <c r="C769" s="80"/>
    </row>
    <row r="770" spans="1:3" ht="20.25" customHeight="1" x14ac:dyDescent="0.25">
      <c r="A770" s="82"/>
      <c r="B770" s="83"/>
      <c r="C770" s="80"/>
    </row>
    <row r="771" spans="1:3" ht="20.25" customHeight="1" x14ac:dyDescent="0.25">
      <c r="A771" s="82"/>
      <c r="B771" s="83"/>
      <c r="C771" s="80"/>
    </row>
    <row r="772" spans="1:3" ht="20.25" customHeight="1" x14ac:dyDescent="0.25">
      <c r="A772" s="82"/>
      <c r="B772" s="83"/>
      <c r="C772" s="80"/>
    </row>
    <row r="773" spans="1:3" ht="20.25" customHeight="1" x14ac:dyDescent="0.25">
      <c r="A773" s="82"/>
      <c r="B773" s="83"/>
      <c r="C773" s="80"/>
    </row>
    <row r="774" spans="1:3" ht="20.25" customHeight="1" x14ac:dyDescent="0.25">
      <c r="A774" s="82"/>
      <c r="B774" s="83"/>
      <c r="C774" s="80"/>
    </row>
    <row r="775" spans="1:3" ht="20.25" customHeight="1" x14ac:dyDescent="0.25">
      <c r="A775" s="82"/>
      <c r="B775" s="83"/>
      <c r="C775" s="80"/>
    </row>
    <row r="776" spans="1:3" ht="20.25" customHeight="1" x14ac:dyDescent="0.25">
      <c r="A776" s="82"/>
      <c r="B776" s="83"/>
      <c r="C776" s="80"/>
    </row>
    <row r="777" spans="1:3" ht="20.25" customHeight="1" x14ac:dyDescent="0.25">
      <c r="A777" s="82"/>
      <c r="B777" s="83"/>
      <c r="C777" s="80"/>
    </row>
    <row r="778" spans="1:3" ht="20.25" customHeight="1" x14ac:dyDescent="0.25">
      <c r="A778" s="82"/>
      <c r="B778" s="83"/>
      <c r="C778" s="80"/>
    </row>
    <row r="779" spans="1:3" ht="20.25" customHeight="1" x14ac:dyDescent="0.25">
      <c r="A779" s="82"/>
      <c r="B779" s="83"/>
      <c r="C779" s="80"/>
    </row>
    <row r="780" spans="1:3" ht="20.25" customHeight="1" x14ac:dyDescent="0.25">
      <c r="A780" s="82"/>
      <c r="B780" s="83"/>
      <c r="C780" s="80"/>
    </row>
    <row r="781" spans="1:3" ht="20.25" customHeight="1" x14ac:dyDescent="0.25">
      <c r="A781" s="82"/>
      <c r="B781" s="83"/>
      <c r="C781" s="80"/>
    </row>
    <row r="782" spans="1:3" ht="20.25" customHeight="1" x14ac:dyDescent="0.25">
      <c r="A782" s="82"/>
      <c r="B782" s="83"/>
      <c r="C782" s="80"/>
    </row>
    <row r="783" spans="1:3" ht="20.25" customHeight="1" x14ac:dyDescent="0.25">
      <c r="A783" s="82"/>
      <c r="B783" s="83"/>
      <c r="C783" s="80"/>
    </row>
    <row r="784" spans="1:3" ht="20.25" customHeight="1" x14ac:dyDescent="0.25">
      <c r="A784" s="82"/>
      <c r="B784" s="83"/>
      <c r="C784" s="80"/>
    </row>
    <row r="785" spans="1:3" ht="20.25" customHeight="1" x14ac:dyDescent="0.25">
      <c r="A785" s="82"/>
      <c r="B785" s="83"/>
      <c r="C785" s="80"/>
    </row>
    <row r="786" spans="1:3" ht="20.25" customHeight="1" x14ac:dyDescent="0.25">
      <c r="A786" s="82"/>
      <c r="B786" s="83"/>
      <c r="C786" s="80"/>
    </row>
    <row r="787" spans="1:3" ht="20.25" customHeight="1" x14ac:dyDescent="0.25">
      <c r="A787" s="82"/>
      <c r="B787" s="83"/>
      <c r="C787" s="80"/>
    </row>
    <row r="788" spans="1:3" ht="20.25" customHeight="1" x14ac:dyDescent="0.25">
      <c r="A788" s="82"/>
      <c r="B788" s="83"/>
      <c r="C788" s="80"/>
    </row>
    <row r="789" spans="1:3" ht="20.25" customHeight="1" x14ac:dyDescent="0.25">
      <c r="A789" s="82"/>
      <c r="B789" s="83"/>
      <c r="C789" s="80"/>
    </row>
    <row r="790" spans="1:3" ht="20.25" customHeight="1" x14ac:dyDescent="0.25">
      <c r="A790" s="82"/>
      <c r="B790" s="83"/>
      <c r="C790" s="80"/>
    </row>
    <row r="791" spans="1:3" ht="20.25" customHeight="1" x14ac:dyDescent="0.25">
      <c r="A791" s="82"/>
      <c r="B791" s="83"/>
      <c r="C791" s="80"/>
    </row>
    <row r="792" spans="1:3" ht="20.25" customHeight="1" x14ac:dyDescent="0.25">
      <c r="A792" s="82"/>
      <c r="B792" s="83"/>
      <c r="C792" s="80"/>
    </row>
    <row r="793" spans="1:3" ht="20.25" customHeight="1" x14ac:dyDescent="0.25">
      <c r="A793" s="82"/>
      <c r="B793" s="83"/>
      <c r="C793" s="80"/>
    </row>
    <row r="794" spans="1:3" ht="20.25" customHeight="1" x14ac:dyDescent="0.25">
      <c r="A794" s="82"/>
      <c r="B794" s="83"/>
      <c r="C794" s="80"/>
    </row>
    <row r="795" spans="1:3" ht="20.25" customHeight="1" x14ac:dyDescent="0.25">
      <c r="A795" s="82"/>
      <c r="B795" s="83"/>
      <c r="C795" s="80"/>
    </row>
    <row r="796" spans="1:3" ht="20.25" customHeight="1" x14ac:dyDescent="0.25">
      <c r="A796" s="82"/>
      <c r="B796" s="83"/>
      <c r="C796" s="80"/>
    </row>
    <row r="797" spans="1:3" ht="20.25" customHeight="1" x14ac:dyDescent="0.25">
      <c r="A797" s="82"/>
      <c r="B797" s="83"/>
      <c r="C797" s="80"/>
    </row>
    <row r="798" spans="1:3" ht="20.25" customHeight="1" x14ac:dyDescent="0.25">
      <c r="A798" s="82"/>
      <c r="B798" s="83"/>
      <c r="C798" s="80"/>
    </row>
    <row r="799" spans="1:3" ht="20.25" customHeight="1" x14ac:dyDescent="0.25">
      <c r="A799" s="82"/>
      <c r="B799" s="83"/>
      <c r="C799" s="80"/>
    </row>
    <row r="800" spans="1:3" ht="20.25" customHeight="1" x14ac:dyDescent="0.25">
      <c r="A800" s="82"/>
      <c r="B800" s="83"/>
      <c r="C800" s="80"/>
    </row>
    <row r="801" spans="1:3" ht="20.25" customHeight="1" x14ac:dyDescent="0.25">
      <c r="A801" s="82"/>
      <c r="B801" s="83"/>
      <c r="C801" s="80"/>
    </row>
    <row r="802" spans="1:3" ht="20.25" customHeight="1" x14ac:dyDescent="0.25">
      <c r="A802" s="82"/>
      <c r="B802" s="83"/>
      <c r="C802" s="80"/>
    </row>
    <row r="803" spans="1:3" ht="20.25" customHeight="1" x14ac:dyDescent="0.25">
      <c r="A803" s="82"/>
      <c r="B803" s="83"/>
      <c r="C803" s="80"/>
    </row>
    <row r="804" spans="1:3" ht="20.25" customHeight="1" x14ac:dyDescent="0.25">
      <c r="A804" s="82"/>
      <c r="B804" s="83"/>
      <c r="C804" s="80"/>
    </row>
    <row r="805" spans="1:3" ht="20.25" customHeight="1" x14ac:dyDescent="0.25">
      <c r="A805" s="82"/>
      <c r="B805" s="83"/>
      <c r="C805" s="80"/>
    </row>
    <row r="806" spans="1:3" ht="20.25" customHeight="1" x14ac:dyDescent="0.25">
      <c r="A806" s="82"/>
      <c r="B806" s="83"/>
      <c r="C806" s="80"/>
    </row>
    <row r="807" spans="1:3" ht="20.25" customHeight="1" x14ac:dyDescent="0.25">
      <c r="A807" s="82"/>
      <c r="B807" s="83"/>
      <c r="C807" s="80"/>
    </row>
    <row r="808" spans="1:3" ht="20.25" customHeight="1" x14ac:dyDescent="0.25">
      <c r="A808" s="82"/>
      <c r="B808" s="83"/>
      <c r="C808" s="80"/>
    </row>
    <row r="809" spans="1:3" ht="20.25" customHeight="1" x14ac:dyDescent="0.25">
      <c r="A809" s="82"/>
      <c r="B809" s="83"/>
      <c r="C809" s="80"/>
    </row>
    <row r="810" spans="1:3" ht="20.25" customHeight="1" x14ac:dyDescent="0.25">
      <c r="A810" s="82"/>
      <c r="B810" s="83"/>
      <c r="C810" s="80"/>
    </row>
    <row r="811" spans="1:3" ht="20.25" customHeight="1" x14ac:dyDescent="0.25">
      <c r="A811" s="82"/>
      <c r="B811" s="83"/>
      <c r="C811" s="80"/>
    </row>
    <row r="812" spans="1:3" ht="20.25" customHeight="1" x14ac:dyDescent="0.25">
      <c r="A812" s="82"/>
      <c r="B812" s="83"/>
      <c r="C812" s="80"/>
    </row>
    <row r="813" spans="1:3" ht="20.25" customHeight="1" x14ac:dyDescent="0.25">
      <c r="A813" s="82"/>
      <c r="B813" s="83"/>
      <c r="C813" s="80"/>
    </row>
    <row r="814" spans="1:3" ht="20.25" customHeight="1" x14ac:dyDescent="0.25">
      <c r="A814" s="82"/>
      <c r="B814" s="83"/>
      <c r="C814" s="80"/>
    </row>
    <row r="815" spans="1:3" ht="20.25" customHeight="1" x14ac:dyDescent="0.25">
      <c r="A815" s="82"/>
      <c r="B815" s="83"/>
      <c r="C815" s="80"/>
    </row>
    <row r="816" spans="1:3" ht="20.25" customHeight="1" x14ac:dyDescent="0.25">
      <c r="A816" s="82"/>
      <c r="B816" s="83"/>
      <c r="C816" s="80"/>
    </row>
    <row r="817" spans="1:3" ht="20.25" customHeight="1" x14ac:dyDescent="0.25">
      <c r="A817" s="82"/>
      <c r="B817" s="83"/>
      <c r="C817" s="80"/>
    </row>
    <row r="818" spans="1:3" ht="20.25" customHeight="1" x14ac:dyDescent="0.25">
      <c r="A818" s="82"/>
      <c r="B818" s="83"/>
      <c r="C818" s="80"/>
    </row>
    <row r="819" spans="1:3" ht="20.25" customHeight="1" x14ac:dyDescent="0.25">
      <c r="A819" s="82"/>
      <c r="B819" s="83"/>
      <c r="C819" s="80"/>
    </row>
    <row r="820" spans="1:3" ht="20.25" customHeight="1" x14ac:dyDescent="0.25">
      <c r="A820" s="82"/>
      <c r="B820" s="83"/>
      <c r="C820" s="80"/>
    </row>
    <row r="821" spans="1:3" ht="20.25" customHeight="1" x14ac:dyDescent="0.25">
      <c r="A821" s="82"/>
      <c r="B821" s="83"/>
      <c r="C821" s="80"/>
    </row>
    <row r="822" spans="1:3" ht="20.25" customHeight="1" x14ac:dyDescent="0.25">
      <c r="A822" s="82"/>
      <c r="B822" s="83"/>
      <c r="C822" s="80"/>
    </row>
    <row r="823" spans="1:3" ht="20.25" customHeight="1" x14ac:dyDescent="0.25">
      <c r="A823" s="82"/>
      <c r="B823" s="83"/>
      <c r="C823" s="80"/>
    </row>
    <row r="824" spans="1:3" ht="20.25" customHeight="1" x14ac:dyDescent="0.25">
      <c r="A824" s="82"/>
      <c r="B824" s="83"/>
      <c r="C824" s="80"/>
    </row>
    <row r="825" spans="1:3" ht="20.25" customHeight="1" x14ac:dyDescent="0.25">
      <c r="A825" s="82"/>
      <c r="B825" s="83"/>
      <c r="C825" s="80"/>
    </row>
    <row r="826" spans="1:3" ht="20.25" customHeight="1" x14ac:dyDescent="0.25">
      <c r="A826" s="82"/>
      <c r="B826" s="83"/>
      <c r="C826" s="80"/>
    </row>
    <row r="827" spans="1:3" ht="20.25" customHeight="1" x14ac:dyDescent="0.25">
      <c r="A827" s="82"/>
      <c r="B827" s="83"/>
      <c r="C827" s="80"/>
    </row>
    <row r="828" spans="1:3" ht="20.25" customHeight="1" x14ac:dyDescent="0.25">
      <c r="A828" s="82"/>
      <c r="B828" s="83"/>
      <c r="C828" s="80"/>
    </row>
    <row r="829" spans="1:3" ht="20.25" customHeight="1" x14ac:dyDescent="0.25">
      <c r="A829" s="82"/>
      <c r="B829" s="83"/>
      <c r="C829" s="80"/>
    </row>
    <row r="830" spans="1:3" ht="20.25" customHeight="1" x14ac:dyDescent="0.25">
      <c r="A830" s="82"/>
      <c r="B830" s="83"/>
      <c r="C830" s="80"/>
    </row>
    <row r="831" spans="1:3" ht="20.25" customHeight="1" x14ac:dyDescent="0.25">
      <c r="A831" s="82"/>
      <c r="B831" s="83"/>
      <c r="C831" s="80"/>
    </row>
    <row r="832" spans="1:3" ht="20.25" customHeight="1" x14ac:dyDescent="0.25">
      <c r="A832" s="82"/>
      <c r="B832" s="83"/>
      <c r="C832" s="80"/>
    </row>
    <row r="833" spans="1:3" ht="20.25" customHeight="1" x14ac:dyDescent="0.25">
      <c r="A833" s="82"/>
      <c r="B833" s="83"/>
      <c r="C833" s="80"/>
    </row>
    <row r="834" spans="1:3" ht="20.25" customHeight="1" x14ac:dyDescent="0.25">
      <c r="A834" s="82"/>
      <c r="B834" s="83"/>
      <c r="C834" s="80"/>
    </row>
    <row r="835" spans="1:3" ht="20.25" customHeight="1" x14ac:dyDescent="0.25">
      <c r="A835" s="82"/>
      <c r="B835" s="83"/>
      <c r="C835" s="80"/>
    </row>
    <row r="836" spans="1:3" ht="20.25" customHeight="1" x14ac:dyDescent="0.25">
      <c r="A836" s="82"/>
      <c r="B836" s="83"/>
      <c r="C836" s="80"/>
    </row>
    <row r="837" spans="1:3" ht="20.25" customHeight="1" x14ac:dyDescent="0.25">
      <c r="A837" s="82"/>
      <c r="B837" s="83"/>
      <c r="C837" s="80"/>
    </row>
    <row r="838" spans="1:3" ht="20.25" customHeight="1" x14ac:dyDescent="0.25">
      <c r="A838" s="82"/>
      <c r="B838" s="83"/>
      <c r="C838" s="80"/>
    </row>
    <row r="839" spans="1:3" ht="20.25" customHeight="1" x14ac:dyDescent="0.25">
      <c r="A839" s="82"/>
      <c r="B839" s="83"/>
      <c r="C839" s="80"/>
    </row>
    <row r="840" spans="1:3" ht="20.25" customHeight="1" x14ac:dyDescent="0.25">
      <c r="A840" s="82"/>
      <c r="B840" s="83"/>
      <c r="C840" s="80"/>
    </row>
    <row r="841" spans="1:3" ht="20.25" customHeight="1" x14ac:dyDescent="0.25">
      <c r="A841" s="82"/>
      <c r="B841" s="83"/>
      <c r="C841" s="80"/>
    </row>
    <row r="842" spans="1:3" ht="20.25" customHeight="1" x14ac:dyDescent="0.25">
      <c r="A842" s="82"/>
      <c r="B842" s="83"/>
      <c r="C842" s="80"/>
    </row>
    <row r="843" spans="1:3" ht="20.25" customHeight="1" x14ac:dyDescent="0.25">
      <c r="A843" s="82"/>
      <c r="B843" s="83"/>
      <c r="C843" s="80"/>
    </row>
    <row r="844" spans="1:3" ht="20.25" customHeight="1" x14ac:dyDescent="0.25">
      <c r="A844" s="82"/>
      <c r="B844" s="83"/>
      <c r="C844" s="80"/>
    </row>
    <row r="845" spans="1:3" ht="20.25" customHeight="1" x14ac:dyDescent="0.25">
      <c r="A845" s="82"/>
      <c r="B845" s="83"/>
      <c r="C845" s="80"/>
    </row>
    <row r="846" spans="1:3" ht="20.25" customHeight="1" x14ac:dyDescent="0.25">
      <c r="A846" s="82"/>
      <c r="B846" s="83"/>
      <c r="C846" s="80"/>
    </row>
    <row r="847" spans="1:3" ht="20.25" customHeight="1" x14ac:dyDescent="0.25">
      <c r="A847" s="82"/>
      <c r="B847" s="83"/>
      <c r="C847" s="80"/>
    </row>
    <row r="848" spans="1:3" ht="20.25" customHeight="1" x14ac:dyDescent="0.25">
      <c r="A848" s="82"/>
      <c r="B848" s="83"/>
      <c r="C848" s="80"/>
    </row>
    <row r="849" spans="1:3" ht="20.25" customHeight="1" x14ac:dyDescent="0.25">
      <c r="A849" s="82"/>
      <c r="B849" s="83"/>
      <c r="C849" s="80"/>
    </row>
    <row r="850" spans="1:3" ht="20.25" customHeight="1" x14ac:dyDescent="0.25">
      <c r="A850" s="82"/>
      <c r="B850" s="83"/>
      <c r="C850" s="80"/>
    </row>
    <row r="851" spans="1:3" ht="20.25" customHeight="1" x14ac:dyDescent="0.25">
      <c r="A851" s="82"/>
      <c r="B851" s="83"/>
      <c r="C851" s="80"/>
    </row>
    <row r="852" spans="1:3" ht="20.25" customHeight="1" x14ac:dyDescent="0.25">
      <c r="A852" s="82"/>
      <c r="B852" s="83"/>
      <c r="C852" s="80"/>
    </row>
    <row r="853" spans="1:3" ht="20.25" customHeight="1" x14ac:dyDescent="0.25">
      <c r="A853" s="82"/>
      <c r="B853" s="83"/>
      <c r="C853" s="80"/>
    </row>
    <row r="854" spans="1:3" ht="20.25" customHeight="1" x14ac:dyDescent="0.25">
      <c r="A854" s="82"/>
      <c r="B854" s="83"/>
      <c r="C854" s="80"/>
    </row>
    <row r="855" spans="1:3" ht="20.25" customHeight="1" x14ac:dyDescent="0.25">
      <c r="A855" s="82"/>
      <c r="B855" s="83"/>
      <c r="C855" s="80"/>
    </row>
    <row r="856" spans="1:3" ht="20.25" customHeight="1" x14ac:dyDescent="0.25">
      <c r="A856" s="82"/>
      <c r="B856" s="83"/>
      <c r="C856" s="80"/>
    </row>
    <row r="857" spans="1:3" ht="20.25" customHeight="1" x14ac:dyDescent="0.25">
      <c r="A857" s="82"/>
      <c r="B857" s="83"/>
      <c r="C857" s="80"/>
    </row>
    <row r="858" spans="1:3" ht="20.25" customHeight="1" x14ac:dyDescent="0.25">
      <c r="A858" s="82"/>
      <c r="B858" s="83"/>
      <c r="C858" s="80"/>
    </row>
    <row r="859" spans="1:3" ht="20.25" customHeight="1" x14ac:dyDescent="0.25">
      <c r="A859" s="82"/>
      <c r="B859" s="83"/>
      <c r="C859" s="80"/>
    </row>
    <row r="860" spans="1:3" ht="20.25" customHeight="1" x14ac:dyDescent="0.25">
      <c r="A860" s="82"/>
      <c r="B860" s="83"/>
      <c r="C860" s="80"/>
    </row>
    <row r="861" spans="1:3" ht="20.25" customHeight="1" x14ac:dyDescent="0.25">
      <c r="A861" s="82"/>
      <c r="B861" s="83"/>
      <c r="C861" s="80"/>
    </row>
    <row r="862" spans="1:3" ht="20.25" customHeight="1" x14ac:dyDescent="0.25">
      <c r="A862" s="82"/>
      <c r="B862" s="83"/>
      <c r="C862" s="80"/>
    </row>
    <row r="863" spans="1:3" ht="20.25" customHeight="1" x14ac:dyDescent="0.25">
      <c r="A863" s="82"/>
      <c r="B863" s="83"/>
      <c r="C863" s="80"/>
    </row>
    <row r="864" spans="1:3" ht="20.25" customHeight="1" x14ac:dyDescent="0.25">
      <c r="A864" s="82"/>
      <c r="B864" s="83"/>
      <c r="C864" s="80"/>
    </row>
    <row r="865" spans="1:3" ht="20.25" customHeight="1" x14ac:dyDescent="0.25">
      <c r="A865" s="82"/>
      <c r="B865" s="83"/>
      <c r="C865" s="80"/>
    </row>
    <row r="866" spans="1:3" ht="20.25" customHeight="1" x14ac:dyDescent="0.25">
      <c r="A866" s="82"/>
      <c r="B866" s="83"/>
      <c r="C866" s="80"/>
    </row>
    <row r="867" spans="1:3" ht="20.25" customHeight="1" x14ac:dyDescent="0.25">
      <c r="A867" s="82"/>
      <c r="B867" s="83"/>
      <c r="C867" s="80"/>
    </row>
    <row r="868" spans="1:3" ht="20.25" customHeight="1" x14ac:dyDescent="0.25">
      <c r="A868" s="82"/>
      <c r="B868" s="83"/>
      <c r="C868" s="80"/>
    </row>
    <row r="869" spans="1:3" ht="20.25" customHeight="1" x14ac:dyDescent="0.25">
      <c r="A869" s="82"/>
      <c r="B869" s="83"/>
      <c r="C869" s="80"/>
    </row>
    <row r="870" spans="1:3" ht="20.25" customHeight="1" x14ac:dyDescent="0.25">
      <c r="B870" s="83"/>
      <c r="C870" s="80"/>
    </row>
    <row r="871" spans="1:3" ht="20.25" customHeight="1" x14ac:dyDescent="0.25">
      <c r="B871" s="83"/>
      <c r="C871" s="80"/>
    </row>
    <row r="872" spans="1:3" ht="20.25" customHeight="1" x14ac:dyDescent="0.25">
      <c r="B872" s="83"/>
      <c r="C872" s="80"/>
    </row>
    <row r="873" spans="1:3" ht="20.25" customHeight="1" x14ac:dyDescent="0.25">
      <c r="B873" s="83"/>
      <c r="C873" s="80"/>
    </row>
    <row r="874" spans="1:3" ht="20.25" customHeight="1" x14ac:dyDescent="0.25">
      <c r="B874" s="83"/>
      <c r="C874" s="80"/>
    </row>
    <row r="875" spans="1:3" ht="20.25" customHeight="1" x14ac:dyDescent="0.25">
      <c r="B875" s="83"/>
      <c r="C875" s="80"/>
    </row>
    <row r="876" spans="1:3" ht="20.25" customHeight="1" x14ac:dyDescent="0.25">
      <c r="B876" s="83"/>
      <c r="C876" s="80"/>
    </row>
    <row r="877" spans="1:3" ht="20.25" customHeight="1" x14ac:dyDescent="0.25">
      <c r="B877" s="83"/>
      <c r="C877" s="80"/>
    </row>
    <row r="878" spans="1:3" ht="20.25" customHeight="1" x14ac:dyDescent="0.25">
      <c r="B878" s="83"/>
      <c r="C878" s="80"/>
    </row>
    <row r="879" spans="1:3" ht="20.25" customHeight="1" x14ac:dyDescent="0.25">
      <c r="B879" s="83"/>
      <c r="C879" s="80"/>
    </row>
    <row r="880" spans="1:3" ht="20.25" customHeight="1" x14ac:dyDescent="0.25">
      <c r="B880" s="83"/>
      <c r="C880" s="80"/>
    </row>
    <row r="881" spans="2:3" ht="20.25" customHeight="1" x14ac:dyDescent="0.25">
      <c r="B881" s="83"/>
      <c r="C881" s="80"/>
    </row>
    <row r="882" spans="2:3" ht="20.25" customHeight="1" x14ac:dyDescent="0.25">
      <c r="B882" s="83"/>
      <c r="C882" s="80"/>
    </row>
    <row r="883" spans="2:3" ht="20.25" customHeight="1" x14ac:dyDescent="0.25">
      <c r="B883" s="83"/>
      <c r="C883" s="80"/>
    </row>
    <row r="884" spans="2:3" ht="20.25" customHeight="1" x14ac:dyDescent="0.25">
      <c r="B884" s="83"/>
      <c r="C884" s="80"/>
    </row>
    <row r="885" spans="2:3" ht="20.25" customHeight="1" x14ac:dyDescent="0.25">
      <c r="B885" s="83"/>
      <c r="C885" s="80"/>
    </row>
    <row r="886" spans="2:3" ht="20.25" customHeight="1" x14ac:dyDescent="0.25">
      <c r="B886" s="83"/>
      <c r="C886" s="80"/>
    </row>
    <row r="887" spans="2:3" ht="20.25" customHeight="1" x14ac:dyDescent="0.25">
      <c r="B887" s="83"/>
      <c r="C887" s="80"/>
    </row>
    <row r="888" spans="2:3" ht="20.25" customHeight="1" x14ac:dyDescent="0.25">
      <c r="B888" s="83"/>
      <c r="C888" s="80"/>
    </row>
    <row r="889" spans="2:3" ht="20.25" customHeight="1" x14ac:dyDescent="0.25">
      <c r="B889" s="83"/>
      <c r="C889" s="80"/>
    </row>
    <row r="890" spans="2:3" ht="20.25" customHeight="1" x14ac:dyDescent="0.25">
      <c r="B890" s="83"/>
      <c r="C890" s="80"/>
    </row>
    <row r="891" spans="2:3" ht="20.25" customHeight="1" x14ac:dyDescent="0.25">
      <c r="B891" s="83"/>
      <c r="C891" s="80"/>
    </row>
    <row r="892" spans="2:3" ht="20.25" customHeight="1" x14ac:dyDescent="0.25">
      <c r="B892" s="83"/>
      <c r="C892" s="80"/>
    </row>
    <row r="893" spans="2:3" ht="20.25" customHeight="1" x14ac:dyDescent="0.25">
      <c r="B893" s="83"/>
      <c r="C893" s="80"/>
    </row>
    <row r="894" spans="2:3" ht="20.25" customHeight="1" x14ac:dyDescent="0.25">
      <c r="B894" s="83"/>
      <c r="C894" s="80"/>
    </row>
    <row r="895" spans="2:3" ht="20.25" customHeight="1" x14ac:dyDescent="0.25">
      <c r="B895" s="83"/>
      <c r="C895" s="80"/>
    </row>
    <row r="896" spans="2:3" ht="20.25" customHeight="1" x14ac:dyDescent="0.25">
      <c r="B896" s="83"/>
      <c r="C896" s="80"/>
    </row>
    <row r="897" spans="2:3" ht="20.25" customHeight="1" x14ac:dyDescent="0.25">
      <c r="B897" s="83"/>
      <c r="C897" s="80"/>
    </row>
    <row r="898" spans="2:3" ht="20.25" customHeight="1" x14ac:dyDescent="0.25">
      <c r="B898" s="83"/>
      <c r="C898" s="80"/>
    </row>
    <row r="899" spans="2:3" ht="20.25" customHeight="1" x14ac:dyDescent="0.25">
      <c r="B899" s="83"/>
      <c r="C899" s="80"/>
    </row>
    <row r="900" spans="2:3" ht="20.25" customHeight="1" x14ac:dyDescent="0.25">
      <c r="B900" s="83"/>
      <c r="C900" s="80"/>
    </row>
    <row r="901" spans="2:3" ht="20.25" customHeight="1" x14ac:dyDescent="0.25">
      <c r="B901" s="83"/>
      <c r="C901" s="80"/>
    </row>
    <row r="902" spans="2:3" ht="20.25" customHeight="1" x14ac:dyDescent="0.25">
      <c r="B902" s="83"/>
      <c r="C902" s="80"/>
    </row>
    <row r="903" spans="2:3" ht="20.25" customHeight="1" x14ac:dyDescent="0.25">
      <c r="B903" s="83"/>
      <c r="C903" s="80"/>
    </row>
    <row r="904" spans="2:3" ht="20.25" customHeight="1" x14ac:dyDescent="0.25">
      <c r="B904" s="83"/>
      <c r="C904" s="80"/>
    </row>
    <row r="905" spans="2:3" ht="20.25" customHeight="1" x14ac:dyDescent="0.25">
      <c r="B905" s="83"/>
      <c r="C905" s="80"/>
    </row>
    <row r="906" spans="2:3" ht="20.25" customHeight="1" x14ac:dyDescent="0.25">
      <c r="B906" s="83"/>
      <c r="C906" s="80"/>
    </row>
    <row r="907" spans="2:3" ht="20.25" customHeight="1" x14ac:dyDescent="0.25">
      <c r="B907" s="83"/>
      <c r="C907" s="80"/>
    </row>
    <row r="908" spans="2:3" ht="20.25" customHeight="1" x14ac:dyDescent="0.25">
      <c r="B908" s="83"/>
      <c r="C908" s="80"/>
    </row>
    <row r="909" spans="2:3" ht="20.25" customHeight="1" x14ac:dyDescent="0.25">
      <c r="B909" s="83"/>
      <c r="C909" s="80"/>
    </row>
    <row r="910" spans="2:3" ht="20.25" customHeight="1" x14ac:dyDescent="0.25">
      <c r="B910" s="83"/>
      <c r="C910" s="80"/>
    </row>
    <row r="911" spans="2:3" ht="20.25" customHeight="1" x14ac:dyDescent="0.25">
      <c r="B911" s="83"/>
      <c r="C911" s="80"/>
    </row>
    <row r="912" spans="2:3" ht="20.25" customHeight="1" x14ac:dyDescent="0.25">
      <c r="B912" s="83"/>
      <c r="C912" s="80"/>
    </row>
    <row r="913" spans="2:3" ht="20.25" customHeight="1" x14ac:dyDescent="0.25">
      <c r="B913" s="83"/>
      <c r="C913" s="80"/>
    </row>
    <row r="914" spans="2:3" ht="20.25" customHeight="1" x14ac:dyDescent="0.25">
      <c r="B914" s="83"/>
      <c r="C914" s="80"/>
    </row>
    <row r="915" spans="2:3" ht="20.25" customHeight="1" x14ac:dyDescent="0.25">
      <c r="B915" s="83"/>
      <c r="C915" s="80"/>
    </row>
    <row r="916" spans="2:3" ht="20.25" customHeight="1" x14ac:dyDescent="0.25">
      <c r="B916" s="83"/>
      <c r="C916" s="80"/>
    </row>
    <row r="917" spans="2:3" ht="20.25" customHeight="1" x14ac:dyDescent="0.25">
      <c r="B917" s="83"/>
      <c r="C917" s="80"/>
    </row>
    <row r="918" spans="2:3" ht="20.25" customHeight="1" x14ac:dyDescent="0.25">
      <c r="B918" s="83"/>
      <c r="C918" s="80"/>
    </row>
    <row r="919" spans="2:3" ht="20.25" customHeight="1" x14ac:dyDescent="0.25">
      <c r="B919" s="83"/>
      <c r="C919" s="80"/>
    </row>
    <row r="920" spans="2:3" ht="20.25" customHeight="1" x14ac:dyDescent="0.25">
      <c r="B920" s="83"/>
      <c r="C920" s="80"/>
    </row>
    <row r="921" spans="2:3" ht="20.25" customHeight="1" x14ac:dyDescent="0.25">
      <c r="B921" s="83"/>
      <c r="C921" s="80"/>
    </row>
    <row r="922" spans="2:3" ht="20.25" customHeight="1" x14ac:dyDescent="0.25">
      <c r="B922" s="83"/>
      <c r="C922" s="80"/>
    </row>
    <row r="923" spans="2:3" ht="20.25" customHeight="1" x14ac:dyDescent="0.25">
      <c r="B923" s="83"/>
      <c r="C923" s="80"/>
    </row>
    <row r="924" spans="2:3" ht="20.25" customHeight="1" x14ac:dyDescent="0.25">
      <c r="B924" s="83"/>
      <c r="C924" s="80"/>
    </row>
    <row r="925" spans="2:3" ht="20.25" customHeight="1" x14ac:dyDescent="0.25">
      <c r="B925" s="83"/>
      <c r="C925" s="80"/>
    </row>
    <row r="926" spans="2:3" ht="20.25" customHeight="1" x14ac:dyDescent="0.25">
      <c r="B926" s="83"/>
      <c r="C926" s="80"/>
    </row>
    <row r="927" spans="2:3" ht="20.25" customHeight="1" x14ac:dyDescent="0.25">
      <c r="B927" s="83"/>
      <c r="C927" s="80"/>
    </row>
    <row r="928" spans="2:3" ht="20.25" customHeight="1" x14ac:dyDescent="0.25">
      <c r="B928" s="83"/>
      <c r="C928" s="80"/>
    </row>
    <row r="929" spans="2:3" ht="20.25" customHeight="1" x14ac:dyDescent="0.25">
      <c r="B929" s="83"/>
      <c r="C929" s="80"/>
    </row>
    <row r="930" spans="2:3" ht="20.25" customHeight="1" x14ac:dyDescent="0.25">
      <c r="B930" s="83"/>
      <c r="C930" s="80"/>
    </row>
    <row r="931" spans="2:3" ht="20.25" customHeight="1" x14ac:dyDescent="0.25">
      <c r="B931" s="83"/>
      <c r="C931" s="80"/>
    </row>
    <row r="932" spans="2:3" ht="20.25" customHeight="1" x14ac:dyDescent="0.25">
      <c r="B932" s="83"/>
      <c r="C932" s="80"/>
    </row>
    <row r="933" spans="2:3" ht="20.25" customHeight="1" x14ac:dyDescent="0.25">
      <c r="B933" s="83"/>
      <c r="C933" s="80"/>
    </row>
    <row r="934" spans="2:3" ht="20.25" customHeight="1" x14ac:dyDescent="0.25">
      <c r="B934" s="83"/>
      <c r="C934" s="80"/>
    </row>
    <row r="935" spans="2:3" ht="20.25" customHeight="1" x14ac:dyDescent="0.25">
      <c r="B935" s="83"/>
      <c r="C935" s="80"/>
    </row>
    <row r="936" spans="2:3" ht="20.25" customHeight="1" x14ac:dyDescent="0.25">
      <c r="B936" s="83"/>
      <c r="C936" s="80"/>
    </row>
    <row r="937" spans="2:3" ht="20.25" customHeight="1" x14ac:dyDescent="0.25">
      <c r="B937" s="83"/>
      <c r="C937" s="80"/>
    </row>
    <row r="938" spans="2:3" ht="20.25" customHeight="1" x14ac:dyDescent="0.25">
      <c r="B938" s="83"/>
      <c r="C938" s="80"/>
    </row>
    <row r="939" spans="2:3" ht="20.25" customHeight="1" x14ac:dyDescent="0.25">
      <c r="B939" s="83"/>
      <c r="C939" s="80"/>
    </row>
    <row r="940" spans="2:3" ht="20.25" customHeight="1" x14ac:dyDescent="0.25">
      <c r="B940" s="83"/>
      <c r="C940" s="80"/>
    </row>
    <row r="941" spans="2:3" ht="20.25" customHeight="1" x14ac:dyDescent="0.25">
      <c r="B941" s="83"/>
      <c r="C941" s="80"/>
    </row>
    <row r="942" spans="2:3" ht="20.25" customHeight="1" x14ac:dyDescent="0.25">
      <c r="B942" s="83"/>
      <c r="C942" s="80"/>
    </row>
    <row r="943" spans="2:3" ht="20.25" customHeight="1" x14ac:dyDescent="0.25">
      <c r="B943" s="83"/>
      <c r="C943" s="80"/>
    </row>
    <row r="944" spans="2:3" ht="20.25" customHeight="1" x14ac:dyDescent="0.25">
      <c r="B944" s="83"/>
      <c r="C944" s="80"/>
    </row>
    <row r="945" spans="2:3" ht="20.25" customHeight="1" x14ac:dyDescent="0.25">
      <c r="B945" s="83"/>
      <c r="C945" s="80"/>
    </row>
    <row r="946" spans="2:3" ht="20.25" customHeight="1" x14ac:dyDescent="0.25">
      <c r="B946" s="83"/>
      <c r="C946" s="80"/>
    </row>
    <row r="947" spans="2:3" ht="20.25" customHeight="1" x14ac:dyDescent="0.25">
      <c r="B947" s="83"/>
      <c r="C947" s="80"/>
    </row>
    <row r="948" spans="2:3" ht="20.25" customHeight="1" x14ac:dyDescent="0.25">
      <c r="B948" s="83"/>
      <c r="C948" s="80"/>
    </row>
    <row r="949" spans="2:3" ht="20.25" customHeight="1" x14ac:dyDescent="0.25">
      <c r="B949" s="83"/>
      <c r="C949" s="80"/>
    </row>
    <row r="950" spans="2:3" ht="20.25" customHeight="1" x14ac:dyDescent="0.25">
      <c r="B950" s="83"/>
      <c r="C950" s="80"/>
    </row>
    <row r="951" spans="2:3" ht="20.25" customHeight="1" x14ac:dyDescent="0.25">
      <c r="B951" s="83"/>
      <c r="C951" s="80"/>
    </row>
    <row r="952" spans="2:3" ht="20.25" customHeight="1" x14ac:dyDescent="0.25">
      <c r="B952" s="83"/>
      <c r="C952" s="80"/>
    </row>
    <row r="953" spans="2:3" ht="20.25" customHeight="1" x14ac:dyDescent="0.25">
      <c r="B953" s="83"/>
      <c r="C953" s="80"/>
    </row>
    <row r="954" spans="2:3" ht="20.25" customHeight="1" x14ac:dyDescent="0.25">
      <c r="B954" s="83"/>
      <c r="C954" s="80"/>
    </row>
    <row r="955" spans="2:3" ht="20.25" customHeight="1" x14ac:dyDescent="0.25">
      <c r="B955" s="83"/>
      <c r="C955" s="80"/>
    </row>
    <row r="956" spans="2:3" ht="20.25" customHeight="1" x14ac:dyDescent="0.25">
      <c r="B956" s="83"/>
      <c r="C956" s="80"/>
    </row>
    <row r="957" spans="2:3" ht="20.25" customHeight="1" x14ac:dyDescent="0.25">
      <c r="B957" s="83"/>
      <c r="C957" s="80"/>
    </row>
    <row r="958" spans="2:3" ht="20.25" customHeight="1" x14ac:dyDescent="0.25">
      <c r="B958" s="83"/>
      <c r="C958" s="80"/>
    </row>
    <row r="959" spans="2:3" ht="20.25" customHeight="1" x14ac:dyDescent="0.25">
      <c r="B959" s="83"/>
      <c r="C959" s="80"/>
    </row>
    <row r="960" spans="2:3" ht="20.25" customHeight="1" x14ac:dyDescent="0.25">
      <c r="B960" s="83"/>
      <c r="C960" s="80"/>
    </row>
    <row r="961" spans="2:3" ht="20.25" customHeight="1" x14ac:dyDescent="0.25">
      <c r="B961" s="83"/>
      <c r="C961" s="80"/>
    </row>
    <row r="962" spans="2:3" ht="20.25" customHeight="1" x14ac:dyDescent="0.25">
      <c r="B962" s="83"/>
      <c r="C962" s="80"/>
    </row>
    <row r="963" spans="2:3" ht="20.25" customHeight="1" x14ac:dyDescent="0.25">
      <c r="B963" s="83"/>
      <c r="C963" s="80"/>
    </row>
    <row r="964" spans="2:3" ht="20.25" customHeight="1" x14ac:dyDescent="0.25">
      <c r="B964" s="83"/>
      <c r="C964" s="80"/>
    </row>
    <row r="965" spans="2:3" ht="20.25" customHeight="1" x14ac:dyDescent="0.25">
      <c r="B965" s="83"/>
      <c r="C965" s="80"/>
    </row>
    <row r="966" spans="2:3" ht="20.25" customHeight="1" x14ac:dyDescent="0.25">
      <c r="B966" s="83"/>
      <c r="C966" s="80"/>
    </row>
    <row r="967" spans="2:3" ht="20.25" customHeight="1" x14ac:dyDescent="0.25">
      <c r="B967" s="83"/>
      <c r="C967" s="80"/>
    </row>
    <row r="968" spans="2:3" ht="20.25" customHeight="1" x14ac:dyDescent="0.25">
      <c r="B968" s="83"/>
      <c r="C968" s="80"/>
    </row>
    <row r="969" spans="2:3" ht="20.25" customHeight="1" x14ac:dyDescent="0.25">
      <c r="B969" s="83"/>
      <c r="C969" s="80"/>
    </row>
    <row r="970" spans="2:3" ht="20.25" customHeight="1" x14ac:dyDescent="0.25">
      <c r="B970" s="83"/>
      <c r="C970" s="80"/>
    </row>
    <row r="971" spans="2:3" ht="20.25" customHeight="1" x14ac:dyDescent="0.25">
      <c r="B971" s="83"/>
      <c r="C971" s="80"/>
    </row>
    <row r="972" spans="2:3" ht="20.25" customHeight="1" x14ac:dyDescent="0.25">
      <c r="B972" s="83"/>
      <c r="C972" s="80"/>
    </row>
    <row r="973" spans="2:3" ht="20.25" customHeight="1" x14ac:dyDescent="0.25">
      <c r="B973" s="83"/>
      <c r="C973" s="80"/>
    </row>
    <row r="974" spans="2:3" ht="20.25" customHeight="1" x14ac:dyDescent="0.25">
      <c r="B974" s="83"/>
      <c r="C974" s="80"/>
    </row>
    <row r="975" spans="2:3" ht="20.25" customHeight="1" x14ac:dyDescent="0.25">
      <c r="B975" s="83"/>
      <c r="C975" s="80"/>
    </row>
    <row r="976" spans="2:3" ht="20.25" customHeight="1" x14ac:dyDescent="0.25">
      <c r="B976" s="83"/>
      <c r="C976" s="80"/>
    </row>
    <row r="977" spans="2:3" ht="20.25" customHeight="1" x14ac:dyDescent="0.25">
      <c r="B977" s="83"/>
      <c r="C977" s="80"/>
    </row>
    <row r="978" spans="2:3" ht="20.25" customHeight="1" x14ac:dyDescent="0.25">
      <c r="B978" s="83"/>
      <c r="C978" s="80"/>
    </row>
    <row r="979" spans="2:3" ht="20.25" customHeight="1" x14ac:dyDescent="0.25">
      <c r="B979" s="83"/>
      <c r="C979" s="80"/>
    </row>
    <row r="980" spans="2:3" ht="20.25" customHeight="1" x14ac:dyDescent="0.25">
      <c r="B980" s="83"/>
      <c r="C980" s="80"/>
    </row>
    <row r="981" spans="2:3" ht="20.25" customHeight="1" x14ac:dyDescent="0.25">
      <c r="B981" s="83"/>
      <c r="C981" s="80"/>
    </row>
    <row r="982" spans="2:3" ht="20.25" customHeight="1" x14ac:dyDescent="0.25">
      <c r="B982" s="83"/>
      <c r="C982" s="80"/>
    </row>
    <row r="983" spans="2:3" ht="20.25" customHeight="1" x14ac:dyDescent="0.25">
      <c r="B983" s="83"/>
      <c r="C983" s="80"/>
    </row>
    <row r="984" spans="2:3" ht="20.25" customHeight="1" x14ac:dyDescent="0.25">
      <c r="B984" s="83"/>
      <c r="C984" s="80"/>
    </row>
    <row r="985" spans="2:3" ht="20.25" customHeight="1" x14ac:dyDescent="0.25">
      <c r="B985" s="83"/>
      <c r="C985" s="80"/>
    </row>
    <row r="986" spans="2:3" ht="20.25" customHeight="1" x14ac:dyDescent="0.25">
      <c r="B986" s="83"/>
      <c r="C986" s="80"/>
    </row>
    <row r="987" spans="2:3" ht="20.25" customHeight="1" x14ac:dyDescent="0.25">
      <c r="B987" s="83"/>
      <c r="C987" s="80"/>
    </row>
    <row r="988" spans="2:3" ht="20.25" customHeight="1" x14ac:dyDescent="0.25">
      <c r="B988" s="83"/>
      <c r="C988" s="80"/>
    </row>
    <row r="989" spans="2:3" ht="20.25" customHeight="1" x14ac:dyDescent="0.25">
      <c r="B989" s="83"/>
      <c r="C989" s="80"/>
    </row>
    <row r="990" spans="2:3" ht="20.25" customHeight="1" x14ac:dyDescent="0.25">
      <c r="B990" s="83"/>
      <c r="C990" s="80"/>
    </row>
    <row r="991" spans="2:3" ht="20.25" customHeight="1" x14ac:dyDescent="0.25">
      <c r="B991" s="83"/>
      <c r="C991" s="80"/>
    </row>
    <row r="992" spans="2:3" ht="20.25" customHeight="1" x14ac:dyDescent="0.25">
      <c r="B992" s="83"/>
      <c r="C992" s="80"/>
    </row>
    <row r="993" spans="2:3" ht="20.25" customHeight="1" x14ac:dyDescent="0.25">
      <c r="B993" s="83"/>
      <c r="C993" s="80"/>
    </row>
    <row r="994" spans="2:3" ht="20.25" customHeight="1" x14ac:dyDescent="0.25">
      <c r="B994" s="83"/>
      <c r="C994" s="80"/>
    </row>
    <row r="995" spans="2:3" ht="20.25" customHeight="1" x14ac:dyDescent="0.25">
      <c r="B995" s="83"/>
      <c r="C995" s="80"/>
    </row>
    <row r="996" spans="2:3" ht="20.25" customHeight="1" x14ac:dyDescent="0.25">
      <c r="B996" s="83"/>
      <c r="C996" s="80"/>
    </row>
    <row r="997" spans="2:3" ht="20.25" customHeight="1" x14ac:dyDescent="0.25">
      <c r="B997" s="83"/>
      <c r="C997" s="80"/>
    </row>
    <row r="998" spans="2:3" ht="20.25" customHeight="1" x14ac:dyDescent="0.25">
      <c r="B998" s="83"/>
      <c r="C998" s="80"/>
    </row>
    <row r="999" spans="2:3" ht="20.25" customHeight="1" x14ac:dyDescent="0.25">
      <c r="B999" s="83"/>
      <c r="C999" s="80"/>
    </row>
    <row r="1000" spans="2:3" ht="20.25" customHeight="1" x14ac:dyDescent="0.25">
      <c r="B1000" s="83"/>
      <c r="C1000" s="80"/>
    </row>
    <row r="1001" spans="2:3" ht="20.25" customHeight="1" x14ac:dyDescent="0.25">
      <c r="B1001" s="83"/>
      <c r="C1001" s="80"/>
    </row>
    <row r="1002" spans="2:3" ht="20.25" customHeight="1" x14ac:dyDescent="0.25">
      <c r="B1002" s="83"/>
      <c r="C1002" s="80"/>
    </row>
    <row r="1003" spans="2:3" ht="20.25" customHeight="1" x14ac:dyDescent="0.25">
      <c r="B1003" s="83"/>
      <c r="C1003" s="80"/>
    </row>
    <row r="1004" spans="2:3" ht="20.25" customHeight="1" x14ac:dyDescent="0.25">
      <c r="B1004" s="83"/>
      <c r="C1004" s="80"/>
    </row>
    <row r="1005" spans="2:3" ht="20.25" customHeight="1" x14ac:dyDescent="0.25">
      <c r="B1005" s="83"/>
      <c r="C1005" s="80"/>
    </row>
    <row r="1006" spans="2:3" ht="20.25" customHeight="1" x14ac:dyDescent="0.25">
      <c r="B1006" s="83"/>
      <c r="C1006" s="80"/>
    </row>
    <row r="1007" spans="2:3" ht="20.25" customHeight="1" x14ac:dyDescent="0.25">
      <c r="B1007" s="83"/>
      <c r="C1007" s="80"/>
    </row>
    <row r="1008" spans="2:3" ht="20.25" customHeight="1" x14ac:dyDescent="0.25">
      <c r="B1008" s="83"/>
      <c r="C1008" s="80"/>
    </row>
    <row r="1009" spans="2:3" ht="20.25" customHeight="1" x14ac:dyDescent="0.25">
      <c r="B1009" s="83"/>
      <c r="C1009" s="80"/>
    </row>
    <row r="1010" spans="2:3" ht="20.25" customHeight="1" x14ac:dyDescent="0.25">
      <c r="B1010" s="83"/>
      <c r="C1010" s="80"/>
    </row>
    <row r="1011" spans="2:3" ht="20.25" customHeight="1" x14ac:dyDescent="0.25">
      <c r="B1011" s="83"/>
      <c r="C1011" s="80"/>
    </row>
    <row r="1012" spans="2:3" ht="20.25" customHeight="1" x14ac:dyDescent="0.25">
      <c r="B1012" s="83"/>
      <c r="C1012" s="80"/>
    </row>
    <row r="1013" spans="2:3" ht="20.25" customHeight="1" x14ac:dyDescent="0.25">
      <c r="B1013" s="83"/>
      <c r="C1013" s="80"/>
    </row>
    <row r="1014" spans="2:3" ht="20.25" customHeight="1" x14ac:dyDescent="0.25">
      <c r="B1014" s="83"/>
      <c r="C1014" s="80"/>
    </row>
    <row r="1015" spans="2:3" ht="20.25" customHeight="1" x14ac:dyDescent="0.25">
      <c r="B1015" s="83"/>
      <c r="C1015" s="80"/>
    </row>
    <row r="1016" spans="2:3" ht="20.25" customHeight="1" x14ac:dyDescent="0.25">
      <c r="B1016" s="83"/>
      <c r="C1016" s="80"/>
    </row>
    <row r="1017" spans="2:3" ht="20.25" customHeight="1" x14ac:dyDescent="0.25">
      <c r="B1017" s="83"/>
      <c r="C1017" s="80"/>
    </row>
    <row r="1018" spans="2:3" ht="20.25" customHeight="1" x14ac:dyDescent="0.25">
      <c r="B1018" s="83"/>
      <c r="C1018" s="80"/>
    </row>
    <row r="1019" spans="2:3" ht="20.25" customHeight="1" x14ac:dyDescent="0.25">
      <c r="B1019" s="83"/>
      <c r="C1019" s="80"/>
    </row>
    <row r="1020" spans="2:3" ht="20.25" customHeight="1" x14ac:dyDescent="0.25">
      <c r="B1020" s="83"/>
      <c r="C1020" s="80"/>
    </row>
    <row r="1021" spans="2:3" ht="20.25" customHeight="1" x14ac:dyDescent="0.25">
      <c r="B1021" s="83"/>
      <c r="C1021" s="80"/>
    </row>
    <row r="1022" spans="2:3" ht="20.25" customHeight="1" x14ac:dyDescent="0.25">
      <c r="B1022" s="83"/>
      <c r="C1022" s="80"/>
    </row>
    <row r="1023" spans="2:3" ht="20.25" customHeight="1" x14ac:dyDescent="0.25">
      <c r="B1023" s="83"/>
      <c r="C1023" s="80"/>
    </row>
    <row r="1024" spans="2:3" ht="20.25" customHeight="1" x14ac:dyDescent="0.25">
      <c r="B1024" s="83"/>
      <c r="C1024" s="80"/>
    </row>
    <row r="1025" spans="2:3" ht="20.25" customHeight="1" x14ac:dyDescent="0.25">
      <c r="B1025" s="83"/>
      <c r="C1025" s="80"/>
    </row>
    <row r="1026" spans="2:3" ht="20.25" customHeight="1" x14ac:dyDescent="0.25">
      <c r="B1026" s="83"/>
      <c r="C1026" s="80"/>
    </row>
    <row r="1027" spans="2:3" ht="20.25" customHeight="1" x14ac:dyDescent="0.25">
      <c r="B1027" s="83"/>
      <c r="C1027" s="80"/>
    </row>
    <row r="1028" spans="2:3" ht="20.25" customHeight="1" x14ac:dyDescent="0.25">
      <c r="B1028" s="83"/>
      <c r="C1028" s="80"/>
    </row>
    <row r="1029" spans="2:3" ht="20.25" customHeight="1" x14ac:dyDescent="0.25">
      <c r="B1029" s="83"/>
      <c r="C1029" s="80"/>
    </row>
    <row r="1030" spans="2:3" ht="20.25" customHeight="1" x14ac:dyDescent="0.25">
      <c r="B1030" s="83"/>
      <c r="C1030" s="80"/>
    </row>
    <row r="1031" spans="2:3" ht="20.25" customHeight="1" x14ac:dyDescent="0.25">
      <c r="B1031" s="83"/>
      <c r="C1031" s="80"/>
    </row>
    <row r="1032" spans="2:3" ht="20.25" customHeight="1" x14ac:dyDescent="0.25">
      <c r="B1032" s="83"/>
      <c r="C1032" s="80"/>
    </row>
    <row r="1033" spans="2:3" ht="20.25" customHeight="1" x14ac:dyDescent="0.25">
      <c r="B1033" s="83"/>
      <c r="C1033" s="80"/>
    </row>
    <row r="1034" spans="2:3" ht="20.25" customHeight="1" x14ac:dyDescent="0.25">
      <c r="B1034" s="83"/>
      <c r="C1034" s="80"/>
    </row>
    <row r="1035" spans="2:3" ht="20.25" customHeight="1" x14ac:dyDescent="0.25">
      <c r="B1035" s="83"/>
      <c r="C1035" s="80"/>
    </row>
    <row r="1036" spans="2:3" ht="20.25" customHeight="1" x14ac:dyDescent="0.25">
      <c r="B1036" s="83"/>
      <c r="C1036" s="80"/>
    </row>
    <row r="1037" spans="2:3" ht="20.25" customHeight="1" x14ac:dyDescent="0.25">
      <c r="B1037" s="83"/>
      <c r="C1037" s="80"/>
    </row>
    <row r="1038" spans="2:3" ht="20.25" customHeight="1" x14ac:dyDescent="0.25">
      <c r="B1038" s="83"/>
      <c r="C1038" s="80"/>
    </row>
    <row r="1039" spans="2:3" ht="20.25" customHeight="1" x14ac:dyDescent="0.25">
      <c r="B1039" s="83"/>
      <c r="C1039" s="80"/>
    </row>
    <row r="1040" spans="2:3" ht="20.25" customHeight="1" x14ac:dyDescent="0.25">
      <c r="B1040" s="83"/>
      <c r="C1040" s="80"/>
    </row>
    <row r="1041" spans="2:3" ht="20.25" customHeight="1" x14ac:dyDescent="0.25">
      <c r="B1041" s="83"/>
      <c r="C1041" s="80"/>
    </row>
    <row r="1042" spans="2:3" ht="20.25" customHeight="1" x14ac:dyDescent="0.25">
      <c r="B1042" s="83"/>
      <c r="C1042" s="80"/>
    </row>
    <row r="1043" spans="2:3" ht="20.25" customHeight="1" x14ac:dyDescent="0.25">
      <c r="B1043" s="83"/>
      <c r="C1043" s="80"/>
    </row>
    <row r="1044" spans="2:3" ht="20.25" customHeight="1" x14ac:dyDescent="0.25">
      <c r="B1044" s="83"/>
      <c r="C1044" s="80"/>
    </row>
    <row r="1045" spans="2:3" ht="20.25" customHeight="1" x14ac:dyDescent="0.25">
      <c r="B1045" s="83"/>
      <c r="C1045" s="80"/>
    </row>
    <row r="1046" spans="2:3" ht="20.25" customHeight="1" x14ac:dyDescent="0.25">
      <c r="B1046" s="83"/>
      <c r="C1046" s="80"/>
    </row>
    <row r="1047" spans="2:3" ht="20.25" customHeight="1" x14ac:dyDescent="0.25">
      <c r="B1047" s="83"/>
      <c r="C1047" s="80"/>
    </row>
    <row r="1048" spans="2:3" ht="20.25" customHeight="1" x14ac:dyDescent="0.25">
      <c r="B1048" s="83"/>
      <c r="C1048" s="80"/>
    </row>
    <row r="1049" spans="2:3" ht="20.25" customHeight="1" x14ac:dyDescent="0.25">
      <c r="B1049" s="83"/>
      <c r="C1049" s="80"/>
    </row>
    <row r="1050" spans="2:3" ht="20.25" customHeight="1" x14ac:dyDescent="0.25">
      <c r="B1050" s="83"/>
      <c r="C1050" s="80"/>
    </row>
    <row r="1051" spans="2:3" ht="20.25" customHeight="1" x14ac:dyDescent="0.25">
      <c r="B1051" s="83"/>
      <c r="C1051" s="80"/>
    </row>
    <row r="1052" spans="2:3" ht="20.25" customHeight="1" x14ac:dyDescent="0.25">
      <c r="B1052" s="83"/>
      <c r="C1052" s="80"/>
    </row>
    <row r="1053" spans="2:3" ht="20.25" customHeight="1" x14ac:dyDescent="0.25">
      <c r="B1053" s="83"/>
      <c r="C1053" s="80"/>
    </row>
    <row r="1054" spans="2:3" ht="20.25" customHeight="1" x14ac:dyDescent="0.25">
      <c r="B1054" s="83"/>
      <c r="C1054" s="80"/>
    </row>
    <row r="1055" spans="2:3" ht="20.25" customHeight="1" x14ac:dyDescent="0.25">
      <c r="B1055" s="83"/>
      <c r="C1055" s="80"/>
    </row>
    <row r="1056" spans="2:3" ht="20.25" customHeight="1" x14ac:dyDescent="0.25">
      <c r="B1056" s="83"/>
      <c r="C1056" s="80"/>
    </row>
    <row r="1057" spans="2:3" ht="20.25" customHeight="1" x14ac:dyDescent="0.25">
      <c r="B1057" s="83"/>
      <c r="C1057" s="80"/>
    </row>
    <row r="1058" spans="2:3" ht="20.25" customHeight="1" x14ac:dyDescent="0.25">
      <c r="B1058" s="83"/>
      <c r="C1058" s="80"/>
    </row>
    <row r="1059" spans="2:3" ht="20.25" customHeight="1" x14ac:dyDescent="0.25">
      <c r="B1059" s="83"/>
      <c r="C1059" s="80"/>
    </row>
    <row r="1060" spans="2:3" ht="20.25" customHeight="1" x14ac:dyDescent="0.25">
      <c r="B1060" s="83"/>
      <c r="C1060" s="80"/>
    </row>
    <row r="1061" spans="2:3" ht="20.25" customHeight="1" x14ac:dyDescent="0.25">
      <c r="B1061" s="83"/>
      <c r="C1061" s="80"/>
    </row>
    <row r="1062" spans="2:3" ht="20.25" customHeight="1" x14ac:dyDescent="0.25">
      <c r="B1062" s="83"/>
      <c r="C1062" s="80"/>
    </row>
    <row r="1063" spans="2:3" ht="20.25" customHeight="1" x14ac:dyDescent="0.25">
      <c r="B1063" s="83"/>
      <c r="C1063" s="80"/>
    </row>
    <row r="1064" spans="2:3" ht="20.25" customHeight="1" x14ac:dyDescent="0.25">
      <c r="B1064" s="83"/>
      <c r="C1064" s="80"/>
    </row>
    <row r="1065" spans="2:3" ht="20.25" customHeight="1" x14ac:dyDescent="0.25">
      <c r="B1065" s="83"/>
      <c r="C1065" s="80"/>
    </row>
    <row r="1066" spans="2:3" ht="20.25" customHeight="1" x14ac:dyDescent="0.25">
      <c r="B1066" s="83"/>
      <c r="C1066" s="80"/>
    </row>
    <row r="1067" spans="2:3" ht="20.25" customHeight="1" x14ac:dyDescent="0.25">
      <c r="B1067" s="83"/>
      <c r="C1067" s="80"/>
    </row>
    <row r="1068" spans="2:3" ht="20.25" customHeight="1" x14ac:dyDescent="0.25">
      <c r="B1068" s="83"/>
      <c r="C1068" s="80"/>
    </row>
    <row r="1069" spans="2:3" ht="20.25" customHeight="1" x14ac:dyDescent="0.25">
      <c r="B1069" s="83"/>
      <c r="C1069" s="80"/>
    </row>
    <row r="1070" spans="2:3" ht="20.25" customHeight="1" x14ac:dyDescent="0.25">
      <c r="B1070" s="83"/>
      <c r="C1070" s="80"/>
    </row>
    <row r="1071" spans="2:3" ht="20.25" customHeight="1" x14ac:dyDescent="0.25">
      <c r="B1071" s="83"/>
      <c r="C1071" s="80"/>
    </row>
    <row r="1072" spans="2:3" ht="20.25" customHeight="1" x14ac:dyDescent="0.25">
      <c r="B1072" s="83"/>
      <c r="C1072" s="80"/>
    </row>
    <row r="1073" spans="2:3" ht="20.25" customHeight="1" x14ac:dyDescent="0.25">
      <c r="B1073" s="83"/>
      <c r="C1073" s="80"/>
    </row>
    <row r="1074" spans="2:3" ht="20.25" customHeight="1" x14ac:dyDescent="0.25">
      <c r="B1074" s="83"/>
      <c r="C1074" s="80"/>
    </row>
    <row r="1075" spans="2:3" ht="20.25" customHeight="1" x14ac:dyDescent="0.25">
      <c r="B1075" s="83"/>
      <c r="C1075" s="80"/>
    </row>
    <row r="1076" spans="2:3" ht="20.25" customHeight="1" x14ac:dyDescent="0.25">
      <c r="B1076" s="83"/>
      <c r="C1076" s="80"/>
    </row>
    <row r="1077" spans="2:3" ht="20.25" customHeight="1" x14ac:dyDescent="0.25">
      <c r="B1077" s="83"/>
      <c r="C1077" s="80"/>
    </row>
    <row r="1078" spans="2:3" ht="20.25" customHeight="1" x14ac:dyDescent="0.25">
      <c r="B1078" s="83"/>
      <c r="C1078" s="80"/>
    </row>
    <row r="1079" spans="2:3" ht="20.25" customHeight="1" x14ac:dyDescent="0.25">
      <c r="B1079" s="83"/>
      <c r="C1079" s="80"/>
    </row>
    <row r="1080" spans="2:3" ht="20.25" customHeight="1" x14ac:dyDescent="0.25">
      <c r="B1080" s="83"/>
      <c r="C1080" s="80"/>
    </row>
    <row r="1081" spans="2:3" ht="20.25" customHeight="1" x14ac:dyDescent="0.25">
      <c r="B1081" s="83"/>
      <c r="C1081" s="80"/>
    </row>
    <row r="1082" spans="2:3" ht="20.25" customHeight="1" x14ac:dyDescent="0.25">
      <c r="B1082" s="83"/>
      <c r="C1082" s="80"/>
    </row>
    <row r="1083" spans="2:3" ht="20.25" customHeight="1" x14ac:dyDescent="0.25">
      <c r="B1083" s="83"/>
      <c r="C1083" s="80"/>
    </row>
    <row r="1084" spans="2:3" ht="20.25" customHeight="1" x14ac:dyDescent="0.25">
      <c r="B1084" s="83"/>
      <c r="C1084" s="80"/>
    </row>
    <row r="1085" spans="2:3" ht="20.25" customHeight="1" x14ac:dyDescent="0.25">
      <c r="B1085" s="83"/>
      <c r="C1085" s="80"/>
    </row>
    <row r="1086" spans="2:3" ht="20.25" customHeight="1" x14ac:dyDescent="0.25">
      <c r="B1086" s="83"/>
      <c r="C1086" s="80"/>
    </row>
    <row r="1087" spans="2:3" ht="20.25" customHeight="1" x14ac:dyDescent="0.25">
      <c r="B1087" s="83"/>
      <c r="C1087" s="80"/>
    </row>
    <row r="1088" spans="2:3" ht="20.25" customHeight="1" x14ac:dyDescent="0.25">
      <c r="B1088" s="83"/>
      <c r="C1088" s="80"/>
    </row>
    <row r="1089" spans="2:3" ht="20.25" customHeight="1" x14ac:dyDescent="0.25">
      <c r="B1089" s="83"/>
      <c r="C1089" s="80"/>
    </row>
    <row r="1090" spans="2:3" ht="20.25" customHeight="1" x14ac:dyDescent="0.25">
      <c r="B1090" s="83"/>
      <c r="C1090" s="80"/>
    </row>
    <row r="1091" spans="2:3" ht="20.25" customHeight="1" x14ac:dyDescent="0.25">
      <c r="B1091" s="83"/>
      <c r="C1091" s="80"/>
    </row>
    <row r="1092" spans="2:3" ht="20.25" customHeight="1" x14ac:dyDescent="0.25">
      <c r="B1092" s="83"/>
      <c r="C1092" s="80"/>
    </row>
    <row r="1093" spans="2:3" ht="20.25" customHeight="1" x14ac:dyDescent="0.25">
      <c r="B1093" s="83"/>
      <c r="C1093" s="80"/>
    </row>
    <row r="1094" spans="2:3" ht="20.25" customHeight="1" x14ac:dyDescent="0.25">
      <c r="B1094" s="83"/>
      <c r="C1094" s="80"/>
    </row>
    <row r="1095" spans="2:3" ht="20.25" customHeight="1" x14ac:dyDescent="0.25">
      <c r="B1095" s="83"/>
      <c r="C1095" s="80"/>
    </row>
    <row r="1096" spans="2:3" ht="20.25" customHeight="1" x14ac:dyDescent="0.25">
      <c r="B1096" s="83"/>
      <c r="C1096" s="80"/>
    </row>
    <row r="1097" spans="2:3" ht="20.25" customHeight="1" x14ac:dyDescent="0.25">
      <c r="B1097" s="83"/>
      <c r="C1097" s="80"/>
    </row>
    <row r="1098" spans="2:3" ht="20.25" customHeight="1" x14ac:dyDescent="0.25">
      <c r="B1098" s="83"/>
      <c r="C1098" s="80"/>
    </row>
    <row r="1099" spans="2:3" ht="20.25" customHeight="1" x14ac:dyDescent="0.25">
      <c r="B1099" s="83"/>
      <c r="C1099" s="80"/>
    </row>
    <row r="1100" spans="2:3" ht="20.25" customHeight="1" x14ac:dyDescent="0.25">
      <c r="B1100" s="83"/>
      <c r="C1100" s="80"/>
    </row>
    <row r="1101" spans="2:3" ht="20.25" customHeight="1" x14ac:dyDescent="0.25">
      <c r="B1101" s="83"/>
      <c r="C1101" s="80"/>
    </row>
    <row r="1102" spans="2:3" ht="20.25" customHeight="1" x14ac:dyDescent="0.25">
      <c r="B1102" s="83"/>
      <c r="C1102" s="80"/>
    </row>
    <row r="1103" spans="2:3" ht="20.25" customHeight="1" x14ac:dyDescent="0.25">
      <c r="B1103" s="83"/>
      <c r="C1103" s="80"/>
    </row>
    <row r="1104" spans="2:3" ht="20.25" customHeight="1" x14ac:dyDescent="0.25">
      <c r="B1104" s="83"/>
      <c r="C1104" s="80"/>
    </row>
    <row r="1105" spans="2:3" ht="20.25" customHeight="1" x14ac:dyDescent="0.25">
      <c r="B1105" s="83"/>
      <c r="C1105" s="80"/>
    </row>
    <row r="1106" spans="2:3" ht="20.25" customHeight="1" x14ac:dyDescent="0.25">
      <c r="B1106" s="83"/>
      <c r="C1106" s="80"/>
    </row>
    <row r="1107" spans="2:3" ht="20.25" customHeight="1" x14ac:dyDescent="0.25">
      <c r="B1107" s="83"/>
      <c r="C1107" s="80"/>
    </row>
    <row r="1108" spans="2:3" ht="20.25" customHeight="1" x14ac:dyDescent="0.25">
      <c r="B1108" s="83"/>
      <c r="C1108" s="80"/>
    </row>
    <row r="1109" spans="2:3" ht="20.25" customHeight="1" x14ac:dyDescent="0.25">
      <c r="B1109" s="83"/>
      <c r="C1109" s="80"/>
    </row>
    <row r="1110" spans="2:3" ht="20.25" customHeight="1" x14ac:dyDescent="0.25">
      <c r="B1110" s="83"/>
      <c r="C1110" s="80"/>
    </row>
    <row r="1111" spans="2:3" ht="20.25" customHeight="1" x14ac:dyDescent="0.25">
      <c r="B1111" s="83"/>
      <c r="C1111" s="80"/>
    </row>
    <row r="1112" spans="2:3" ht="20.25" customHeight="1" x14ac:dyDescent="0.25">
      <c r="B1112" s="83"/>
      <c r="C1112" s="80"/>
    </row>
    <row r="1113" spans="2:3" ht="20.25" customHeight="1" x14ac:dyDescent="0.25">
      <c r="B1113" s="83"/>
      <c r="C1113" s="80"/>
    </row>
    <row r="1114" spans="2:3" ht="20.25" customHeight="1" x14ac:dyDescent="0.25">
      <c r="B1114" s="83"/>
      <c r="C1114" s="80"/>
    </row>
    <row r="1115" spans="2:3" ht="20.25" customHeight="1" x14ac:dyDescent="0.25">
      <c r="B1115" s="83"/>
      <c r="C1115" s="80"/>
    </row>
    <row r="1116" spans="2:3" ht="20.25" customHeight="1" x14ac:dyDescent="0.25">
      <c r="B1116" s="83"/>
      <c r="C1116" s="80"/>
    </row>
    <row r="1117" spans="2:3" ht="20.25" customHeight="1" x14ac:dyDescent="0.25">
      <c r="B1117" s="83"/>
      <c r="C1117" s="80"/>
    </row>
    <row r="1118" spans="2:3" ht="20.25" customHeight="1" x14ac:dyDescent="0.25">
      <c r="B1118" s="83"/>
      <c r="C1118" s="80"/>
    </row>
    <row r="1119" spans="2:3" ht="20.25" customHeight="1" x14ac:dyDescent="0.25">
      <c r="B1119" s="83"/>
      <c r="C1119" s="80"/>
    </row>
    <row r="1120" spans="2:3" ht="20.25" customHeight="1" x14ac:dyDescent="0.25">
      <c r="B1120" s="83"/>
      <c r="C1120" s="80"/>
    </row>
    <row r="1121" spans="2:3" ht="20.25" customHeight="1" x14ac:dyDescent="0.25">
      <c r="B1121" s="83"/>
      <c r="C1121" s="80"/>
    </row>
    <row r="1122" spans="2:3" ht="20.25" customHeight="1" x14ac:dyDescent="0.25">
      <c r="B1122" s="83"/>
      <c r="C1122" s="80"/>
    </row>
    <row r="1123" spans="2:3" ht="20.25" customHeight="1" x14ac:dyDescent="0.25">
      <c r="B1123" s="83"/>
      <c r="C1123" s="80"/>
    </row>
    <row r="1124" spans="2:3" ht="20.25" customHeight="1" x14ac:dyDescent="0.25">
      <c r="B1124" s="83"/>
      <c r="C1124" s="80"/>
    </row>
    <row r="1125" spans="2:3" ht="20.25" customHeight="1" x14ac:dyDescent="0.25">
      <c r="B1125" s="83"/>
      <c r="C1125" s="80"/>
    </row>
    <row r="1126" spans="2:3" ht="20.25" customHeight="1" x14ac:dyDescent="0.25">
      <c r="B1126" s="83"/>
      <c r="C1126" s="80"/>
    </row>
    <row r="1127" spans="2:3" ht="20.25" customHeight="1" x14ac:dyDescent="0.25">
      <c r="B1127" s="83"/>
      <c r="C1127" s="80"/>
    </row>
    <row r="1128" spans="2:3" ht="20.25" customHeight="1" x14ac:dyDescent="0.25">
      <c r="B1128" s="83"/>
      <c r="C1128" s="80"/>
    </row>
    <row r="1129" spans="2:3" ht="20.25" customHeight="1" x14ac:dyDescent="0.25">
      <c r="B1129" s="83"/>
      <c r="C1129" s="80"/>
    </row>
    <row r="1130" spans="2:3" ht="20.25" customHeight="1" x14ac:dyDescent="0.25">
      <c r="B1130" s="83"/>
      <c r="C1130" s="80"/>
    </row>
    <row r="1131" spans="2:3" ht="20.25" customHeight="1" x14ac:dyDescent="0.25">
      <c r="B1131" s="83"/>
      <c r="C1131" s="80"/>
    </row>
    <row r="1132" spans="2:3" ht="20.25" customHeight="1" x14ac:dyDescent="0.25">
      <c r="B1132" s="83"/>
      <c r="C1132" s="80"/>
    </row>
    <row r="1133" spans="2:3" ht="20.25" customHeight="1" x14ac:dyDescent="0.25">
      <c r="B1133" s="83"/>
      <c r="C1133" s="80"/>
    </row>
    <row r="1134" spans="2:3" ht="20.25" customHeight="1" x14ac:dyDescent="0.25">
      <c r="B1134" s="83"/>
      <c r="C1134" s="80"/>
    </row>
    <row r="1135" spans="2:3" ht="20.25" customHeight="1" x14ac:dyDescent="0.25">
      <c r="B1135" s="83"/>
      <c r="C1135" s="80"/>
    </row>
    <row r="1136" spans="2:3" ht="20.25" customHeight="1" x14ac:dyDescent="0.25">
      <c r="B1136" s="83"/>
      <c r="C1136" s="80"/>
    </row>
    <row r="1137" spans="2:3" ht="20.25" customHeight="1" x14ac:dyDescent="0.25">
      <c r="B1137" s="83"/>
      <c r="C1137" s="80"/>
    </row>
    <row r="1138" spans="2:3" ht="20.25" customHeight="1" x14ac:dyDescent="0.25">
      <c r="B1138" s="83"/>
      <c r="C1138" s="80"/>
    </row>
    <row r="1139" spans="2:3" ht="20.25" customHeight="1" x14ac:dyDescent="0.25">
      <c r="B1139" s="83"/>
      <c r="C1139" s="80"/>
    </row>
    <row r="1140" spans="2:3" ht="20.25" customHeight="1" x14ac:dyDescent="0.25">
      <c r="B1140" s="83"/>
      <c r="C1140" s="80"/>
    </row>
    <row r="1141" spans="2:3" ht="20.25" customHeight="1" x14ac:dyDescent="0.25">
      <c r="B1141" s="83"/>
      <c r="C1141" s="80"/>
    </row>
    <row r="1142" spans="2:3" ht="20.25" customHeight="1" x14ac:dyDescent="0.25">
      <c r="B1142" s="83"/>
      <c r="C1142" s="80"/>
    </row>
    <row r="1143" spans="2:3" ht="20.25" customHeight="1" x14ac:dyDescent="0.25">
      <c r="B1143" s="83"/>
      <c r="C1143" s="80"/>
    </row>
    <row r="1144" spans="2:3" ht="20.25" customHeight="1" x14ac:dyDescent="0.25">
      <c r="B1144" s="83"/>
      <c r="C1144" s="80"/>
    </row>
    <row r="1145" spans="2:3" ht="20.25" customHeight="1" x14ac:dyDescent="0.25">
      <c r="B1145" s="83"/>
      <c r="C1145" s="80"/>
    </row>
    <row r="1146" spans="2:3" ht="20.25" customHeight="1" x14ac:dyDescent="0.25">
      <c r="B1146" s="83"/>
      <c r="C1146" s="80"/>
    </row>
    <row r="1147" spans="2:3" ht="20.25" customHeight="1" x14ac:dyDescent="0.25">
      <c r="B1147" s="83"/>
      <c r="C1147" s="80"/>
    </row>
    <row r="1148" spans="2:3" ht="20.25" customHeight="1" x14ac:dyDescent="0.25">
      <c r="B1148" s="83"/>
      <c r="C1148" s="80"/>
    </row>
    <row r="1149" spans="2:3" ht="20.25" customHeight="1" x14ac:dyDescent="0.25">
      <c r="B1149" s="83"/>
      <c r="C1149" s="80"/>
    </row>
    <row r="1150" spans="2:3" ht="20.25" customHeight="1" x14ac:dyDescent="0.25">
      <c r="B1150" s="83"/>
      <c r="C1150" s="80"/>
    </row>
    <row r="1151" spans="2:3" ht="20.25" customHeight="1" x14ac:dyDescent="0.25">
      <c r="B1151" s="83"/>
      <c r="C1151" s="80"/>
    </row>
    <row r="1152" spans="2:3" ht="20.25" customHeight="1" x14ac:dyDescent="0.25">
      <c r="B1152" s="83"/>
      <c r="C1152" s="80"/>
    </row>
    <row r="1153" spans="2:3" ht="20.25" customHeight="1" x14ac:dyDescent="0.25">
      <c r="B1153" s="83"/>
      <c r="C1153" s="80"/>
    </row>
    <row r="1154" spans="2:3" ht="20.25" customHeight="1" x14ac:dyDescent="0.25">
      <c r="B1154" s="83"/>
      <c r="C1154" s="80"/>
    </row>
    <row r="1155" spans="2:3" ht="20.25" customHeight="1" x14ac:dyDescent="0.25">
      <c r="B1155" s="83"/>
      <c r="C1155" s="80"/>
    </row>
    <row r="1156" spans="2:3" ht="20.25" customHeight="1" x14ac:dyDescent="0.25">
      <c r="B1156" s="83"/>
      <c r="C1156" s="80"/>
    </row>
    <row r="1157" spans="2:3" ht="20.25" customHeight="1" x14ac:dyDescent="0.25">
      <c r="B1157" s="83"/>
      <c r="C1157" s="80"/>
    </row>
    <row r="1158" spans="2:3" ht="20.25" customHeight="1" x14ac:dyDescent="0.25">
      <c r="B1158" s="83"/>
      <c r="C1158" s="80"/>
    </row>
    <row r="1159" spans="2:3" ht="20.25" customHeight="1" x14ac:dyDescent="0.25">
      <c r="B1159" s="83"/>
      <c r="C1159" s="80"/>
    </row>
    <row r="1160" spans="2:3" ht="20.25" customHeight="1" x14ac:dyDescent="0.25">
      <c r="B1160" s="83"/>
      <c r="C1160" s="80"/>
    </row>
    <row r="1161" spans="2:3" ht="20.25" customHeight="1" x14ac:dyDescent="0.25">
      <c r="B1161" s="83"/>
      <c r="C1161" s="80"/>
    </row>
    <row r="1162" spans="2:3" ht="20.25" customHeight="1" x14ac:dyDescent="0.25">
      <c r="B1162" s="83"/>
      <c r="C1162" s="80"/>
    </row>
    <row r="1163" spans="2:3" ht="20.25" customHeight="1" x14ac:dyDescent="0.25">
      <c r="B1163" s="83"/>
      <c r="C1163" s="80"/>
    </row>
    <row r="1164" spans="2:3" ht="20.25" customHeight="1" x14ac:dyDescent="0.25">
      <c r="B1164" s="83"/>
      <c r="C1164" s="80"/>
    </row>
    <row r="1165" spans="2:3" ht="20.25" customHeight="1" x14ac:dyDescent="0.25">
      <c r="B1165" s="83"/>
      <c r="C1165" s="80"/>
    </row>
    <row r="1166" spans="2:3" ht="20.25" customHeight="1" x14ac:dyDescent="0.25">
      <c r="B1166" s="83"/>
      <c r="C1166" s="80"/>
    </row>
    <row r="1167" spans="2:3" ht="20.25" customHeight="1" x14ac:dyDescent="0.25">
      <c r="B1167" s="83"/>
      <c r="C1167" s="80"/>
    </row>
    <row r="1168" spans="2:3" ht="20.25" customHeight="1" x14ac:dyDescent="0.25">
      <c r="B1168" s="83"/>
      <c r="C1168" s="80"/>
    </row>
    <row r="1169" spans="2:3" ht="20.25" customHeight="1" x14ac:dyDescent="0.25">
      <c r="B1169" s="83"/>
      <c r="C1169" s="80"/>
    </row>
    <row r="1170" spans="2:3" ht="20.25" customHeight="1" x14ac:dyDescent="0.25">
      <c r="B1170" s="83"/>
      <c r="C1170" s="80"/>
    </row>
    <row r="1171" spans="2:3" ht="20.25" customHeight="1" x14ac:dyDescent="0.25">
      <c r="B1171" s="83"/>
      <c r="C1171" s="80"/>
    </row>
    <row r="1172" spans="2:3" ht="20.25" customHeight="1" x14ac:dyDescent="0.25">
      <c r="B1172" s="83"/>
      <c r="C1172" s="80"/>
    </row>
    <row r="1173" spans="2:3" ht="20.25" customHeight="1" x14ac:dyDescent="0.25">
      <c r="B1173" s="83"/>
      <c r="C1173" s="80"/>
    </row>
    <row r="1174" spans="2:3" ht="20.25" customHeight="1" x14ac:dyDescent="0.25">
      <c r="B1174" s="83"/>
      <c r="C1174" s="80"/>
    </row>
    <row r="1175" spans="2:3" ht="20.25" customHeight="1" x14ac:dyDescent="0.25">
      <c r="B1175" s="83"/>
      <c r="C1175" s="80"/>
    </row>
    <row r="1176" spans="2:3" ht="20.25" customHeight="1" x14ac:dyDescent="0.25">
      <c r="B1176" s="83"/>
      <c r="C1176" s="80"/>
    </row>
    <row r="1177" spans="2:3" ht="20.25" customHeight="1" x14ac:dyDescent="0.25">
      <c r="B1177" s="83"/>
      <c r="C1177" s="80"/>
    </row>
    <row r="1178" spans="2:3" ht="20.25" customHeight="1" x14ac:dyDescent="0.25">
      <c r="B1178" s="83"/>
      <c r="C1178" s="80"/>
    </row>
    <row r="1179" spans="2:3" ht="20.25" customHeight="1" x14ac:dyDescent="0.25">
      <c r="B1179" s="83"/>
      <c r="C1179" s="80"/>
    </row>
    <row r="1180" spans="2:3" ht="20.25" customHeight="1" x14ac:dyDescent="0.25">
      <c r="B1180" s="83"/>
      <c r="C1180" s="80"/>
    </row>
    <row r="1181" spans="2:3" ht="20.25" customHeight="1" x14ac:dyDescent="0.25">
      <c r="B1181" s="83"/>
      <c r="C1181" s="80"/>
    </row>
    <row r="1182" spans="2:3" ht="20.25" customHeight="1" x14ac:dyDescent="0.25">
      <c r="B1182" s="83"/>
      <c r="C1182" s="80"/>
    </row>
    <row r="1183" spans="2:3" ht="20.25" customHeight="1" x14ac:dyDescent="0.25">
      <c r="B1183" s="83"/>
      <c r="C1183" s="80"/>
    </row>
    <row r="1184" spans="2:3" ht="20.25" customHeight="1" x14ac:dyDescent="0.25">
      <c r="B1184" s="83"/>
      <c r="C1184" s="80"/>
    </row>
    <row r="1185" spans="2:3" ht="20.25" customHeight="1" x14ac:dyDescent="0.25">
      <c r="B1185" s="83"/>
      <c r="C1185" s="80"/>
    </row>
    <row r="1186" spans="2:3" ht="20.25" customHeight="1" x14ac:dyDescent="0.25">
      <c r="B1186" s="83"/>
      <c r="C1186" s="80"/>
    </row>
    <row r="1187" spans="2:3" ht="20.25" customHeight="1" x14ac:dyDescent="0.25">
      <c r="B1187" s="83"/>
      <c r="C1187" s="80"/>
    </row>
    <row r="1188" spans="2:3" ht="20.25" customHeight="1" x14ac:dyDescent="0.25">
      <c r="B1188" s="83"/>
      <c r="C1188" s="80"/>
    </row>
    <row r="1189" spans="2:3" ht="20.25" customHeight="1" x14ac:dyDescent="0.25">
      <c r="B1189" s="83"/>
      <c r="C1189" s="80"/>
    </row>
    <row r="1190" spans="2:3" ht="20.25" customHeight="1" x14ac:dyDescent="0.25">
      <c r="B1190" s="83"/>
      <c r="C1190" s="80"/>
    </row>
    <row r="1191" spans="2:3" ht="20.25" customHeight="1" x14ac:dyDescent="0.25">
      <c r="B1191" s="83"/>
      <c r="C1191" s="80"/>
    </row>
    <row r="1192" spans="2:3" ht="20.25" customHeight="1" x14ac:dyDescent="0.25">
      <c r="B1192" s="83"/>
      <c r="C1192" s="80"/>
    </row>
    <row r="1193" spans="2:3" ht="20.25" customHeight="1" x14ac:dyDescent="0.25">
      <c r="B1193" s="83"/>
      <c r="C1193" s="80"/>
    </row>
    <row r="1194" spans="2:3" ht="20.25" customHeight="1" x14ac:dyDescent="0.25">
      <c r="B1194" s="83"/>
      <c r="C1194" s="80"/>
    </row>
    <row r="1195" spans="2:3" ht="20.25" customHeight="1" x14ac:dyDescent="0.25">
      <c r="B1195" s="83"/>
      <c r="C1195" s="80"/>
    </row>
    <row r="1196" spans="2:3" ht="20.25" customHeight="1" x14ac:dyDescent="0.25">
      <c r="B1196" s="83"/>
      <c r="C1196" s="80"/>
    </row>
    <row r="1197" spans="2:3" ht="20.25" customHeight="1" x14ac:dyDescent="0.25">
      <c r="B1197" s="83"/>
      <c r="C1197" s="80"/>
    </row>
    <row r="1198" spans="2:3" ht="20.25" customHeight="1" x14ac:dyDescent="0.25">
      <c r="B1198" s="83"/>
      <c r="C1198" s="80"/>
    </row>
    <row r="1199" spans="2:3" ht="20.25" customHeight="1" x14ac:dyDescent="0.25">
      <c r="B1199" s="83"/>
      <c r="C1199" s="80"/>
    </row>
    <row r="1200" spans="2:3" ht="20.25" customHeight="1" x14ac:dyDescent="0.25">
      <c r="B1200" s="83"/>
      <c r="C1200" s="80"/>
    </row>
    <row r="1201" spans="2:3" ht="20.25" customHeight="1" x14ac:dyDescent="0.25">
      <c r="B1201" s="83"/>
      <c r="C1201" s="80"/>
    </row>
    <row r="1202" spans="2:3" ht="20.25" customHeight="1" x14ac:dyDescent="0.25">
      <c r="B1202" s="83"/>
      <c r="C1202" s="80"/>
    </row>
    <row r="1203" spans="2:3" ht="20.25" customHeight="1" x14ac:dyDescent="0.25">
      <c r="B1203" s="83"/>
      <c r="C1203" s="80"/>
    </row>
    <row r="1204" spans="2:3" ht="20.25" customHeight="1" x14ac:dyDescent="0.25">
      <c r="B1204" s="83"/>
      <c r="C1204" s="80"/>
    </row>
    <row r="1205" spans="2:3" ht="20.25" customHeight="1" x14ac:dyDescent="0.25">
      <c r="B1205" s="83"/>
      <c r="C1205" s="80"/>
    </row>
    <row r="1206" spans="2:3" ht="20.25" customHeight="1" x14ac:dyDescent="0.25">
      <c r="B1206" s="83"/>
      <c r="C1206" s="80"/>
    </row>
    <row r="1207" spans="2:3" ht="20.25" customHeight="1" x14ac:dyDescent="0.25">
      <c r="B1207" s="83"/>
      <c r="C1207" s="80"/>
    </row>
    <row r="1208" spans="2:3" ht="20.25" customHeight="1" x14ac:dyDescent="0.25">
      <c r="B1208" s="83"/>
      <c r="C1208" s="80"/>
    </row>
    <row r="1209" spans="2:3" ht="20.25" customHeight="1" x14ac:dyDescent="0.25">
      <c r="B1209" s="83"/>
      <c r="C1209" s="80"/>
    </row>
    <row r="1210" spans="2:3" ht="20.25" customHeight="1" x14ac:dyDescent="0.25">
      <c r="B1210" s="83"/>
      <c r="C1210" s="80"/>
    </row>
    <row r="1211" spans="2:3" ht="20.25" customHeight="1" x14ac:dyDescent="0.25">
      <c r="B1211" s="83"/>
      <c r="C1211" s="80"/>
    </row>
    <row r="1212" spans="2:3" ht="20.25" customHeight="1" x14ac:dyDescent="0.25">
      <c r="B1212" s="83"/>
      <c r="C1212" s="80"/>
    </row>
    <row r="1213" spans="2:3" ht="20.25" customHeight="1" x14ac:dyDescent="0.25">
      <c r="B1213" s="83"/>
      <c r="C1213" s="80"/>
    </row>
    <row r="1214" spans="2:3" ht="20.25" customHeight="1" x14ac:dyDescent="0.25">
      <c r="B1214" s="83"/>
      <c r="C1214" s="80"/>
    </row>
    <row r="1215" spans="2:3" ht="20.25" customHeight="1" x14ac:dyDescent="0.25">
      <c r="B1215" s="83"/>
      <c r="C1215" s="80"/>
    </row>
    <row r="1216" spans="2:3" ht="20.25" customHeight="1" x14ac:dyDescent="0.25">
      <c r="B1216" s="83"/>
      <c r="C1216" s="80"/>
    </row>
    <row r="1217" spans="2:3" ht="20.25" customHeight="1" x14ac:dyDescent="0.25">
      <c r="B1217" s="83"/>
      <c r="C1217" s="80"/>
    </row>
    <row r="1218" spans="2:3" ht="20.25" customHeight="1" x14ac:dyDescent="0.25">
      <c r="B1218" s="83"/>
      <c r="C1218" s="80"/>
    </row>
    <row r="1219" spans="2:3" ht="20.25" customHeight="1" x14ac:dyDescent="0.25">
      <c r="B1219" s="83"/>
      <c r="C1219" s="80"/>
    </row>
    <row r="1220" spans="2:3" ht="20.25" customHeight="1" x14ac:dyDescent="0.25">
      <c r="B1220" s="83"/>
      <c r="C1220" s="80"/>
    </row>
    <row r="1221" spans="2:3" ht="20.25" customHeight="1" x14ac:dyDescent="0.25">
      <c r="B1221" s="83"/>
      <c r="C1221" s="80"/>
    </row>
    <row r="1222" spans="2:3" ht="20.25" customHeight="1" x14ac:dyDescent="0.25">
      <c r="B1222" s="83"/>
      <c r="C1222" s="80"/>
    </row>
    <row r="1223" spans="2:3" ht="20.25" customHeight="1" x14ac:dyDescent="0.25">
      <c r="B1223" s="83"/>
      <c r="C1223" s="80"/>
    </row>
    <row r="1224" spans="2:3" ht="20.25" customHeight="1" x14ac:dyDescent="0.25">
      <c r="B1224" s="83"/>
      <c r="C1224" s="80"/>
    </row>
    <row r="1225" spans="2:3" ht="20.25" customHeight="1" x14ac:dyDescent="0.25">
      <c r="B1225" s="83"/>
      <c r="C1225" s="80"/>
    </row>
    <row r="1226" spans="2:3" ht="20.25" customHeight="1" x14ac:dyDescent="0.25">
      <c r="B1226" s="83"/>
      <c r="C1226" s="80"/>
    </row>
    <row r="1227" spans="2:3" ht="20.25" customHeight="1" x14ac:dyDescent="0.25">
      <c r="B1227" s="83"/>
      <c r="C1227" s="80"/>
    </row>
    <row r="1228" spans="2:3" ht="20.25" customHeight="1" x14ac:dyDescent="0.25">
      <c r="B1228" s="83"/>
      <c r="C1228" s="80"/>
    </row>
    <row r="1229" spans="2:3" ht="20.25" customHeight="1" x14ac:dyDescent="0.25">
      <c r="B1229" s="83"/>
      <c r="C1229" s="80"/>
    </row>
    <row r="1230" spans="2:3" ht="20.25" customHeight="1" x14ac:dyDescent="0.25">
      <c r="B1230" s="83"/>
      <c r="C1230" s="80"/>
    </row>
    <row r="1231" spans="2:3" ht="20.25" customHeight="1" x14ac:dyDescent="0.25">
      <c r="B1231" s="83"/>
      <c r="C1231" s="80"/>
    </row>
    <row r="1232" spans="2:3" ht="20.25" customHeight="1" x14ac:dyDescent="0.25">
      <c r="B1232" s="83"/>
      <c r="C1232" s="80"/>
    </row>
    <row r="1233" spans="2:3" ht="20.25" customHeight="1" x14ac:dyDescent="0.25">
      <c r="B1233" s="83"/>
      <c r="C1233" s="80"/>
    </row>
    <row r="1234" spans="2:3" ht="20.25" customHeight="1" x14ac:dyDescent="0.25">
      <c r="B1234" s="83"/>
      <c r="C1234" s="80"/>
    </row>
    <row r="1235" spans="2:3" ht="20.25" customHeight="1" x14ac:dyDescent="0.25">
      <c r="B1235" s="83"/>
      <c r="C1235" s="80"/>
    </row>
    <row r="1236" spans="2:3" ht="20.25" customHeight="1" x14ac:dyDescent="0.25">
      <c r="B1236" s="83"/>
      <c r="C1236" s="80"/>
    </row>
    <row r="1237" spans="2:3" ht="20.25" customHeight="1" x14ac:dyDescent="0.25">
      <c r="B1237" s="83"/>
      <c r="C1237" s="80"/>
    </row>
    <row r="1238" spans="2:3" ht="20.25" customHeight="1" x14ac:dyDescent="0.25">
      <c r="B1238" s="83"/>
      <c r="C1238" s="80"/>
    </row>
    <row r="1239" spans="2:3" ht="20.25" customHeight="1" x14ac:dyDescent="0.25">
      <c r="B1239" s="83"/>
      <c r="C1239" s="80"/>
    </row>
    <row r="1240" spans="2:3" ht="20.25" customHeight="1" x14ac:dyDescent="0.25">
      <c r="B1240" s="83"/>
      <c r="C1240" s="80"/>
    </row>
    <row r="1241" spans="2:3" ht="20.25" customHeight="1" x14ac:dyDescent="0.25">
      <c r="B1241" s="83"/>
      <c r="C1241" s="80"/>
    </row>
    <row r="1242" spans="2:3" ht="20.25" customHeight="1" x14ac:dyDescent="0.25">
      <c r="B1242" s="83"/>
      <c r="C1242" s="80"/>
    </row>
    <row r="1243" spans="2:3" ht="20.25" customHeight="1" x14ac:dyDescent="0.25">
      <c r="B1243" s="83"/>
      <c r="C1243" s="80"/>
    </row>
    <row r="1244" spans="2:3" ht="20.25" customHeight="1" x14ac:dyDescent="0.25">
      <c r="B1244" s="83"/>
      <c r="C1244" s="80"/>
    </row>
    <row r="1245" spans="2:3" ht="20.25" customHeight="1" x14ac:dyDescent="0.25">
      <c r="B1245" s="83"/>
      <c r="C1245" s="80"/>
    </row>
    <row r="1246" spans="2:3" ht="20.25" customHeight="1" x14ac:dyDescent="0.25">
      <c r="B1246" s="83"/>
      <c r="C1246" s="80"/>
    </row>
    <row r="1247" spans="2:3" ht="20.25" customHeight="1" x14ac:dyDescent="0.25">
      <c r="B1247" s="83"/>
      <c r="C1247" s="80"/>
    </row>
    <row r="1248" spans="2:3" ht="20.25" customHeight="1" x14ac:dyDescent="0.25">
      <c r="B1248" s="83"/>
      <c r="C1248" s="80"/>
    </row>
    <row r="1249" spans="2:3" ht="20.25" customHeight="1" x14ac:dyDescent="0.25">
      <c r="B1249" s="83"/>
      <c r="C1249" s="80"/>
    </row>
    <row r="1250" spans="2:3" ht="20.25" customHeight="1" x14ac:dyDescent="0.25">
      <c r="B1250" s="83"/>
      <c r="C1250" s="80"/>
    </row>
    <row r="1251" spans="2:3" ht="20.25" customHeight="1" x14ac:dyDescent="0.25">
      <c r="B1251" s="83"/>
      <c r="C1251" s="80"/>
    </row>
    <row r="1252" spans="2:3" ht="20.25" customHeight="1" x14ac:dyDescent="0.25">
      <c r="B1252" s="83"/>
      <c r="C1252" s="80"/>
    </row>
    <row r="1253" spans="2:3" ht="20.25" customHeight="1" x14ac:dyDescent="0.25">
      <c r="B1253" s="83"/>
      <c r="C1253" s="80"/>
    </row>
    <row r="1254" spans="2:3" ht="20.25" customHeight="1" x14ac:dyDescent="0.25">
      <c r="B1254" s="83"/>
      <c r="C1254" s="80"/>
    </row>
    <row r="1255" spans="2:3" ht="20.25" customHeight="1" x14ac:dyDescent="0.25">
      <c r="B1255" s="83"/>
      <c r="C1255" s="80"/>
    </row>
    <row r="1256" spans="2:3" ht="20.25" customHeight="1" x14ac:dyDescent="0.25">
      <c r="B1256" s="83"/>
      <c r="C1256" s="80"/>
    </row>
    <row r="1257" spans="2:3" ht="20.25" customHeight="1" x14ac:dyDescent="0.25">
      <c r="B1257" s="83"/>
      <c r="C1257" s="80"/>
    </row>
    <row r="1258" spans="2:3" ht="20.25" customHeight="1" x14ac:dyDescent="0.25">
      <c r="B1258" s="83"/>
      <c r="C1258" s="80"/>
    </row>
    <row r="1259" spans="2:3" ht="20.25" customHeight="1" x14ac:dyDescent="0.25">
      <c r="B1259" s="83"/>
      <c r="C1259" s="80"/>
    </row>
    <row r="1260" spans="2:3" ht="20.25" customHeight="1" x14ac:dyDescent="0.25">
      <c r="B1260" s="83"/>
      <c r="C1260" s="80"/>
    </row>
    <row r="1261" spans="2:3" ht="20.25" customHeight="1" x14ac:dyDescent="0.25">
      <c r="B1261" s="83"/>
      <c r="C1261" s="80"/>
    </row>
    <row r="1262" spans="2:3" ht="20.25" customHeight="1" x14ac:dyDescent="0.25">
      <c r="B1262" s="83"/>
      <c r="C1262" s="80"/>
    </row>
    <row r="1263" spans="2:3" ht="20.25" customHeight="1" x14ac:dyDescent="0.25">
      <c r="B1263" s="83"/>
      <c r="C1263" s="80"/>
    </row>
    <row r="1264" spans="2:3" ht="20.25" customHeight="1" x14ac:dyDescent="0.25">
      <c r="B1264" s="83"/>
      <c r="C1264" s="80"/>
    </row>
    <row r="1265" spans="2:3" ht="20.25" customHeight="1" x14ac:dyDescent="0.25">
      <c r="B1265" s="83"/>
      <c r="C1265" s="80"/>
    </row>
    <row r="1266" spans="2:3" ht="20.25" customHeight="1" x14ac:dyDescent="0.25">
      <c r="B1266" s="83"/>
      <c r="C1266" s="80"/>
    </row>
    <row r="1267" spans="2:3" ht="20.25" customHeight="1" x14ac:dyDescent="0.25">
      <c r="B1267" s="83"/>
      <c r="C1267" s="80"/>
    </row>
    <row r="1268" spans="2:3" ht="20.25" customHeight="1" x14ac:dyDescent="0.25">
      <c r="B1268" s="83"/>
      <c r="C1268" s="80"/>
    </row>
    <row r="1269" spans="2:3" ht="20.25" customHeight="1" x14ac:dyDescent="0.25">
      <c r="B1269" s="83"/>
      <c r="C1269" s="80"/>
    </row>
    <row r="1270" spans="2:3" ht="20.25" customHeight="1" x14ac:dyDescent="0.25">
      <c r="B1270" s="83"/>
      <c r="C1270" s="80"/>
    </row>
    <row r="1271" spans="2:3" ht="20.25" customHeight="1" x14ac:dyDescent="0.25">
      <c r="B1271" s="83"/>
      <c r="C1271" s="80"/>
    </row>
    <row r="1272" spans="2:3" ht="20.25" customHeight="1" x14ac:dyDescent="0.25">
      <c r="B1272" s="83"/>
      <c r="C1272" s="80"/>
    </row>
    <row r="1273" spans="2:3" ht="20.25" customHeight="1" x14ac:dyDescent="0.25">
      <c r="B1273" s="83"/>
      <c r="C1273" s="80"/>
    </row>
    <row r="1274" spans="2:3" ht="20.25" customHeight="1" x14ac:dyDescent="0.25">
      <c r="B1274" s="83"/>
      <c r="C1274" s="80"/>
    </row>
    <row r="1275" spans="2:3" ht="20.25" customHeight="1" x14ac:dyDescent="0.25">
      <c r="B1275" s="83"/>
      <c r="C1275" s="80"/>
    </row>
    <row r="1276" spans="2:3" ht="20.25" customHeight="1" x14ac:dyDescent="0.25">
      <c r="B1276" s="83"/>
      <c r="C1276" s="80"/>
    </row>
    <row r="1277" spans="2:3" ht="20.25" customHeight="1" x14ac:dyDescent="0.25">
      <c r="B1277" s="83"/>
      <c r="C1277" s="80"/>
    </row>
    <row r="1278" spans="2:3" ht="20.25" customHeight="1" x14ac:dyDescent="0.25">
      <c r="B1278" s="83"/>
      <c r="C1278" s="80"/>
    </row>
    <row r="1279" spans="2:3" ht="20.25" customHeight="1" x14ac:dyDescent="0.25">
      <c r="B1279" s="83"/>
      <c r="C1279" s="80"/>
    </row>
    <row r="1280" spans="2:3" ht="20.25" customHeight="1" x14ac:dyDescent="0.25">
      <c r="B1280" s="83"/>
      <c r="C1280" s="80"/>
    </row>
    <row r="1281" spans="2:3" ht="20.25" customHeight="1" x14ac:dyDescent="0.25">
      <c r="B1281" s="83"/>
      <c r="C1281" s="80"/>
    </row>
    <row r="1282" spans="2:3" ht="20.25" customHeight="1" x14ac:dyDescent="0.25">
      <c r="B1282" s="83"/>
      <c r="C1282" s="80"/>
    </row>
    <row r="1283" spans="2:3" ht="20.25" customHeight="1" x14ac:dyDescent="0.25">
      <c r="B1283" s="83"/>
      <c r="C1283" s="80"/>
    </row>
  </sheetData>
  <mergeCells count="1">
    <mergeCell ref="A2:G2"/>
  </mergeCells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zoomScaleNormal="100" workbookViewId="0">
      <selection activeCell="D10" sqref="D10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8" width="26.44140625" style="24" bestFit="1" customWidth="1"/>
    <col min="9" max="16384" width="11.44140625" style="24"/>
  </cols>
  <sheetData>
    <row r="1" spans="1:9" ht="13.8" x14ac:dyDescent="0.25"/>
    <row r="2" spans="1:9" ht="14.4" thickBot="1" x14ac:dyDescent="0.3"/>
    <row r="3" spans="1:9" ht="38.25" customHeight="1" x14ac:dyDescent="0.25">
      <c r="A3" s="349" t="s">
        <v>12</v>
      </c>
      <c r="B3" s="350"/>
      <c r="C3" s="350"/>
      <c r="D3" s="350"/>
      <c r="E3" s="355"/>
    </row>
    <row r="4" spans="1:9" ht="38.25" customHeight="1" x14ac:dyDescent="0.25">
      <c r="A4" s="356" t="s">
        <v>55</v>
      </c>
      <c r="B4" s="357"/>
      <c r="C4" s="357"/>
      <c r="D4" s="357"/>
      <c r="E4" s="358"/>
      <c r="F4" s="160"/>
      <c r="G4" s="160"/>
      <c r="H4" s="160"/>
      <c r="I4" s="160"/>
    </row>
    <row r="5" spans="1:9" ht="55.2" x14ac:dyDescent="0.25">
      <c r="A5" s="158" t="s">
        <v>93</v>
      </c>
      <c r="B5" s="159" t="str">
        <f>IFERROR(AVERAGEIF(B10:B21,"&lt;&gt;0"),"0")</f>
        <v>0</v>
      </c>
      <c r="D5" s="158" t="s">
        <v>182</v>
      </c>
      <c r="E5" s="143" t="str">
        <f>IFERROR(AVERAGEIF($D10:$D21,"&lt;&gt;0"),"0")</f>
        <v>0</v>
      </c>
      <c r="F5" s="143" t="str">
        <f>IFERROR(AVERAGEIF($D10:$D21,"&lt;&gt;0"),"0")</f>
        <v>0</v>
      </c>
      <c r="G5" s="143" t="str">
        <f>IFERROR(AVERAGEIF($D10:$D21,"&lt;&gt;0"),"0")</f>
        <v>0</v>
      </c>
      <c r="H5" s="143" t="str">
        <f>IFERROR(AVERAGEIF($D10:$D21,"&lt;&gt;0"),"0")</f>
        <v>0</v>
      </c>
    </row>
    <row r="6" spans="1:9" s="59" customFormat="1" ht="34.5" customHeight="1" x14ac:dyDescent="0.3">
      <c r="A6" s="40" t="s">
        <v>94</v>
      </c>
      <c r="B6" s="87">
        <f>IFERROR(MAX(B10:B21),"0")</f>
        <v>0</v>
      </c>
      <c r="C6" s="57"/>
      <c r="D6" s="55" t="s">
        <v>95</v>
      </c>
      <c r="E6" s="144">
        <f>IFERROR(($B$5*E5)/2,"0")</f>
        <v>0</v>
      </c>
      <c r="F6" s="144">
        <f>IFERROR((B5*F5)/2,"0")</f>
        <v>0</v>
      </c>
      <c r="G6" s="144">
        <f>IFERROR((B5*G5),"0")</f>
        <v>0</v>
      </c>
      <c r="H6" s="144">
        <f>IFERROR(B5*H5,"0")</f>
        <v>0</v>
      </c>
    </row>
    <row r="7" spans="1:9" s="59" customFormat="1" ht="35.25" customHeight="1" x14ac:dyDescent="0.3">
      <c r="C7" s="57"/>
      <c r="D7" s="55" t="s">
        <v>96</v>
      </c>
      <c r="E7" s="143" t="str">
        <f>IFERROR((AVERAGEIF(D10:D21,"&lt;&gt;0")*$B$6)/2,"0")</f>
        <v>0</v>
      </c>
      <c r="F7" s="143" t="str">
        <f>+E7</f>
        <v>0</v>
      </c>
      <c r="G7" s="143" t="str">
        <f>IFERROR(AVERAGEIF(D10:D21,"&lt;&gt;0")*$B$6,"0")</f>
        <v>0</v>
      </c>
      <c r="H7" s="143" t="str">
        <f>IFERROR(AVERAGEIF(D10:D21,"&lt;&gt;0")*$B$6,"0")</f>
        <v>0</v>
      </c>
    </row>
    <row r="9" spans="1:9" ht="47.25" customHeight="1" x14ac:dyDescent="0.25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5">
      <c r="A10" s="99"/>
      <c r="B10" s="117"/>
      <c r="C10" s="144"/>
      <c r="D10" s="100" t="str">
        <f>IFERROR(C10/B10,"")</f>
        <v/>
      </c>
    </row>
    <row r="11" spans="1:9" ht="28.2" customHeight="1" x14ac:dyDescent="0.25">
      <c r="A11" s="99"/>
      <c r="B11" s="117"/>
      <c r="C11" s="144"/>
      <c r="D11" s="144" t="str">
        <f t="shared" ref="D11:D22" si="0">IFERROR(C11/B11,"")</f>
        <v/>
      </c>
    </row>
    <row r="12" spans="1:9" ht="28.2" customHeight="1" x14ac:dyDescent="0.25">
      <c r="A12" s="99"/>
      <c r="B12" s="117"/>
      <c r="C12" s="144"/>
      <c r="D12" s="144" t="str">
        <f t="shared" si="0"/>
        <v/>
      </c>
    </row>
    <row r="13" spans="1:9" ht="28.2" customHeight="1" x14ac:dyDescent="0.25">
      <c r="A13" s="99"/>
      <c r="B13" s="117"/>
      <c r="C13" s="144"/>
      <c r="D13" s="144" t="str">
        <f t="shared" si="0"/>
        <v/>
      </c>
    </row>
    <row r="14" spans="1:9" ht="28.2" customHeight="1" x14ac:dyDescent="0.25">
      <c r="A14" s="99"/>
      <c r="B14" s="117"/>
      <c r="C14" s="144"/>
      <c r="D14" s="144" t="str">
        <f t="shared" si="0"/>
        <v/>
      </c>
    </row>
    <row r="15" spans="1:9" ht="28.2" customHeight="1" x14ac:dyDescent="0.25">
      <c r="A15" s="99"/>
      <c r="B15" s="117"/>
      <c r="C15" s="144"/>
      <c r="D15" s="144" t="str">
        <f t="shared" si="0"/>
        <v/>
      </c>
    </row>
    <row r="16" spans="1:9" ht="28.2" customHeight="1" x14ac:dyDescent="0.25">
      <c r="A16" s="99"/>
      <c r="B16" s="117"/>
      <c r="C16" s="144"/>
      <c r="D16" s="144" t="str">
        <f t="shared" si="0"/>
        <v/>
      </c>
    </row>
    <row r="17" spans="1:6" ht="28.2" customHeight="1" x14ac:dyDescent="0.25">
      <c r="A17" s="99"/>
      <c r="B17" s="117"/>
      <c r="C17" s="144"/>
      <c r="D17" s="144" t="str">
        <f t="shared" si="0"/>
        <v/>
      </c>
    </row>
    <row r="18" spans="1:6" ht="28.2" customHeight="1" x14ac:dyDescent="0.25">
      <c r="A18" s="99"/>
      <c r="B18" s="117"/>
      <c r="C18" s="144"/>
      <c r="D18" s="144" t="str">
        <f t="shared" si="0"/>
        <v/>
      </c>
    </row>
    <row r="19" spans="1:6" ht="28.2" customHeight="1" x14ac:dyDescent="0.25">
      <c r="A19" s="99"/>
      <c r="B19" s="117"/>
      <c r="C19" s="144"/>
      <c r="D19" s="144" t="str">
        <f t="shared" si="0"/>
        <v/>
      </c>
      <c r="F19" s="92"/>
    </row>
    <row r="20" spans="1:6" ht="28.2" customHeight="1" x14ac:dyDescent="0.25">
      <c r="A20" s="99"/>
      <c r="B20" s="118"/>
      <c r="C20" s="144"/>
      <c r="D20" s="144" t="str">
        <f t="shared" si="0"/>
        <v/>
      </c>
      <c r="F20" s="92"/>
    </row>
    <row r="21" spans="1:6" ht="28.2" customHeight="1" x14ac:dyDescent="0.25">
      <c r="A21" s="99"/>
      <c r="B21" s="119"/>
      <c r="C21" s="144"/>
      <c r="D21" s="144" t="str">
        <f t="shared" si="0"/>
        <v/>
      </c>
      <c r="F21" s="92"/>
    </row>
    <row r="22" spans="1:6" ht="28.2" customHeight="1" x14ac:dyDescent="0.25">
      <c r="A22" s="99"/>
      <c r="B22" s="173"/>
      <c r="C22" s="43"/>
      <c r="D22" s="43" t="str">
        <f t="shared" si="0"/>
        <v/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A22" sqref="A22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5" width="25.5546875" style="24" customWidth="1"/>
    <col min="6" max="6" width="25" style="24" bestFit="1" customWidth="1"/>
    <col min="7" max="8" width="28.5546875" style="24" bestFit="1" customWidth="1"/>
    <col min="9" max="16384" width="11.44140625" style="24"/>
  </cols>
  <sheetData>
    <row r="1" spans="1:8" ht="13.8" x14ac:dyDescent="0.25"/>
    <row r="2" spans="1:8" ht="14.4" thickBot="1" x14ac:dyDescent="0.3"/>
    <row r="3" spans="1:8" ht="38.25" customHeight="1" thickBot="1" x14ac:dyDescent="0.3">
      <c r="A3" s="334" t="s">
        <v>101</v>
      </c>
      <c r="B3" s="335"/>
      <c r="C3" s="335"/>
      <c r="D3" s="335"/>
      <c r="E3" s="336"/>
    </row>
    <row r="4" spans="1:8" ht="13.8" x14ac:dyDescent="0.25"/>
    <row r="5" spans="1:8" ht="55.2" x14ac:dyDescent="0.25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3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3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7" customHeight="1" x14ac:dyDescent="0.25">
      <c r="C8" s="162" t="s">
        <v>186</v>
      </c>
    </row>
    <row r="9" spans="1:8" ht="52.2" customHeight="1" x14ac:dyDescent="0.25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2" customHeight="1" x14ac:dyDescent="0.25">
      <c r="A10" s="99"/>
      <c r="B10" s="36"/>
      <c r="C10" s="52"/>
      <c r="D10" s="64" t="str">
        <f>IFERROR(C10/B10,"")</f>
        <v/>
      </c>
    </row>
    <row r="11" spans="1:8" ht="28.2" customHeight="1" x14ac:dyDescent="0.25">
      <c r="A11" s="99"/>
      <c r="B11" s="36"/>
      <c r="C11" s="52"/>
      <c r="D11" s="64" t="str">
        <f t="shared" ref="D11:D22" si="0">IFERROR(C11/B11,"")</f>
        <v/>
      </c>
    </row>
    <row r="12" spans="1:8" ht="28.2" customHeight="1" x14ac:dyDescent="0.25">
      <c r="A12" s="99"/>
      <c r="B12" s="36"/>
      <c r="C12" s="52"/>
      <c r="D12" s="64" t="str">
        <f t="shared" si="0"/>
        <v/>
      </c>
    </row>
    <row r="13" spans="1:8" ht="28.2" customHeight="1" x14ac:dyDescent="0.25">
      <c r="A13" s="99"/>
      <c r="B13" s="36"/>
      <c r="C13" s="52"/>
      <c r="D13" s="64" t="str">
        <f t="shared" si="0"/>
        <v/>
      </c>
    </row>
    <row r="14" spans="1:8" ht="28.2" customHeight="1" x14ac:dyDescent="0.25">
      <c r="A14" s="99"/>
      <c r="B14" s="36"/>
      <c r="C14" s="52"/>
      <c r="D14" s="64" t="str">
        <f t="shared" si="0"/>
        <v/>
      </c>
    </row>
    <row r="15" spans="1:8" ht="28.2" customHeight="1" x14ac:dyDescent="0.25">
      <c r="A15" s="99"/>
      <c r="B15" s="36"/>
      <c r="C15" s="52"/>
      <c r="D15" s="64" t="str">
        <f t="shared" si="0"/>
        <v/>
      </c>
    </row>
    <row r="16" spans="1:8" ht="28.2" customHeight="1" x14ac:dyDescent="0.25">
      <c r="A16" s="99"/>
      <c r="B16" s="36"/>
      <c r="C16" s="52"/>
      <c r="D16" s="64" t="str">
        <f t="shared" si="0"/>
        <v/>
      </c>
    </row>
    <row r="17" spans="1:6" ht="28.2" customHeight="1" x14ac:dyDescent="0.25">
      <c r="A17" s="99"/>
      <c r="B17" s="36"/>
      <c r="C17" s="64"/>
      <c r="D17" s="64" t="str">
        <f t="shared" si="0"/>
        <v/>
      </c>
    </row>
    <row r="18" spans="1:6" ht="28.2" customHeight="1" x14ac:dyDescent="0.25">
      <c r="A18" s="99"/>
      <c r="B18" s="36"/>
      <c r="C18" s="64"/>
      <c r="D18" s="64" t="str">
        <f t="shared" si="0"/>
        <v/>
      </c>
      <c r="F18" s="92"/>
    </row>
    <row r="19" spans="1:6" ht="28.2" customHeight="1" x14ac:dyDescent="0.25">
      <c r="A19" s="99"/>
      <c r="B19" s="36"/>
      <c r="C19" s="64"/>
      <c r="D19" s="64" t="str">
        <f t="shared" si="0"/>
        <v/>
      </c>
      <c r="F19" s="92"/>
    </row>
    <row r="20" spans="1:6" ht="28.2" customHeight="1" x14ac:dyDescent="0.25">
      <c r="A20" s="99"/>
      <c r="B20" s="36"/>
      <c r="C20" s="52"/>
      <c r="D20" s="64" t="str">
        <f t="shared" si="0"/>
        <v/>
      </c>
      <c r="F20" s="92"/>
    </row>
    <row r="21" spans="1:6" ht="28.2" customHeight="1" x14ac:dyDescent="0.25">
      <c r="A21" s="99"/>
      <c r="B21" s="36"/>
      <c r="C21" s="52"/>
      <c r="D21" s="64" t="str">
        <f t="shared" si="0"/>
        <v/>
      </c>
      <c r="F21" s="92"/>
    </row>
    <row r="22" spans="1:6" ht="28.2" customHeight="1" x14ac:dyDescent="0.25">
      <c r="A22" s="99"/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5" sqref="B15"/>
    </sheetView>
  </sheetViews>
  <sheetFormatPr baseColWidth="10" defaultColWidth="11.44140625" defaultRowHeight="20.25" customHeight="1" x14ac:dyDescent="0.25"/>
  <cols>
    <col min="1" max="1" width="36.5546875" style="24" bestFit="1" customWidth="1"/>
    <col min="2" max="2" width="28.5546875" style="24" bestFit="1" customWidth="1"/>
    <col min="3" max="5" width="23.44140625" style="24" bestFit="1" customWidth="1"/>
    <col min="6" max="6" width="27.6640625" style="24" customWidth="1"/>
    <col min="7" max="7" width="31.33203125" style="24" customWidth="1"/>
    <col min="8" max="16384" width="11.44140625" style="24"/>
  </cols>
  <sheetData>
    <row r="1" spans="1:7" ht="13.8" x14ac:dyDescent="0.25"/>
    <row r="2" spans="1:7" ht="17.25" customHeight="1" thickBot="1" x14ac:dyDescent="0.3"/>
    <row r="3" spans="1:7" ht="38.25" customHeight="1" thickBot="1" x14ac:dyDescent="0.3">
      <c r="A3" s="334" t="s">
        <v>139</v>
      </c>
      <c r="B3" s="335"/>
      <c r="C3" s="335"/>
      <c r="D3" s="336"/>
    </row>
    <row r="4" spans="1:7" s="164" customFormat="1" ht="38.25" customHeight="1" x14ac:dyDescent="0.25">
      <c r="A4" s="163"/>
      <c r="C4" s="163"/>
      <c r="D4" s="163"/>
    </row>
    <row r="5" spans="1:7" s="164" customFormat="1" ht="38.25" customHeight="1" x14ac:dyDescent="0.25">
      <c r="A5" s="163"/>
      <c r="C5" s="163"/>
      <c r="D5" s="163"/>
    </row>
    <row r="6" spans="1:7" ht="13.8" x14ac:dyDescent="0.25">
      <c r="A6" s="78" t="s">
        <v>190</v>
      </c>
      <c r="B6" s="166">
        <v>44561</v>
      </c>
      <c r="C6" s="112">
        <v>44408</v>
      </c>
      <c r="D6" s="112">
        <v>44439</v>
      </c>
    </row>
    <row r="7" spans="1:7" ht="27.6" x14ac:dyDescent="0.25">
      <c r="A7" s="114" t="s">
        <v>134</v>
      </c>
      <c r="B7" s="112">
        <v>44377</v>
      </c>
      <c r="C7" s="55" t="s">
        <v>102</v>
      </c>
      <c r="D7" s="168" t="e">
        <f>((VLOOKUP($B$7, Tabla22[], 2, FALSE))/((DAYS360($B$7,$B$6,FALSE))/30))/2</f>
        <v>#N/A</v>
      </c>
      <c r="E7" s="168" t="e">
        <f>((VLOOKUP($B$7, Tabla22[], 2, FALSE))/((DAYS360($B$7,$B$6,FALSE))/30))/2</f>
        <v>#N/A</v>
      </c>
      <c r="F7" s="168" t="e">
        <f>((VLOOKUP($B$7, Tabla22[], 2, FALSE))/((DAYS360($C$6,$B$6,FALSE))/30))</f>
        <v>#N/A</v>
      </c>
      <c r="G7" s="168" t="e">
        <f>((VLOOKUP($B$7, Tabla22[], 2, FALSE))/((DAYS360($D$6,$B$6,FALSE))/30))</f>
        <v>#N/A</v>
      </c>
    </row>
    <row r="8" spans="1:7" ht="19.2" customHeight="1" x14ac:dyDescent="0.25">
      <c r="A8" s="114" t="s">
        <v>135</v>
      </c>
      <c r="B8" s="51" t="str">
        <f>IFERROR(VLOOKUP($B$7,Tabla22[],2, FALSE),"0")</f>
        <v>0</v>
      </c>
      <c r="C8" s="145" t="s">
        <v>94</v>
      </c>
      <c r="D8" s="48" t="e">
        <f>+D7</f>
        <v>#N/A</v>
      </c>
      <c r="E8" s="48" t="e">
        <f>+E7</f>
        <v>#N/A</v>
      </c>
      <c r="F8" s="48" t="e">
        <f>+F7</f>
        <v>#N/A</v>
      </c>
      <c r="G8" s="48" t="e">
        <f>+G7</f>
        <v>#N/A</v>
      </c>
    </row>
    <row r="9" spans="1:7" ht="13.8" x14ac:dyDescent="0.25"/>
    <row r="11" spans="1:7" ht="55.2" x14ac:dyDescent="0.25">
      <c r="B11" s="147" t="s">
        <v>184</v>
      </c>
      <c r="D11" s="165"/>
    </row>
    <row r="12" spans="1:7" ht="28.5" customHeight="1" x14ac:dyDescent="0.25">
      <c r="A12" s="210" t="s">
        <v>97</v>
      </c>
      <c r="B12" s="281" t="s">
        <v>183</v>
      </c>
    </row>
    <row r="13" spans="1:7" ht="20.25" customHeight="1" x14ac:dyDescent="0.25">
      <c r="A13" s="288"/>
      <c r="B13" s="219"/>
      <c r="C13" s="167"/>
    </row>
    <row r="15" spans="1:7" ht="20.25" customHeight="1" x14ac:dyDescent="0.3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MSI</cp:lastModifiedBy>
  <dcterms:created xsi:type="dcterms:W3CDTF">2019-03-11T19:22:24Z</dcterms:created>
  <dcterms:modified xsi:type="dcterms:W3CDTF">2022-09-21T20:49:18Z</dcterms:modified>
</cp:coreProperties>
</file>